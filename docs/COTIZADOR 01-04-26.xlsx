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-120" yWindow="-120" windowWidth="29040" windowHeight="15720"/>
  </bookViews>
  <sheets>
    <sheet name="Hoja 1" sheetId="4" r:id="rId1"/>
  </sheets>
  <definedNames>
    <definedName name="_xlnm._FilterDatabase" localSheetId="0" hidden="1">'Hoja 1'!$A$6:$M$6313</definedName>
  </definedNames>
  <calcPr calcId="125725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4"/>
  <c r="H6593"/>
  <c r="I6593"/>
  <c r="K6593"/>
  <c r="H6590"/>
  <c r="I6590"/>
  <c r="K6590"/>
  <c r="H6591"/>
  <c r="I6591"/>
  <c r="K6591"/>
  <c r="H6592"/>
  <c r="I6592"/>
  <c r="K6592"/>
  <c r="H6577"/>
  <c r="I6577"/>
  <c r="K6577"/>
  <c r="H6578"/>
  <c r="I6578"/>
  <c r="K6578"/>
  <c r="H6579"/>
  <c r="I6579"/>
  <c r="K6579"/>
  <c r="H6580"/>
  <c r="I6580"/>
  <c r="K6580"/>
  <c r="H6581"/>
  <c r="I6581"/>
  <c r="K6581"/>
  <c r="H6582"/>
  <c r="I6582"/>
  <c r="K6582"/>
  <c r="H6583"/>
  <c r="I6583"/>
  <c r="K6583"/>
  <c r="H6584"/>
  <c r="I6584"/>
  <c r="K6584"/>
  <c r="H6585"/>
  <c r="I6585"/>
  <c r="K6585"/>
  <c r="H6586"/>
  <c r="I6586"/>
  <c r="K6586"/>
  <c r="H6587"/>
  <c r="I6587"/>
  <c r="K6587"/>
  <c r="H6588"/>
  <c r="I6588"/>
  <c r="K6588"/>
  <c r="H6589"/>
  <c r="I6589"/>
  <c r="K6589"/>
  <c r="H6566"/>
  <c r="I6566"/>
  <c r="K6566"/>
  <c r="H6567"/>
  <c r="I6567"/>
  <c r="K6567"/>
  <c r="H6568"/>
  <c r="I6568"/>
  <c r="K6568"/>
  <c r="H6569"/>
  <c r="I6569"/>
  <c r="K6569"/>
  <c r="H6570"/>
  <c r="I6570"/>
  <c r="K6570"/>
  <c r="H6571"/>
  <c r="I6571"/>
  <c r="K6571"/>
  <c r="H6572"/>
  <c r="I6572"/>
  <c r="K6572"/>
  <c r="H6573"/>
  <c r="I6573"/>
  <c r="K6573"/>
  <c r="H6574"/>
  <c r="I6574"/>
  <c r="K6574"/>
  <c r="H6575"/>
  <c r="I6575"/>
  <c r="K6575"/>
  <c r="H6576"/>
  <c r="I6576"/>
  <c r="K6576"/>
  <c r="H6544"/>
  <c r="I6544"/>
  <c r="K6544"/>
  <c r="H6545"/>
  <c r="I6545"/>
  <c r="K6545"/>
  <c r="H6546"/>
  <c r="I6546"/>
  <c r="K6546"/>
  <c r="H6547"/>
  <c r="I6547"/>
  <c r="K6547"/>
  <c r="H6548"/>
  <c r="I6548"/>
  <c r="K6548"/>
  <c r="H6549"/>
  <c r="I6549"/>
  <c r="K6549"/>
  <c r="H6550"/>
  <c r="I6550"/>
  <c r="K6550"/>
  <c r="H6551"/>
  <c r="I6551"/>
  <c r="K6551"/>
  <c r="H6552"/>
  <c r="I6552"/>
  <c r="K6552"/>
  <c r="H6553"/>
  <c r="I6553"/>
  <c r="K6553"/>
  <c r="H6554"/>
  <c r="I6554"/>
  <c r="K6554"/>
  <c r="H6555"/>
  <c r="I6555"/>
  <c r="K6555"/>
  <c r="H6556"/>
  <c r="I6556"/>
  <c r="K6556"/>
  <c r="H6557"/>
  <c r="I6557"/>
  <c r="K6557"/>
  <c r="H6558"/>
  <c r="I6558"/>
  <c r="K6558"/>
  <c r="H6559"/>
  <c r="I6559"/>
  <c r="K6559"/>
  <c r="H6560"/>
  <c r="I6560"/>
  <c r="K6560"/>
  <c r="H6561"/>
  <c r="I6561"/>
  <c r="K6561"/>
  <c r="H6562"/>
  <c r="I6562"/>
  <c r="K6562"/>
  <c r="H6563"/>
  <c r="I6563"/>
  <c r="K6563"/>
  <c r="H6564"/>
  <c r="I6564"/>
  <c r="K6564"/>
  <c r="H6565"/>
  <c r="I6565"/>
  <c r="K6565"/>
  <c r="H6539"/>
  <c r="I6539"/>
  <c r="K6539"/>
  <c r="H6540"/>
  <c r="I6540"/>
  <c r="K6540"/>
  <c r="H6541"/>
  <c r="I6541"/>
  <c r="K6541"/>
  <c r="H6542"/>
  <c r="I6542"/>
  <c r="K6542"/>
  <c r="H6543"/>
  <c r="I6543"/>
  <c r="K6543"/>
  <c r="H6537"/>
  <c r="I6537"/>
  <c r="K6537"/>
  <c r="H6538"/>
  <c r="I6538"/>
  <c r="K6538"/>
  <c r="H6524"/>
  <c r="I6524"/>
  <c r="K6524"/>
  <c r="H6525"/>
  <c r="I6525"/>
  <c r="K6525"/>
  <c r="H6526"/>
  <c r="I6526"/>
  <c r="K6526"/>
  <c r="H6527"/>
  <c r="I6527"/>
  <c r="K6527"/>
  <c r="H6528"/>
  <c r="I6528"/>
  <c r="K6528"/>
  <c r="H6529"/>
  <c r="I6529"/>
  <c r="K6529"/>
  <c r="H6530"/>
  <c r="I6530"/>
  <c r="K6530"/>
  <c r="H6531"/>
  <c r="I6531"/>
  <c r="K6531"/>
  <c r="H6532"/>
  <c r="I6532"/>
  <c r="K6532"/>
  <c r="H6533"/>
  <c r="I6533"/>
  <c r="K6533"/>
  <c r="H6534"/>
  <c r="I6534"/>
  <c r="K6534"/>
  <c r="H6535"/>
  <c r="I6535"/>
  <c r="K6535"/>
  <c r="H6536"/>
  <c r="I6536"/>
  <c r="K6536"/>
  <c r="H6503"/>
  <c r="I6503"/>
  <c r="K6503"/>
  <c r="H6504"/>
  <c r="I6504"/>
  <c r="K6504"/>
  <c r="H6505"/>
  <c r="I6505"/>
  <c r="K6505"/>
  <c r="H6506"/>
  <c r="I6506"/>
  <c r="K6506"/>
  <c r="H6507"/>
  <c r="I6507"/>
  <c r="K6507"/>
  <c r="H6508"/>
  <c r="I6508"/>
  <c r="K6508"/>
  <c r="H6509"/>
  <c r="I6509"/>
  <c r="K6509"/>
  <c r="H6510"/>
  <c r="I6510"/>
  <c r="K6510"/>
  <c r="H6511"/>
  <c r="I6511"/>
  <c r="K6511"/>
  <c r="H6512"/>
  <c r="I6512"/>
  <c r="K6512"/>
  <c r="H6513"/>
  <c r="I6513"/>
  <c r="K6513"/>
  <c r="H6514"/>
  <c r="I6514"/>
  <c r="K6514"/>
  <c r="H6515"/>
  <c r="I6515"/>
  <c r="K6515"/>
  <c r="H6516"/>
  <c r="I6516"/>
  <c r="K6516"/>
  <c r="H6517"/>
  <c r="I6517"/>
  <c r="K6517"/>
  <c r="H6518"/>
  <c r="I6518"/>
  <c r="K6518"/>
  <c r="H6519"/>
  <c r="I6519"/>
  <c r="K6519"/>
  <c r="H6520"/>
  <c r="I6520"/>
  <c r="K6520"/>
  <c r="H6521"/>
  <c r="I6521"/>
  <c r="K6521"/>
  <c r="H6522"/>
  <c r="I6522"/>
  <c r="K6522"/>
  <c r="H6523"/>
  <c r="I6523"/>
  <c r="K6523"/>
  <c r="H6498"/>
  <c r="I6498"/>
  <c r="K6498"/>
  <c r="H6499"/>
  <c r="I6499"/>
  <c r="K6499"/>
  <c r="H6500"/>
  <c r="I6500"/>
  <c r="K6500"/>
  <c r="H6501"/>
  <c r="I6501"/>
  <c r="K6501"/>
  <c r="H6502"/>
  <c r="I6502"/>
  <c r="K6502"/>
  <c r="H1940"/>
  <c r="H4"/>
  <c r="H3086"/>
  <c r="H3094"/>
  <c r="H3102"/>
  <c r="I3102"/>
  <c r="K3102"/>
  <c r="H2940"/>
  <c r="H2948"/>
  <c r="H2956"/>
  <c r="I2956"/>
  <c r="K2956"/>
  <c r="H2438"/>
  <c r="H2496"/>
  <c r="H2552"/>
  <c r="I2552"/>
  <c r="K2552"/>
  <c r="H2092"/>
  <c r="H2272"/>
  <c r="H2328"/>
  <c r="I2328"/>
  <c r="K2328"/>
  <c r="H3179"/>
  <c r="H3195"/>
  <c r="I3195"/>
  <c r="K3195"/>
  <c r="H3211"/>
  <c r="I3211"/>
  <c r="K3211"/>
  <c r="H3408"/>
  <c r="H3416"/>
  <c r="I3416"/>
  <c r="K3416"/>
  <c r="H3424"/>
  <c r="I3424"/>
  <c r="K3424"/>
  <c r="H3323"/>
  <c r="I3323"/>
  <c r="K3323"/>
  <c r="H2696"/>
  <c r="H2787"/>
  <c r="I2787"/>
  <c r="K2787"/>
  <c r="H2815"/>
  <c r="I2815"/>
  <c r="K2815"/>
  <c r="H3262"/>
  <c r="H3270"/>
  <c r="I3270"/>
  <c r="K3270"/>
  <c r="H3278"/>
  <c r="I3278"/>
  <c r="K3278"/>
  <c r="H3202"/>
  <c r="I3202"/>
  <c r="K3202"/>
  <c r="H3385"/>
  <c r="I3385"/>
  <c r="K3385"/>
  <c r="H3401"/>
  <c r="I3401"/>
  <c r="K3401"/>
  <c r="H3409"/>
  <c r="I3409"/>
  <c r="K3409"/>
  <c r="H2969"/>
  <c r="I2969"/>
  <c r="K2969"/>
  <c r="H2985"/>
  <c r="I2985"/>
  <c r="K2985"/>
  <c r="H3171"/>
  <c r="I3171"/>
  <c r="K3171"/>
  <c r="H3624"/>
  <c r="H3704"/>
  <c r="I3704"/>
  <c r="K3704"/>
  <c r="H3712"/>
  <c r="H3720"/>
  <c r="H3800"/>
  <c r="I3800"/>
  <c r="K3800"/>
  <c r="H3808"/>
  <c r="H3816"/>
  <c r="H4008"/>
  <c r="H4088"/>
  <c r="I4088"/>
  <c r="K4088"/>
  <c r="H4096"/>
  <c r="H4104"/>
  <c r="H4184"/>
  <c r="I4184"/>
  <c r="K4184"/>
  <c r="H4192"/>
  <c r="H4200"/>
  <c r="H3483"/>
  <c r="H3563"/>
  <c r="I3563"/>
  <c r="K3563"/>
  <c r="H3571"/>
  <c r="H3579"/>
  <c r="H3659"/>
  <c r="I3659"/>
  <c r="K3659"/>
  <c r="H3667"/>
  <c r="H3675"/>
  <c r="H3867"/>
  <c r="H3145"/>
  <c r="I3145"/>
  <c r="K3145"/>
  <c r="H3203"/>
  <c r="H3215"/>
  <c r="H3436"/>
  <c r="I3436"/>
  <c r="K3436"/>
  <c r="H3442"/>
  <c r="H3471"/>
  <c r="H3670"/>
  <c r="H3750"/>
  <c r="I3750"/>
  <c r="K3750"/>
  <c r="H3758"/>
  <c r="I3758"/>
  <c r="K3758"/>
  <c r="H3766"/>
  <c r="H3846"/>
  <c r="I3846"/>
  <c r="K3846"/>
  <c r="H3854"/>
  <c r="I3854"/>
  <c r="K3854"/>
  <c r="H3862"/>
  <c r="H3958"/>
  <c r="H4038"/>
  <c r="I4038"/>
  <c r="K4038"/>
  <c r="H4054"/>
  <c r="H4134"/>
  <c r="I4134"/>
  <c r="K4134"/>
  <c r="H4142"/>
  <c r="I4142"/>
  <c r="K4142"/>
  <c r="H4150"/>
  <c r="H2823"/>
  <c r="I2823"/>
  <c r="K2823"/>
  <c r="H2975"/>
  <c r="I2975"/>
  <c r="K2975"/>
  <c r="H3033"/>
  <c r="H3380"/>
  <c r="H3521"/>
  <c r="I3521"/>
  <c r="K3521"/>
  <c r="H3537"/>
  <c r="I3537"/>
  <c r="K3537"/>
  <c r="H3617"/>
  <c r="I3617"/>
  <c r="K3617"/>
  <c r="H3625"/>
  <c r="I3625"/>
  <c r="K3625"/>
  <c r="H3633"/>
  <c r="I3633"/>
  <c r="K3633"/>
  <c r="H3713"/>
  <c r="I3713"/>
  <c r="K3713"/>
  <c r="H3721"/>
  <c r="I3721"/>
  <c r="K3721"/>
  <c r="H3729"/>
  <c r="I3729"/>
  <c r="K3729"/>
  <c r="H3817"/>
  <c r="I3817"/>
  <c r="K3817"/>
  <c r="H3825"/>
  <c r="I3825"/>
  <c r="K3825"/>
  <c r="H3905"/>
  <c r="I3905"/>
  <c r="K3905"/>
  <c r="H3913"/>
  <c r="I3913"/>
  <c r="K3913"/>
  <c r="H3921"/>
  <c r="I3921"/>
  <c r="K3921"/>
  <c r="H4001"/>
  <c r="I4001"/>
  <c r="K4001"/>
  <c r="H4009"/>
  <c r="I4009"/>
  <c r="K4009"/>
  <c r="H4017"/>
  <c r="I4017"/>
  <c r="K4017"/>
  <c r="H4097"/>
  <c r="I4097"/>
  <c r="K4097"/>
  <c r="H4105"/>
  <c r="I4105"/>
  <c r="K4105"/>
  <c r="H4113"/>
  <c r="I4113"/>
  <c r="K4113"/>
  <c r="H4193"/>
  <c r="I4193"/>
  <c r="K4193"/>
  <c r="H4201"/>
  <c r="I4201"/>
  <c r="K4201"/>
  <c r="H4209"/>
  <c r="I4209"/>
  <c r="K4209"/>
  <c r="H3107"/>
  <c r="I3107"/>
  <c r="K3107"/>
  <c r="H3119"/>
  <c r="I3119"/>
  <c r="K3119"/>
  <c r="H3177"/>
  <c r="I3177"/>
  <c r="K3177"/>
  <c r="H3423"/>
  <c r="I3423"/>
  <c r="K3423"/>
  <c r="H3452"/>
  <c r="I3452"/>
  <c r="K3452"/>
  <c r="H3458"/>
  <c r="I3458"/>
  <c r="K3458"/>
  <c r="H3556"/>
  <c r="I3556"/>
  <c r="K3556"/>
  <c r="H3564"/>
  <c r="I3564"/>
  <c r="K3564"/>
  <c r="H3572"/>
  <c r="I3572"/>
  <c r="K3572"/>
  <c r="H3652"/>
  <c r="I3652"/>
  <c r="K3652"/>
  <c r="H3660"/>
  <c r="I3660"/>
  <c r="K3660"/>
  <c r="H3668"/>
  <c r="I3668"/>
  <c r="K3668"/>
  <c r="H3748"/>
  <c r="I3748"/>
  <c r="K3748"/>
  <c r="H3756"/>
  <c r="I3756"/>
  <c r="K3756"/>
  <c r="H3764"/>
  <c r="I3764"/>
  <c r="K3764"/>
  <c r="H3844"/>
  <c r="I3844"/>
  <c r="K3844"/>
  <c r="H3852"/>
  <c r="I3852"/>
  <c r="K3852"/>
  <c r="H3860"/>
  <c r="I3860"/>
  <c r="K3860"/>
  <c r="H3940"/>
  <c r="I3940"/>
  <c r="K3940"/>
  <c r="H3948"/>
  <c r="I3948"/>
  <c r="K3948"/>
  <c r="H3956"/>
  <c r="I3956"/>
  <c r="K3956"/>
  <c r="H4036"/>
  <c r="I4036"/>
  <c r="K4036"/>
  <c r="H4044"/>
  <c r="I4044"/>
  <c r="K4044"/>
  <c r="H4052"/>
  <c r="I4052"/>
  <c r="K4052"/>
  <c r="H4132"/>
  <c r="I4132"/>
  <c r="K4132"/>
  <c r="H4140"/>
  <c r="I4140"/>
  <c r="K4140"/>
  <c r="H4148"/>
  <c r="I4148"/>
  <c r="K4148"/>
  <c r="H2088"/>
  <c r="I2088"/>
  <c r="K2088"/>
  <c r="H2963"/>
  <c r="I2963"/>
  <c r="K2963"/>
  <c r="H2995"/>
  <c r="I2995"/>
  <c r="K2995"/>
  <c r="H3338"/>
  <c r="I3338"/>
  <c r="K3338"/>
  <c r="H3367"/>
  <c r="I3367"/>
  <c r="K3367"/>
  <c r="H3396"/>
  <c r="I3396"/>
  <c r="K3396"/>
  <c r="H3527"/>
  <c r="I3527"/>
  <c r="K3527"/>
  <c r="H3535"/>
  <c r="I3535"/>
  <c r="K3535"/>
  <c r="H3543"/>
  <c r="I3543"/>
  <c r="K3543"/>
  <c r="H3623"/>
  <c r="I3623"/>
  <c r="K3623"/>
  <c r="H3631"/>
  <c r="I3631"/>
  <c r="K3631"/>
  <c r="H3639"/>
  <c r="I3639"/>
  <c r="K3639"/>
  <c r="H3719"/>
  <c r="I3719"/>
  <c r="K3719"/>
  <c r="H3727"/>
  <c r="I3727"/>
  <c r="K3727"/>
  <c r="H3735"/>
  <c r="I3735"/>
  <c r="K3735"/>
  <c r="H3815"/>
  <c r="I3815"/>
  <c r="K3815"/>
  <c r="H3823"/>
  <c r="I3823"/>
  <c r="K3823"/>
  <c r="H3831"/>
  <c r="I3831"/>
  <c r="K3831"/>
  <c r="H3911"/>
  <c r="I3911"/>
  <c r="K3911"/>
  <c r="H3919"/>
  <c r="I3919"/>
  <c r="K3919"/>
  <c r="H3927"/>
  <c r="I3927"/>
  <c r="K3927"/>
  <c r="H4007"/>
  <c r="I4007"/>
  <c r="K4007"/>
  <c r="H4015"/>
  <c r="I4015"/>
  <c r="K4015"/>
  <c r="H4023"/>
  <c r="I4023"/>
  <c r="K4023"/>
  <c r="H4103"/>
  <c r="I4103"/>
  <c r="K4103"/>
  <c r="H4111"/>
  <c r="I4111"/>
  <c r="K4111"/>
  <c r="H4119"/>
  <c r="I4119"/>
  <c r="K4119"/>
  <c r="H4199"/>
  <c r="I4199"/>
  <c r="K4199"/>
  <c r="H4207"/>
  <c r="I4207"/>
  <c r="K4207"/>
  <c r="H4215"/>
  <c r="I4215"/>
  <c r="K4215"/>
  <c r="H3247"/>
  <c r="I3247"/>
  <c r="K3247"/>
  <c r="H3276"/>
  <c r="I3276"/>
  <c r="K3276"/>
  <c r="H3282"/>
  <c r="I3282"/>
  <c r="K3282"/>
  <c r="H3490"/>
  <c r="I3490"/>
  <c r="K3490"/>
  <c r="H3498"/>
  <c r="I3498"/>
  <c r="K3498"/>
  <c r="H3506"/>
  <c r="I3506"/>
  <c r="K3506"/>
  <c r="H3586"/>
  <c r="I3586"/>
  <c r="K3586"/>
  <c r="H3594"/>
  <c r="I3594"/>
  <c r="K3594"/>
  <c r="H3602"/>
  <c r="I3602"/>
  <c r="K3602"/>
  <c r="H3682"/>
  <c r="I3682"/>
  <c r="K3682"/>
  <c r="H3690"/>
  <c r="I3690"/>
  <c r="K3690"/>
  <c r="H3698"/>
  <c r="I3698"/>
  <c r="K3698"/>
  <c r="H3778"/>
  <c r="I3778"/>
  <c r="K3778"/>
  <c r="H3786"/>
  <c r="I3786"/>
  <c r="K3786"/>
  <c r="H3794"/>
  <c r="I3794"/>
  <c r="K3794"/>
  <c r="H3874"/>
  <c r="I3874"/>
  <c r="K3874"/>
  <c r="H3882"/>
  <c r="I3882"/>
  <c r="K3882"/>
  <c r="H3890"/>
  <c r="I3890"/>
  <c r="K3890"/>
  <c r="H3970"/>
  <c r="I3970"/>
  <c r="K3970"/>
  <c r="H3978"/>
  <c r="I3978"/>
  <c r="K3978"/>
  <c r="H3986"/>
  <c r="I3986"/>
  <c r="K3986"/>
  <c r="H4066"/>
  <c r="I4066"/>
  <c r="K4066"/>
  <c r="H4074"/>
  <c r="I4074"/>
  <c r="K4074"/>
  <c r="H4082"/>
  <c r="I4082"/>
  <c r="K4082"/>
  <c r="H4162"/>
  <c r="I4162"/>
  <c r="K4162"/>
  <c r="H4170"/>
  <c r="I4170"/>
  <c r="K4170"/>
  <c r="H4178"/>
  <c r="I4178"/>
  <c r="K4178"/>
  <c r="H4194"/>
  <c r="I4194"/>
  <c r="K4194"/>
  <c r="H4202"/>
  <c r="I4202"/>
  <c r="K4202"/>
  <c r="H4210"/>
  <c r="I4210"/>
  <c r="K4210"/>
  <c r="H4218"/>
  <c r="I4218"/>
  <c r="K4218"/>
  <c r="H2937"/>
  <c r="I2937"/>
  <c r="K2937"/>
  <c r="H3167"/>
  <c r="I3167"/>
  <c r="K3167"/>
  <c r="H3319"/>
  <c r="I3319"/>
  <c r="K3319"/>
  <c r="H3485"/>
  <c r="I3485"/>
  <c r="K3485"/>
  <c r="H3549"/>
  <c r="I3549"/>
  <c r="K3549"/>
  <c r="H3613"/>
  <c r="I3613"/>
  <c r="K3613"/>
  <c r="H3677"/>
  <c r="I3677"/>
  <c r="K3677"/>
  <c r="H3741"/>
  <c r="I3741"/>
  <c r="K3741"/>
  <c r="H3805"/>
  <c r="I3805"/>
  <c r="K3805"/>
  <c r="H3869"/>
  <c r="I3869"/>
  <c r="K3869"/>
  <c r="H3909"/>
  <c r="I3909"/>
  <c r="K3909"/>
  <c r="H3941"/>
  <c r="I3941"/>
  <c r="K3941"/>
  <c r="H3973"/>
  <c r="I3973"/>
  <c r="K3973"/>
  <c r="H4005"/>
  <c r="I4005"/>
  <c r="K4005"/>
  <c r="H4037"/>
  <c r="I4037"/>
  <c r="K4037"/>
  <c r="H4069"/>
  <c r="I4069"/>
  <c r="K4069"/>
  <c r="H4101"/>
  <c r="I4101"/>
  <c r="K4101"/>
  <c r="H4133"/>
  <c r="I4133"/>
  <c r="K4133"/>
  <c r="H4165"/>
  <c r="I4165"/>
  <c r="K4165"/>
  <c r="H4197"/>
  <c r="I4197"/>
  <c r="K4197"/>
  <c r="H4223"/>
  <c r="I4223"/>
  <c r="K4223"/>
  <c r="H4231"/>
  <c r="I4231"/>
  <c r="K4231"/>
  <c r="H4239"/>
  <c r="I4239"/>
  <c r="K4239"/>
  <c r="H4247"/>
  <c r="I4247"/>
  <c r="K4247"/>
  <c r="H4255"/>
  <c r="I4255"/>
  <c r="K4255"/>
  <c r="H4263"/>
  <c r="I4263"/>
  <c r="K4263"/>
  <c r="H4271"/>
  <c r="I4271"/>
  <c r="K4271"/>
  <c r="H4279"/>
  <c r="I4279"/>
  <c r="K4279"/>
  <c r="H4287"/>
  <c r="I4287"/>
  <c r="K4287"/>
  <c r="H4295"/>
  <c r="I4295"/>
  <c r="K4295"/>
  <c r="H4303"/>
  <c r="I4303"/>
  <c r="K4303"/>
  <c r="H4311"/>
  <c r="I4311"/>
  <c r="K4311"/>
  <c r="H4319"/>
  <c r="I4319"/>
  <c r="K4319"/>
  <c r="H4327"/>
  <c r="I4327"/>
  <c r="K4327"/>
  <c r="H4335"/>
  <c r="I4335"/>
  <c r="K4335"/>
  <c r="H4343"/>
  <c r="I4343"/>
  <c r="K4343"/>
  <c r="H4351"/>
  <c r="I4351"/>
  <c r="K4351"/>
  <c r="H4359"/>
  <c r="I4359"/>
  <c r="K4359"/>
  <c r="H4367"/>
  <c r="I4367"/>
  <c r="K4367"/>
  <c r="H4375"/>
  <c r="I4375"/>
  <c r="K4375"/>
  <c r="H4383"/>
  <c r="I4383"/>
  <c r="K4383"/>
  <c r="H4391"/>
  <c r="I4391"/>
  <c r="K4391"/>
  <c r="H4399"/>
  <c r="I4399"/>
  <c r="K4399"/>
  <c r="H4407"/>
  <c r="I4407"/>
  <c r="K4407"/>
  <c r="H4415"/>
  <c r="I4415"/>
  <c r="K4415"/>
  <c r="H4423"/>
  <c r="I4423"/>
  <c r="K4423"/>
  <c r="H4431"/>
  <c r="I4431"/>
  <c r="K4431"/>
  <c r="H4439"/>
  <c r="I4439"/>
  <c r="K4439"/>
  <c r="H4447"/>
  <c r="I4447"/>
  <c r="K4447"/>
  <c r="H4455"/>
  <c r="I4455"/>
  <c r="K4455"/>
  <c r="H4463"/>
  <c r="I4463"/>
  <c r="K4463"/>
  <c r="H4471"/>
  <c r="I4471"/>
  <c r="K4471"/>
  <c r="H4479"/>
  <c r="I4479"/>
  <c r="K4479"/>
  <c r="H4487"/>
  <c r="I4487"/>
  <c r="K4487"/>
  <c r="H4495"/>
  <c r="I4495"/>
  <c r="K4495"/>
  <c r="H4503"/>
  <c r="I4503"/>
  <c r="K4503"/>
  <c r="H4511"/>
  <c r="I4511"/>
  <c r="K4511"/>
  <c r="H4519"/>
  <c r="I4519"/>
  <c r="K4519"/>
  <c r="H4527"/>
  <c r="I4527"/>
  <c r="K4527"/>
  <c r="H4535"/>
  <c r="I4535"/>
  <c r="K4535"/>
  <c r="H4543"/>
  <c r="I4543"/>
  <c r="K4543"/>
  <c r="H4551"/>
  <c r="I4551"/>
  <c r="K4551"/>
  <c r="H4559"/>
  <c r="I4559"/>
  <c r="K4559"/>
  <c r="H4567"/>
  <c r="I4567"/>
  <c r="K4567"/>
  <c r="H4575"/>
  <c r="I4575"/>
  <c r="K4575"/>
  <c r="H4583"/>
  <c r="I4583"/>
  <c r="K4583"/>
  <c r="H4591"/>
  <c r="I4591"/>
  <c r="K4591"/>
  <c r="H4599"/>
  <c r="I4599"/>
  <c r="K4599"/>
  <c r="H4607"/>
  <c r="I4607"/>
  <c r="K4607"/>
  <c r="H4615"/>
  <c r="I4615"/>
  <c r="K4615"/>
  <c r="H4623"/>
  <c r="I4623"/>
  <c r="K4623"/>
  <c r="H4631"/>
  <c r="I4631"/>
  <c r="K4631"/>
  <c r="H4639"/>
  <c r="I4639"/>
  <c r="K4639"/>
  <c r="H4647"/>
  <c r="I4647"/>
  <c r="K4647"/>
  <c r="H4655"/>
  <c r="I4655"/>
  <c r="K4655"/>
  <c r="H4663"/>
  <c r="I4663"/>
  <c r="K4663"/>
  <c r="H4671"/>
  <c r="I4671"/>
  <c r="K4671"/>
  <c r="H4679"/>
  <c r="I4679"/>
  <c r="K4679"/>
  <c r="H4687"/>
  <c r="I4687"/>
  <c r="K4687"/>
  <c r="H4695"/>
  <c r="I4695"/>
  <c r="K4695"/>
  <c r="H4703"/>
  <c r="I4703"/>
  <c r="K4703"/>
  <c r="H4711"/>
  <c r="I4711"/>
  <c r="K4711"/>
  <c r="H4719"/>
  <c r="I4719"/>
  <c r="K4719"/>
  <c r="H4727"/>
  <c r="I4727"/>
  <c r="K4727"/>
  <c r="H4735"/>
  <c r="I4735"/>
  <c r="K4735"/>
  <c r="H4743"/>
  <c r="I4743"/>
  <c r="K4743"/>
  <c r="H4751"/>
  <c r="I4751"/>
  <c r="K4751"/>
  <c r="H4759"/>
  <c r="I4759"/>
  <c r="K4759"/>
  <c r="H4767"/>
  <c r="I4767"/>
  <c r="K4767"/>
  <c r="H4775"/>
  <c r="I4775"/>
  <c r="K4775"/>
  <c r="H4783"/>
  <c r="I4783"/>
  <c r="K4783"/>
  <c r="H4791"/>
  <c r="I4791"/>
  <c r="K4791"/>
  <c r="H4799"/>
  <c r="I4799"/>
  <c r="K4799"/>
  <c r="H4807"/>
  <c r="I4807"/>
  <c r="K4807"/>
  <c r="H4815"/>
  <c r="I4815"/>
  <c r="K4815"/>
  <c r="H4823"/>
  <c r="I4823"/>
  <c r="K4823"/>
  <c r="H4831"/>
  <c r="I4831"/>
  <c r="K4831"/>
  <c r="H4839"/>
  <c r="I4839"/>
  <c r="K4839"/>
  <c r="H4847"/>
  <c r="I4847"/>
  <c r="K4847"/>
  <c r="H4855"/>
  <c r="I4855"/>
  <c r="K4855"/>
  <c r="H4863"/>
  <c r="I4863"/>
  <c r="K4863"/>
  <c r="H4871"/>
  <c r="I4871"/>
  <c r="K4871"/>
  <c r="H4879"/>
  <c r="I4879"/>
  <c r="K4879"/>
  <c r="H4887"/>
  <c r="I4887"/>
  <c r="K4887"/>
  <c r="H4895"/>
  <c r="I4895"/>
  <c r="K4895"/>
  <c r="H4903"/>
  <c r="I4903"/>
  <c r="K4903"/>
  <c r="H4911"/>
  <c r="I4911"/>
  <c r="K4911"/>
  <c r="H4919"/>
  <c r="I4919"/>
  <c r="K4919"/>
  <c r="H4927"/>
  <c r="I4927"/>
  <c r="K4927"/>
  <c r="H4935"/>
  <c r="I4935"/>
  <c r="K4935"/>
  <c r="H4943"/>
  <c r="I4943"/>
  <c r="K4943"/>
  <c r="H4951"/>
  <c r="I4951"/>
  <c r="K4951"/>
  <c r="H4959"/>
  <c r="I4959"/>
  <c r="K4959"/>
  <c r="H4967"/>
  <c r="I4967"/>
  <c r="K4967"/>
  <c r="H4975"/>
  <c r="I4975"/>
  <c r="K4975"/>
  <c r="H2951"/>
  <c r="I2951"/>
  <c r="K2951"/>
  <c r="H3383"/>
  <c r="I3383"/>
  <c r="K3383"/>
  <c r="H3509"/>
  <c r="I3509"/>
  <c r="K3509"/>
  <c r="H3573"/>
  <c r="I3573"/>
  <c r="K3573"/>
  <c r="H3637"/>
  <c r="I3637"/>
  <c r="K3637"/>
  <c r="H3701"/>
  <c r="I3701"/>
  <c r="K3701"/>
  <c r="H3765"/>
  <c r="I3765"/>
  <c r="K3765"/>
  <c r="H3829"/>
  <c r="I3829"/>
  <c r="K3829"/>
  <c r="H3893"/>
  <c r="I3893"/>
  <c r="K3893"/>
  <c r="H3931"/>
  <c r="I3931"/>
  <c r="K3931"/>
  <c r="H3963"/>
  <c r="I3963"/>
  <c r="K3963"/>
  <c r="H3995"/>
  <c r="I3995"/>
  <c r="K3995"/>
  <c r="H4027"/>
  <c r="I4027"/>
  <c r="K4027"/>
  <c r="H4059"/>
  <c r="I4059"/>
  <c r="K4059"/>
  <c r="H4091"/>
  <c r="I4091"/>
  <c r="K4091"/>
  <c r="H4123"/>
  <c r="I4123"/>
  <c r="K4123"/>
  <c r="H4155"/>
  <c r="I4155"/>
  <c r="K4155"/>
  <c r="H4187"/>
  <c r="I4187"/>
  <c r="K4187"/>
  <c r="H4219"/>
  <c r="I4219"/>
  <c r="K4219"/>
  <c r="H4226"/>
  <c r="I4226"/>
  <c r="K4226"/>
  <c r="H4234"/>
  <c r="I4234"/>
  <c r="K4234"/>
  <c r="H4242"/>
  <c r="I4242"/>
  <c r="K4242"/>
  <c r="H4250"/>
  <c r="I4250"/>
  <c r="K4250"/>
  <c r="H4258"/>
  <c r="I4258"/>
  <c r="K4258"/>
  <c r="H4266"/>
  <c r="I4266"/>
  <c r="K4266"/>
  <c r="H4274"/>
  <c r="I4274"/>
  <c r="K4274"/>
  <c r="H4282"/>
  <c r="I4282"/>
  <c r="K4282"/>
  <c r="H4290"/>
  <c r="I4290"/>
  <c r="K4290"/>
  <c r="H4298"/>
  <c r="I4298"/>
  <c r="K4298"/>
  <c r="H4306"/>
  <c r="I4306"/>
  <c r="K4306"/>
  <c r="H4314"/>
  <c r="I4314"/>
  <c r="K4314"/>
  <c r="H4322"/>
  <c r="I4322"/>
  <c r="K4322"/>
  <c r="H4330"/>
  <c r="I4330"/>
  <c r="K4330"/>
  <c r="H4338"/>
  <c r="I4338"/>
  <c r="K4338"/>
  <c r="H4346"/>
  <c r="I4346"/>
  <c r="K4346"/>
  <c r="H4354"/>
  <c r="I4354"/>
  <c r="K4354"/>
  <c r="H4362"/>
  <c r="I4362"/>
  <c r="K4362"/>
  <c r="H4370"/>
  <c r="I4370"/>
  <c r="K4370"/>
  <c r="H4378"/>
  <c r="I4378"/>
  <c r="K4378"/>
  <c r="H4386"/>
  <c r="I4386"/>
  <c r="K4386"/>
  <c r="H4394"/>
  <c r="I4394"/>
  <c r="K4394"/>
  <c r="H4402"/>
  <c r="I4402"/>
  <c r="K4402"/>
  <c r="H4410"/>
  <c r="I4410"/>
  <c r="K4410"/>
  <c r="H4418"/>
  <c r="I4418"/>
  <c r="K4418"/>
  <c r="H4426"/>
  <c r="I4426"/>
  <c r="K4426"/>
  <c r="H4434"/>
  <c r="I4434"/>
  <c r="K4434"/>
  <c r="H4442"/>
  <c r="I4442"/>
  <c r="K4442"/>
  <c r="H4450"/>
  <c r="I4450"/>
  <c r="K4450"/>
  <c r="H4458"/>
  <c r="I4458"/>
  <c r="K4458"/>
  <c r="H4466"/>
  <c r="I4466"/>
  <c r="K4466"/>
  <c r="H4474"/>
  <c r="I4474"/>
  <c r="K4474"/>
  <c r="H4482"/>
  <c r="I4482"/>
  <c r="K4482"/>
  <c r="H4490"/>
  <c r="I4490"/>
  <c r="K4490"/>
  <c r="H4498"/>
  <c r="I4498"/>
  <c r="K4498"/>
  <c r="H4506"/>
  <c r="I4506"/>
  <c r="K4506"/>
  <c r="H4514"/>
  <c r="I4514"/>
  <c r="K4514"/>
  <c r="H4522"/>
  <c r="I4522"/>
  <c r="K4522"/>
  <c r="H4530"/>
  <c r="I4530"/>
  <c r="K4530"/>
  <c r="H4538"/>
  <c r="I4538"/>
  <c r="K4538"/>
  <c r="H4546"/>
  <c r="I4546"/>
  <c r="K4546"/>
  <c r="H4554"/>
  <c r="I4554"/>
  <c r="K4554"/>
  <c r="H4562"/>
  <c r="I4562"/>
  <c r="K4562"/>
  <c r="H4570"/>
  <c r="I4570"/>
  <c r="K4570"/>
  <c r="H4578"/>
  <c r="I4578"/>
  <c r="K4578"/>
  <c r="H4586"/>
  <c r="I4586"/>
  <c r="K4586"/>
  <c r="H4594"/>
  <c r="I4594"/>
  <c r="K4594"/>
  <c r="H4602"/>
  <c r="I4602"/>
  <c r="K4602"/>
  <c r="H4610"/>
  <c r="I4610"/>
  <c r="K4610"/>
  <c r="H4618"/>
  <c r="I4618"/>
  <c r="K4618"/>
  <c r="H4626"/>
  <c r="I4626"/>
  <c r="K4626"/>
  <c r="H4634"/>
  <c r="I4634"/>
  <c r="K4634"/>
  <c r="H4642"/>
  <c r="I4642"/>
  <c r="K4642"/>
  <c r="H4650"/>
  <c r="I4650"/>
  <c r="K4650"/>
  <c r="H4658"/>
  <c r="I4658"/>
  <c r="K4658"/>
  <c r="H4666"/>
  <c r="I4666"/>
  <c r="K4666"/>
  <c r="H4674"/>
  <c r="I4674"/>
  <c r="K4674"/>
  <c r="H4682"/>
  <c r="I4682"/>
  <c r="K4682"/>
  <c r="H4690"/>
  <c r="I4690"/>
  <c r="K4690"/>
  <c r="H4698"/>
  <c r="I4698"/>
  <c r="K4698"/>
  <c r="H4706"/>
  <c r="I4706"/>
  <c r="K4706"/>
  <c r="H4714"/>
  <c r="I4714"/>
  <c r="K4714"/>
  <c r="H4722"/>
  <c r="I4722"/>
  <c r="K4722"/>
  <c r="H4730"/>
  <c r="I4730"/>
  <c r="K4730"/>
  <c r="H4738"/>
  <c r="I4738"/>
  <c r="K4738"/>
  <c r="H4746"/>
  <c r="I4746"/>
  <c r="K4746"/>
  <c r="H4754"/>
  <c r="I4754"/>
  <c r="K4754"/>
  <c r="H4762"/>
  <c r="I4762"/>
  <c r="K4762"/>
  <c r="H4770"/>
  <c r="I4770"/>
  <c r="K4770"/>
  <c r="H4778"/>
  <c r="I4778"/>
  <c r="K4778"/>
  <c r="H4786"/>
  <c r="I4786"/>
  <c r="K4786"/>
  <c r="H4794"/>
  <c r="I4794"/>
  <c r="K4794"/>
  <c r="H4802"/>
  <c r="I4802"/>
  <c r="K4802"/>
  <c r="H4810"/>
  <c r="I4810"/>
  <c r="K4810"/>
  <c r="H4818"/>
  <c r="I4818"/>
  <c r="K4818"/>
  <c r="H4826"/>
  <c r="I4826"/>
  <c r="K4826"/>
  <c r="H4834"/>
  <c r="I4834"/>
  <c r="K4834"/>
  <c r="H4842"/>
  <c r="I4842"/>
  <c r="K4842"/>
  <c r="H4850"/>
  <c r="I4850"/>
  <c r="K4850"/>
  <c r="H4858"/>
  <c r="I4858"/>
  <c r="K4858"/>
  <c r="H4866"/>
  <c r="I4866"/>
  <c r="K4866"/>
  <c r="H4874"/>
  <c r="I4874"/>
  <c r="K4874"/>
  <c r="H4882"/>
  <c r="I4882"/>
  <c r="K4882"/>
  <c r="H4890"/>
  <c r="I4890"/>
  <c r="K4890"/>
  <c r="H4898"/>
  <c r="I4898"/>
  <c r="K4898"/>
  <c r="H4906"/>
  <c r="I4906"/>
  <c r="K4906"/>
  <c r="H4914"/>
  <c r="I4914"/>
  <c r="K4914"/>
  <c r="H4922"/>
  <c r="I4922"/>
  <c r="K4922"/>
  <c r="H4930"/>
  <c r="I4930"/>
  <c r="K4930"/>
  <c r="H4938"/>
  <c r="I4938"/>
  <c r="K4938"/>
  <c r="H4946"/>
  <c r="I4946"/>
  <c r="K4946"/>
  <c r="H4954"/>
  <c r="I4954"/>
  <c r="K4954"/>
  <c r="H4962"/>
  <c r="I4962"/>
  <c r="K4962"/>
  <c r="H4970"/>
  <c r="I4970"/>
  <c r="K4970"/>
  <c r="H4978"/>
  <c r="I4978"/>
  <c r="K4978"/>
  <c r="H3447"/>
  <c r="I3447"/>
  <c r="K3447"/>
  <c r="H3533"/>
  <c r="I3533"/>
  <c r="K3533"/>
  <c r="H3597"/>
  <c r="I3597"/>
  <c r="K3597"/>
  <c r="H3661"/>
  <c r="I3661"/>
  <c r="K3661"/>
  <c r="H3725"/>
  <c r="I3725"/>
  <c r="K3725"/>
  <c r="H3789"/>
  <c r="I3789"/>
  <c r="K3789"/>
  <c r="H3853"/>
  <c r="I3853"/>
  <c r="K3853"/>
  <c r="H3933"/>
  <c r="I3933"/>
  <c r="K3933"/>
  <c r="H3965"/>
  <c r="I3965"/>
  <c r="K3965"/>
  <c r="H3997"/>
  <c r="I3997"/>
  <c r="K3997"/>
  <c r="H4029"/>
  <c r="I4029"/>
  <c r="K4029"/>
  <c r="H4061"/>
  <c r="I4061"/>
  <c r="K4061"/>
  <c r="H4093"/>
  <c r="I4093"/>
  <c r="K4093"/>
  <c r="H4125"/>
  <c r="I4125"/>
  <c r="K4125"/>
  <c r="H4157"/>
  <c r="I4157"/>
  <c r="K4157"/>
  <c r="H4189"/>
  <c r="I4189"/>
  <c r="K4189"/>
  <c r="H4220"/>
  <c r="I4220"/>
  <c r="K4220"/>
  <c r="H4229"/>
  <c r="I4229"/>
  <c r="K4229"/>
  <c r="H4237"/>
  <c r="I4237"/>
  <c r="K4237"/>
  <c r="H4245"/>
  <c r="I4245"/>
  <c r="K4245"/>
  <c r="H4253"/>
  <c r="I4253"/>
  <c r="K4253"/>
  <c r="H4261"/>
  <c r="I4261"/>
  <c r="K4261"/>
  <c r="H4269"/>
  <c r="I4269"/>
  <c r="K4269"/>
  <c r="H4277"/>
  <c r="I4277"/>
  <c r="K4277"/>
  <c r="H4285"/>
  <c r="I4285"/>
  <c r="K4285"/>
  <c r="H4293"/>
  <c r="I4293"/>
  <c r="K4293"/>
  <c r="H4301"/>
  <c r="I4301"/>
  <c r="K4301"/>
  <c r="H4309"/>
  <c r="I4309"/>
  <c r="K4309"/>
  <c r="H4317"/>
  <c r="I4317"/>
  <c r="K4317"/>
  <c r="H4325"/>
  <c r="I4325"/>
  <c r="K4325"/>
  <c r="H4333"/>
  <c r="I4333"/>
  <c r="K4333"/>
  <c r="H4341"/>
  <c r="I4341"/>
  <c r="K4341"/>
  <c r="H4349"/>
  <c r="I4349"/>
  <c r="K4349"/>
  <c r="H4357"/>
  <c r="I4357"/>
  <c r="K4357"/>
  <c r="H4365"/>
  <c r="I4365"/>
  <c r="K4365"/>
  <c r="H4373"/>
  <c r="I4373"/>
  <c r="K4373"/>
  <c r="H4381"/>
  <c r="I4381"/>
  <c r="K4381"/>
  <c r="H4389"/>
  <c r="I4389"/>
  <c r="K4389"/>
  <c r="H4397"/>
  <c r="I4397"/>
  <c r="K4397"/>
  <c r="H4405"/>
  <c r="I4405"/>
  <c r="K4405"/>
  <c r="H4413"/>
  <c r="I4413"/>
  <c r="K4413"/>
  <c r="H4421"/>
  <c r="I4421"/>
  <c r="K4421"/>
  <c r="H4429"/>
  <c r="I4429"/>
  <c r="K4429"/>
  <c r="H4437"/>
  <c r="I4437"/>
  <c r="K4437"/>
  <c r="H4445"/>
  <c r="I4445"/>
  <c r="K4445"/>
  <c r="H4453"/>
  <c r="I4453"/>
  <c r="K4453"/>
  <c r="H4461"/>
  <c r="I4461"/>
  <c r="K4461"/>
  <c r="H4469"/>
  <c r="I4469"/>
  <c r="K4469"/>
  <c r="H4477"/>
  <c r="I4477"/>
  <c r="K4477"/>
  <c r="H4485"/>
  <c r="I4485"/>
  <c r="K4485"/>
  <c r="H4493"/>
  <c r="I4493"/>
  <c r="K4493"/>
  <c r="H4501"/>
  <c r="I4501"/>
  <c r="K4501"/>
  <c r="H4509"/>
  <c r="I4509"/>
  <c r="K4509"/>
  <c r="H4517"/>
  <c r="I4517"/>
  <c r="K4517"/>
  <c r="H4525"/>
  <c r="I4525"/>
  <c r="K4525"/>
  <c r="H4533"/>
  <c r="I4533"/>
  <c r="K4533"/>
  <c r="H4541"/>
  <c r="I4541"/>
  <c r="K4541"/>
  <c r="H4549"/>
  <c r="I4549"/>
  <c r="K4549"/>
  <c r="H4557"/>
  <c r="I4557"/>
  <c r="K4557"/>
  <c r="H4565"/>
  <c r="I4565"/>
  <c r="K4565"/>
  <c r="H4573"/>
  <c r="I4573"/>
  <c r="K4573"/>
  <c r="H4581"/>
  <c r="I4581"/>
  <c r="K4581"/>
  <c r="H4589"/>
  <c r="I4589"/>
  <c r="K4589"/>
  <c r="H4597"/>
  <c r="I4597"/>
  <c r="K4597"/>
  <c r="H4605"/>
  <c r="I4605"/>
  <c r="K4605"/>
  <c r="H4613"/>
  <c r="I4613"/>
  <c r="K4613"/>
  <c r="H4621"/>
  <c r="I4621"/>
  <c r="K4621"/>
  <c r="H4629"/>
  <c r="I4629"/>
  <c r="K4629"/>
  <c r="H4637"/>
  <c r="I4637"/>
  <c r="K4637"/>
  <c r="H4645"/>
  <c r="I4645"/>
  <c r="K4645"/>
  <c r="H4653"/>
  <c r="I4653"/>
  <c r="K4653"/>
  <c r="H4661"/>
  <c r="I4661"/>
  <c r="K4661"/>
  <c r="H4669"/>
  <c r="I4669"/>
  <c r="K4669"/>
  <c r="H4677"/>
  <c r="I4677"/>
  <c r="K4677"/>
  <c r="H4685"/>
  <c r="I4685"/>
  <c r="K4685"/>
  <c r="H4693"/>
  <c r="I4693"/>
  <c r="K4693"/>
  <c r="H4701"/>
  <c r="I4701"/>
  <c r="K4701"/>
  <c r="H4709"/>
  <c r="I4709"/>
  <c r="K4709"/>
  <c r="H4717"/>
  <c r="I4717"/>
  <c r="K4717"/>
  <c r="H4725"/>
  <c r="I4725"/>
  <c r="K4725"/>
  <c r="H4733"/>
  <c r="I4733"/>
  <c r="K4733"/>
  <c r="H4741"/>
  <c r="I4741"/>
  <c r="K4741"/>
  <c r="H4749"/>
  <c r="I4749"/>
  <c r="K4749"/>
  <c r="H4757"/>
  <c r="I4757"/>
  <c r="K4757"/>
  <c r="H4765"/>
  <c r="I4765"/>
  <c r="K4765"/>
  <c r="H4773"/>
  <c r="I4773"/>
  <c r="K4773"/>
  <c r="H4781"/>
  <c r="I4781"/>
  <c r="K4781"/>
  <c r="H4789"/>
  <c r="I4789"/>
  <c r="K4789"/>
  <c r="H4797"/>
  <c r="I4797"/>
  <c r="K4797"/>
  <c r="H4805"/>
  <c r="I4805"/>
  <c r="K4805"/>
  <c r="H4813"/>
  <c r="I4813"/>
  <c r="K4813"/>
  <c r="H4821"/>
  <c r="I4821"/>
  <c r="K4821"/>
  <c r="H4829"/>
  <c r="I4829"/>
  <c r="K4829"/>
  <c r="H4837"/>
  <c r="I4837"/>
  <c r="K4837"/>
  <c r="H4845"/>
  <c r="I4845"/>
  <c r="K4845"/>
  <c r="H4853"/>
  <c r="I4853"/>
  <c r="K4853"/>
  <c r="H4861"/>
  <c r="I4861"/>
  <c r="K4861"/>
  <c r="H4869"/>
  <c r="I4869"/>
  <c r="K4869"/>
  <c r="H4877"/>
  <c r="I4877"/>
  <c r="K4877"/>
  <c r="H4885"/>
  <c r="I4885"/>
  <c r="K4885"/>
  <c r="H4893"/>
  <c r="I4893"/>
  <c r="K4893"/>
  <c r="H4901"/>
  <c r="I4901"/>
  <c r="K4901"/>
  <c r="H4909"/>
  <c r="I4909"/>
  <c r="K4909"/>
  <c r="H4917"/>
  <c r="I4917"/>
  <c r="K4917"/>
  <c r="H4925"/>
  <c r="I4925"/>
  <c r="K4925"/>
  <c r="H4933"/>
  <c r="I4933"/>
  <c r="K4933"/>
  <c r="H4941"/>
  <c r="I4941"/>
  <c r="K4941"/>
  <c r="H4949"/>
  <c r="I4949"/>
  <c r="K4949"/>
  <c r="H4957"/>
  <c r="I4957"/>
  <c r="K4957"/>
  <c r="H4965"/>
  <c r="I4965"/>
  <c r="K4965"/>
  <c r="H4973"/>
  <c r="I4973"/>
  <c r="K4973"/>
  <c r="H3097"/>
  <c r="I3097"/>
  <c r="K3097"/>
  <c r="H3284"/>
  <c r="I3284"/>
  <c r="K3284"/>
  <c r="H3493"/>
  <c r="I3493"/>
  <c r="K3493"/>
  <c r="H3557"/>
  <c r="I3557"/>
  <c r="K3557"/>
  <c r="H3621"/>
  <c r="I3621"/>
  <c r="K3621"/>
  <c r="H3685"/>
  <c r="I3685"/>
  <c r="K3685"/>
  <c r="H3749"/>
  <c r="I3749"/>
  <c r="K3749"/>
  <c r="H3813"/>
  <c r="I3813"/>
  <c r="K3813"/>
  <c r="H3877"/>
  <c r="I3877"/>
  <c r="K3877"/>
  <c r="H3923"/>
  <c r="I3923"/>
  <c r="K3923"/>
  <c r="H3955"/>
  <c r="I3955"/>
  <c r="K3955"/>
  <c r="H3987"/>
  <c r="I3987"/>
  <c r="K3987"/>
  <c r="H4019"/>
  <c r="I4019"/>
  <c r="K4019"/>
  <c r="H4051"/>
  <c r="I4051"/>
  <c r="K4051"/>
  <c r="H4083"/>
  <c r="I4083"/>
  <c r="K4083"/>
  <c r="H4115"/>
  <c r="I4115"/>
  <c r="K4115"/>
  <c r="H4147"/>
  <c r="I4147"/>
  <c r="K4147"/>
  <c r="H4179"/>
  <c r="I4179"/>
  <c r="K4179"/>
  <c r="H4211"/>
  <c r="I4211"/>
  <c r="K4211"/>
  <c r="H4221"/>
  <c r="I4221"/>
  <c r="K4221"/>
  <c r="H4224"/>
  <c r="I4224"/>
  <c r="K4224"/>
  <c r="H4232"/>
  <c r="I4232"/>
  <c r="K4232"/>
  <c r="H4240"/>
  <c r="I4240"/>
  <c r="K4240"/>
  <c r="H4248"/>
  <c r="I4248"/>
  <c r="K4248"/>
  <c r="H4256"/>
  <c r="I4256"/>
  <c r="K4256"/>
  <c r="H4264"/>
  <c r="I4264"/>
  <c r="K4264"/>
  <c r="H4272"/>
  <c r="I4272"/>
  <c r="K4272"/>
  <c r="H4280"/>
  <c r="I4280"/>
  <c r="K4280"/>
  <c r="H4288"/>
  <c r="I4288"/>
  <c r="K4288"/>
  <c r="H4296"/>
  <c r="I4296"/>
  <c r="K4296"/>
  <c r="H4304"/>
  <c r="I4304"/>
  <c r="K4304"/>
  <c r="H4312"/>
  <c r="I4312"/>
  <c r="K4312"/>
  <c r="H4320"/>
  <c r="I4320"/>
  <c r="K4320"/>
  <c r="H4328"/>
  <c r="I4328"/>
  <c r="K4328"/>
  <c r="H4336"/>
  <c r="I4336"/>
  <c r="K4336"/>
  <c r="H4344"/>
  <c r="I4344"/>
  <c r="K4344"/>
  <c r="H4352"/>
  <c r="I4352"/>
  <c r="K4352"/>
  <c r="H4360"/>
  <c r="I4360"/>
  <c r="K4360"/>
  <c r="H4368"/>
  <c r="I4368"/>
  <c r="K4368"/>
  <c r="H4376"/>
  <c r="I4376"/>
  <c r="K4376"/>
  <c r="H4384"/>
  <c r="I4384"/>
  <c r="K4384"/>
  <c r="H4392"/>
  <c r="I4392"/>
  <c r="K4392"/>
  <c r="H4400"/>
  <c r="I4400"/>
  <c r="K4400"/>
  <c r="H4408"/>
  <c r="I4408"/>
  <c r="K4408"/>
  <c r="H4416"/>
  <c r="I4416"/>
  <c r="K4416"/>
  <c r="H4424"/>
  <c r="I4424"/>
  <c r="K4424"/>
  <c r="H4432"/>
  <c r="I4432"/>
  <c r="K4432"/>
  <c r="H4440"/>
  <c r="I4440"/>
  <c r="K4440"/>
  <c r="H4448"/>
  <c r="I4448"/>
  <c r="K4448"/>
  <c r="H4456"/>
  <c r="I4456"/>
  <c r="K4456"/>
  <c r="H4464"/>
  <c r="I4464"/>
  <c r="K4464"/>
  <c r="H4472"/>
  <c r="I4472"/>
  <c r="K4472"/>
  <c r="H4480"/>
  <c r="I4480"/>
  <c r="K4480"/>
  <c r="H4488"/>
  <c r="I4488"/>
  <c r="K4488"/>
  <c r="H4496"/>
  <c r="I4496"/>
  <c r="K4496"/>
  <c r="H4504"/>
  <c r="I4504"/>
  <c r="K4504"/>
  <c r="H4512"/>
  <c r="I4512"/>
  <c r="K4512"/>
  <c r="H4520"/>
  <c r="I4520"/>
  <c r="K4520"/>
  <c r="H4528"/>
  <c r="I4528"/>
  <c r="K4528"/>
  <c r="H4536"/>
  <c r="I4536"/>
  <c r="K4536"/>
  <c r="H4544"/>
  <c r="I4544"/>
  <c r="K4544"/>
  <c r="H4552"/>
  <c r="I4552"/>
  <c r="K4552"/>
  <c r="H4560"/>
  <c r="I4560"/>
  <c r="K4560"/>
  <c r="H4568"/>
  <c r="I4568"/>
  <c r="K4568"/>
  <c r="H4576"/>
  <c r="I4576"/>
  <c r="K4576"/>
  <c r="H4584"/>
  <c r="I4584"/>
  <c r="K4584"/>
  <c r="H4592"/>
  <c r="I4592"/>
  <c r="K4592"/>
  <c r="H4600"/>
  <c r="I4600"/>
  <c r="K4600"/>
  <c r="H4608"/>
  <c r="I4608"/>
  <c r="K4608"/>
  <c r="H4616"/>
  <c r="I4616"/>
  <c r="K4616"/>
  <c r="H4624"/>
  <c r="I4624"/>
  <c r="K4624"/>
  <c r="H4632"/>
  <c r="I4632"/>
  <c r="K4632"/>
  <c r="H4640"/>
  <c r="I4640"/>
  <c r="K4640"/>
  <c r="H4648"/>
  <c r="I4648"/>
  <c r="K4648"/>
  <c r="H4656"/>
  <c r="I4656"/>
  <c r="K4656"/>
  <c r="H4664"/>
  <c r="I4664"/>
  <c r="K4664"/>
  <c r="H4672"/>
  <c r="I4672"/>
  <c r="K4672"/>
  <c r="H4680"/>
  <c r="I4680"/>
  <c r="K4680"/>
  <c r="H4688"/>
  <c r="I4688"/>
  <c r="K4688"/>
  <c r="H4696"/>
  <c r="I4696"/>
  <c r="K4696"/>
  <c r="H4704"/>
  <c r="I4704"/>
  <c r="K4704"/>
  <c r="H4712"/>
  <c r="I4712"/>
  <c r="K4712"/>
  <c r="H4720"/>
  <c r="I4720"/>
  <c r="K4720"/>
  <c r="H4728"/>
  <c r="I4728"/>
  <c r="K4728"/>
  <c r="H4736"/>
  <c r="I4736"/>
  <c r="K4736"/>
  <c r="H4744"/>
  <c r="I4744"/>
  <c r="K4744"/>
  <c r="H4752"/>
  <c r="I4752"/>
  <c r="K4752"/>
  <c r="H4760"/>
  <c r="I4760"/>
  <c r="K4760"/>
  <c r="H4768"/>
  <c r="I4768"/>
  <c r="K4768"/>
  <c r="H4776"/>
  <c r="I4776"/>
  <c r="K4776"/>
  <c r="H4784"/>
  <c r="I4784"/>
  <c r="K4784"/>
  <c r="H4792"/>
  <c r="I4792"/>
  <c r="K4792"/>
  <c r="H4800"/>
  <c r="I4800"/>
  <c r="K4800"/>
  <c r="H4808"/>
  <c r="I4808"/>
  <c r="K4808"/>
  <c r="H4816"/>
  <c r="I4816"/>
  <c r="K4816"/>
  <c r="H4824"/>
  <c r="I4824"/>
  <c r="K4824"/>
  <c r="H4832"/>
  <c r="I4832"/>
  <c r="K4832"/>
  <c r="H4840"/>
  <c r="I4840"/>
  <c r="K4840"/>
  <c r="H4848"/>
  <c r="I4848"/>
  <c r="K4848"/>
  <c r="H4856"/>
  <c r="I4856"/>
  <c r="K4856"/>
  <c r="H4864"/>
  <c r="I4864"/>
  <c r="K4864"/>
  <c r="H4872"/>
  <c r="I4872"/>
  <c r="K4872"/>
  <c r="H4880"/>
  <c r="I4880"/>
  <c r="K4880"/>
  <c r="H4888"/>
  <c r="I4888"/>
  <c r="K4888"/>
  <c r="H4896"/>
  <c r="I4896"/>
  <c r="K4896"/>
  <c r="H4904"/>
  <c r="I4904"/>
  <c r="K4904"/>
  <c r="H4912"/>
  <c r="I4912"/>
  <c r="K4912"/>
  <c r="H4920"/>
  <c r="I4920"/>
  <c r="K4920"/>
  <c r="H4928"/>
  <c r="I4928"/>
  <c r="K4928"/>
  <c r="H4936"/>
  <c r="I4936"/>
  <c r="K4936"/>
  <c r="H4944"/>
  <c r="I4944"/>
  <c r="K4944"/>
  <c r="H4952"/>
  <c r="I4952"/>
  <c r="K4952"/>
  <c r="H4960"/>
  <c r="I4960"/>
  <c r="K4960"/>
  <c r="H4968"/>
  <c r="I4968"/>
  <c r="K4968"/>
  <c r="H4976"/>
  <c r="I4976"/>
  <c r="K4976"/>
  <c r="H2656"/>
  <c r="I2656"/>
  <c r="K2656"/>
  <c r="H3225"/>
  <c r="I3225"/>
  <c r="K3225"/>
  <c r="H3290"/>
  <c r="I3290"/>
  <c r="K3290"/>
  <c r="H3348"/>
  <c r="I3348"/>
  <c r="K3348"/>
  <c r="H3517"/>
  <c r="I3517"/>
  <c r="K3517"/>
  <c r="H3581"/>
  <c r="I3581"/>
  <c r="K3581"/>
  <c r="H3645"/>
  <c r="I3645"/>
  <c r="K3645"/>
  <c r="H3709"/>
  <c r="I3709"/>
  <c r="K3709"/>
  <c r="H3773"/>
  <c r="I3773"/>
  <c r="K3773"/>
  <c r="H3837"/>
  <c r="I3837"/>
  <c r="K3837"/>
  <c r="H3901"/>
  <c r="I3901"/>
  <c r="K3901"/>
  <c r="H3925"/>
  <c r="I3925"/>
  <c r="K3925"/>
  <c r="H3957"/>
  <c r="I3957"/>
  <c r="K3957"/>
  <c r="H3989"/>
  <c r="I3989"/>
  <c r="K3989"/>
  <c r="H4021"/>
  <c r="I4021"/>
  <c r="K4021"/>
  <c r="H4053"/>
  <c r="I4053"/>
  <c r="K4053"/>
  <c r="H4085"/>
  <c r="I4085"/>
  <c r="K4085"/>
  <c r="H4117"/>
  <c r="I4117"/>
  <c r="K4117"/>
  <c r="H4149"/>
  <c r="I4149"/>
  <c r="K4149"/>
  <c r="H4181"/>
  <c r="I4181"/>
  <c r="K4181"/>
  <c r="H4213"/>
  <c r="I4213"/>
  <c r="K4213"/>
  <c r="H4227"/>
  <c r="I4227"/>
  <c r="K4227"/>
  <c r="H4235"/>
  <c r="I4235"/>
  <c r="K4235"/>
  <c r="H4243"/>
  <c r="I4243"/>
  <c r="K4243"/>
  <c r="H4251"/>
  <c r="I4251"/>
  <c r="K4251"/>
  <c r="H4259"/>
  <c r="I4259"/>
  <c r="K4259"/>
  <c r="H4267"/>
  <c r="I4267"/>
  <c r="K4267"/>
  <c r="H4275"/>
  <c r="I4275"/>
  <c r="K4275"/>
  <c r="H4283"/>
  <c r="I4283"/>
  <c r="K4283"/>
  <c r="H4291"/>
  <c r="I4291"/>
  <c r="K4291"/>
  <c r="H4299"/>
  <c r="I4299"/>
  <c r="K4299"/>
  <c r="H4307"/>
  <c r="I4307"/>
  <c r="K4307"/>
  <c r="H4315"/>
  <c r="I4315"/>
  <c r="K4315"/>
  <c r="H4323"/>
  <c r="I4323"/>
  <c r="K4323"/>
  <c r="H4331"/>
  <c r="I4331"/>
  <c r="K4331"/>
  <c r="H4339"/>
  <c r="I4339"/>
  <c r="K4339"/>
  <c r="H4347"/>
  <c r="I4347"/>
  <c r="K4347"/>
  <c r="H4355"/>
  <c r="I4355"/>
  <c r="K4355"/>
  <c r="H4363"/>
  <c r="I4363"/>
  <c r="K4363"/>
  <c r="H4371"/>
  <c r="I4371"/>
  <c r="K4371"/>
  <c r="H4379"/>
  <c r="I4379"/>
  <c r="K4379"/>
  <c r="H4387"/>
  <c r="I4387"/>
  <c r="K4387"/>
  <c r="H4395"/>
  <c r="I4395"/>
  <c r="K4395"/>
  <c r="H4403"/>
  <c r="I4403"/>
  <c r="K4403"/>
  <c r="H4411"/>
  <c r="I4411"/>
  <c r="K4411"/>
  <c r="H4419"/>
  <c r="I4419"/>
  <c r="K4419"/>
  <c r="H4427"/>
  <c r="I4427"/>
  <c r="K4427"/>
  <c r="H4435"/>
  <c r="I4435"/>
  <c r="K4435"/>
  <c r="H4443"/>
  <c r="I4443"/>
  <c r="K4443"/>
  <c r="H4451"/>
  <c r="I4451"/>
  <c r="K4451"/>
  <c r="H4459"/>
  <c r="I4459"/>
  <c r="K4459"/>
  <c r="H4467"/>
  <c r="I4467"/>
  <c r="K4467"/>
  <c r="H4475"/>
  <c r="I4475"/>
  <c r="K4475"/>
  <c r="H4483"/>
  <c r="I4483"/>
  <c r="K4483"/>
  <c r="H4491"/>
  <c r="I4491"/>
  <c r="K4491"/>
  <c r="H4499"/>
  <c r="I4499"/>
  <c r="K4499"/>
  <c r="H4507"/>
  <c r="I4507"/>
  <c r="K4507"/>
  <c r="H4515"/>
  <c r="I4515"/>
  <c r="K4515"/>
  <c r="H4523"/>
  <c r="I4523"/>
  <c r="K4523"/>
  <c r="H4531"/>
  <c r="I4531"/>
  <c r="K4531"/>
  <c r="H4539"/>
  <c r="I4539"/>
  <c r="K4539"/>
  <c r="H4547"/>
  <c r="I4547"/>
  <c r="K4547"/>
  <c r="H4555"/>
  <c r="I4555"/>
  <c r="K4555"/>
  <c r="H4563"/>
  <c r="I4563"/>
  <c r="K4563"/>
  <c r="H4571"/>
  <c r="I4571"/>
  <c r="K4571"/>
  <c r="H4579"/>
  <c r="I4579"/>
  <c r="K4579"/>
  <c r="H4587"/>
  <c r="I4587"/>
  <c r="K4587"/>
  <c r="H4595"/>
  <c r="I4595"/>
  <c r="K4595"/>
  <c r="H4603"/>
  <c r="I4603"/>
  <c r="K4603"/>
  <c r="H4611"/>
  <c r="I4611"/>
  <c r="K4611"/>
  <c r="H4619"/>
  <c r="I4619"/>
  <c r="K4619"/>
  <c r="H4627"/>
  <c r="I4627"/>
  <c r="K4627"/>
  <c r="H4635"/>
  <c r="I4635"/>
  <c r="K4635"/>
  <c r="H4643"/>
  <c r="I4643"/>
  <c r="K4643"/>
  <c r="H4651"/>
  <c r="I4651"/>
  <c r="K4651"/>
  <c r="H4659"/>
  <c r="I4659"/>
  <c r="K4659"/>
  <c r="H4667"/>
  <c r="I4667"/>
  <c r="K4667"/>
  <c r="H4675"/>
  <c r="I4675"/>
  <c r="K4675"/>
  <c r="H4683"/>
  <c r="I4683"/>
  <c r="K4683"/>
  <c r="H4691"/>
  <c r="I4691"/>
  <c r="K4691"/>
  <c r="H4699"/>
  <c r="I4699"/>
  <c r="K4699"/>
  <c r="H4707"/>
  <c r="I4707"/>
  <c r="K4707"/>
  <c r="H4715"/>
  <c r="I4715"/>
  <c r="K4715"/>
  <c r="H4723"/>
  <c r="I4723"/>
  <c r="K4723"/>
  <c r="H4731"/>
  <c r="I4731"/>
  <c r="K4731"/>
  <c r="H4739"/>
  <c r="I4739"/>
  <c r="K4739"/>
  <c r="H4747"/>
  <c r="I4747"/>
  <c r="K4747"/>
  <c r="H4755"/>
  <c r="I4755"/>
  <c r="K4755"/>
  <c r="H4763"/>
  <c r="I4763"/>
  <c r="K4763"/>
  <c r="H4771"/>
  <c r="I4771"/>
  <c r="K4771"/>
  <c r="H4779"/>
  <c r="I4779"/>
  <c r="K4779"/>
  <c r="H4787"/>
  <c r="I4787"/>
  <c r="K4787"/>
  <c r="H4795"/>
  <c r="I4795"/>
  <c r="K4795"/>
  <c r="H4803"/>
  <c r="I4803"/>
  <c r="K4803"/>
  <c r="H4811"/>
  <c r="I4811"/>
  <c r="K4811"/>
  <c r="H4819"/>
  <c r="I4819"/>
  <c r="K4819"/>
  <c r="H4827"/>
  <c r="I4827"/>
  <c r="K4827"/>
  <c r="H4835"/>
  <c r="I4835"/>
  <c r="K4835"/>
  <c r="H4843"/>
  <c r="I4843"/>
  <c r="K4843"/>
  <c r="H4851"/>
  <c r="I4851"/>
  <c r="K4851"/>
  <c r="H4859"/>
  <c r="I4859"/>
  <c r="K4859"/>
  <c r="H4867"/>
  <c r="I4867"/>
  <c r="K4867"/>
  <c r="H4875"/>
  <c r="I4875"/>
  <c r="K4875"/>
  <c r="H3354"/>
  <c r="I3354"/>
  <c r="K3354"/>
  <c r="H3412"/>
  <c r="I3412"/>
  <c r="K3412"/>
  <c r="H3541"/>
  <c r="I3541"/>
  <c r="K3541"/>
  <c r="H3605"/>
  <c r="I3605"/>
  <c r="K3605"/>
  <c r="H3669"/>
  <c r="I3669"/>
  <c r="K3669"/>
  <c r="H3733"/>
  <c r="I3733"/>
  <c r="K3733"/>
  <c r="H3797"/>
  <c r="I3797"/>
  <c r="K3797"/>
  <c r="H3861"/>
  <c r="I3861"/>
  <c r="K3861"/>
  <c r="H3915"/>
  <c r="I3915"/>
  <c r="K3915"/>
  <c r="H3947"/>
  <c r="I3947"/>
  <c r="K3947"/>
  <c r="H3979"/>
  <c r="I3979"/>
  <c r="K3979"/>
  <c r="H4011"/>
  <c r="I4011"/>
  <c r="K4011"/>
  <c r="H4043"/>
  <c r="I4043"/>
  <c r="K4043"/>
  <c r="H4075"/>
  <c r="I4075"/>
  <c r="K4075"/>
  <c r="H4107"/>
  <c r="I4107"/>
  <c r="K4107"/>
  <c r="H4139"/>
  <c r="I4139"/>
  <c r="K4139"/>
  <c r="H4171"/>
  <c r="I4171"/>
  <c r="K4171"/>
  <c r="H4203"/>
  <c r="I4203"/>
  <c r="K4203"/>
  <c r="H4222"/>
  <c r="I4222"/>
  <c r="K4222"/>
  <c r="H4230"/>
  <c r="I4230"/>
  <c r="K4230"/>
  <c r="H4238"/>
  <c r="I4238"/>
  <c r="K4238"/>
  <c r="H4246"/>
  <c r="I4246"/>
  <c r="K4246"/>
  <c r="H4254"/>
  <c r="I4254"/>
  <c r="K4254"/>
  <c r="H4262"/>
  <c r="I4262"/>
  <c r="K4262"/>
  <c r="H4270"/>
  <c r="I4270"/>
  <c r="K4270"/>
  <c r="H4278"/>
  <c r="I4278"/>
  <c r="K4278"/>
  <c r="H4286"/>
  <c r="I4286"/>
  <c r="K4286"/>
  <c r="H4294"/>
  <c r="I4294"/>
  <c r="K4294"/>
  <c r="H4302"/>
  <c r="I4302"/>
  <c r="K4302"/>
  <c r="H4310"/>
  <c r="I4310"/>
  <c r="K4310"/>
  <c r="H4318"/>
  <c r="I4318"/>
  <c r="K4318"/>
  <c r="H4326"/>
  <c r="I4326"/>
  <c r="K4326"/>
  <c r="H4334"/>
  <c r="I4334"/>
  <c r="K4334"/>
  <c r="H4342"/>
  <c r="I4342"/>
  <c r="K4342"/>
  <c r="H4350"/>
  <c r="I4350"/>
  <c r="K4350"/>
  <c r="H4358"/>
  <c r="I4358"/>
  <c r="K4358"/>
  <c r="H4366"/>
  <c r="I4366"/>
  <c r="K4366"/>
  <c r="H4374"/>
  <c r="I4374"/>
  <c r="K4374"/>
  <c r="H4382"/>
  <c r="I4382"/>
  <c r="K4382"/>
  <c r="H4390"/>
  <c r="I4390"/>
  <c r="K4390"/>
  <c r="H4398"/>
  <c r="I4398"/>
  <c r="K4398"/>
  <c r="H4406"/>
  <c r="I4406"/>
  <c r="K4406"/>
  <c r="H4414"/>
  <c r="I4414"/>
  <c r="K4414"/>
  <c r="H4422"/>
  <c r="I4422"/>
  <c r="K4422"/>
  <c r="H4430"/>
  <c r="I4430"/>
  <c r="K4430"/>
  <c r="H4438"/>
  <c r="I4438"/>
  <c r="K4438"/>
  <c r="H4446"/>
  <c r="I4446"/>
  <c r="K4446"/>
  <c r="H4454"/>
  <c r="I4454"/>
  <c r="K4454"/>
  <c r="H4462"/>
  <c r="I4462"/>
  <c r="K4462"/>
  <c r="H4470"/>
  <c r="I4470"/>
  <c r="K4470"/>
  <c r="H4478"/>
  <c r="I4478"/>
  <c r="K4478"/>
  <c r="H4486"/>
  <c r="I4486"/>
  <c r="K4486"/>
  <c r="H4494"/>
  <c r="I4494"/>
  <c r="K4494"/>
  <c r="H4502"/>
  <c r="I4502"/>
  <c r="K4502"/>
  <c r="H4510"/>
  <c r="I4510"/>
  <c r="K4510"/>
  <c r="H4518"/>
  <c r="I4518"/>
  <c r="K4518"/>
  <c r="H4526"/>
  <c r="I4526"/>
  <c r="K4526"/>
  <c r="H4534"/>
  <c r="I4534"/>
  <c r="K4534"/>
  <c r="H4542"/>
  <c r="I4542"/>
  <c r="K4542"/>
  <c r="H4550"/>
  <c r="I4550"/>
  <c r="K4550"/>
  <c r="H4558"/>
  <c r="I4558"/>
  <c r="K4558"/>
  <c r="H4566"/>
  <c r="I4566"/>
  <c r="K4566"/>
  <c r="H4574"/>
  <c r="I4574"/>
  <c r="K4574"/>
  <c r="H4582"/>
  <c r="I4582"/>
  <c r="K4582"/>
  <c r="H4590"/>
  <c r="I4590"/>
  <c r="K4590"/>
  <c r="H4598"/>
  <c r="I4598"/>
  <c r="K4598"/>
  <c r="H4606"/>
  <c r="I4606"/>
  <c r="K4606"/>
  <c r="H4614"/>
  <c r="I4614"/>
  <c r="K4614"/>
  <c r="H4622"/>
  <c r="I4622"/>
  <c r="K4622"/>
  <c r="H4630"/>
  <c r="I4630"/>
  <c r="K4630"/>
  <c r="H4638"/>
  <c r="I4638"/>
  <c r="K4638"/>
  <c r="H4646"/>
  <c r="I4646"/>
  <c r="K4646"/>
  <c r="H4654"/>
  <c r="I4654"/>
  <c r="K4654"/>
  <c r="H4662"/>
  <c r="I4662"/>
  <c r="K4662"/>
  <c r="H4670"/>
  <c r="I4670"/>
  <c r="K4670"/>
  <c r="H4678"/>
  <c r="I4678"/>
  <c r="K4678"/>
  <c r="H4686"/>
  <c r="I4686"/>
  <c r="K4686"/>
  <c r="H4694"/>
  <c r="I4694"/>
  <c r="K4694"/>
  <c r="H4702"/>
  <c r="I4702"/>
  <c r="K4702"/>
  <c r="H4710"/>
  <c r="I4710"/>
  <c r="K4710"/>
  <c r="H4718"/>
  <c r="I4718"/>
  <c r="K4718"/>
  <c r="H4726"/>
  <c r="I4726"/>
  <c r="K4726"/>
  <c r="H4734"/>
  <c r="I4734"/>
  <c r="K4734"/>
  <c r="H4742"/>
  <c r="I4742"/>
  <c r="K4742"/>
  <c r="H4750"/>
  <c r="I4750"/>
  <c r="K4750"/>
  <c r="H4758"/>
  <c r="I4758"/>
  <c r="K4758"/>
  <c r="H4766"/>
  <c r="I4766"/>
  <c r="K4766"/>
  <c r="H4774"/>
  <c r="I4774"/>
  <c r="K4774"/>
  <c r="H4782"/>
  <c r="I4782"/>
  <c r="K4782"/>
  <c r="H4790"/>
  <c r="I4790"/>
  <c r="K4790"/>
  <c r="H4798"/>
  <c r="I4798"/>
  <c r="K4798"/>
  <c r="H4806"/>
  <c r="I4806"/>
  <c r="K4806"/>
  <c r="H4814"/>
  <c r="I4814"/>
  <c r="K4814"/>
  <c r="H4822"/>
  <c r="I4822"/>
  <c r="K4822"/>
  <c r="H4830"/>
  <c r="I4830"/>
  <c r="K4830"/>
  <c r="H4838"/>
  <c r="I4838"/>
  <c r="K4838"/>
  <c r="H4846"/>
  <c r="I4846"/>
  <c r="K4846"/>
  <c r="H4854"/>
  <c r="I4854"/>
  <c r="K4854"/>
  <c r="H4862"/>
  <c r="I4862"/>
  <c r="K4862"/>
  <c r="H4870"/>
  <c r="I4870"/>
  <c r="K4870"/>
  <c r="H4878"/>
  <c r="I4878"/>
  <c r="K4878"/>
  <c r="H4886"/>
  <c r="I4886"/>
  <c r="K4886"/>
  <c r="H4894"/>
  <c r="I4894"/>
  <c r="K4894"/>
  <c r="H4902"/>
  <c r="I4902"/>
  <c r="K4902"/>
  <c r="H4910"/>
  <c r="I4910"/>
  <c r="K4910"/>
  <c r="H4918"/>
  <c r="I4918"/>
  <c r="K4918"/>
  <c r="H4926"/>
  <c r="I4926"/>
  <c r="K4926"/>
  <c r="H4934"/>
  <c r="I4934"/>
  <c r="K4934"/>
  <c r="H4942"/>
  <c r="I4942"/>
  <c r="K4942"/>
  <c r="H4950"/>
  <c r="I4950"/>
  <c r="K4950"/>
  <c r="H4958"/>
  <c r="I4958"/>
  <c r="K4958"/>
  <c r="H2855"/>
  <c r="I2855"/>
  <c r="K2855"/>
  <c r="H3027"/>
  <c r="I3027"/>
  <c r="K3027"/>
  <c r="H3418"/>
  <c r="I3418"/>
  <c r="K3418"/>
  <c r="H3476"/>
  <c r="I3476"/>
  <c r="K3476"/>
  <c r="H3501"/>
  <c r="I3501"/>
  <c r="K3501"/>
  <c r="H3565"/>
  <c r="I3565"/>
  <c r="K3565"/>
  <c r="H3629"/>
  <c r="I3629"/>
  <c r="K3629"/>
  <c r="H3693"/>
  <c r="I3693"/>
  <c r="K3693"/>
  <c r="H3757"/>
  <c r="I3757"/>
  <c r="K3757"/>
  <c r="H3821"/>
  <c r="I3821"/>
  <c r="K3821"/>
  <c r="H3885"/>
  <c r="I3885"/>
  <c r="K3885"/>
  <c r="H3917"/>
  <c r="I3917"/>
  <c r="K3917"/>
  <c r="H3949"/>
  <c r="I3949"/>
  <c r="K3949"/>
  <c r="H3981"/>
  <c r="I3981"/>
  <c r="K3981"/>
  <c r="H4013"/>
  <c r="I4013"/>
  <c r="K4013"/>
  <c r="H4045"/>
  <c r="I4045"/>
  <c r="K4045"/>
  <c r="H4077"/>
  <c r="I4077"/>
  <c r="K4077"/>
  <c r="H4109"/>
  <c r="I4109"/>
  <c r="K4109"/>
  <c r="H4141"/>
  <c r="I4141"/>
  <c r="K4141"/>
  <c r="H4173"/>
  <c r="I4173"/>
  <c r="K4173"/>
  <c r="H4205"/>
  <c r="I4205"/>
  <c r="K4205"/>
  <c r="H4225"/>
  <c r="I4225"/>
  <c r="K4225"/>
  <c r="H4233"/>
  <c r="I4233"/>
  <c r="K4233"/>
  <c r="H4241"/>
  <c r="I4241"/>
  <c r="K4241"/>
  <c r="H4249"/>
  <c r="I4249"/>
  <c r="K4249"/>
  <c r="H4257"/>
  <c r="I4257"/>
  <c r="K4257"/>
  <c r="H4265"/>
  <c r="I4265"/>
  <c r="K4265"/>
  <c r="H4273"/>
  <c r="I4273"/>
  <c r="K4273"/>
  <c r="H4281"/>
  <c r="I4281"/>
  <c r="K4281"/>
  <c r="H4289"/>
  <c r="I4289"/>
  <c r="K4289"/>
  <c r="H4297"/>
  <c r="I4297"/>
  <c r="K4297"/>
  <c r="H4305"/>
  <c r="I4305"/>
  <c r="K4305"/>
  <c r="H4313"/>
  <c r="I4313"/>
  <c r="K4313"/>
  <c r="H4321"/>
  <c r="I4321"/>
  <c r="K4321"/>
  <c r="H4329"/>
  <c r="I4329"/>
  <c r="K4329"/>
  <c r="H4337"/>
  <c r="I4337"/>
  <c r="K4337"/>
  <c r="H4345"/>
  <c r="I4345"/>
  <c r="K4345"/>
  <c r="H4353"/>
  <c r="I4353"/>
  <c r="K4353"/>
  <c r="H4361"/>
  <c r="I4361"/>
  <c r="K4361"/>
  <c r="H4369"/>
  <c r="I4369"/>
  <c r="K4369"/>
  <c r="H4377"/>
  <c r="I4377"/>
  <c r="K4377"/>
  <c r="H4385"/>
  <c r="I4385"/>
  <c r="K4385"/>
  <c r="H4393"/>
  <c r="I4393"/>
  <c r="K4393"/>
  <c r="H4401"/>
  <c r="I4401"/>
  <c r="K4401"/>
  <c r="H4409"/>
  <c r="I4409"/>
  <c r="K4409"/>
  <c r="H4417"/>
  <c r="I4417"/>
  <c r="K4417"/>
  <c r="H2914"/>
  <c r="I2914"/>
  <c r="K2914"/>
  <c r="H3845"/>
  <c r="I3845"/>
  <c r="K3845"/>
  <c r="H4131"/>
  <c r="I4131"/>
  <c r="K4131"/>
  <c r="H4284"/>
  <c r="I4284"/>
  <c r="K4284"/>
  <c r="H4348"/>
  <c r="I4348"/>
  <c r="K4348"/>
  <c r="H4412"/>
  <c r="I4412"/>
  <c r="K4412"/>
  <c r="H4428"/>
  <c r="I4428"/>
  <c r="K4428"/>
  <c r="H4460"/>
  <c r="I4460"/>
  <c r="K4460"/>
  <c r="H4492"/>
  <c r="I4492"/>
  <c r="K4492"/>
  <c r="H4524"/>
  <c r="I4524"/>
  <c r="K4524"/>
  <c r="H4556"/>
  <c r="I4556"/>
  <c r="K4556"/>
  <c r="H4588"/>
  <c r="I4588"/>
  <c r="K4588"/>
  <c r="H4620"/>
  <c r="I4620"/>
  <c r="K4620"/>
  <c r="H4652"/>
  <c r="I4652"/>
  <c r="K4652"/>
  <c r="H4684"/>
  <c r="I4684"/>
  <c r="K4684"/>
  <c r="H4716"/>
  <c r="I4716"/>
  <c r="K4716"/>
  <c r="H4748"/>
  <c r="I4748"/>
  <c r="K4748"/>
  <c r="H4780"/>
  <c r="I4780"/>
  <c r="K4780"/>
  <c r="H4812"/>
  <c r="I4812"/>
  <c r="K4812"/>
  <c r="H4844"/>
  <c r="I4844"/>
  <c r="K4844"/>
  <c r="H4876"/>
  <c r="I4876"/>
  <c r="K4876"/>
  <c r="H4892"/>
  <c r="I4892"/>
  <c r="K4892"/>
  <c r="H4907"/>
  <c r="I4907"/>
  <c r="K4907"/>
  <c r="H4921"/>
  <c r="I4921"/>
  <c r="K4921"/>
  <c r="H4956"/>
  <c r="I4956"/>
  <c r="K4956"/>
  <c r="H4974"/>
  <c r="I4974"/>
  <c r="K4974"/>
  <c r="H4979"/>
  <c r="I4979"/>
  <c r="K4979"/>
  <c r="H4987"/>
  <c r="I4987"/>
  <c r="K4987"/>
  <c r="H4995"/>
  <c r="I4995"/>
  <c r="K4995"/>
  <c r="H5003"/>
  <c r="I5003"/>
  <c r="K5003"/>
  <c r="H5011"/>
  <c r="I5011"/>
  <c r="K5011"/>
  <c r="H5019"/>
  <c r="I5019"/>
  <c r="K5019"/>
  <c r="H5027"/>
  <c r="I5027"/>
  <c r="K5027"/>
  <c r="H5035"/>
  <c r="I5035"/>
  <c r="K5035"/>
  <c r="H5043"/>
  <c r="I5043"/>
  <c r="K5043"/>
  <c r="H5051"/>
  <c r="I5051"/>
  <c r="K5051"/>
  <c r="H5059"/>
  <c r="I5059"/>
  <c r="K5059"/>
  <c r="H5067"/>
  <c r="I5067"/>
  <c r="K5067"/>
  <c r="H5075"/>
  <c r="I5075"/>
  <c r="K5075"/>
  <c r="H5083"/>
  <c r="I5083"/>
  <c r="K5083"/>
  <c r="H5091"/>
  <c r="I5091"/>
  <c r="K5091"/>
  <c r="H5099"/>
  <c r="I5099"/>
  <c r="K5099"/>
  <c r="H5107"/>
  <c r="I5107"/>
  <c r="K5107"/>
  <c r="H5115"/>
  <c r="I5115"/>
  <c r="K5115"/>
  <c r="H5123"/>
  <c r="I5123"/>
  <c r="K5123"/>
  <c r="H5131"/>
  <c r="I5131"/>
  <c r="K5131"/>
  <c r="H5139"/>
  <c r="I5139"/>
  <c r="K5139"/>
  <c r="H5147"/>
  <c r="I5147"/>
  <c r="K5147"/>
  <c r="H5155"/>
  <c r="I5155"/>
  <c r="K5155"/>
  <c r="H5163"/>
  <c r="I5163"/>
  <c r="K5163"/>
  <c r="H5171"/>
  <c r="I5171"/>
  <c r="K5171"/>
  <c r="H5179"/>
  <c r="I5179"/>
  <c r="K5179"/>
  <c r="H5187"/>
  <c r="I5187"/>
  <c r="K5187"/>
  <c r="H5195"/>
  <c r="I5195"/>
  <c r="K5195"/>
  <c r="H5203"/>
  <c r="I5203"/>
  <c r="K5203"/>
  <c r="H5211"/>
  <c r="I5211"/>
  <c r="K5211"/>
  <c r="H5219"/>
  <c r="I5219"/>
  <c r="K5219"/>
  <c r="H5227"/>
  <c r="I5227"/>
  <c r="K5227"/>
  <c r="H5235"/>
  <c r="I5235"/>
  <c r="K5235"/>
  <c r="H5243"/>
  <c r="I5243"/>
  <c r="K5243"/>
  <c r="H5251"/>
  <c r="I5251"/>
  <c r="K5251"/>
  <c r="H5259"/>
  <c r="I5259"/>
  <c r="K5259"/>
  <c r="H5267"/>
  <c r="I5267"/>
  <c r="K5267"/>
  <c r="H5275"/>
  <c r="I5275"/>
  <c r="K5275"/>
  <c r="H5283"/>
  <c r="I5283"/>
  <c r="K5283"/>
  <c r="H5291"/>
  <c r="I5291"/>
  <c r="K5291"/>
  <c r="H5299"/>
  <c r="I5299"/>
  <c r="K5299"/>
  <c r="H5307"/>
  <c r="I5307"/>
  <c r="K5307"/>
  <c r="H5315"/>
  <c r="I5315"/>
  <c r="K5315"/>
  <c r="H5323"/>
  <c r="I5323"/>
  <c r="K5323"/>
  <c r="H5331"/>
  <c r="I5331"/>
  <c r="K5331"/>
  <c r="H5339"/>
  <c r="I5339"/>
  <c r="K5339"/>
  <c r="H5347"/>
  <c r="I5347"/>
  <c r="K5347"/>
  <c r="H5355"/>
  <c r="I5355"/>
  <c r="K5355"/>
  <c r="H5363"/>
  <c r="I5363"/>
  <c r="K5363"/>
  <c r="H5371"/>
  <c r="I5371"/>
  <c r="K5371"/>
  <c r="H5379"/>
  <c r="I5379"/>
  <c r="K5379"/>
  <c r="H5387"/>
  <c r="I5387"/>
  <c r="K5387"/>
  <c r="H5395"/>
  <c r="I5395"/>
  <c r="K5395"/>
  <c r="H5403"/>
  <c r="I5403"/>
  <c r="K5403"/>
  <c r="H5411"/>
  <c r="I5411"/>
  <c r="K5411"/>
  <c r="H5419"/>
  <c r="I5419"/>
  <c r="K5419"/>
  <c r="H5427"/>
  <c r="I5427"/>
  <c r="K5427"/>
  <c r="H5435"/>
  <c r="I5435"/>
  <c r="K5435"/>
  <c r="H5443"/>
  <c r="I5443"/>
  <c r="K5443"/>
  <c r="H5451"/>
  <c r="I5451"/>
  <c r="K5451"/>
  <c r="H5459"/>
  <c r="I5459"/>
  <c r="K5459"/>
  <c r="H5467"/>
  <c r="I5467"/>
  <c r="K5467"/>
  <c r="H5475"/>
  <c r="I5475"/>
  <c r="K5475"/>
  <c r="H5483"/>
  <c r="I5483"/>
  <c r="K5483"/>
  <c r="H5491"/>
  <c r="I5491"/>
  <c r="K5491"/>
  <c r="H5499"/>
  <c r="I5499"/>
  <c r="K5499"/>
  <c r="H5507"/>
  <c r="I5507"/>
  <c r="K5507"/>
  <c r="H5515"/>
  <c r="I5515"/>
  <c r="K5515"/>
  <c r="H5523"/>
  <c r="I5523"/>
  <c r="K5523"/>
  <c r="H5531"/>
  <c r="I5531"/>
  <c r="K5531"/>
  <c r="H5539"/>
  <c r="I5539"/>
  <c r="K5539"/>
  <c r="H5547"/>
  <c r="I5547"/>
  <c r="K5547"/>
  <c r="H5555"/>
  <c r="I5555"/>
  <c r="K5555"/>
  <c r="H5563"/>
  <c r="I5563"/>
  <c r="K5563"/>
  <c r="H5571"/>
  <c r="I5571"/>
  <c r="K5571"/>
  <c r="H5579"/>
  <c r="I5579"/>
  <c r="K5579"/>
  <c r="H5587"/>
  <c r="I5587"/>
  <c r="K5587"/>
  <c r="H5595"/>
  <c r="I5595"/>
  <c r="K5595"/>
  <c r="H5603"/>
  <c r="I5603"/>
  <c r="K5603"/>
  <c r="H5611"/>
  <c r="I5611"/>
  <c r="K5611"/>
  <c r="H5619"/>
  <c r="I5619"/>
  <c r="K5619"/>
  <c r="H5627"/>
  <c r="I5627"/>
  <c r="K5627"/>
  <c r="H5635"/>
  <c r="I5635"/>
  <c r="K5635"/>
  <c r="H5643"/>
  <c r="I5643"/>
  <c r="K5643"/>
  <c r="H5651"/>
  <c r="I5651"/>
  <c r="K5651"/>
  <c r="H5659"/>
  <c r="I5659"/>
  <c r="K5659"/>
  <c r="H5667"/>
  <c r="I5667"/>
  <c r="K5667"/>
  <c r="H5675"/>
  <c r="I5675"/>
  <c r="K5675"/>
  <c r="H5683"/>
  <c r="I5683"/>
  <c r="K5683"/>
  <c r="H5691"/>
  <c r="I5691"/>
  <c r="K5691"/>
  <c r="H3039"/>
  <c r="I3039"/>
  <c r="K3039"/>
  <c r="H3525"/>
  <c r="I3525"/>
  <c r="K3525"/>
  <c r="H3971"/>
  <c r="I3971"/>
  <c r="K3971"/>
  <c r="H4244"/>
  <c r="I4244"/>
  <c r="K4244"/>
  <c r="H4308"/>
  <c r="I4308"/>
  <c r="K4308"/>
  <c r="H4372"/>
  <c r="I4372"/>
  <c r="K4372"/>
  <c r="H4441"/>
  <c r="I4441"/>
  <c r="K4441"/>
  <c r="H4473"/>
  <c r="I4473"/>
  <c r="K4473"/>
  <c r="H4505"/>
  <c r="I4505"/>
  <c r="K4505"/>
  <c r="H4537"/>
  <c r="I4537"/>
  <c r="K4537"/>
  <c r="H4569"/>
  <c r="I4569"/>
  <c r="K4569"/>
  <c r="H4601"/>
  <c r="I4601"/>
  <c r="K4601"/>
  <c r="H4633"/>
  <c r="I4633"/>
  <c r="K4633"/>
  <c r="H4665"/>
  <c r="I4665"/>
  <c r="K4665"/>
  <c r="H4697"/>
  <c r="I4697"/>
  <c r="K4697"/>
  <c r="H4729"/>
  <c r="I4729"/>
  <c r="K4729"/>
  <c r="H4761"/>
  <c r="I4761"/>
  <c r="K4761"/>
  <c r="H4793"/>
  <c r="I4793"/>
  <c r="K4793"/>
  <c r="H4825"/>
  <c r="I4825"/>
  <c r="K4825"/>
  <c r="H4857"/>
  <c r="I4857"/>
  <c r="K4857"/>
  <c r="H4900"/>
  <c r="I4900"/>
  <c r="K4900"/>
  <c r="H4915"/>
  <c r="I4915"/>
  <c r="K4915"/>
  <c r="H4929"/>
  <c r="I4929"/>
  <c r="K4929"/>
  <c r="H4969"/>
  <c r="I4969"/>
  <c r="K4969"/>
  <c r="H4982"/>
  <c r="I4982"/>
  <c r="K4982"/>
  <c r="H4990"/>
  <c r="I4990"/>
  <c r="K4990"/>
  <c r="H4998"/>
  <c r="I4998"/>
  <c r="K4998"/>
  <c r="H5006"/>
  <c r="I5006"/>
  <c r="K5006"/>
  <c r="H5014"/>
  <c r="I5014"/>
  <c r="K5014"/>
  <c r="H5022"/>
  <c r="I5022"/>
  <c r="K5022"/>
  <c r="H5030"/>
  <c r="I5030"/>
  <c r="K5030"/>
  <c r="H5038"/>
  <c r="I5038"/>
  <c r="K5038"/>
  <c r="H5046"/>
  <c r="I5046"/>
  <c r="K5046"/>
  <c r="H5054"/>
  <c r="I5054"/>
  <c r="K5054"/>
  <c r="H5062"/>
  <c r="I5062"/>
  <c r="K5062"/>
  <c r="H5070"/>
  <c r="I5070"/>
  <c r="K5070"/>
  <c r="H5078"/>
  <c r="I5078"/>
  <c r="K5078"/>
  <c r="H5086"/>
  <c r="I5086"/>
  <c r="K5086"/>
  <c r="H5094"/>
  <c r="I5094"/>
  <c r="K5094"/>
  <c r="H5102"/>
  <c r="I5102"/>
  <c r="K5102"/>
  <c r="H5110"/>
  <c r="I5110"/>
  <c r="K5110"/>
  <c r="H5118"/>
  <c r="I5118"/>
  <c r="K5118"/>
  <c r="H5126"/>
  <c r="I5126"/>
  <c r="K5126"/>
  <c r="H5134"/>
  <c r="I5134"/>
  <c r="K5134"/>
  <c r="H5142"/>
  <c r="I5142"/>
  <c r="K5142"/>
  <c r="H5150"/>
  <c r="I5150"/>
  <c r="K5150"/>
  <c r="H5158"/>
  <c r="I5158"/>
  <c r="K5158"/>
  <c r="H5166"/>
  <c r="I5166"/>
  <c r="K5166"/>
  <c r="H5174"/>
  <c r="I5174"/>
  <c r="K5174"/>
  <c r="H5182"/>
  <c r="I5182"/>
  <c r="K5182"/>
  <c r="H5190"/>
  <c r="I5190"/>
  <c r="K5190"/>
  <c r="H5198"/>
  <c r="I5198"/>
  <c r="K5198"/>
  <c r="H5206"/>
  <c r="I5206"/>
  <c r="K5206"/>
  <c r="H5214"/>
  <c r="I5214"/>
  <c r="K5214"/>
  <c r="H5222"/>
  <c r="I5222"/>
  <c r="K5222"/>
  <c r="H5230"/>
  <c r="I5230"/>
  <c r="K5230"/>
  <c r="H5238"/>
  <c r="I5238"/>
  <c r="K5238"/>
  <c r="H5246"/>
  <c r="I5246"/>
  <c r="K5246"/>
  <c r="H5254"/>
  <c r="I5254"/>
  <c r="K5254"/>
  <c r="H5262"/>
  <c r="I5262"/>
  <c r="K5262"/>
  <c r="H5270"/>
  <c r="I5270"/>
  <c r="K5270"/>
  <c r="H5278"/>
  <c r="I5278"/>
  <c r="K5278"/>
  <c r="H5286"/>
  <c r="I5286"/>
  <c r="K5286"/>
  <c r="H5294"/>
  <c r="I5294"/>
  <c r="K5294"/>
  <c r="H5302"/>
  <c r="I5302"/>
  <c r="K5302"/>
  <c r="H5310"/>
  <c r="I5310"/>
  <c r="K5310"/>
  <c r="H5318"/>
  <c r="I5318"/>
  <c r="K5318"/>
  <c r="H5326"/>
  <c r="I5326"/>
  <c r="K5326"/>
  <c r="H5334"/>
  <c r="I5334"/>
  <c r="K5334"/>
  <c r="H5342"/>
  <c r="I5342"/>
  <c r="K5342"/>
  <c r="H5350"/>
  <c r="I5350"/>
  <c r="K5350"/>
  <c r="H5358"/>
  <c r="I5358"/>
  <c r="K5358"/>
  <c r="H5366"/>
  <c r="I5366"/>
  <c r="K5366"/>
  <c r="H5374"/>
  <c r="I5374"/>
  <c r="K5374"/>
  <c r="H5382"/>
  <c r="I5382"/>
  <c r="K5382"/>
  <c r="H5390"/>
  <c r="I5390"/>
  <c r="K5390"/>
  <c r="H5398"/>
  <c r="I5398"/>
  <c r="K5398"/>
  <c r="H5406"/>
  <c r="I5406"/>
  <c r="K5406"/>
  <c r="H5414"/>
  <c r="I5414"/>
  <c r="K5414"/>
  <c r="H5422"/>
  <c r="I5422"/>
  <c r="K5422"/>
  <c r="H5430"/>
  <c r="I5430"/>
  <c r="K5430"/>
  <c r="H5438"/>
  <c r="I5438"/>
  <c r="K5438"/>
  <c r="H5446"/>
  <c r="I5446"/>
  <c r="K5446"/>
  <c r="H5454"/>
  <c r="I5454"/>
  <c r="K5454"/>
  <c r="H5462"/>
  <c r="I5462"/>
  <c r="K5462"/>
  <c r="H5470"/>
  <c r="I5470"/>
  <c r="K5470"/>
  <c r="H5478"/>
  <c r="I5478"/>
  <c r="K5478"/>
  <c r="H5486"/>
  <c r="I5486"/>
  <c r="K5486"/>
  <c r="H5494"/>
  <c r="I5494"/>
  <c r="K5494"/>
  <c r="H5502"/>
  <c r="I5502"/>
  <c r="K5502"/>
  <c r="H5510"/>
  <c r="I5510"/>
  <c r="K5510"/>
  <c r="H5518"/>
  <c r="I5518"/>
  <c r="K5518"/>
  <c r="H5526"/>
  <c r="I5526"/>
  <c r="K5526"/>
  <c r="H5534"/>
  <c r="I5534"/>
  <c r="K5534"/>
  <c r="H5542"/>
  <c r="I5542"/>
  <c r="K5542"/>
  <c r="H5550"/>
  <c r="I5550"/>
  <c r="K5550"/>
  <c r="H5558"/>
  <c r="I5558"/>
  <c r="K5558"/>
  <c r="H5566"/>
  <c r="I5566"/>
  <c r="K5566"/>
  <c r="H5574"/>
  <c r="I5574"/>
  <c r="K5574"/>
  <c r="H5582"/>
  <c r="I5582"/>
  <c r="K5582"/>
  <c r="H5590"/>
  <c r="I5590"/>
  <c r="K5590"/>
  <c r="H5598"/>
  <c r="I5598"/>
  <c r="K5598"/>
  <c r="H5606"/>
  <c r="I5606"/>
  <c r="K5606"/>
  <c r="H5614"/>
  <c r="I5614"/>
  <c r="K5614"/>
  <c r="H5622"/>
  <c r="I5622"/>
  <c r="K5622"/>
  <c r="H5630"/>
  <c r="I5630"/>
  <c r="K5630"/>
  <c r="H5638"/>
  <c r="I5638"/>
  <c r="K5638"/>
  <c r="H5646"/>
  <c r="I5646"/>
  <c r="K5646"/>
  <c r="H5654"/>
  <c r="I5654"/>
  <c r="K5654"/>
  <c r="H5662"/>
  <c r="I5662"/>
  <c r="K5662"/>
  <c r="H5670"/>
  <c r="I5670"/>
  <c r="K5670"/>
  <c r="H5678"/>
  <c r="I5678"/>
  <c r="K5678"/>
  <c r="H5686"/>
  <c r="I5686"/>
  <c r="K5686"/>
  <c r="H3155"/>
  <c r="I3155"/>
  <c r="K3155"/>
  <c r="H3717"/>
  <c r="I3717"/>
  <c r="K3717"/>
  <c r="H4067"/>
  <c r="I4067"/>
  <c r="K4067"/>
  <c r="H4268"/>
  <c r="I4268"/>
  <c r="K4268"/>
  <c r="H4332"/>
  <c r="I4332"/>
  <c r="K4332"/>
  <c r="H4396"/>
  <c r="I4396"/>
  <c r="K4396"/>
  <c r="H4452"/>
  <c r="I4452"/>
  <c r="K4452"/>
  <c r="H4484"/>
  <c r="I4484"/>
  <c r="K4484"/>
  <c r="H4516"/>
  <c r="I4516"/>
  <c r="K4516"/>
  <c r="H4548"/>
  <c r="I4548"/>
  <c r="K4548"/>
  <c r="H4580"/>
  <c r="I4580"/>
  <c r="K4580"/>
  <c r="H4612"/>
  <c r="I4612"/>
  <c r="K4612"/>
  <c r="H4644"/>
  <c r="I4644"/>
  <c r="K4644"/>
  <c r="H4676"/>
  <c r="I4676"/>
  <c r="K4676"/>
  <c r="H4708"/>
  <c r="I4708"/>
  <c r="K4708"/>
  <c r="H4740"/>
  <c r="I4740"/>
  <c r="K4740"/>
  <c r="H4772"/>
  <c r="I4772"/>
  <c r="K4772"/>
  <c r="H4804"/>
  <c r="I4804"/>
  <c r="K4804"/>
  <c r="H4836"/>
  <c r="I4836"/>
  <c r="K4836"/>
  <c r="H4868"/>
  <c r="I4868"/>
  <c r="K4868"/>
  <c r="H4908"/>
  <c r="I4908"/>
  <c r="K4908"/>
  <c r="H4923"/>
  <c r="I4923"/>
  <c r="K4923"/>
  <c r="H4937"/>
  <c r="I4937"/>
  <c r="K4937"/>
  <c r="H4964"/>
  <c r="I4964"/>
  <c r="K4964"/>
  <c r="H4985"/>
  <c r="I4985"/>
  <c r="K4985"/>
  <c r="H4993"/>
  <c r="I4993"/>
  <c r="K4993"/>
  <c r="H5001"/>
  <c r="I5001"/>
  <c r="K5001"/>
  <c r="H5009"/>
  <c r="I5009"/>
  <c r="K5009"/>
  <c r="H5017"/>
  <c r="I5017"/>
  <c r="K5017"/>
  <c r="H5025"/>
  <c r="I5025"/>
  <c r="K5025"/>
  <c r="H5033"/>
  <c r="I5033"/>
  <c r="K5033"/>
  <c r="H5041"/>
  <c r="I5041"/>
  <c r="K5041"/>
  <c r="H5049"/>
  <c r="I5049"/>
  <c r="K5049"/>
  <c r="H5057"/>
  <c r="I5057"/>
  <c r="K5057"/>
  <c r="H5065"/>
  <c r="I5065"/>
  <c r="K5065"/>
  <c r="H5073"/>
  <c r="I5073"/>
  <c r="K5073"/>
  <c r="H5081"/>
  <c r="I5081"/>
  <c r="K5081"/>
  <c r="H5089"/>
  <c r="I5089"/>
  <c r="K5089"/>
  <c r="H5097"/>
  <c r="I5097"/>
  <c r="K5097"/>
  <c r="H5105"/>
  <c r="I5105"/>
  <c r="K5105"/>
  <c r="H5113"/>
  <c r="I5113"/>
  <c r="K5113"/>
  <c r="H5121"/>
  <c r="I5121"/>
  <c r="K5121"/>
  <c r="H5129"/>
  <c r="I5129"/>
  <c r="K5129"/>
  <c r="H5137"/>
  <c r="I5137"/>
  <c r="K5137"/>
  <c r="H5145"/>
  <c r="I5145"/>
  <c r="K5145"/>
  <c r="H5153"/>
  <c r="I5153"/>
  <c r="K5153"/>
  <c r="H5161"/>
  <c r="I5161"/>
  <c r="K5161"/>
  <c r="H5169"/>
  <c r="I5169"/>
  <c r="K5169"/>
  <c r="H5177"/>
  <c r="I5177"/>
  <c r="K5177"/>
  <c r="H5185"/>
  <c r="I5185"/>
  <c r="K5185"/>
  <c r="H5193"/>
  <c r="I5193"/>
  <c r="K5193"/>
  <c r="H5201"/>
  <c r="I5201"/>
  <c r="K5201"/>
  <c r="H5209"/>
  <c r="I5209"/>
  <c r="K5209"/>
  <c r="H5217"/>
  <c r="I5217"/>
  <c r="K5217"/>
  <c r="H5225"/>
  <c r="I5225"/>
  <c r="K5225"/>
  <c r="H5233"/>
  <c r="I5233"/>
  <c r="K5233"/>
  <c r="H5241"/>
  <c r="I5241"/>
  <c r="K5241"/>
  <c r="H5249"/>
  <c r="I5249"/>
  <c r="K5249"/>
  <c r="H5257"/>
  <c r="I5257"/>
  <c r="K5257"/>
  <c r="H5265"/>
  <c r="I5265"/>
  <c r="K5265"/>
  <c r="H5273"/>
  <c r="I5273"/>
  <c r="K5273"/>
  <c r="H5281"/>
  <c r="I5281"/>
  <c r="K5281"/>
  <c r="H5289"/>
  <c r="I5289"/>
  <c r="K5289"/>
  <c r="H5297"/>
  <c r="I5297"/>
  <c r="K5297"/>
  <c r="H5305"/>
  <c r="I5305"/>
  <c r="K5305"/>
  <c r="H5313"/>
  <c r="I5313"/>
  <c r="K5313"/>
  <c r="H5321"/>
  <c r="I5321"/>
  <c r="K5321"/>
  <c r="H5329"/>
  <c r="I5329"/>
  <c r="K5329"/>
  <c r="H5337"/>
  <c r="I5337"/>
  <c r="K5337"/>
  <c r="H5345"/>
  <c r="I5345"/>
  <c r="K5345"/>
  <c r="H5353"/>
  <c r="I5353"/>
  <c r="K5353"/>
  <c r="H5361"/>
  <c r="I5361"/>
  <c r="K5361"/>
  <c r="H5369"/>
  <c r="I5369"/>
  <c r="K5369"/>
  <c r="H5377"/>
  <c r="I5377"/>
  <c r="K5377"/>
  <c r="H5385"/>
  <c r="I5385"/>
  <c r="K5385"/>
  <c r="H5393"/>
  <c r="I5393"/>
  <c r="K5393"/>
  <c r="H5401"/>
  <c r="I5401"/>
  <c r="K5401"/>
  <c r="H5409"/>
  <c r="I5409"/>
  <c r="K5409"/>
  <c r="H5417"/>
  <c r="I5417"/>
  <c r="K5417"/>
  <c r="H5425"/>
  <c r="I5425"/>
  <c r="K5425"/>
  <c r="H5433"/>
  <c r="I5433"/>
  <c r="K5433"/>
  <c r="H5441"/>
  <c r="I5441"/>
  <c r="K5441"/>
  <c r="H5449"/>
  <c r="I5449"/>
  <c r="K5449"/>
  <c r="H5457"/>
  <c r="I5457"/>
  <c r="K5457"/>
  <c r="H5465"/>
  <c r="I5465"/>
  <c r="K5465"/>
  <c r="H5473"/>
  <c r="I5473"/>
  <c r="K5473"/>
  <c r="H5481"/>
  <c r="I5481"/>
  <c r="K5481"/>
  <c r="H5489"/>
  <c r="I5489"/>
  <c r="K5489"/>
  <c r="H5497"/>
  <c r="I5497"/>
  <c r="K5497"/>
  <c r="H5505"/>
  <c r="I5505"/>
  <c r="K5505"/>
  <c r="H5513"/>
  <c r="I5513"/>
  <c r="K5513"/>
  <c r="H5521"/>
  <c r="I5521"/>
  <c r="K5521"/>
  <c r="H5529"/>
  <c r="I5529"/>
  <c r="K5529"/>
  <c r="H5537"/>
  <c r="I5537"/>
  <c r="K5537"/>
  <c r="H5545"/>
  <c r="I5545"/>
  <c r="K5545"/>
  <c r="H5553"/>
  <c r="I5553"/>
  <c r="K5553"/>
  <c r="H5561"/>
  <c r="I5561"/>
  <c r="K5561"/>
  <c r="H5569"/>
  <c r="I5569"/>
  <c r="K5569"/>
  <c r="H5577"/>
  <c r="I5577"/>
  <c r="K5577"/>
  <c r="H5585"/>
  <c r="I5585"/>
  <c r="K5585"/>
  <c r="H5593"/>
  <c r="I5593"/>
  <c r="K5593"/>
  <c r="H5601"/>
  <c r="I5601"/>
  <c r="K5601"/>
  <c r="H5609"/>
  <c r="I5609"/>
  <c r="K5609"/>
  <c r="H5617"/>
  <c r="I5617"/>
  <c r="K5617"/>
  <c r="H5625"/>
  <c r="I5625"/>
  <c r="K5625"/>
  <c r="H5633"/>
  <c r="I5633"/>
  <c r="K5633"/>
  <c r="H5641"/>
  <c r="I5641"/>
  <c r="K5641"/>
  <c r="H5649"/>
  <c r="I5649"/>
  <c r="K5649"/>
  <c r="H5657"/>
  <c r="I5657"/>
  <c r="K5657"/>
  <c r="H5665"/>
  <c r="I5665"/>
  <c r="K5665"/>
  <c r="H5673"/>
  <c r="I5673"/>
  <c r="K5673"/>
  <c r="H5681"/>
  <c r="I5681"/>
  <c r="K5681"/>
  <c r="H5689"/>
  <c r="I5689"/>
  <c r="K5689"/>
  <c r="H3255"/>
  <c r="I3255"/>
  <c r="K3255"/>
  <c r="H3907"/>
  <c r="I3907"/>
  <c r="K3907"/>
  <c r="H4163"/>
  <c r="I4163"/>
  <c r="K4163"/>
  <c r="H4228"/>
  <c r="I4228"/>
  <c r="K4228"/>
  <c r="H4292"/>
  <c r="I4292"/>
  <c r="K4292"/>
  <c r="H4356"/>
  <c r="I4356"/>
  <c r="K4356"/>
  <c r="H4420"/>
  <c r="I4420"/>
  <c r="K4420"/>
  <c r="H4433"/>
  <c r="I4433"/>
  <c r="K4433"/>
  <c r="H4465"/>
  <c r="I4465"/>
  <c r="K4465"/>
  <c r="H4497"/>
  <c r="I4497"/>
  <c r="K4497"/>
  <c r="H4529"/>
  <c r="I4529"/>
  <c r="K4529"/>
  <c r="H4561"/>
  <c r="I4561"/>
  <c r="K4561"/>
  <c r="H4593"/>
  <c r="I4593"/>
  <c r="K4593"/>
  <c r="H4625"/>
  <c r="I4625"/>
  <c r="K4625"/>
  <c r="H4657"/>
  <c r="I4657"/>
  <c r="K4657"/>
  <c r="H4689"/>
  <c r="I4689"/>
  <c r="K4689"/>
  <c r="H4721"/>
  <c r="I4721"/>
  <c r="K4721"/>
  <c r="H4753"/>
  <c r="I4753"/>
  <c r="K4753"/>
  <c r="H4785"/>
  <c r="I4785"/>
  <c r="K4785"/>
  <c r="H4817"/>
  <c r="I4817"/>
  <c r="K4817"/>
  <c r="H4849"/>
  <c r="I4849"/>
  <c r="K4849"/>
  <c r="H4881"/>
  <c r="I4881"/>
  <c r="K4881"/>
  <c r="H4916"/>
  <c r="I4916"/>
  <c r="K4916"/>
  <c r="H4931"/>
  <c r="I4931"/>
  <c r="K4931"/>
  <c r="H4945"/>
  <c r="I4945"/>
  <c r="K4945"/>
  <c r="H4971"/>
  <c r="I4971"/>
  <c r="K4971"/>
  <c r="H4980"/>
  <c r="I4980"/>
  <c r="K4980"/>
  <c r="H4988"/>
  <c r="I4988"/>
  <c r="K4988"/>
  <c r="H4996"/>
  <c r="I4996"/>
  <c r="K4996"/>
  <c r="H5004"/>
  <c r="I5004"/>
  <c r="K5004"/>
  <c r="H5012"/>
  <c r="I5012"/>
  <c r="K5012"/>
  <c r="H5020"/>
  <c r="I5020"/>
  <c r="K5020"/>
  <c r="H5028"/>
  <c r="I5028"/>
  <c r="K5028"/>
  <c r="H5036"/>
  <c r="I5036"/>
  <c r="K5036"/>
  <c r="H5044"/>
  <c r="I5044"/>
  <c r="K5044"/>
  <c r="H5052"/>
  <c r="I5052"/>
  <c r="K5052"/>
  <c r="H5060"/>
  <c r="I5060"/>
  <c r="K5060"/>
  <c r="H5068"/>
  <c r="I5068"/>
  <c r="K5068"/>
  <c r="H5076"/>
  <c r="I5076"/>
  <c r="K5076"/>
  <c r="H5084"/>
  <c r="I5084"/>
  <c r="K5084"/>
  <c r="H5092"/>
  <c r="I5092"/>
  <c r="K5092"/>
  <c r="H5100"/>
  <c r="I5100"/>
  <c r="K5100"/>
  <c r="H5108"/>
  <c r="I5108"/>
  <c r="K5108"/>
  <c r="H5116"/>
  <c r="I5116"/>
  <c r="K5116"/>
  <c r="H5124"/>
  <c r="I5124"/>
  <c r="K5124"/>
  <c r="H5132"/>
  <c r="I5132"/>
  <c r="K5132"/>
  <c r="H5140"/>
  <c r="I5140"/>
  <c r="K5140"/>
  <c r="H5148"/>
  <c r="I5148"/>
  <c r="K5148"/>
  <c r="H5156"/>
  <c r="I5156"/>
  <c r="K5156"/>
  <c r="H5164"/>
  <c r="I5164"/>
  <c r="K5164"/>
  <c r="H5172"/>
  <c r="I5172"/>
  <c r="K5172"/>
  <c r="H5180"/>
  <c r="I5180"/>
  <c r="K5180"/>
  <c r="H5188"/>
  <c r="I5188"/>
  <c r="K5188"/>
  <c r="H5196"/>
  <c r="I5196"/>
  <c r="K5196"/>
  <c r="H5204"/>
  <c r="I5204"/>
  <c r="K5204"/>
  <c r="H5212"/>
  <c r="I5212"/>
  <c r="K5212"/>
  <c r="H5220"/>
  <c r="I5220"/>
  <c r="K5220"/>
  <c r="H5228"/>
  <c r="I5228"/>
  <c r="K5228"/>
  <c r="H5236"/>
  <c r="I5236"/>
  <c r="K5236"/>
  <c r="H5244"/>
  <c r="I5244"/>
  <c r="K5244"/>
  <c r="H5252"/>
  <c r="I5252"/>
  <c r="K5252"/>
  <c r="H5260"/>
  <c r="I5260"/>
  <c r="K5260"/>
  <c r="H5268"/>
  <c r="I5268"/>
  <c r="K5268"/>
  <c r="H5276"/>
  <c r="I5276"/>
  <c r="K5276"/>
  <c r="H5284"/>
  <c r="I5284"/>
  <c r="K5284"/>
  <c r="H5292"/>
  <c r="I5292"/>
  <c r="K5292"/>
  <c r="H5300"/>
  <c r="I5300"/>
  <c r="K5300"/>
  <c r="H5308"/>
  <c r="I5308"/>
  <c r="K5308"/>
  <c r="H5316"/>
  <c r="I5316"/>
  <c r="K5316"/>
  <c r="H5324"/>
  <c r="I5324"/>
  <c r="K5324"/>
  <c r="H5332"/>
  <c r="I5332"/>
  <c r="K5332"/>
  <c r="H5340"/>
  <c r="I5340"/>
  <c r="K5340"/>
  <c r="H5348"/>
  <c r="I5348"/>
  <c r="K5348"/>
  <c r="H5356"/>
  <c r="I5356"/>
  <c r="K5356"/>
  <c r="H5364"/>
  <c r="I5364"/>
  <c r="K5364"/>
  <c r="H5372"/>
  <c r="I5372"/>
  <c r="K5372"/>
  <c r="H5380"/>
  <c r="I5380"/>
  <c r="K5380"/>
  <c r="H5388"/>
  <c r="I5388"/>
  <c r="K5388"/>
  <c r="H5396"/>
  <c r="I5396"/>
  <c r="K5396"/>
  <c r="H5404"/>
  <c r="I5404"/>
  <c r="K5404"/>
  <c r="H5412"/>
  <c r="I5412"/>
  <c r="K5412"/>
  <c r="H5420"/>
  <c r="I5420"/>
  <c r="K5420"/>
  <c r="H5428"/>
  <c r="I5428"/>
  <c r="K5428"/>
  <c r="H5436"/>
  <c r="I5436"/>
  <c r="K5436"/>
  <c r="H5444"/>
  <c r="I5444"/>
  <c r="K5444"/>
  <c r="H5452"/>
  <c r="I5452"/>
  <c r="K5452"/>
  <c r="H5460"/>
  <c r="I5460"/>
  <c r="K5460"/>
  <c r="H5468"/>
  <c r="I5468"/>
  <c r="K5468"/>
  <c r="H5476"/>
  <c r="I5476"/>
  <c r="K5476"/>
  <c r="H5484"/>
  <c r="I5484"/>
  <c r="K5484"/>
  <c r="H5492"/>
  <c r="I5492"/>
  <c r="K5492"/>
  <c r="H5500"/>
  <c r="I5500"/>
  <c r="K5500"/>
  <c r="H5508"/>
  <c r="I5508"/>
  <c r="K5508"/>
  <c r="H5516"/>
  <c r="I5516"/>
  <c r="K5516"/>
  <c r="H5524"/>
  <c r="I5524"/>
  <c r="K5524"/>
  <c r="H5532"/>
  <c r="I5532"/>
  <c r="K5532"/>
  <c r="H5540"/>
  <c r="I5540"/>
  <c r="K5540"/>
  <c r="H5548"/>
  <c r="I5548"/>
  <c r="K5548"/>
  <c r="H5556"/>
  <c r="I5556"/>
  <c r="K5556"/>
  <c r="H5564"/>
  <c r="I5564"/>
  <c r="K5564"/>
  <c r="H5572"/>
  <c r="I5572"/>
  <c r="K5572"/>
  <c r="H5580"/>
  <c r="I5580"/>
  <c r="K5580"/>
  <c r="H5588"/>
  <c r="I5588"/>
  <c r="K5588"/>
  <c r="H5596"/>
  <c r="I5596"/>
  <c r="K5596"/>
  <c r="H5604"/>
  <c r="I5604"/>
  <c r="K5604"/>
  <c r="H5612"/>
  <c r="I5612"/>
  <c r="K5612"/>
  <c r="H5620"/>
  <c r="I5620"/>
  <c r="K5620"/>
  <c r="H5628"/>
  <c r="I5628"/>
  <c r="K5628"/>
  <c r="H5636"/>
  <c r="I5636"/>
  <c r="K5636"/>
  <c r="H5644"/>
  <c r="I5644"/>
  <c r="K5644"/>
  <c r="H5652"/>
  <c r="I5652"/>
  <c r="K5652"/>
  <c r="H5660"/>
  <c r="I5660"/>
  <c r="K5660"/>
  <c r="H5668"/>
  <c r="I5668"/>
  <c r="K5668"/>
  <c r="H5676"/>
  <c r="I5676"/>
  <c r="K5676"/>
  <c r="H5684"/>
  <c r="I5684"/>
  <c r="K5684"/>
  <c r="H5692"/>
  <c r="I5692"/>
  <c r="K5692"/>
  <c r="H3589"/>
  <c r="I3589"/>
  <c r="K3589"/>
  <c r="H4003"/>
  <c r="I4003"/>
  <c r="K4003"/>
  <c r="H4252"/>
  <c r="I4252"/>
  <c r="K4252"/>
  <c r="H4316"/>
  <c r="I4316"/>
  <c r="K4316"/>
  <c r="H4380"/>
  <c r="I4380"/>
  <c r="K4380"/>
  <c r="H4444"/>
  <c r="I4444"/>
  <c r="K4444"/>
  <c r="H4476"/>
  <c r="I4476"/>
  <c r="K4476"/>
  <c r="H4508"/>
  <c r="I4508"/>
  <c r="K4508"/>
  <c r="H4540"/>
  <c r="I4540"/>
  <c r="K4540"/>
  <c r="H4572"/>
  <c r="I4572"/>
  <c r="K4572"/>
  <c r="H4604"/>
  <c r="I4604"/>
  <c r="K4604"/>
  <c r="H4636"/>
  <c r="I4636"/>
  <c r="K4636"/>
  <c r="H4668"/>
  <c r="I4668"/>
  <c r="K4668"/>
  <c r="H4700"/>
  <c r="I4700"/>
  <c r="K4700"/>
  <c r="H4732"/>
  <c r="I4732"/>
  <c r="K4732"/>
  <c r="H4764"/>
  <c r="I4764"/>
  <c r="K4764"/>
  <c r="H4796"/>
  <c r="I4796"/>
  <c r="K4796"/>
  <c r="H4828"/>
  <c r="I4828"/>
  <c r="K4828"/>
  <c r="H4860"/>
  <c r="I4860"/>
  <c r="K4860"/>
  <c r="H4889"/>
  <c r="I4889"/>
  <c r="K4889"/>
  <c r="H4924"/>
  <c r="I4924"/>
  <c r="K4924"/>
  <c r="H4939"/>
  <c r="I4939"/>
  <c r="K4939"/>
  <c r="H4953"/>
  <c r="I4953"/>
  <c r="K4953"/>
  <c r="H4966"/>
  <c r="I4966"/>
  <c r="K4966"/>
  <c r="H4983"/>
  <c r="I4983"/>
  <c r="K4983"/>
  <c r="H4991"/>
  <c r="I4991"/>
  <c r="K4991"/>
  <c r="H4999"/>
  <c r="I4999"/>
  <c r="K4999"/>
  <c r="H5007"/>
  <c r="I5007"/>
  <c r="K5007"/>
  <c r="H5015"/>
  <c r="I5015"/>
  <c r="K5015"/>
  <c r="H5023"/>
  <c r="I5023"/>
  <c r="K5023"/>
  <c r="H5031"/>
  <c r="I5031"/>
  <c r="K5031"/>
  <c r="H5039"/>
  <c r="I5039"/>
  <c r="K5039"/>
  <c r="H5047"/>
  <c r="I5047"/>
  <c r="K5047"/>
  <c r="H5055"/>
  <c r="I5055"/>
  <c r="K5055"/>
  <c r="H5063"/>
  <c r="I5063"/>
  <c r="K5063"/>
  <c r="H5071"/>
  <c r="I5071"/>
  <c r="K5071"/>
  <c r="H5079"/>
  <c r="I5079"/>
  <c r="K5079"/>
  <c r="H5087"/>
  <c r="I5087"/>
  <c r="K5087"/>
  <c r="H5095"/>
  <c r="I5095"/>
  <c r="K5095"/>
  <c r="H5103"/>
  <c r="I5103"/>
  <c r="K5103"/>
  <c r="H5111"/>
  <c r="I5111"/>
  <c r="K5111"/>
  <c r="H5119"/>
  <c r="I5119"/>
  <c r="K5119"/>
  <c r="H5127"/>
  <c r="I5127"/>
  <c r="K5127"/>
  <c r="H5135"/>
  <c r="I5135"/>
  <c r="K5135"/>
  <c r="H5143"/>
  <c r="I5143"/>
  <c r="K5143"/>
  <c r="H5151"/>
  <c r="I5151"/>
  <c r="K5151"/>
  <c r="H5159"/>
  <c r="I5159"/>
  <c r="K5159"/>
  <c r="H5167"/>
  <c r="I5167"/>
  <c r="K5167"/>
  <c r="H5175"/>
  <c r="I5175"/>
  <c r="K5175"/>
  <c r="H5183"/>
  <c r="I5183"/>
  <c r="K5183"/>
  <c r="H5191"/>
  <c r="I5191"/>
  <c r="K5191"/>
  <c r="H5199"/>
  <c r="I5199"/>
  <c r="K5199"/>
  <c r="H5207"/>
  <c r="I5207"/>
  <c r="K5207"/>
  <c r="H5215"/>
  <c r="I5215"/>
  <c r="K5215"/>
  <c r="H5223"/>
  <c r="I5223"/>
  <c r="K5223"/>
  <c r="H5231"/>
  <c r="I5231"/>
  <c r="K5231"/>
  <c r="H5239"/>
  <c r="I5239"/>
  <c r="K5239"/>
  <c r="H5247"/>
  <c r="I5247"/>
  <c r="K5247"/>
  <c r="H5255"/>
  <c r="I5255"/>
  <c r="K5255"/>
  <c r="H5263"/>
  <c r="I5263"/>
  <c r="K5263"/>
  <c r="H5271"/>
  <c r="I5271"/>
  <c r="K5271"/>
  <c r="H5279"/>
  <c r="I5279"/>
  <c r="K5279"/>
  <c r="H5287"/>
  <c r="I5287"/>
  <c r="K5287"/>
  <c r="H5295"/>
  <c r="I5295"/>
  <c r="K5295"/>
  <c r="H5303"/>
  <c r="I5303"/>
  <c r="K5303"/>
  <c r="H5311"/>
  <c r="I5311"/>
  <c r="K5311"/>
  <c r="H5319"/>
  <c r="I5319"/>
  <c r="K5319"/>
  <c r="H5327"/>
  <c r="I5327"/>
  <c r="K5327"/>
  <c r="H5335"/>
  <c r="I5335"/>
  <c r="K5335"/>
  <c r="H5343"/>
  <c r="I5343"/>
  <c r="K5343"/>
  <c r="H5351"/>
  <c r="I5351"/>
  <c r="K5351"/>
  <c r="H5359"/>
  <c r="I5359"/>
  <c r="K5359"/>
  <c r="H5367"/>
  <c r="I5367"/>
  <c r="K5367"/>
  <c r="H5375"/>
  <c r="I5375"/>
  <c r="K5375"/>
  <c r="H5383"/>
  <c r="I5383"/>
  <c r="K5383"/>
  <c r="H5391"/>
  <c r="I5391"/>
  <c r="K5391"/>
  <c r="H5399"/>
  <c r="I5399"/>
  <c r="K5399"/>
  <c r="H5407"/>
  <c r="I5407"/>
  <c r="K5407"/>
  <c r="H5415"/>
  <c r="I5415"/>
  <c r="K5415"/>
  <c r="H5423"/>
  <c r="I5423"/>
  <c r="K5423"/>
  <c r="H5431"/>
  <c r="I5431"/>
  <c r="K5431"/>
  <c r="H5439"/>
  <c r="I5439"/>
  <c r="K5439"/>
  <c r="H5447"/>
  <c r="I5447"/>
  <c r="K5447"/>
  <c r="H5455"/>
  <c r="I5455"/>
  <c r="K5455"/>
  <c r="H5463"/>
  <c r="I5463"/>
  <c r="K5463"/>
  <c r="H5471"/>
  <c r="I5471"/>
  <c r="K5471"/>
  <c r="H5479"/>
  <c r="I5479"/>
  <c r="K5479"/>
  <c r="H5487"/>
  <c r="I5487"/>
  <c r="K5487"/>
  <c r="H5495"/>
  <c r="I5495"/>
  <c r="K5495"/>
  <c r="H5503"/>
  <c r="I5503"/>
  <c r="K5503"/>
  <c r="H5511"/>
  <c r="I5511"/>
  <c r="K5511"/>
  <c r="H5519"/>
  <c r="I5519"/>
  <c r="K5519"/>
  <c r="H5527"/>
  <c r="I5527"/>
  <c r="K5527"/>
  <c r="H5535"/>
  <c r="I5535"/>
  <c r="K5535"/>
  <c r="H5543"/>
  <c r="I5543"/>
  <c r="K5543"/>
  <c r="H5551"/>
  <c r="I5551"/>
  <c r="K5551"/>
  <c r="H5559"/>
  <c r="I5559"/>
  <c r="K5559"/>
  <c r="H5567"/>
  <c r="I5567"/>
  <c r="K5567"/>
  <c r="H5575"/>
  <c r="I5575"/>
  <c r="K5575"/>
  <c r="H5583"/>
  <c r="I5583"/>
  <c r="K5583"/>
  <c r="H5591"/>
  <c r="I5591"/>
  <c r="K5591"/>
  <c r="H5599"/>
  <c r="I5599"/>
  <c r="K5599"/>
  <c r="H5607"/>
  <c r="I5607"/>
  <c r="K5607"/>
  <c r="H5615"/>
  <c r="I5615"/>
  <c r="K5615"/>
  <c r="H5623"/>
  <c r="I5623"/>
  <c r="K5623"/>
  <c r="H5631"/>
  <c r="I5631"/>
  <c r="K5631"/>
  <c r="H5639"/>
  <c r="I5639"/>
  <c r="K5639"/>
  <c r="H5647"/>
  <c r="I5647"/>
  <c r="K5647"/>
  <c r="H5655"/>
  <c r="I5655"/>
  <c r="K5655"/>
  <c r="H5663"/>
  <c r="I5663"/>
  <c r="K5663"/>
  <c r="H5671"/>
  <c r="I5671"/>
  <c r="K5671"/>
  <c r="H5679"/>
  <c r="I5679"/>
  <c r="K5679"/>
  <c r="H5687"/>
  <c r="I5687"/>
  <c r="K5687"/>
  <c r="H3781"/>
  <c r="I3781"/>
  <c r="K3781"/>
  <c r="H4099"/>
  <c r="I4099"/>
  <c r="K4099"/>
  <c r="H4276"/>
  <c r="I4276"/>
  <c r="K4276"/>
  <c r="H4340"/>
  <c r="I4340"/>
  <c r="K4340"/>
  <c r="H4404"/>
  <c r="I4404"/>
  <c r="K4404"/>
  <c r="H4425"/>
  <c r="I4425"/>
  <c r="K4425"/>
  <c r="H4457"/>
  <c r="I4457"/>
  <c r="K4457"/>
  <c r="H4489"/>
  <c r="I4489"/>
  <c r="K4489"/>
  <c r="H4521"/>
  <c r="I4521"/>
  <c r="K4521"/>
  <c r="H4553"/>
  <c r="I4553"/>
  <c r="K4553"/>
  <c r="H4585"/>
  <c r="I4585"/>
  <c r="K4585"/>
  <c r="H4617"/>
  <c r="I4617"/>
  <c r="K4617"/>
  <c r="H4649"/>
  <c r="I4649"/>
  <c r="K4649"/>
  <c r="H4681"/>
  <c r="I4681"/>
  <c r="K4681"/>
  <c r="H4713"/>
  <c r="I4713"/>
  <c r="K4713"/>
  <c r="H4745"/>
  <c r="I4745"/>
  <c r="K4745"/>
  <c r="H4777"/>
  <c r="I4777"/>
  <c r="K4777"/>
  <c r="H4809"/>
  <c r="I4809"/>
  <c r="K4809"/>
  <c r="H4841"/>
  <c r="I4841"/>
  <c r="K4841"/>
  <c r="H4873"/>
  <c r="I4873"/>
  <c r="K4873"/>
  <c r="H4883"/>
  <c r="I4883"/>
  <c r="K4883"/>
  <c r="H4897"/>
  <c r="I4897"/>
  <c r="K4897"/>
  <c r="H4932"/>
  <c r="I4932"/>
  <c r="K4932"/>
  <c r="H4947"/>
  <c r="I4947"/>
  <c r="K4947"/>
  <c r="H4961"/>
  <c r="I4961"/>
  <c r="K4961"/>
  <c r="H4977"/>
  <c r="I4977"/>
  <c r="K4977"/>
  <c r="H4986"/>
  <c r="I4986"/>
  <c r="K4986"/>
  <c r="H4994"/>
  <c r="I4994"/>
  <c r="K4994"/>
  <c r="H5002"/>
  <c r="I5002"/>
  <c r="K5002"/>
  <c r="H5010"/>
  <c r="I5010"/>
  <c r="K5010"/>
  <c r="H5018"/>
  <c r="I5018"/>
  <c r="K5018"/>
  <c r="H5026"/>
  <c r="I5026"/>
  <c r="K5026"/>
  <c r="H5034"/>
  <c r="I5034"/>
  <c r="K5034"/>
  <c r="H5042"/>
  <c r="I5042"/>
  <c r="K5042"/>
  <c r="H5050"/>
  <c r="I5050"/>
  <c r="K5050"/>
  <c r="H5058"/>
  <c r="I5058"/>
  <c r="K5058"/>
  <c r="H5066"/>
  <c r="I5066"/>
  <c r="K5066"/>
  <c r="H5074"/>
  <c r="I5074"/>
  <c r="K5074"/>
  <c r="H5082"/>
  <c r="I5082"/>
  <c r="K5082"/>
  <c r="H5090"/>
  <c r="I5090"/>
  <c r="K5090"/>
  <c r="H5098"/>
  <c r="I5098"/>
  <c r="K5098"/>
  <c r="H5106"/>
  <c r="I5106"/>
  <c r="K5106"/>
  <c r="H5114"/>
  <c r="I5114"/>
  <c r="K5114"/>
  <c r="H5122"/>
  <c r="I5122"/>
  <c r="K5122"/>
  <c r="H5130"/>
  <c r="I5130"/>
  <c r="K5130"/>
  <c r="H5138"/>
  <c r="I5138"/>
  <c r="K5138"/>
  <c r="H5146"/>
  <c r="I5146"/>
  <c r="K5146"/>
  <c r="H5154"/>
  <c r="I5154"/>
  <c r="K5154"/>
  <c r="H5162"/>
  <c r="I5162"/>
  <c r="K5162"/>
  <c r="H5170"/>
  <c r="I5170"/>
  <c r="K5170"/>
  <c r="H5178"/>
  <c r="I5178"/>
  <c r="K5178"/>
  <c r="H5186"/>
  <c r="I5186"/>
  <c r="K5186"/>
  <c r="H5194"/>
  <c r="I5194"/>
  <c r="K5194"/>
  <c r="H5202"/>
  <c r="I5202"/>
  <c r="K5202"/>
  <c r="H5210"/>
  <c r="I5210"/>
  <c r="K5210"/>
  <c r="H5218"/>
  <c r="I5218"/>
  <c r="K5218"/>
  <c r="H5226"/>
  <c r="I5226"/>
  <c r="K5226"/>
  <c r="H5234"/>
  <c r="I5234"/>
  <c r="K5234"/>
  <c r="H5242"/>
  <c r="I5242"/>
  <c r="K5242"/>
  <c r="H5250"/>
  <c r="I5250"/>
  <c r="K5250"/>
  <c r="H5258"/>
  <c r="I5258"/>
  <c r="K5258"/>
  <c r="H5266"/>
  <c r="I5266"/>
  <c r="K5266"/>
  <c r="H5274"/>
  <c r="I5274"/>
  <c r="K5274"/>
  <c r="H5282"/>
  <c r="I5282"/>
  <c r="K5282"/>
  <c r="H5290"/>
  <c r="I5290"/>
  <c r="K5290"/>
  <c r="H5298"/>
  <c r="I5298"/>
  <c r="K5298"/>
  <c r="H5306"/>
  <c r="I5306"/>
  <c r="K5306"/>
  <c r="H5314"/>
  <c r="I5314"/>
  <c r="K5314"/>
  <c r="H5322"/>
  <c r="I5322"/>
  <c r="K5322"/>
  <c r="H5330"/>
  <c r="I5330"/>
  <c r="K5330"/>
  <c r="H5338"/>
  <c r="I5338"/>
  <c r="K5338"/>
  <c r="H5346"/>
  <c r="I5346"/>
  <c r="K5346"/>
  <c r="H5354"/>
  <c r="I5354"/>
  <c r="K5354"/>
  <c r="H5362"/>
  <c r="I5362"/>
  <c r="K5362"/>
  <c r="H5370"/>
  <c r="I5370"/>
  <c r="K5370"/>
  <c r="H5378"/>
  <c r="I5378"/>
  <c r="K5378"/>
  <c r="H5386"/>
  <c r="I5386"/>
  <c r="K5386"/>
  <c r="H5394"/>
  <c r="I5394"/>
  <c r="K5394"/>
  <c r="H5402"/>
  <c r="I5402"/>
  <c r="K5402"/>
  <c r="H5410"/>
  <c r="I5410"/>
  <c r="K5410"/>
  <c r="H5418"/>
  <c r="I5418"/>
  <c r="K5418"/>
  <c r="H5426"/>
  <c r="I5426"/>
  <c r="K5426"/>
  <c r="H5434"/>
  <c r="I5434"/>
  <c r="K5434"/>
  <c r="H5442"/>
  <c r="I5442"/>
  <c r="K5442"/>
  <c r="H5450"/>
  <c r="I5450"/>
  <c r="K5450"/>
  <c r="H5458"/>
  <c r="I5458"/>
  <c r="K5458"/>
  <c r="H5466"/>
  <c r="I5466"/>
  <c r="K5466"/>
  <c r="H5474"/>
  <c r="I5474"/>
  <c r="K5474"/>
  <c r="H5482"/>
  <c r="I5482"/>
  <c r="K5482"/>
  <c r="H5490"/>
  <c r="I5490"/>
  <c r="K5490"/>
  <c r="H5498"/>
  <c r="I5498"/>
  <c r="K5498"/>
  <c r="H5506"/>
  <c r="I5506"/>
  <c r="K5506"/>
  <c r="H5514"/>
  <c r="I5514"/>
  <c r="K5514"/>
  <c r="H5522"/>
  <c r="I5522"/>
  <c r="K5522"/>
  <c r="H5530"/>
  <c r="I5530"/>
  <c r="K5530"/>
  <c r="H5538"/>
  <c r="I5538"/>
  <c r="K5538"/>
  <c r="H5546"/>
  <c r="I5546"/>
  <c r="K5546"/>
  <c r="H5554"/>
  <c r="I5554"/>
  <c r="K5554"/>
  <c r="H5562"/>
  <c r="I5562"/>
  <c r="K5562"/>
  <c r="H5570"/>
  <c r="I5570"/>
  <c r="K5570"/>
  <c r="H5578"/>
  <c r="I5578"/>
  <c r="K5578"/>
  <c r="H5586"/>
  <c r="I5586"/>
  <c r="K5586"/>
  <c r="H5594"/>
  <c r="I5594"/>
  <c r="K5594"/>
  <c r="H5602"/>
  <c r="I5602"/>
  <c r="K5602"/>
  <c r="H5610"/>
  <c r="I5610"/>
  <c r="K5610"/>
  <c r="H5618"/>
  <c r="I5618"/>
  <c r="K5618"/>
  <c r="H5626"/>
  <c r="I5626"/>
  <c r="K5626"/>
  <c r="H5634"/>
  <c r="I5634"/>
  <c r="K5634"/>
  <c r="H5642"/>
  <c r="I5642"/>
  <c r="K5642"/>
  <c r="H5650"/>
  <c r="I5650"/>
  <c r="K5650"/>
  <c r="H5658"/>
  <c r="I5658"/>
  <c r="K5658"/>
  <c r="H5666"/>
  <c r="I5666"/>
  <c r="K5666"/>
  <c r="H5674"/>
  <c r="I5674"/>
  <c r="K5674"/>
  <c r="H5682"/>
  <c r="I5682"/>
  <c r="K5682"/>
  <c r="H5690"/>
  <c r="I5690"/>
  <c r="K5690"/>
  <c r="H3939"/>
  <c r="I3939"/>
  <c r="K3939"/>
  <c r="H4195"/>
  <c r="I4195"/>
  <c r="K4195"/>
  <c r="H4236"/>
  <c r="I4236"/>
  <c r="K4236"/>
  <c r="H4300"/>
  <c r="I4300"/>
  <c r="K4300"/>
  <c r="H4364"/>
  <c r="I4364"/>
  <c r="K4364"/>
  <c r="H4436"/>
  <c r="I4436"/>
  <c r="K4436"/>
  <c r="H4468"/>
  <c r="I4468"/>
  <c r="K4468"/>
  <c r="H4500"/>
  <c r="I4500"/>
  <c r="K4500"/>
  <c r="H4532"/>
  <c r="I4532"/>
  <c r="K4532"/>
  <c r="H4564"/>
  <c r="I4564"/>
  <c r="K4564"/>
  <c r="H4596"/>
  <c r="I4596"/>
  <c r="K4596"/>
  <c r="H4628"/>
  <c r="I4628"/>
  <c r="K4628"/>
  <c r="H4660"/>
  <c r="I4660"/>
  <c r="K4660"/>
  <c r="H4692"/>
  <c r="I4692"/>
  <c r="K4692"/>
  <c r="H4724"/>
  <c r="I4724"/>
  <c r="K4724"/>
  <c r="H4756"/>
  <c r="I4756"/>
  <c r="K4756"/>
  <c r="H4788"/>
  <c r="I4788"/>
  <c r="K4788"/>
  <c r="H4820"/>
  <c r="I4820"/>
  <c r="K4820"/>
  <c r="H4852"/>
  <c r="I4852"/>
  <c r="K4852"/>
  <c r="H4891"/>
  <c r="I4891"/>
  <c r="K4891"/>
  <c r="H4905"/>
  <c r="I4905"/>
  <c r="K4905"/>
  <c r="H4940"/>
  <c r="I4940"/>
  <c r="K4940"/>
  <c r="H4955"/>
  <c r="I4955"/>
  <c r="K4955"/>
  <c r="H4972"/>
  <c r="I4972"/>
  <c r="K4972"/>
  <c r="H4981"/>
  <c r="I4981"/>
  <c r="K4981"/>
  <c r="H4989"/>
  <c r="I4989"/>
  <c r="K4989"/>
  <c r="H4997"/>
  <c r="I4997"/>
  <c r="K4997"/>
  <c r="H5005"/>
  <c r="I5005"/>
  <c r="K5005"/>
  <c r="H5013"/>
  <c r="I5013"/>
  <c r="K5013"/>
  <c r="H5021"/>
  <c r="I5021"/>
  <c r="K5021"/>
  <c r="H5029"/>
  <c r="I5029"/>
  <c r="K5029"/>
  <c r="H5037"/>
  <c r="I5037"/>
  <c r="K5037"/>
  <c r="H5045"/>
  <c r="I5045"/>
  <c r="K5045"/>
  <c r="H5053"/>
  <c r="I5053"/>
  <c r="K5053"/>
  <c r="H5061"/>
  <c r="I5061"/>
  <c r="K5061"/>
  <c r="H5069"/>
  <c r="I5069"/>
  <c r="K5069"/>
  <c r="H5077"/>
  <c r="I5077"/>
  <c r="K5077"/>
  <c r="H5085"/>
  <c r="I5085"/>
  <c r="K5085"/>
  <c r="H5093"/>
  <c r="I5093"/>
  <c r="K5093"/>
  <c r="H5101"/>
  <c r="I5101"/>
  <c r="K5101"/>
  <c r="H5109"/>
  <c r="I5109"/>
  <c r="K5109"/>
  <c r="H5117"/>
  <c r="I5117"/>
  <c r="K5117"/>
  <c r="H5125"/>
  <c r="I5125"/>
  <c r="K5125"/>
  <c r="H5133"/>
  <c r="I5133"/>
  <c r="K5133"/>
  <c r="H5141"/>
  <c r="I5141"/>
  <c r="K5141"/>
  <c r="H5149"/>
  <c r="I5149"/>
  <c r="K5149"/>
  <c r="H5157"/>
  <c r="I5157"/>
  <c r="K5157"/>
  <c r="H5165"/>
  <c r="I5165"/>
  <c r="K5165"/>
  <c r="H5173"/>
  <c r="I5173"/>
  <c r="K5173"/>
  <c r="H5181"/>
  <c r="I5181"/>
  <c r="K5181"/>
  <c r="H5189"/>
  <c r="I5189"/>
  <c r="K5189"/>
  <c r="H5197"/>
  <c r="I5197"/>
  <c r="K5197"/>
  <c r="H5205"/>
  <c r="I5205"/>
  <c r="K5205"/>
  <c r="H5213"/>
  <c r="I5213"/>
  <c r="K5213"/>
  <c r="H5221"/>
  <c r="I5221"/>
  <c r="K5221"/>
  <c r="H5229"/>
  <c r="I5229"/>
  <c r="K5229"/>
  <c r="H5237"/>
  <c r="I5237"/>
  <c r="K5237"/>
  <c r="H5245"/>
  <c r="I5245"/>
  <c r="K5245"/>
  <c r="H5253"/>
  <c r="I5253"/>
  <c r="K5253"/>
  <c r="H5261"/>
  <c r="I5261"/>
  <c r="K5261"/>
  <c r="H5269"/>
  <c r="I5269"/>
  <c r="K5269"/>
  <c r="H5277"/>
  <c r="I5277"/>
  <c r="K5277"/>
  <c r="H5285"/>
  <c r="I5285"/>
  <c r="K5285"/>
  <c r="H5293"/>
  <c r="I5293"/>
  <c r="K5293"/>
  <c r="H5301"/>
  <c r="I5301"/>
  <c r="K5301"/>
  <c r="H5309"/>
  <c r="I5309"/>
  <c r="K5309"/>
  <c r="H5317"/>
  <c r="I5317"/>
  <c r="K5317"/>
  <c r="H5325"/>
  <c r="I5325"/>
  <c r="K5325"/>
  <c r="H5333"/>
  <c r="I5333"/>
  <c r="K5333"/>
  <c r="H5341"/>
  <c r="I5341"/>
  <c r="K5341"/>
  <c r="H5349"/>
  <c r="I5349"/>
  <c r="K5349"/>
  <c r="H5357"/>
  <c r="I5357"/>
  <c r="K5357"/>
  <c r="H5365"/>
  <c r="I5365"/>
  <c r="K5365"/>
  <c r="H5373"/>
  <c r="I5373"/>
  <c r="K5373"/>
  <c r="H5381"/>
  <c r="I5381"/>
  <c r="K5381"/>
  <c r="H5389"/>
  <c r="I5389"/>
  <c r="K5389"/>
  <c r="H5397"/>
  <c r="I5397"/>
  <c r="K5397"/>
  <c r="H5405"/>
  <c r="I5405"/>
  <c r="K5405"/>
  <c r="H5413"/>
  <c r="I5413"/>
  <c r="K5413"/>
  <c r="H5421"/>
  <c r="I5421"/>
  <c r="K5421"/>
  <c r="H5429"/>
  <c r="I5429"/>
  <c r="K5429"/>
  <c r="H5437"/>
  <c r="I5437"/>
  <c r="K5437"/>
  <c r="H5445"/>
  <c r="I5445"/>
  <c r="K5445"/>
  <c r="H5453"/>
  <c r="I5453"/>
  <c r="K5453"/>
  <c r="H5461"/>
  <c r="I5461"/>
  <c r="K5461"/>
  <c r="H5469"/>
  <c r="I5469"/>
  <c r="K5469"/>
  <c r="H5477"/>
  <c r="I5477"/>
  <c r="K5477"/>
  <c r="H5485"/>
  <c r="I5485"/>
  <c r="K5485"/>
  <c r="H5493"/>
  <c r="I5493"/>
  <c r="K5493"/>
  <c r="H5501"/>
  <c r="I5501"/>
  <c r="K5501"/>
  <c r="H5509"/>
  <c r="I5509"/>
  <c r="K5509"/>
  <c r="H5517"/>
  <c r="I5517"/>
  <c r="K5517"/>
  <c r="H5525"/>
  <c r="I5525"/>
  <c r="K5525"/>
  <c r="H5533"/>
  <c r="I5533"/>
  <c r="K5533"/>
  <c r="H5541"/>
  <c r="I5541"/>
  <c r="K5541"/>
  <c r="H5549"/>
  <c r="I5549"/>
  <c r="K5549"/>
  <c r="H5557"/>
  <c r="I5557"/>
  <c r="K5557"/>
  <c r="H5565"/>
  <c r="I5565"/>
  <c r="K5565"/>
  <c r="H5573"/>
  <c r="I5573"/>
  <c r="K5573"/>
  <c r="H5581"/>
  <c r="I5581"/>
  <c r="K5581"/>
  <c r="H5589"/>
  <c r="I5589"/>
  <c r="K5589"/>
  <c r="H5597"/>
  <c r="I5597"/>
  <c r="K5597"/>
  <c r="H5605"/>
  <c r="I5605"/>
  <c r="K5605"/>
  <c r="H5613"/>
  <c r="I5613"/>
  <c r="K5613"/>
  <c r="H5621"/>
  <c r="I5621"/>
  <c r="K5621"/>
  <c r="H5629"/>
  <c r="I5629"/>
  <c r="K5629"/>
  <c r="H5637"/>
  <c r="I5637"/>
  <c r="K5637"/>
  <c r="H5645"/>
  <c r="I5645"/>
  <c r="K5645"/>
  <c r="H5653"/>
  <c r="I5653"/>
  <c r="K5653"/>
  <c r="H5661"/>
  <c r="I5661"/>
  <c r="K5661"/>
  <c r="H5669"/>
  <c r="I5669"/>
  <c r="K5669"/>
  <c r="H5677"/>
  <c r="I5677"/>
  <c r="K5677"/>
  <c r="H5685"/>
  <c r="I5685"/>
  <c r="K5685"/>
  <c r="H6306"/>
  <c r="I6306"/>
  <c r="K6306"/>
  <c r="H6298"/>
  <c r="I6298"/>
  <c r="K6298"/>
  <c r="H6290"/>
  <c r="I6290"/>
  <c r="K6290"/>
  <c r="H6282"/>
  <c r="I6282"/>
  <c r="K6282"/>
  <c r="H6274"/>
  <c r="I6274"/>
  <c r="K6274"/>
  <c r="H6266"/>
  <c r="I6266"/>
  <c r="K6266"/>
  <c r="H6258"/>
  <c r="I6258"/>
  <c r="K6258"/>
  <c r="H6250"/>
  <c r="I6250"/>
  <c r="K6250"/>
  <c r="H6237"/>
  <c r="I6237"/>
  <c r="K6237"/>
  <c r="H6229"/>
  <c r="I6229"/>
  <c r="K6229"/>
  <c r="H6221"/>
  <c r="I6221"/>
  <c r="K6221"/>
  <c r="H6213"/>
  <c r="I6213"/>
  <c r="K6213"/>
  <c r="H6205"/>
  <c r="I6205"/>
  <c r="K6205"/>
  <c r="H6197"/>
  <c r="I6197"/>
  <c r="K6197"/>
  <c r="H6189"/>
  <c r="I6189"/>
  <c r="K6189"/>
  <c r="H6181"/>
  <c r="I6181"/>
  <c r="K6181"/>
  <c r="H6173"/>
  <c r="I6173"/>
  <c r="K6173"/>
  <c r="H6165"/>
  <c r="I6165"/>
  <c r="K6165"/>
  <c r="H6157"/>
  <c r="I6157"/>
  <c r="K6157"/>
  <c r="H6149"/>
  <c r="I6149"/>
  <c r="K6149"/>
  <c r="H6141"/>
  <c r="I6141"/>
  <c r="K6141"/>
  <c r="H6133"/>
  <c r="I6133"/>
  <c r="K6133"/>
  <c r="H6125"/>
  <c r="I6125"/>
  <c r="K6125"/>
  <c r="H6117"/>
  <c r="I6117"/>
  <c r="K6117"/>
  <c r="H6109"/>
  <c r="I6109"/>
  <c r="K6109"/>
  <c r="H6101"/>
  <c r="I6101"/>
  <c r="K6101"/>
  <c r="H6093"/>
  <c r="I6093"/>
  <c r="K6093"/>
  <c r="H6085"/>
  <c r="I6085"/>
  <c r="K6085"/>
  <c r="H6077"/>
  <c r="I6077"/>
  <c r="K6077"/>
  <c r="H6069"/>
  <c r="I6069"/>
  <c r="K6069"/>
  <c r="H6061"/>
  <c r="I6061"/>
  <c r="K6061"/>
  <c r="H6053"/>
  <c r="I6053"/>
  <c r="K6053"/>
  <c r="H6045"/>
  <c r="I6045"/>
  <c r="K6045"/>
  <c r="H6037"/>
  <c r="I6037"/>
  <c r="K6037"/>
  <c r="H6029"/>
  <c r="I6029"/>
  <c r="K6029"/>
  <c r="H6021"/>
  <c r="I6021"/>
  <c r="K6021"/>
  <c r="H6013"/>
  <c r="I6013"/>
  <c r="K6013"/>
  <c r="H6005"/>
  <c r="I6005"/>
  <c r="K6005"/>
  <c r="H5997"/>
  <c r="I5997"/>
  <c r="K5997"/>
  <c r="H5989"/>
  <c r="I5989"/>
  <c r="K5989"/>
  <c r="H5981"/>
  <c r="I5981"/>
  <c r="K5981"/>
  <c r="H5973"/>
  <c r="I5973"/>
  <c r="K5973"/>
  <c r="H5965"/>
  <c r="I5965"/>
  <c r="K5965"/>
  <c r="H5957"/>
  <c r="I5957"/>
  <c r="K5957"/>
  <c r="H5949"/>
  <c r="I5949"/>
  <c r="K5949"/>
  <c r="H5941"/>
  <c r="I5941"/>
  <c r="K5941"/>
  <c r="H5933"/>
  <c r="I5933"/>
  <c r="K5933"/>
  <c r="H5925"/>
  <c r="I5925"/>
  <c r="K5925"/>
  <c r="H5917"/>
  <c r="I5917"/>
  <c r="K5917"/>
  <c r="H5909"/>
  <c r="I5909"/>
  <c r="K5909"/>
  <c r="H5901"/>
  <c r="I5901"/>
  <c r="K5901"/>
  <c r="H5893"/>
  <c r="I5893"/>
  <c r="K5893"/>
  <c r="H5885"/>
  <c r="I5885"/>
  <c r="K5885"/>
  <c r="H5877"/>
  <c r="I5877"/>
  <c r="K5877"/>
  <c r="H5869"/>
  <c r="I5869"/>
  <c r="K5869"/>
  <c r="H5861"/>
  <c r="I5861"/>
  <c r="K5861"/>
  <c r="H5853"/>
  <c r="I5853"/>
  <c r="K5853"/>
  <c r="H5845"/>
  <c r="I5845"/>
  <c r="K5845"/>
  <c r="H5837"/>
  <c r="I5837"/>
  <c r="K5837"/>
  <c r="H5829"/>
  <c r="I5829"/>
  <c r="K5829"/>
  <c r="H5821"/>
  <c r="I5821"/>
  <c r="K5821"/>
  <c r="H5813"/>
  <c r="I5813"/>
  <c r="K5813"/>
  <c r="H5805"/>
  <c r="I5805"/>
  <c r="K5805"/>
  <c r="H5797"/>
  <c r="I5797"/>
  <c r="K5797"/>
  <c r="H5789"/>
  <c r="I5789"/>
  <c r="K5789"/>
  <c r="H5781"/>
  <c r="I5781"/>
  <c r="K5781"/>
  <c r="H5773"/>
  <c r="I5773"/>
  <c r="K5773"/>
  <c r="H5765"/>
  <c r="I5765"/>
  <c r="K5765"/>
  <c r="H5757"/>
  <c r="I5757"/>
  <c r="K5757"/>
  <c r="H5749"/>
  <c r="I5749"/>
  <c r="K5749"/>
  <c r="H5741"/>
  <c r="I5741"/>
  <c r="K5741"/>
  <c r="H5733"/>
  <c r="I5733"/>
  <c r="K5733"/>
  <c r="H5725"/>
  <c r="I5725"/>
  <c r="K5725"/>
  <c r="H5717"/>
  <c r="I5717"/>
  <c r="K5717"/>
  <c r="H5709"/>
  <c r="I5709"/>
  <c r="K5709"/>
  <c r="H5701"/>
  <c r="I5701"/>
  <c r="K5701"/>
  <c r="H5693"/>
  <c r="I5693"/>
  <c r="K5693"/>
  <c r="H5632"/>
  <c r="I5632"/>
  <c r="K5632"/>
  <c r="H5568"/>
  <c r="I5568"/>
  <c r="K5568"/>
  <c r="H5504"/>
  <c r="I5504"/>
  <c r="K5504"/>
  <c r="H5440"/>
  <c r="I5440"/>
  <c r="K5440"/>
  <c r="H5376"/>
  <c r="I5376"/>
  <c r="K5376"/>
  <c r="H5312"/>
  <c r="I5312"/>
  <c r="K5312"/>
  <c r="H5248"/>
  <c r="I5248"/>
  <c r="K5248"/>
  <c r="H5184"/>
  <c r="I5184"/>
  <c r="K5184"/>
  <c r="H5120"/>
  <c r="I5120"/>
  <c r="K5120"/>
  <c r="H5056"/>
  <c r="I5056"/>
  <c r="K5056"/>
  <c r="H4992"/>
  <c r="I4992"/>
  <c r="K4992"/>
  <c r="H4963"/>
  <c r="I4963"/>
  <c r="K4963"/>
  <c r="H4833"/>
  <c r="I4833"/>
  <c r="K4833"/>
  <c r="H4577"/>
  <c r="I4577"/>
  <c r="K4577"/>
  <c r="H4388"/>
  <c r="I4388"/>
  <c r="K4388"/>
  <c r="H6311"/>
  <c r="I6311"/>
  <c r="K6311"/>
  <c r="H6303"/>
  <c r="I6303"/>
  <c r="K6303"/>
  <c r="H6295"/>
  <c r="I6295"/>
  <c r="K6295"/>
  <c r="H6287"/>
  <c r="I6287"/>
  <c r="K6287"/>
  <c r="H6279"/>
  <c r="I6279"/>
  <c r="K6279"/>
  <c r="H6271"/>
  <c r="I6271"/>
  <c r="K6271"/>
  <c r="H6263"/>
  <c r="I6263"/>
  <c r="K6263"/>
  <c r="H6255"/>
  <c r="I6255"/>
  <c r="K6255"/>
  <c r="H6247"/>
  <c r="I6247"/>
  <c r="K6247"/>
  <c r="H6242"/>
  <c r="I6242"/>
  <c r="K6242"/>
  <c r="H6234"/>
  <c r="I6234"/>
  <c r="K6234"/>
  <c r="H6226"/>
  <c r="I6226"/>
  <c r="K6226"/>
  <c r="H6218"/>
  <c r="I6218"/>
  <c r="K6218"/>
  <c r="H6210"/>
  <c r="I6210"/>
  <c r="K6210"/>
  <c r="H6202"/>
  <c r="I6202"/>
  <c r="K6202"/>
  <c r="H6194"/>
  <c r="I6194"/>
  <c r="K6194"/>
  <c r="H6186"/>
  <c r="I6186"/>
  <c r="K6186"/>
  <c r="H6178"/>
  <c r="I6178"/>
  <c r="K6178"/>
  <c r="H6170"/>
  <c r="I6170"/>
  <c r="K6170"/>
  <c r="H6162"/>
  <c r="I6162"/>
  <c r="K6162"/>
  <c r="H6154"/>
  <c r="I6154"/>
  <c r="K6154"/>
  <c r="H6146"/>
  <c r="I6146"/>
  <c r="K6146"/>
  <c r="H6138"/>
  <c r="I6138"/>
  <c r="K6138"/>
  <c r="H6130"/>
  <c r="I6130"/>
  <c r="K6130"/>
  <c r="H6122"/>
  <c r="I6122"/>
  <c r="K6122"/>
  <c r="H6114"/>
  <c r="I6114"/>
  <c r="K6114"/>
  <c r="H6106"/>
  <c r="I6106"/>
  <c r="K6106"/>
  <c r="H6098"/>
  <c r="I6098"/>
  <c r="K6098"/>
  <c r="H6090"/>
  <c r="I6090"/>
  <c r="K6090"/>
  <c r="H6082"/>
  <c r="I6082"/>
  <c r="K6082"/>
  <c r="H6074"/>
  <c r="I6074"/>
  <c r="K6074"/>
  <c r="H6066"/>
  <c r="I6066"/>
  <c r="K6066"/>
  <c r="H6058"/>
  <c r="I6058"/>
  <c r="K6058"/>
  <c r="H6050"/>
  <c r="I6050"/>
  <c r="K6050"/>
  <c r="H6042"/>
  <c r="I6042"/>
  <c r="K6042"/>
  <c r="H6034"/>
  <c r="I6034"/>
  <c r="K6034"/>
  <c r="H6026"/>
  <c r="I6026"/>
  <c r="K6026"/>
  <c r="H6018"/>
  <c r="I6018"/>
  <c r="K6018"/>
  <c r="H6010"/>
  <c r="I6010"/>
  <c r="K6010"/>
  <c r="H6002"/>
  <c r="I6002"/>
  <c r="K6002"/>
  <c r="H5994"/>
  <c r="I5994"/>
  <c r="K5994"/>
  <c r="H5986"/>
  <c r="I5986"/>
  <c r="K5986"/>
  <c r="H5978"/>
  <c r="I5978"/>
  <c r="K5978"/>
  <c r="H5970"/>
  <c r="I5970"/>
  <c r="K5970"/>
  <c r="H5962"/>
  <c r="I5962"/>
  <c r="K5962"/>
  <c r="H5954"/>
  <c r="I5954"/>
  <c r="K5954"/>
  <c r="H5946"/>
  <c r="I5946"/>
  <c r="K5946"/>
  <c r="H5938"/>
  <c r="I5938"/>
  <c r="K5938"/>
  <c r="H5930"/>
  <c r="I5930"/>
  <c r="K5930"/>
  <c r="H5922"/>
  <c r="I5922"/>
  <c r="K5922"/>
  <c r="H5914"/>
  <c r="I5914"/>
  <c r="K5914"/>
  <c r="H5906"/>
  <c r="I5906"/>
  <c r="K5906"/>
  <c r="H5898"/>
  <c r="I5898"/>
  <c r="K5898"/>
  <c r="H5890"/>
  <c r="I5890"/>
  <c r="K5890"/>
  <c r="H5882"/>
  <c r="I5882"/>
  <c r="K5882"/>
  <c r="H5874"/>
  <c r="I5874"/>
  <c r="K5874"/>
  <c r="H5866"/>
  <c r="I5866"/>
  <c r="K5866"/>
  <c r="H5858"/>
  <c r="I5858"/>
  <c r="K5858"/>
  <c r="H5850"/>
  <c r="I5850"/>
  <c r="K5850"/>
  <c r="H5842"/>
  <c r="I5842"/>
  <c r="K5842"/>
  <c r="H5834"/>
  <c r="I5834"/>
  <c r="K5834"/>
  <c r="H5826"/>
  <c r="I5826"/>
  <c r="K5826"/>
  <c r="H5818"/>
  <c r="I5818"/>
  <c r="K5818"/>
  <c r="H5810"/>
  <c r="I5810"/>
  <c r="K5810"/>
  <c r="H5802"/>
  <c r="I5802"/>
  <c r="K5802"/>
  <c r="H5794"/>
  <c r="I5794"/>
  <c r="K5794"/>
  <c r="H5786"/>
  <c r="I5786"/>
  <c r="K5786"/>
  <c r="H5778"/>
  <c r="I5778"/>
  <c r="K5778"/>
  <c r="H5770"/>
  <c r="I5770"/>
  <c r="K5770"/>
  <c r="H5762"/>
  <c r="I5762"/>
  <c r="K5762"/>
  <c r="H5754"/>
  <c r="I5754"/>
  <c r="K5754"/>
  <c r="H5746"/>
  <c r="I5746"/>
  <c r="K5746"/>
  <c r="H5738"/>
  <c r="I5738"/>
  <c r="K5738"/>
  <c r="H5730"/>
  <c r="I5730"/>
  <c r="K5730"/>
  <c r="H5722"/>
  <c r="I5722"/>
  <c r="K5722"/>
  <c r="H5714"/>
  <c r="I5714"/>
  <c r="K5714"/>
  <c r="H5706"/>
  <c r="I5706"/>
  <c r="K5706"/>
  <c r="H5698"/>
  <c r="I5698"/>
  <c r="K5698"/>
  <c r="H5672"/>
  <c r="I5672"/>
  <c r="K5672"/>
  <c r="H5608"/>
  <c r="I5608"/>
  <c r="K5608"/>
  <c r="H5544"/>
  <c r="I5544"/>
  <c r="K5544"/>
  <c r="H5480"/>
  <c r="I5480"/>
  <c r="K5480"/>
  <c r="H5416"/>
  <c r="I5416"/>
  <c r="K5416"/>
  <c r="H5352"/>
  <c r="I5352"/>
  <c r="K5352"/>
  <c r="H5288"/>
  <c r="I5288"/>
  <c r="K5288"/>
  <c r="H5224"/>
  <c r="I5224"/>
  <c r="K5224"/>
  <c r="H5160"/>
  <c r="I5160"/>
  <c r="K5160"/>
  <c r="H5096"/>
  <c r="I5096"/>
  <c r="K5096"/>
  <c r="H5032"/>
  <c r="I5032"/>
  <c r="K5032"/>
  <c r="H4899"/>
  <c r="I4899"/>
  <c r="K4899"/>
  <c r="H4737"/>
  <c r="I4737"/>
  <c r="K4737"/>
  <c r="H4481"/>
  <c r="I4481"/>
  <c r="K4481"/>
  <c r="H6308"/>
  <c r="I6308"/>
  <c r="K6308"/>
  <c r="H6300"/>
  <c r="I6300"/>
  <c r="K6300"/>
  <c r="H6292"/>
  <c r="I6292"/>
  <c r="K6292"/>
  <c r="H6284"/>
  <c r="I6284"/>
  <c r="K6284"/>
  <c r="H6276"/>
  <c r="I6276"/>
  <c r="K6276"/>
  <c r="H6268"/>
  <c r="I6268"/>
  <c r="K6268"/>
  <c r="H6260"/>
  <c r="I6260"/>
  <c r="K6260"/>
  <c r="H6252"/>
  <c r="I6252"/>
  <c r="K6252"/>
  <c r="H6239"/>
  <c r="I6239"/>
  <c r="K6239"/>
  <c r="H6231"/>
  <c r="I6231"/>
  <c r="K6231"/>
  <c r="H6223"/>
  <c r="I6223"/>
  <c r="K6223"/>
  <c r="H6215"/>
  <c r="I6215"/>
  <c r="K6215"/>
  <c r="H6207"/>
  <c r="I6207"/>
  <c r="K6207"/>
  <c r="H6199"/>
  <c r="I6199"/>
  <c r="K6199"/>
  <c r="H6191"/>
  <c r="I6191"/>
  <c r="K6191"/>
  <c r="H6183"/>
  <c r="I6183"/>
  <c r="K6183"/>
  <c r="H6175"/>
  <c r="I6175"/>
  <c r="K6175"/>
  <c r="H6167"/>
  <c r="I6167"/>
  <c r="K6167"/>
  <c r="H6159"/>
  <c r="I6159"/>
  <c r="K6159"/>
  <c r="H6151"/>
  <c r="I6151"/>
  <c r="K6151"/>
  <c r="H6143"/>
  <c r="I6143"/>
  <c r="K6143"/>
  <c r="H6135"/>
  <c r="I6135"/>
  <c r="K6135"/>
  <c r="H6127"/>
  <c r="I6127"/>
  <c r="K6127"/>
  <c r="H6119"/>
  <c r="I6119"/>
  <c r="K6119"/>
  <c r="H6111"/>
  <c r="I6111"/>
  <c r="K6111"/>
  <c r="H6103"/>
  <c r="I6103"/>
  <c r="K6103"/>
  <c r="H6095"/>
  <c r="I6095"/>
  <c r="K6095"/>
  <c r="H6087"/>
  <c r="I6087"/>
  <c r="K6087"/>
  <c r="H6079"/>
  <c r="I6079"/>
  <c r="K6079"/>
  <c r="H6071"/>
  <c r="I6071"/>
  <c r="K6071"/>
  <c r="H6063"/>
  <c r="I6063"/>
  <c r="K6063"/>
  <c r="H6055"/>
  <c r="I6055"/>
  <c r="K6055"/>
  <c r="H6047"/>
  <c r="I6047"/>
  <c r="K6047"/>
  <c r="H6039"/>
  <c r="I6039"/>
  <c r="K6039"/>
  <c r="H6031"/>
  <c r="I6031"/>
  <c r="K6031"/>
  <c r="H6023"/>
  <c r="I6023"/>
  <c r="K6023"/>
  <c r="H6015"/>
  <c r="I6015"/>
  <c r="K6015"/>
  <c r="H6007"/>
  <c r="I6007"/>
  <c r="K6007"/>
  <c r="H5999"/>
  <c r="I5999"/>
  <c r="K5999"/>
  <c r="H5991"/>
  <c r="I5991"/>
  <c r="K5991"/>
  <c r="H5983"/>
  <c r="I5983"/>
  <c r="K5983"/>
  <c r="H5975"/>
  <c r="I5975"/>
  <c r="K5975"/>
  <c r="H5967"/>
  <c r="I5967"/>
  <c r="K5967"/>
  <c r="H5959"/>
  <c r="I5959"/>
  <c r="K5959"/>
  <c r="H5951"/>
  <c r="I5951"/>
  <c r="K5951"/>
  <c r="H5943"/>
  <c r="I5943"/>
  <c r="K5943"/>
  <c r="H5935"/>
  <c r="I5935"/>
  <c r="K5935"/>
  <c r="H5927"/>
  <c r="I5927"/>
  <c r="K5927"/>
  <c r="H5919"/>
  <c r="I5919"/>
  <c r="K5919"/>
  <c r="H5911"/>
  <c r="I5911"/>
  <c r="K5911"/>
  <c r="H5903"/>
  <c r="I5903"/>
  <c r="K5903"/>
  <c r="H5895"/>
  <c r="I5895"/>
  <c r="K5895"/>
  <c r="H5887"/>
  <c r="I5887"/>
  <c r="K5887"/>
  <c r="H5879"/>
  <c r="I5879"/>
  <c r="K5879"/>
  <c r="H5871"/>
  <c r="I5871"/>
  <c r="K5871"/>
  <c r="H5863"/>
  <c r="I5863"/>
  <c r="K5863"/>
  <c r="H5855"/>
  <c r="I5855"/>
  <c r="K5855"/>
  <c r="H5847"/>
  <c r="I5847"/>
  <c r="K5847"/>
  <c r="H5839"/>
  <c r="I5839"/>
  <c r="K5839"/>
  <c r="H5831"/>
  <c r="I5831"/>
  <c r="K5831"/>
  <c r="H5823"/>
  <c r="I5823"/>
  <c r="K5823"/>
  <c r="H5815"/>
  <c r="I5815"/>
  <c r="K5815"/>
  <c r="H5807"/>
  <c r="I5807"/>
  <c r="K5807"/>
  <c r="H5799"/>
  <c r="I5799"/>
  <c r="K5799"/>
  <c r="H5791"/>
  <c r="I5791"/>
  <c r="K5791"/>
  <c r="H5783"/>
  <c r="I5783"/>
  <c r="K5783"/>
  <c r="H5775"/>
  <c r="I5775"/>
  <c r="K5775"/>
  <c r="H5767"/>
  <c r="I5767"/>
  <c r="K5767"/>
  <c r="H5759"/>
  <c r="I5759"/>
  <c r="K5759"/>
  <c r="H5751"/>
  <c r="I5751"/>
  <c r="K5751"/>
  <c r="H5743"/>
  <c r="I5743"/>
  <c r="K5743"/>
  <c r="H5735"/>
  <c r="I5735"/>
  <c r="K5735"/>
  <c r="H5727"/>
  <c r="I5727"/>
  <c r="K5727"/>
  <c r="H5719"/>
  <c r="I5719"/>
  <c r="K5719"/>
  <c r="H5711"/>
  <c r="I5711"/>
  <c r="K5711"/>
  <c r="H5703"/>
  <c r="I5703"/>
  <c r="K5703"/>
  <c r="H5695"/>
  <c r="I5695"/>
  <c r="K5695"/>
  <c r="H5648"/>
  <c r="I5648"/>
  <c r="K5648"/>
  <c r="H5584"/>
  <c r="I5584"/>
  <c r="K5584"/>
  <c r="H5520"/>
  <c r="I5520"/>
  <c r="K5520"/>
  <c r="H5456"/>
  <c r="I5456"/>
  <c r="K5456"/>
  <c r="H5392"/>
  <c r="I5392"/>
  <c r="K5392"/>
  <c r="H5328"/>
  <c r="I5328"/>
  <c r="K5328"/>
  <c r="H5264"/>
  <c r="I5264"/>
  <c r="K5264"/>
  <c r="H5200"/>
  <c r="I5200"/>
  <c r="K5200"/>
  <c r="H5136"/>
  <c r="I5136"/>
  <c r="K5136"/>
  <c r="H5072"/>
  <c r="I5072"/>
  <c r="K5072"/>
  <c r="H5008"/>
  <c r="I5008"/>
  <c r="K5008"/>
  <c r="H4948"/>
  <c r="I4948"/>
  <c r="K4948"/>
  <c r="H4641"/>
  <c r="I4641"/>
  <c r="K4641"/>
  <c r="H4035"/>
  <c r="I4035"/>
  <c r="K4035"/>
  <c r="H6305"/>
  <c r="I6305"/>
  <c r="K6305"/>
  <c r="H6297"/>
  <c r="I6297"/>
  <c r="K6297"/>
  <c r="H6289"/>
  <c r="I6289"/>
  <c r="K6289"/>
  <c r="H6281"/>
  <c r="I6281"/>
  <c r="K6281"/>
  <c r="H6273"/>
  <c r="I6273"/>
  <c r="K6273"/>
  <c r="H6265"/>
  <c r="I6265"/>
  <c r="K6265"/>
  <c r="H6257"/>
  <c r="I6257"/>
  <c r="K6257"/>
  <c r="H6249"/>
  <c r="I6249"/>
  <c r="K6249"/>
  <c r="H6244"/>
  <c r="I6244"/>
  <c r="K6244"/>
  <c r="H6236"/>
  <c r="I6236"/>
  <c r="K6236"/>
  <c r="H6228"/>
  <c r="I6228"/>
  <c r="K6228"/>
  <c r="H6220"/>
  <c r="I6220"/>
  <c r="K6220"/>
  <c r="H6212"/>
  <c r="I6212"/>
  <c r="K6212"/>
  <c r="H6204"/>
  <c r="I6204"/>
  <c r="K6204"/>
  <c r="H6196"/>
  <c r="I6196"/>
  <c r="K6196"/>
  <c r="H6188"/>
  <c r="I6188"/>
  <c r="K6188"/>
  <c r="H6180"/>
  <c r="I6180"/>
  <c r="K6180"/>
  <c r="H6172"/>
  <c r="I6172"/>
  <c r="K6172"/>
  <c r="H6164"/>
  <c r="I6164"/>
  <c r="K6164"/>
  <c r="H6156"/>
  <c r="I6156"/>
  <c r="K6156"/>
  <c r="H6148"/>
  <c r="I6148"/>
  <c r="K6148"/>
  <c r="H6140"/>
  <c r="I6140"/>
  <c r="K6140"/>
  <c r="H6132"/>
  <c r="I6132"/>
  <c r="K6132"/>
  <c r="H6124"/>
  <c r="I6124"/>
  <c r="K6124"/>
  <c r="H6116"/>
  <c r="I6116"/>
  <c r="K6116"/>
  <c r="H6108"/>
  <c r="I6108"/>
  <c r="K6108"/>
  <c r="H6100"/>
  <c r="I6100"/>
  <c r="K6100"/>
  <c r="H6092"/>
  <c r="I6092"/>
  <c r="K6092"/>
  <c r="H6084"/>
  <c r="I6084"/>
  <c r="K6084"/>
  <c r="H6076"/>
  <c r="I6076"/>
  <c r="K6076"/>
  <c r="H6068"/>
  <c r="I6068"/>
  <c r="K6068"/>
  <c r="H6060"/>
  <c r="I6060"/>
  <c r="K6060"/>
  <c r="H6052"/>
  <c r="I6052"/>
  <c r="K6052"/>
  <c r="H6044"/>
  <c r="I6044"/>
  <c r="K6044"/>
  <c r="H6036"/>
  <c r="I6036"/>
  <c r="K6036"/>
  <c r="H6028"/>
  <c r="I6028"/>
  <c r="K6028"/>
  <c r="H6020"/>
  <c r="I6020"/>
  <c r="K6020"/>
  <c r="H6012"/>
  <c r="I6012"/>
  <c r="K6012"/>
  <c r="H6004"/>
  <c r="I6004"/>
  <c r="K6004"/>
  <c r="H5996"/>
  <c r="I5996"/>
  <c r="K5996"/>
  <c r="H5988"/>
  <c r="I5988"/>
  <c r="K5988"/>
  <c r="H5980"/>
  <c r="I5980"/>
  <c r="K5980"/>
  <c r="H5972"/>
  <c r="I5972"/>
  <c r="K5972"/>
  <c r="H5964"/>
  <c r="I5964"/>
  <c r="K5964"/>
  <c r="H5956"/>
  <c r="I5956"/>
  <c r="K5956"/>
  <c r="H5948"/>
  <c r="I5948"/>
  <c r="K5948"/>
  <c r="H5940"/>
  <c r="I5940"/>
  <c r="K5940"/>
  <c r="H5932"/>
  <c r="I5932"/>
  <c r="K5932"/>
  <c r="H5924"/>
  <c r="I5924"/>
  <c r="K5924"/>
  <c r="H5916"/>
  <c r="I5916"/>
  <c r="K5916"/>
  <c r="H5908"/>
  <c r="I5908"/>
  <c r="K5908"/>
  <c r="H5900"/>
  <c r="I5900"/>
  <c r="K5900"/>
  <c r="H5892"/>
  <c r="I5892"/>
  <c r="K5892"/>
  <c r="H5884"/>
  <c r="I5884"/>
  <c r="K5884"/>
  <c r="H5876"/>
  <c r="I5876"/>
  <c r="K5876"/>
  <c r="H5868"/>
  <c r="I5868"/>
  <c r="K5868"/>
  <c r="H5860"/>
  <c r="I5860"/>
  <c r="K5860"/>
  <c r="H5852"/>
  <c r="I5852"/>
  <c r="K5852"/>
  <c r="H5844"/>
  <c r="I5844"/>
  <c r="K5844"/>
  <c r="H5836"/>
  <c r="I5836"/>
  <c r="K5836"/>
  <c r="H5828"/>
  <c r="I5828"/>
  <c r="K5828"/>
  <c r="H5820"/>
  <c r="I5820"/>
  <c r="K5820"/>
  <c r="H5812"/>
  <c r="I5812"/>
  <c r="K5812"/>
  <c r="H5804"/>
  <c r="I5804"/>
  <c r="K5804"/>
  <c r="H5796"/>
  <c r="I5796"/>
  <c r="K5796"/>
  <c r="H5788"/>
  <c r="I5788"/>
  <c r="K5788"/>
  <c r="H5780"/>
  <c r="I5780"/>
  <c r="K5780"/>
  <c r="H5772"/>
  <c r="I5772"/>
  <c r="K5772"/>
  <c r="H5764"/>
  <c r="I5764"/>
  <c r="K5764"/>
  <c r="H5756"/>
  <c r="I5756"/>
  <c r="K5756"/>
  <c r="H5748"/>
  <c r="I5748"/>
  <c r="K5748"/>
  <c r="H5740"/>
  <c r="I5740"/>
  <c r="K5740"/>
  <c r="H5732"/>
  <c r="I5732"/>
  <c r="K5732"/>
  <c r="H5724"/>
  <c r="I5724"/>
  <c r="K5724"/>
  <c r="H5716"/>
  <c r="I5716"/>
  <c r="K5716"/>
  <c r="H5708"/>
  <c r="I5708"/>
  <c r="K5708"/>
  <c r="H5700"/>
  <c r="I5700"/>
  <c r="K5700"/>
  <c r="H5688"/>
  <c r="I5688"/>
  <c r="K5688"/>
  <c r="H5624"/>
  <c r="I5624"/>
  <c r="K5624"/>
  <c r="H5560"/>
  <c r="I5560"/>
  <c r="K5560"/>
  <c r="H5496"/>
  <c r="I5496"/>
  <c r="K5496"/>
  <c r="H5432"/>
  <c r="I5432"/>
  <c r="K5432"/>
  <c r="H5368"/>
  <c r="I5368"/>
  <c r="K5368"/>
  <c r="H5304"/>
  <c r="I5304"/>
  <c r="K5304"/>
  <c r="H5240"/>
  <c r="I5240"/>
  <c r="K5240"/>
  <c r="H5176"/>
  <c r="I5176"/>
  <c r="K5176"/>
  <c r="H5112"/>
  <c r="I5112"/>
  <c r="K5112"/>
  <c r="H5048"/>
  <c r="I5048"/>
  <c r="K5048"/>
  <c r="H4984"/>
  <c r="I4984"/>
  <c r="K4984"/>
  <c r="H4884"/>
  <c r="I4884"/>
  <c r="K4884"/>
  <c r="H4801"/>
  <c r="I4801"/>
  <c r="K4801"/>
  <c r="H4545"/>
  <c r="I4545"/>
  <c r="K4545"/>
  <c r="H4324"/>
  <c r="I4324"/>
  <c r="K4324"/>
  <c r="H6310"/>
  <c r="I6310"/>
  <c r="K6310"/>
  <c r="H6302"/>
  <c r="I6302"/>
  <c r="K6302"/>
  <c r="H6294"/>
  <c r="I6294"/>
  <c r="K6294"/>
  <c r="H6286"/>
  <c r="I6286"/>
  <c r="K6286"/>
  <c r="H6278"/>
  <c r="I6278"/>
  <c r="K6278"/>
  <c r="H6270"/>
  <c r="I6270"/>
  <c r="K6270"/>
  <c r="H6262"/>
  <c r="I6262"/>
  <c r="K6262"/>
  <c r="H6254"/>
  <c r="I6254"/>
  <c r="K6254"/>
  <c r="H6246"/>
  <c r="I6246"/>
  <c r="K6246"/>
  <c r="H6241"/>
  <c r="I6241"/>
  <c r="K6241"/>
  <c r="H6233"/>
  <c r="I6233"/>
  <c r="K6233"/>
  <c r="H6225"/>
  <c r="I6225"/>
  <c r="K6225"/>
  <c r="H6217"/>
  <c r="I6217"/>
  <c r="K6217"/>
  <c r="H6209"/>
  <c r="I6209"/>
  <c r="K6209"/>
  <c r="H6201"/>
  <c r="I6201"/>
  <c r="K6201"/>
  <c r="H6193"/>
  <c r="I6193"/>
  <c r="K6193"/>
  <c r="H6185"/>
  <c r="I6185"/>
  <c r="K6185"/>
  <c r="H6177"/>
  <c r="I6177"/>
  <c r="K6177"/>
  <c r="H6169"/>
  <c r="I6169"/>
  <c r="K6169"/>
  <c r="H6161"/>
  <c r="I6161"/>
  <c r="K6161"/>
  <c r="H6153"/>
  <c r="I6153"/>
  <c r="K6153"/>
  <c r="H6145"/>
  <c r="I6145"/>
  <c r="K6145"/>
  <c r="H6137"/>
  <c r="I6137"/>
  <c r="K6137"/>
  <c r="H6129"/>
  <c r="I6129"/>
  <c r="K6129"/>
  <c r="H6121"/>
  <c r="I6121"/>
  <c r="K6121"/>
  <c r="H6113"/>
  <c r="I6113"/>
  <c r="K6113"/>
  <c r="H6105"/>
  <c r="I6105"/>
  <c r="K6105"/>
  <c r="H6097"/>
  <c r="I6097"/>
  <c r="K6097"/>
  <c r="H6089"/>
  <c r="I6089"/>
  <c r="K6089"/>
  <c r="H6081"/>
  <c r="I6081"/>
  <c r="K6081"/>
  <c r="H6073"/>
  <c r="I6073"/>
  <c r="K6073"/>
  <c r="H6065"/>
  <c r="I6065"/>
  <c r="K6065"/>
  <c r="H6057"/>
  <c r="I6057"/>
  <c r="K6057"/>
  <c r="H6049"/>
  <c r="I6049"/>
  <c r="K6049"/>
  <c r="H6041"/>
  <c r="I6041"/>
  <c r="K6041"/>
  <c r="H6033"/>
  <c r="I6033"/>
  <c r="K6033"/>
  <c r="H6025"/>
  <c r="I6025"/>
  <c r="K6025"/>
  <c r="H6017"/>
  <c r="I6017"/>
  <c r="K6017"/>
  <c r="H6009"/>
  <c r="I6009"/>
  <c r="K6009"/>
  <c r="H6001"/>
  <c r="I6001"/>
  <c r="K6001"/>
  <c r="H5993"/>
  <c r="I5993"/>
  <c r="K5993"/>
  <c r="H5985"/>
  <c r="I5985"/>
  <c r="K5985"/>
  <c r="H5977"/>
  <c r="I5977"/>
  <c r="K5977"/>
  <c r="H5969"/>
  <c r="I5969"/>
  <c r="K5969"/>
  <c r="H5961"/>
  <c r="I5961"/>
  <c r="K5961"/>
  <c r="H5953"/>
  <c r="I5953"/>
  <c r="K5953"/>
  <c r="H5945"/>
  <c r="I5945"/>
  <c r="K5945"/>
  <c r="H5937"/>
  <c r="I5937"/>
  <c r="K5937"/>
  <c r="H5929"/>
  <c r="I5929"/>
  <c r="K5929"/>
  <c r="H5921"/>
  <c r="I5921"/>
  <c r="K5921"/>
  <c r="H5913"/>
  <c r="I5913"/>
  <c r="K5913"/>
  <c r="H5905"/>
  <c r="I5905"/>
  <c r="K5905"/>
  <c r="H5897"/>
  <c r="I5897"/>
  <c r="K5897"/>
  <c r="H5889"/>
  <c r="I5889"/>
  <c r="K5889"/>
  <c r="H5881"/>
  <c r="I5881"/>
  <c r="K5881"/>
  <c r="H5873"/>
  <c r="I5873"/>
  <c r="K5873"/>
  <c r="H5865"/>
  <c r="I5865"/>
  <c r="K5865"/>
  <c r="H5857"/>
  <c r="I5857"/>
  <c r="K5857"/>
  <c r="H5849"/>
  <c r="I5849"/>
  <c r="K5849"/>
  <c r="H5841"/>
  <c r="I5841"/>
  <c r="K5841"/>
  <c r="H5833"/>
  <c r="I5833"/>
  <c r="K5833"/>
  <c r="H5825"/>
  <c r="I5825"/>
  <c r="K5825"/>
  <c r="H5817"/>
  <c r="I5817"/>
  <c r="K5817"/>
  <c r="H5809"/>
  <c r="I5809"/>
  <c r="K5809"/>
  <c r="H5801"/>
  <c r="I5801"/>
  <c r="K5801"/>
  <c r="H5793"/>
  <c r="I5793"/>
  <c r="K5793"/>
  <c r="H5785"/>
  <c r="I5785"/>
  <c r="K5785"/>
  <c r="H5777"/>
  <c r="I5777"/>
  <c r="K5777"/>
  <c r="H5769"/>
  <c r="I5769"/>
  <c r="K5769"/>
  <c r="H5761"/>
  <c r="I5761"/>
  <c r="K5761"/>
  <c r="H5753"/>
  <c r="I5753"/>
  <c r="K5753"/>
  <c r="H5745"/>
  <c r="I5745"/>
  <c r="K5745"/>
  <c r="H5737"/>
  <c r="I5737"/>
  <c r="K5737"/>
  <c r="H5729"/>
  <c r="I5729"/>
  <c r="K5729"/>
  <c r="H5721"/>
  <c r="I5721"/>
  <c r="K5721"/>
  <c r="H5713"/>
  <c r="I5713"/>
  <c r="K5713"/>
  <c r="H5705"/>
  <c r="I5705"/>
  <c r="K5705"/>
  <c r="H5697"/>
  <c r="I5697"/>
  <c r="K5697"/>
  <c r="H5664"/>
  <c r="I5664"/>
  <c r="K5664"/>
  <c r="H5600"/>
  <c r="I5600"/>
  <c r="K5600"/>
  <c r="H5536"/>
  <c r="I5536"/>
  <c r="K5536"/>
  <c r="H5472"/>
  <c r="I5472"/>
  <c r="K5472"/>
  <c r="H5408"/>
  <c r="I5408"/>
  <c r="K5408"/>
  <c r="H5344"/>
  <c r="I5344"/>
  <c r="K5344"/>
  <c r="H5280"/>
  <c r="I5280"/>
  <c r="K5280"/>
  <c r="H5216"/>
  <c r="I5216"/>
  <c r="K5216"/>
  <c r="H5152"/>
  <c r="I5152"/>
  <c r="K5152"/>
  <c r="H5088"/>
  <c r="I5088"/>
  <c r="K5088"/>
  <c r="H5024"/>
  <c r="I5024"/>
  <c r="K5024"/>
  <c r="H4705"/>
  <c r="I4705"/>
  <c r="K4705"/>
  <c r="H4449"/>
  <c r="I4449"/>
  <c r="K4449"/>
  <c r="H6307"/>
  <c r="I6307"/>
  <c r="K6307"/>
  <c r="H6299"/>
  <c r="I6299"/>
  <c r="K6299"/>
  <c r="H6291"/>
  <c r="I6291"/>
  <c r="K6291"/>
  <c r="H6283"/>
  <c r="I6283"/>
  <c r="K6283"/>
  <c r="H6275"/>
  <c r="I6275"/>
  <c r="K6275"/>
  <c r="H6267"/>
  <c r="I6267"/>
  <c r="K6267"/>
  <c r="H6259"/>
  <c r="I6259"/>
  <c r="K6259"/>
  <c r="H6251"/>
  <c r="I6251"/>
  <c r="K6251"/>
  <c r="H6238"/>
  <c r="I6238"/>
  <c r="K6238"/>
  <c r="H6230"/>
  <c r="I6230"/>
  <c r="K6230"/>
  <c r="H6222"/>
  <c r="I6222"/>
  <c r="K6222"/>
  <c r="H6214"/>
  <c r="I6214"/>
  <c r="K6214"/>
  <c r="H6206"/>
  <c r="I6206"/>
  <c r="K6206"/>
  <c r="H6198"/>
  <c r="I6198"/>
  <c r="K6198"/>
  <c r="H6190"/>
  <c r="I6190"/>
  <c r="K6190"/>
  <c r="H6182"/>
  <c r="I6182"/>
  <c r="K6182"/>
  <c r="H6174"/>
  <c r="I6174"/>
  <c r="K6174"/>
  <c r="H6166"/>
  <c r="I6166"/>
  <c r="K6166"/>
  <c r="H6158"/>
  <c r="I6158"/>
  <c r="K6158"/>
  <c r="H6150"/>
  <c r="I6150"/>
  <c r="K6150"/>
  <c r="H6142"/>
  <c r="I6142"/>
  <c r="K6142"/>
  <c r="H6134"/>
  <c r="I6134"/>
  <c r="K6134"/>
  <c r="H6126"/>
  <c r="I6126"/>
  <c r="K6126"/>
  <c r="H6118"/>
  <c r="I6118"/>
  <c r="K6118"/>
  <c r="H6110"/>
  <c r="I6110"/>
  <c r="K6110"/>
  <c r="H6102"/>
  <c r="I6102"/>
  <c r="K6102"/>
  <c r="H6094"/>
  <c r="I6094"/>
  <c r="K6094"/>
  <c r="H6086"/>
  <c r="I6086"/>
  <c r="K6086"/>
  <c r="H6078"/>
  <c r="I6078"/>
  <c r="K6078"/>
  <c r="H6070"/>
  <c r="I6070"/>
  <c r="K6070"/>
  <c r="H6062"/>
  <c r="I6062"/>
  <c r="K6062"/>
  <c r="H6054"/>
  <c r="I6054"/>
  <c r="K6054"/>
  <c r="H6046"/>
  <c r="I6046"/>
  <c r="K6046"/>
  <c r="H6038"/>
  <c r="I6038"/>
  <c r="K6038"/>
  <c r="H6030"/>
  <c r="I6030"/>
  <c r="K6030"/>
  <c r="H6022"/>
  <c r="I6022"/>
  <c r="K6022"/>
  <c r="H6014"/>
  <c r="I6014"/>
  <c r="K6014"/>
  <c r="H6006"/>
  <c r="I6006"/>
  <c r="K6006"/>
  <c r="H5998"/>
  <c r="I5998"/>
  <c r="K5998"/>
  <c r="H5990"/>
  <c r="I5990"/>
  <c r="K5990"/>
  <c r="H5982"/>
  <c r="I5982"/>
  <c r="K5982"/>
  <c r="H5974"/>
  <c r="I5974"/>
  <c r="K5974"/>
  <c r="H5966"/>
  <c r="I5966"/>
  <c r="K5966"/>
  <c r="H5958"/>
  <c r="I5958"/>
  <c r="K5958"/>
  <c r="H5950"/>
  <c r="I5950"/>
  <c r="K5950"/>
  <c r="H5942"/>
  <c r="I5942"/>
  <c r="K5942"/>
  <c r="H5934"/>
  <c r="I5934"/>
  <c r="K5934"/>
  <c r="H5926"/>
  <c r="I5926"/>
  <c r="K5926"/>
  <c r="H5918"/>
  <c r="I5918"/>
  <c r="K5918"/>
  <c r="H5910"/>
  <c r="I5910"/>
  <c r="K5910"/>
  <c r="H5902"/>
  <c r="I5902"/>
  <c r="K5902"/>
  <c r="H5894"/>
  <c r="I5894"/>
  <c r="K5894"/>
  <c r="H5886"/>
  <c r="I5886"/>
  <c r="K5886"/>
  <c r="H5878"/>
  <c r="I5878"/>
  <c r="K5878"/>
  <c r="H5870"/>
  <c r="I5870"/>
  <c r="K5870"/>
  <c r="H5862"/>
  <c r="I5862"/>
  <c r="K5862"/>
  <c r="H5854"/>
  <c r="I5854"/>
  <c r="K5854"/>
  <c r="H5846"/>
  <c r="I5846"/>
  <c r="K5846"/>
  <c r="H5838"/>
  <c r="I5838"/>
  <c r="K5838"/>
  <c r="H5830"/>
  <c r="I5830"/>
  <c r="K5830"/>
  <c r="H5822"/>
  <c r="I5822"/>
  <c r="K5822"/>
  <c r="H5814"/>
  <c r="I5814"/>
  <c r="K5814"/>
  <c r="H5806"/>
  <c r="I5806"/>
  <c r="K5806"/>
  <c r="H5798"/>
  <c r="I5798"/>
  <c r="K5798"/>
  <c r="H5790"/>
  <c r="I5790"/>
  <c r="K5790"/>
  <c r="H5782"/>
  <c r="I5782"/>
  <c r="K5782"/>
  <c r="H5774"/>
  <c r="I5774"/>
  <c r="K5774"/>
  <c r="H5766"/>
  <c r="I5766"/>
  <c r="K5766"/>
  <c r="H5758"/>
  <c r="I5758"/>
  <c r="K5758"/>
  <c r="H5750"/>
  <c r="I5750"/>
  <c r="K5750"/>
  <c r="H5742"/>
  <c r="I5742"/>
  <c r="K5742"/>
  <c r="H5734"/>
  <c r="I5734"/>
  <c r="K5734"/>
  <c r="H5726"/>
  <c r="I5726"/>
  <c r="K5726"/>
  <c r="H5718"/>
  <c r="I5718"/>
  <c r="K5718"/>
  <c r="H5710"/>
  <c r="I5710"/>
  <c r="K5710"/>
  <c r="H5702"/>
  <c r="I5702"/>
  <c r="K5702"/>
  <c r="H5694"/>
  <c r="I5694"/>
  <c r="K5694"/>
  <c r="H5640"/>
  <c r="I5640"/>
  <c r="K5640"/>
  <c r="H5576"/>
  <c r="I5576"/>
  <c r="K5576"/>
  <c r="H5512"/>
  <c r="I5512"/>
  <c r="K5512"/>
  <c r="H5448"/>
  <c r="I5448"/>
  <c r="K5448"/>
  <c r="H5384"/>
  <c r="I5384"/>
  <c r="K5384"/>
  <c r="H5320"/>
  <c r="I5320"/>
  <c r="K5320"/>
  <c r="H5256"/>
  <c r="I5256"/>
  <c r="K5256"/>
  <c r="H5192"/>
  <c r="I5192"/>
  <c r="K5192"/>
  <c r="H5128"/>
  <c r="I5128"/>
  <c r="K5128"/>
  <c r="H5064"/>
  <c r="I5064"/>
  <c r="K5064"/>
  <c r="H5000"/>
  <c r="I5000"/>
  <c r="K5000"/>
  <c r="H4865"/>
  <c r="I4865"/>
  <c r="K4865"/>
  <c r="H4609"/>
  <c r="I4609"/>
  <c r="K4609"/>
  <c r="H3653"/>
  <c r="I3653"/>
  <c r="K3653"/>
  <c r="H6312"/>
  <c r="I6312"/>
  <c r="K6312"/>
  <c r="H6304"/>
  <c r="I6304"/>
  <c r="K6304"/>
  <c r="H6296"/>
  <c r="I6296"/>
  <c r="K6296"/>
  <c r="H6288"/>
  <c r="I6288"/>
  <c r="K6288"/>
  <c r="H6280"/>
  <c r="I6280"/>
  <c r="K6280"/>
  <c r="H6272"/>
  <c r="I6272"/>
  <c r="K6272"/>
  <c r="H6264"/>
  <c r="I6264"/>
  <c r="K6264"/>
  <c r="H6256"/>
  <c r="I6256"/>
  <c r="K6256"/>
  <c r="H6248"/>
  <c r="I6248"/>
  <c r="K6248"/>
  <c r="H6243"/>
  <c r="I6243"/>
  <c r="K6243"/>
  <c r="H6235"/>
  <c r="I6235"/>
  <c r="K6235"/>
  <c r="H6227"/>
  <c r="I6227"/>
  <c r="K6227"/>
  <c r="H6219"/>
  <c r="I6219"/>
  <c r="K6219"/>
  <c r="H6211"/>
  <c r="I6211"/>
  <c r="K6211"/>
  <c r="H6203"/>
  <c r="I6203"/>
  <c r="K6203"/>
  <c r="H6195"/>
  <c r="I6195"/>
  <c r="K6195"/>
  <c r="H6187"/>
  <c r="I6187"/>
  <c r="K6187"/>
  <c r="H6179"/>
  <c r="I6179"/>
  <c r="K6179"/>
  <c r="H6171"/>
  <c r="I6171"/>
  <c r="K6171"/>
  <c r="H6163"/>
  <c r="I6163"/>
  <c r="K6163"/>
  <c r="H6155"/>
  <c r="I6155"/>
  <c r="K6155"/>
  <c r="H6147"/>
  <c r="I6147"/>
  <c r="K6147"/>
  <c r="H6139"/>
  <c r="I6139"/>
  <c r="K6139"/>
  <c r="H6131"/>
  <c r="I6131"/>
  <c r="K6131"/>
  <c r="H6123"/>
  <c r="I6123"/>
  <c r="K6123"/>
  <c r="H6115"/>
  <c r="I6115"/>
  <c r="K6115"/>
  <c r="H6107"/>
  <c r="I6107"/>
  <c r="K6107"/>
  <c r="H6099"/>
  <c r="I6099"/>
  <c r="K6099"/>
  <c r="H6091"/>
  <c r="I6091"/>
  <c r="K6091"/>
  <c r="H6083"/>
  <c r="I6083"/>
  <c r="K6083"/>
  <c r="H6075"/>
  <c r="I6075"/>
  <c r="K6075"/>
  <c r="H6067"/>
  <c r="I6067"/>
  <c r="K6067"/>
  <c r="H6059"/>
  <c r="I6059"/>
  <c r="K6059"/>
  <c r="H6051"/>
  <c r="I6051"/>
  <c r="K6051"/>
  <c r="H6043"/>
  <c r="I6043"/>
  <c r="K6043"/>
  <c r="H6035"/>
  <c r="I6035"/>
  <c r="K6035"/>
  <c r="H6027"/>
  <c r="I6027"/>
  <c r="K6027"/>
  <c r="H6019"/>
  <c r="I6019"/>
  <c r="K6019"/>
  <c r="H6011"/>
  <c r="I6011"/>
  <c r="K6011"/>
  <c r="H6003"/>
  <c r="I6003"/>
  <c r="K6003"/>
  <c r="H5995"/>
  <c r="I5995"/>
  <c r="K5995"/>
  <c r="H5987"/>
  <c r="I5987"/>
  <c r="K5987"/>
  <c r="H5979"/>
  <c r="I5979"/>
  <c r="K5979"/>
  <c r="H5971"/>
  <c r="I5971"/>
  <c r="K5971"/>
  <c r="H5963"/>
  <c r="I5963"/>
  <c r="K5963"/>
  <c r="H5955"/>
  <c r="I5955"/>
  <c r="K5955"/>
  <c r="H5947"/>
  <c r="I5947"/>
  <c r="K5947"/>
  <c r="H5939"/>
  <c r="I5939"/>
  <c r="K5939"/>
  <c r="H5931"/>
  <c r="I5931"/>
  <c r="K5931"/>
  <c r="H5923"/>
  <c r="I5923"/>
  <c r="K5923"/>
  <c r="H5915"/>
  <c r="I5915"/>
  <c r="K5915"/>
  <c r="H5907"/>
  <c r="I5907"/>
  <c r="K5907"/>
  <c r="H5899"/>
  <c r="I5899"/>
  <c r="K5899"/>
  <c r="H5891"/>
  <c r="I5891"/>
  <c r="K5891"/>
  <c r="H5883"/>
  <c r="I5883"/>
  <c r="K5883"/>
  <c r="H5875"/>
  <c r="I5875"/>
  <c r="K5875"/>
  <c r="H5867"/>
  <c r="I5867"/>
  <c r="K5867"/>
  <c r="H5859"/>
  <c r="I5859"/>
  <c r="K5859"/>
  <c r="H5851"/>
  <c r="I5851"/>
  <c r="K5851"/>
  <c r="H5843"/>
  <c r="I5843"/>
  <c r="K5843"/>
  <c r="H5835"/>
  <c r="I5835"/>
  <c r="K5835"/>
  <c r="H5827"/>
  <c r="I5827"/>
  <c r="K5827"/>
  <c r="H5819"/>
  <c r="I5819"/>
  <c r="K5819"/>
  <c r="H5811"/>
  <c r="I5811"/>
  <c r="K5811"/>
  <c r="H5803"/>
  <c r="I5803"/>
  <c r="K5803"/>
  <c r="H5795"/>
  <c r="I5795"/>
  <c r="K5795"/>
  <c r="H5787"/>
  <c r="I5787"/>
  <c r="K5787"/>
  <c r="H5779"/>
  <c r="I5779"/>
  <c r="K5779"/>
  <c r="H5771"/>
  <c r="I5771"/>
  <c r="K5771"/>
  <c r="H5763"/>
  <c r="I5763"/>
  <c r="K5763"/>
  <c r="H5755"/>
  <c r="I5755"/>
  <c r="K5755"/>
  <c r="H5747"/>
  <c r="I5747"/>
  <c r="K5747"/>
  <c r="H5739"/>
  <c r="I5739"/>
  <c r="K5739"/>
  <c r="H5731"/>
  <c r="I5731"/>
  <c r="K5731"/>
  <c r="H5723"/>
  <c r="I5723"/>
  <c r="K5723"/>
  <c r="H5715"/>
  <c r="I5715"/>
  <c r="K5715"/>
  <c r="H5707"/>
  <c r="I5707"/>
  <c r="K5707"/>
  <c r="H5699"/>
  <c r="I5699"/>
  <c r="K5699"/>
  <c r="H5680"/>
  <c r="I5680"/>
  <c r="K5680"/>
  <c r="H5616"/>
  <c r="I5616"/>
  <c r="K5616"/>
  <c r="H5552"/>
  <c r="I5552"/>
  <c r="K5552"/>
  <c r="H5488"/>
  <c r="I5488"/>
  <c r="K5488"/>
  <c r="H5424"/>
  <c r="I5424"/>
  <c r="K5424"/>
  <c r="H5360"/>
  <c r="I5360"/>
  <c r="K5360"/>
  <c r="H5296"/>
  <c r="I5296"/>
  <c r="K5296"/>
  <c r="H5232"/>
  <c r="I5232"/>
  <c r="K5232"/>
  <c r="H5168"/>
  <c r="I5168"/>
  <c r="K5168"/>
  <c r="H5104"/>
  <c r="I5104"/>
  <c r="K5104"/>
  <c r="H5040"/>
  <c r="I5040"/>
  <c r="K5040"/>
  <c r="H4769"/>
  <c r="I4769"/>
  <c r="K4769"/>
  <c r="H4513"/>
  <c r="I4513"/>
  <c r="K4513"/>
  <c r="H4260"/>
  <c r="I4260"/>
  <c r="K4260"/>
  <c r="H3482"/>
  <c r="I3482"/>
  <c r="K3482"/>
  <c r="H227"/>
  <c r="I227"/>
  <c r="K227"/>
  <c r="H169"/>
  <c r="I169"/>
  <c r="K169"/>
  <c r="H87"/>
  <c r="I87"/>
  <c r="K87"/>
  <c r="H206"/>
  <c r="I206"/>
  <c r="K206"/>
  <c r="H142"/>
  <c r="I142"/>
  <c r="K142"/>
  <c r="H78"/>
  <c r="I78"/>
  <c r="K78"/>
  <c r="H14"/>
  <c r="I14"/>
  <c r="K14"/>
  <c r="H131"/>
  <c r="I131"/>
  <c r="K131"/>
  <c r="H67"/>
  <c r="I67"/>
  <c r="K67"/>
  <c r="H40"/>
  <c r="I40"/>
  <c r="K40"/>
  <c r="H61"/>
  <c r="I61"/>
  <c r="K61"/>
  <c r="H6269"/>
  <c r="I6269"/>
  <c r="K6269"/>
  <c r="H6016"/>
  <c r="I6016"/>
  <c r="K6016"/>
  <c r="H5760"/>
  <c r="I5760"/>
  <c r="K5760"/>
  <c r="H182"/>
  <c r="I182"/>
  <c r="K182"/>
  <c r="H118"/>
  <c r="I118"/>
  <c r="K118"/>
  <c r="H54"/>
  <c r="I54"/>
  <c r="K54"/>
  <c r="H171"/>
  <c r="I171"/>
  <c r="K171"/>
  <c r="H107"/>
  <c r="I107"/>
  <c r="K107"/>
  <c r="H43"/>
  <c r="I43"/>
  <c r="K43"/>
  <c r="H16"/>
  <c r="I16"/>
  <c r="K16"/>
  <c r="H37"/>
  <c r="I37"/>
  <c r="K37"/>
  <c r="H6261"/>
  <c r="I6261"/>
  <c r="K6261"/>
  <c r="H6008"/>
  <c r="I6008"/>
  <c r="K6008"/>
  <c r="H5752"/>
  <c r="I5752"/>
  <c r="K5752"/>
  <c r="H170"/>
  <c r="I170"/>
  <c r="K170"/>
  <c r="H88"/>
  <c r="I88"/>
  <c r="K88"/>
  <c r="H284"/>
  <c r="I284"/>
  <c r="K284"/>
  <c r="H224"/>
  <c r="I224"/>
  <c r="K224"/>
  <c r="H165"/>
  <c r="I165"/>
  <c r="K165"/>
  <c r="H74"/>
  <c r="I74"/>
  <c r="K74"/>
  <c r="H198"/>
  <c r="I198"/>
  <c r="K198"/>
  <c r="H134"/>
  <c r="I134"/>
  <c r="K134"/>
  <c r="H70"/>
  <c r="I70"/>
  <c r="K70"/>
  <c r="H187"/>
  <c r="I187"/>
  <c r="K187"/>
  <c r="H123"/>
  <c r="I123"/>
  <c r="K123"/>
  <c r="H59"/>
  <c r="I59"/>
  <c r="K59"/>
  <c r="H32"/>
  <c r="I32"/>
  <c r="K32"/>
  <c r="H53"/>
  <c r="I53"/>
  <c r="K53"/>
  <c r="H6072"/>
  <c r="I6072"/>
  <c r="K6072"/>
  <c r="H5816"/>
  <c r="I5816"/>
  <c r="K5816"/>
  <c r="H207"/>
  <c r="I207"/>
  <c r="K207"/>
  <c r="H138"/>
  <c r="I138"/>
  <c r="K138"/>
  <c r="H63"/>
  <c r="I63"/>
  <c r="K63"/>
  <c r="H260"/>
  <c r="I260"/>
  <c r="K260"/>
  <c r="H215"/>
  <c r="I215"/>
  <c r="K215"/>
  <c r="H133"/>
  <c r="I133"/>
  <c r="K133"/>
  <c r="H18"/>
  <c r="I18"/>
  <c r="K18"/>
  <c r="H174"/>
  <c r="I174"/>
  <c r="K174"/>
  <c r="H110"/>
  <c r="I110"/>
  <c r="K110"/>
  <c r="H46"/>
  <c r="I46"/>
  <c r="K46"/>
  <c r="H163"/>
  <c r="I163"/>
  <c r="K163"/>
  <c r="H99"/>
  <c r="I99"/>
  <c r="K99"/>
  <c r="H35"/>
  <c r="I35"/>
  <c r="K35"/>
  <c r="H8"/>
  <c r="I8"/>
  <c r="K8"/>
  <c r="H29"/>
  <c r="I29"/>
  <c r="K29"/>
  <c r="H6144"/>
  <c r="I6144"/>
  <c r="K6144"/>
  <c r="H5888"/>
  <c r="I5888"/>
  <c r="K5888"/>
  <c r="H188"/>
  <c r="I188"/>
  <c r="K188"/>
  <c r="H106"/>
  <c r="I106"/>
  <c r="K106"/>
  <c r="H15"/>
  <c r="I15"/>
  <c r="K15"/>
  <c r="H236"/>
  <c r="I236"/>
  <c r="K236"/>
  <c r="H183"/>
  <c r="I183"/>
  <c r="K183"/>
  <c r="H101"/>
  <c r="I101"/>
  <c r="K101"/>
  <c r="H214"/>
  <c r="I214"/>
  <c r="K214"/>
  <c r="H150"/>
  <c r="I150"/>
  <c r="K150"/>
  <c r="H86"/>
  <c r="I86"/>
  <c r="K86"/>
  <c r="H22"/>
  <c r="I22"/>
  <c r="K22"/>
  <c r="H139"/>
  <c r="I139"/>
  <c r="K139"/>
  <c r="H75"/>
  <c r="I75"/>
  <c r="K75"/>
  <c r="H11"/>
  <c r="I11"/>
  <c r="K11"/>
  <c r="H69"/>
  <c r="I69"/>
  <c r="K69"/>
  <c r="H6136"/>
  <c r="I6136"/>
  <c r="K6136"/>
  <c r="H4673"/>
  <c r="I4673"/>
  <c r="K4673"/>
  <c r="H5400"/>
  <c r="I5400"/>
  <c r="K5400"/>
  <c r="H5704"/>
  <c r="I5704"/>
  <c r="K5704"/>
  <c r="H5768"/>
  <c r="I5768"/>
  <c r="K5768"/>
  <c r="H5832"/>
  <c r="I5832"/>
  <c r="K5832"/>
  <c r="H5896"/>
  <c r="I5896"/>
  <c r="K5896"/>
  <c r="H5960"/>
  <c r="I5960"/>
  <c r="K5960"/>
  <c r="H6024"/>
  <c r="I6024"/>
  <c r="K6024"/>
  <c r="H6088"/>
  <c r="I6088"/>
  <c r="K6088"/>
  <c r="H6152"/>
  <c r="I6152"/>
  <c r="K6152"/>
  <c r="H6216"/>
  <c r="I6216"/>
  <c r="K6216"/>
  <c r="H6277"/>
  <c r="I6277"/>
  <c r="K6277"/>
  <c r="H4913"/>
  <c r="I4913"/>
  <c r="K4913"/>
  <c r="H5464"/>
  <c r="I5464"/>
  <c r="K5464"/>
  <c r="H5728"/>
  <c r="I5728"/>
  <c r="K5728"/>
  <c r="H5792"/>
  <c r="I5792"/>
  <c r="K5792"/>
  <c r="H5856"/>
  <c r="I5856"/>
  <c r="K5856"/>
  <c r="H5920"/>
  <c r="I5920"/>
  <c r="K5920"/>
  <c r="H5984"/>
  <c r="I5984"/>
  <c r="K5984"/>
  <c r="H6048"/>
  <c r="I6048"/>
  <c r="K6048"/>
  <c r="H6112"/>
  <c r="I6112"/>
  <c r="K6112"/>
  <c r="H6176"/>
  <c r="I6176"/>
  <c r="K6176"/>
  <c r="H6240"/>
  <c r="I6240"/>
  <c r="K6240"/>
  <c r="H6301"/>
  <c r="I6301"/>
  <c r="K6301"/>
  <c r="H5016"/>
  <c r="I5016"/>
  <c r="K5016"/>
  <c r="H5080"/>
  <c r="I5080"/>
  <c r="K5080"/>
  <c r="H5592"/>
  <c r="I5592"/>
  <c r="K5592"/>
  <c r="H5712"/>
  <c r="I5712"/>
  <c r="K5712"/>
  <c r="H5776"/>
  <c r="I5776"/>
  <c r="K5776"/>
  <c r="H5840"/>
  <c r="I5840"/>
  <c r="K5840"/>
  <c r="H5904"/>
  <c r="I5904"/>
  <c r="K5904"/>
  <c r="H5968"/>
  <c r="I5968"/>
  <c r="K5968"/>
  <c r="H6032"/>
  <c r="I6032"/>
  <c r="K6032"/>
  <c r="H6096"/>
  <c r="I6096"/>
  <c r="K6096"/>
  <c r="H6160"/>
  <c r="I6160"/>
  <c r="K6160"/>
  <c r="H6224"/>
  <c r="I6224"/>
  <c r="K6224"/>
  <c r="H6285"/>
  <c r="I6285"/>
  <c r="K6285"/>
  <c r="H5144"/>
  <c r="I5144"/>
  <c r="K5144"/>
  <c r="H5656"/>
  <c r="I5656"/>
  <c r="K5656"/>
  <c r="H5736"/>
  <c r="I5736"/>
  <c r="K5736"/>
  <c r="H5800"/>
  <c r="I5800"/>
  <c r="K5800"/>
  <c r="H5864"/>
  <c r="I5864"/>
  <c r="K5864"/>
  <c r="H5928"/>
  <c r="I5928"/>
  <c r="K5928"/>
  <c r="H5992"/>
  <c r="I5992"/>
  <c r="K5992"/>
  <c r="H6056"/>
  <c r="I6056"/>
  <c r="K6056"/>
  <c r="H6120"/>
  <c r="I6120"/>
  <c r="K6120"/>
  <c r="H6184"/>
  <c r="I6184"/>
  <c r="K6184"/>
  <c r="H6245"/>
  <c r="I6245"/>
  <c r="K6245"/>
  <c r="H6309"/>
  <c r="I6309"/>
  <c r="K6309"/>
  <c r="H5208"/>
  <c r="I5208"/>
  <c r="K5208"/>
  <c r="H5272"/>
  <c r="I5272"/>
  <c r="K5272"/>
  <c r="H5720"/>
  <c r="I5720"/>
  <c r="K5720"/>
  <c r="H5784"/>
  <c r="I5784"/>
  <c r="K5784"/>
  <c r="H5848"/>
  <c r="I5848"/>
  <c r="K5848"/>
  <c r="H5912"/>
  <c r="I5912"/>
  <c r="K5912"/>
  <c r="H5976"/>
  <c r="I5976"/>
  <c r="K5976"/>
  <c r="H6040"/>
  <c r="I6040"/>
  <c r="K6040"/>
  <c r="H6104"/>
  <c r="I6104"/>
  <c r="K6104"/>
  <c r="H6168"/>
  <c r="I6168"/>
  <c r="K6168"/>
  <c r="H6232"/>
  <c r="I6232"/>
  <c r="K6232"/>
  <c r="H6293"/>
  <c r="I6293"/>
  <c r="K6293"/>
  <c r="H5336"/>
  <c r="I5336"/>
  <c r="K5336"/>
  <c r="H5744"/>
  <c r="I5744"/>
  <c r="K5744"/>
  <c r="H5808"/>
  <c r="I5808"/>
  <c r="K5808"/>
  <c r="H5872"/>
  <c r="I5872"/>
  <c r="K5872"/>
  <c r="H5936"/>
  <c r="I5936"/>
  <c r="K5936"/>
  <c r="H6000"/>
  <c r="I6000"/>
  <c r="K6000"/>
  <c r="H6064"/>
  <c r="I6064"/>
  <c r="K6064"/>
  <c r="H6128"/>
  <c r="I6128"/>
  <c r="K6128"/>
  <c r="H6192"/>
  <c r="I6192"/>
  <c r="K6192"/>
  <c r="H6253"/>
  <c r="I6253"/>
  <c r="K6253"/>
  <c r="H6208"/>
  <c r="I6208"/>
  <c r="K6208"/>
  <c r="H5952"/>
  <c r="I5952"/>
  <c r="K5952"/>
  <c r="H5696"/>
  <c r="I5696"/>
  <c r="K5696"/>
  <c r="H204"/>
  <c r="I204"/>
  <c r="K204"/>
  <c r="H124"/>
  <c r="I124"/>
  <c r="K124"/>
  <c r="H50"/>
  <c r="I50"/>
  <c r="K50"/>
  <c r="H252"/>
  <c r="I252"/>
  <c r="K252"/>
  <c r="H212"/>
  <c r="I212"/>
  <c r="K212"/>
  <c r="H119"/>
  <c r="I119"/>
  <c r="K119"/>
  <c r="H230"/>
  <c r="I230"/>
  <c r="K230"/>
  <c r="H166"/>
  <c r="I166"/>
  <c r="K166"/>
  <c r="H102"/>
  <c r="I102"/>
  <c r="K102"/>
  <c r="H38"/>
  <c r="I38"/>
  <c r="K38"/>
  <c r="H155"/>
  <c r="I155"/>
  <c r="K155"/>
  <c r="H91"/>
  <c r="I91"/>
  <c r="K91"/>
  <c r="H27"/>
  <c r="I27"/>
  <c r="K27"/>
  <c r="H85"/>
  <c r="I85"/>
  <c r="K85"/>
  <c r="H21"/>
  <c r="I21"/>
  <c r="K21"/>
  <c r="H6200"/>
  <c r="I6200"/>
  <c r="K6200"/>
  <c r="H5944"/>
  <c r="I5944"/>
  <c r="K5944"/>
  <c r="H5528"/>
  <c r="I5528"/>
  <c r="K5528"/>
  <c r="H582"/>
  <c r="I582"/>
  <c r="K582"/>
  <c r="H550"/>
  <c r="I550"/>
  <c r="K550"/>
  <c r="H518"/>
  <c r="I518"/>
  <c r="K518"/>
  <c r="H494"/>
  <c r="I494"/>
  <c r="K494"/>
  <c r="H460"/>
  <c r="I460"/>
  <c r="K460"/>
  <c r="H413"/>
  <c r="I413"/>
  <c r="K413"/>
  <c r="H334"/>
  <c r="I334"/>
  <c r="K334"/>
  <c r="H125"/>
  <c r="I125"/>
  <c r="K125"/>
  <c r="H776"/>
  <c r="I776"/>
  <c r="K776"/>
  <c r="H744"/>
  <c r="I744"/>
  <c r="K744"/>
  <c r="H712"/>
  <c r="I712"/>
  <c r="K712"/>
  <c r="H688"/>
  <c r="I688"/>
  <c r="K688"/>
  <c r="H664"/>
  <c r="I664"/>
  <c r="K664"/>
  <c r="H632"/>
  <c r="I632"/>
  <c r="K632"/>
  <c r="H600"/>
  <c r="I600"/>
  <c r="K600"/>
  <c r="H544"/>
  <c r="I544"/>
  <c r="K544"/>
  <c r="H520"/>
  <c r="I520"/>
  <c r="K520"/>
  <c r="H488"/>
  <c r="I488"/>
  <c r="K488"/>
  <c r="H446"/>
  <c r="I446"/>
  <c r="K446"/>
  <c r="H399"/>
  <c r="I399"/>
  <c r="K399"/>
  <c r="H373"/>
  <c r="I373"/>
  <c r="K373"/>
  <c r="H41"/>
  <c r="I41"/>
  <c r="K41"/>
  <c r="H751"/>
  <c r="I751"/>
  <c r="K751"/>
  <c r="H695"/>
  <c r="I695"/>
  <c r="K695"/>
  <c r="H671"/>
  <c r="I671"/>
  <c r="K671"/>
  <c r="H639"/>
  <c r="I639"/>
  <c r="K639"/>
  <c r="H607"/>
  <c r="I607"/>
  <c r="K607"/>
  <c r="H583"/>
  <c r="I583"/>
  <c r="K583"/>
  <c r="H559"/>
  <c r="I559"/>
  <c r="K559"/>
  <c r="H527"/>
  <c r="I527"/>
  <c r="K527"/>
  <c r="H495"/>
  <c r="I495"/>
  <c r="K495"/>
  <c r="H419"/>
  <c r="I419"/>
  <c r="K419"/>
  <c r="H371"/>
  <c r="I371"/>
  <c r="K371"/>
  <c r="H343"/>
  <c r="I343"/>
  <c r="K343"/>
  <c r="H282"/>
  <c r="I282"/>
  <c r="K282"/>
  <c r="H189"/>
  <c r="I189"/>
  <c r="K189"/>
  <c r="H130"/>
  <c r="I130"/>
  <c r="K130"/>
  <c r="H427"/>
  <c r="I427"/>
  <c r="K427"/>
  <c r="H356"/>
  <c r="I356"/>
  <c r="K356"/>
  <c r="H157"/>
  <c r="I157"/>
  <c r="K157"/>
  <c r="H448"/>
  <c r="I448"/>
  <c r="K448"/>
  <c r="H416"/>
  <c r="I416"/>
  <c r="K416"/>
  <c r="H383"/>
  <c r="I383"/>
  <c r="K383"/>
  <c r="H315"/>
  <c r="I315"/>
  <c r="K315"/>
  <c r="H97"/>
  <c r="I97"/>
  <c r="K97"/>
  <c r="H426"/>
  <c r="I426"/>
  <c r="K426"/>
  <c r="H348"/>
  <c r="I348"/>
  <c r="K348"/>
  <c r="H176"/>
  <c r="I176"/>
  <c r="K176"/>
  <c r="H457"/>
  <c r="I457"/>
  <c r="K457"/>
  <c r="H393"/>
  <c r="I393"/>
  <c r="K393"/>
  <c r="H279"/>
  <c r="I279"/>
  <c r="K279"/>
  <c r="H173"/>
  <c r="I173"/>
  <c r="K173"/>
  <c r="H352"/>
  <c r="I352"/>
  <c r="K352"/>
  <c r="H320"/>
  <c r="I320"/>
  <c r="K320"/>
  <c r="H294"/>
  <c r="I294"/>
  <c r="K294"/>
  <c r="H200"/>
  <c r="I200"/>
  <c r="K200"/>
  <c r="H104"/>
  <c r="I104"/>
  <c r="K104"/>
  <c r="H338"/>
  <c r="I338"/>
  <c r="K338"/>
  <c r="H177"/>
  <c r="I177"/>
  <c r="K177"/>
  <c r="H58"/>
  <c r="I58"/>
  <c r="K58"/>
  <c r="H345"/>
  <c r="I345"/>
  <c r="K345"/>
  <c r="H287"/>
  <c r="I287"/>
  <c r="K287"/>
  <c r="H135"/>
  <c r="I135"/>
  <c r="K135"/>
  <c r="H299"/>
  <c r="I299"/>
  <c r="K299"/>
  <c r="H243"/>
  <c r="I243"/>
  <c r="K243"/>
  <c r="H217"/>
  <c r="I217"/>
  <c r="K217"/>
  <c r="H100"/>
  <c r="I100"/>
  <c r="K100"/>
  <c r="H17"/>
  <c r="I17"/>
  <c r="K17"/>
  <c r="H219"/>
  <c r="I219"/>
  <c r="K219"/>
  <c r="H152"/>
  <c r="I152"/>
  <c r="K152"/>
  <c r="H292"/>
  <c r="I292"/>
  <c r="K292"/>
  <c r="H105"/>
  <c r="I105"/>
  <c r="K105"/>
  <c r="H30"/>
  <c r="I30"/>
  <c r="K30"/>
  <c r="H566"/>
  <c r="I566"/>
  <c r="K566"/>
  <c r="H534"/>
  <c r="I534"/>
  <c r="K534"/>
  <c r="H478"/>
  <c r="I478"/>
  <c r="K478"/>
  <c r="H443"/>
  <c r="I443"/>
  <c r="K443"/>
  <c r="H375"/>
  <c r="I375"/>
  <c r="K375"/>
  <c r="H307"/>
  <c r="I307"/>
  <c r="K307"/>
  <c r="H278"/>
  <c r="I278"/>
  <c r="K278"/>
  <c r="H111"/>
  <c r="I111"/>
  <c r="K111"/>
  <c r="H760"/>
  <c r="I760"/>
  <c r="K760"/>
  <c r="H728"/>
  <c r="I728"/>
  <c r="K728"/>
  <c r="H672"/>
  <c r="I672"/>
  <c r="K672"/>
  <c r="H648"/>
  <c r="I648"/>
  <c r="K648"/>
  <c r="H616"/>
  <c r="I616"/>
  <c r="K616"/>
  <c r="H584"/>
  <c r="I584"/>
  <c r="K584"/>
  <c r="H560"/>
  <c r="I560"/>
  <c r="K560"/>
  <c r="H536"/>
  <c r="I536"/>
  <c r="K536"/>
  <c r="H504"/>
  <c r="I504"/>
  <c r="K504"/>
  <c r="H463"/>
  <c r="I463"/>
  <c r="K463"/>
  <c r="H380"/>
  <c r="I380"/>
  <c r="K380"/>
  <c r="H180"/>
  <c r="I180"/>
  <c r="K180"/>
  <c r="H767"/>
  <c r="I767"/>
  <c r="K767"/>
  <c r="H735"/>
  <c r="I735"/>
  <c r="K735"/>
  <c r="H711"/>
  <c r="I711"/>
  <c r="K711"/>
  <c r="H687"/>
  <c r="I687"/>
  <c r="K687"/>
  <c r="H655"/>
  <c r="I655"/>
  <c r="K655"/>
  <c r="H623"/>
  <c r="I623"/>
  <c r="K623"/>
  <c r="H567"/>
  <c r="I567"/>
  <c r="K567"/>
  <c r="H543"/>
  <c r="I543"/>
  <c r="K543"/>
  <c r="H511"/>
  <c r="I511"/>
  <c r="K511"/>
  <c r="H479"/>
  <c r="I479"/>
  <c r="K479"/>
  <c r="H436"/>
  <c r="I436"/>
  <c r="K436"/>
  <c r="H406"/>
  <c r="I406"/>
  <c r="K406"/>
  <c r="H357"/>
  <c r="I357"/>
  <c r="K357"/>
  <c r="H316"/>
  <c r="I316"/>
  <c r="K316"/>
  <c r="H145"/>
  <c r="I145"/>
  <c r="K145"/>
  <c r="H444"/>
  <c r="I444"/>
  <c r="K444"/>
  <c r="H397"/>
  <c r="I397"/>
  <c r="K397"/>
  <c r="H225"/>
  <c r="I225"/>
  <c r="K225"/>
  <c r="H84"/>
  <c r="I84"/>
  <c r="K84"/>
  <c r="H464"/>
  <c r="I464"/>
  <c r="K464"/>
  <c r="H432"/>
  <c r="I432"/>
  <c r="K432"/>
  <c r="H400"/>
  <c r="I400"/>
  <c r="K400"/>
  <c r="H349"/>
  <c r="I349"/>
  <c r="K349"/>
  <c r="H256"/>
  <c r="I256"/>
  <c r="K256"/>
  <c r="H450"/>
  <c r="I450"/>
  <c r="K450"/>
  <c r="H386"/>
  <c r="I386"/>
  <c r="K386"/>
  <c r="H295"/>
  <c r="I295"/>
  <c r="K295"/>
  <c r="H28"/>
  <c r="I28"/>
  <c r="K28"/>
  <c r="H425"/>
  <c r="I425"/>
  <c r="K425"/>
  <c r="H342"/>
  <c r="I342"/>
  <c r="K342"/>
  <c r="H109"/>
  <c r="I109"/>
  <c r="K109"/>
  <c r="H368"/>
  <c r="I368"/>
  <c r="K368"/>
  <c r="H336"/>
  <c r="I336"/>
  <c r="K336"/>
  <c r="H304"/>
  <c r="I304"/>
  <c r="K304"/>
  <c r="H247"/>
  <c r="I247"/>
  <c r="K247"/>
  <c r="H144"/>
  <c r="I144"/>
  <c r="K144"/>
  <c r="H362"/>
  <c r="I362"/>
  <c r="K362"/>
  <c r="H314"/>
  <c r="I314"/>
  <c r="K314"/>
  <c r="H233"/>
  <c r="I233"/>
  <c r="K233"/>
  <c r="H103"/>
  <c r="I103"/>
  <c r="K103"/>
  <c r="H12"/>
  <c r="I12"/>
  <c r="K12"/>
  <c r="H321"/>
  <c r="I321"/>
  <c r="K321"/>
  <c r="H240"/>
  <c r="I240"/>
  <c r="K240"/>
  <c r="H56"/>
  <c r="I56"/>
  <c r="K56"/>
  <c r="H226"/>
  <c r="I226"/>
  <c r="K226"/>
  <c r="H164"/>
  <c r="I164"/>
  <c r="K164"/>
  <c r="H60"/>
  <c r="I60"/>
  <c r="K60"/>
  <c r="H277"/>
  <c r="I277"/>
  <c r="K277"/>
  <c r="H201"/>
  <c r="I201"/>
  <c r="K201"/>
  <c r="H80"/>
  <c r="I80"/>
  <c r="K80"/>
  <c r="H209"/>
  <c r="I209"/>
  <c r="K209"/>
  <c r="H190"/>
  <c r="I190"/>
  <c r="K190"/>
  <c r="H51"/>
  <c r="I51"/>
  <c r="K51"/>
  <c r="H379"/>
  <c r="I379"/>
  <c r="K379"/>
  <c r="H290"/>
  <c r="I290"/>
  <c r="K290"/>
  <c r="H242"/>
  <c r="I242"/>
  <c r="K242"/>
  <c r="H66"/>
  <c r="I66"/>
  <c r="K66"/>
  <c r="H466"/>
  <c r="I466"/>
  <c r="K466"/>
  <c r="H402"/>
  <c r="I402"/>
  <c r="K402"/>
  <c r="H318"/>
  <c r="I318"/>
  <c r="K318"/>
  <c r="H122"/>
  <c r="I122"/>
  <c r="K122"/>
  <c r="H195"/>
  <c r="I195"/>
  <c r="K195"/>
  <c r="H127"/>
  <c r="I127"/>
  <c r="K127"/>
  <c r="H93"/>
  <c r="I93"/>
  <c r="K93"/>
  <c r="H378"/>
  <c r="I378"/>
  <c r="K378"/>
  <c r="H322"/>
  <c r="I322"/>
  <c r="K322"/>
  <c r="H297"/>
  <c r="I297"/>
  <c r="K297"/>
  <c r="H250"/>
  <c r="I250"/>
  <c r="K250"/>
  <c r="H228"/>
  <c r="I228"/>
  <c r="K228"/>
  <c r="H79"/>
  <c r="I79"/>
  <c r="K79"/>
  <c r="H52"/>
  <c r="I52"/>
  <c r="K52"/>
  <c r="H385"/>
  <c r="I385"/>
  <c r="K385"/>
  <c r="H361"/>
  <c r="I361"/>
  <c r="K361"/>
  <c r="H305"/>
  <c r="I305"/>
  <c r="K305"/>
  <c r="H270"/>
  <c r="I270"/>
  <c r="K270"/>
  <c r="H231"/>
  <c r="I231"/>
  <c r="K231"/>
  <c r="H186"/>
  <c r="I186"/>
  <c r="K186"/>
  <c r="H9"/>
  <c r="I9"/>
  <c r="K9"/>
  <c r="H283"/>
  <c r="I283"/>
  <c r="K283"/>
  <c r="H259"/>
  <c r="I259"/>
  <c r="K259"/>
  <c r="H235"/>
  <c r="I235"/>
  <c r="K235"/>
  <c r="H192"/>
  <c r="I192"/>
  <c r="K192"/>
  <c r="H160"/>
  <c r="I160"/>
  <c r="K160"/>
  <c r="H128"/>
  <c r="I128"/>
  <c r="K128"/>
  <c r="H96"/>
  <c r="I96"/>
  <c r="K96"/>
  <c r="H293"/>
  <c r="I293"/>
  <c r="K293"/>
  <c r="H269"/>
  <c r="I269"/>
  <c r="K269"/>
  <c r="H245"/>
  <c r="I245"/>
  <c r="K245"/>
  <c r="H216"/>
  <c r="I216"/>
  <c r="K216"/>
  <c r="H120"/>
  <c r="I120"/>
  <c r="K120"/>
  <c r="H76"/>
  <c r="I76"/>
  <c r="K76"/>
  <c r="H276"/>
  <c r="I276"/>
  <c r="K276"/>
  <c r="H221"/>
  <c r="I221"/>
  <c r="K221"/>
  <c r="H126"/>
  <c r="I126"/>
  <c r="K126"/>
  <c r="H147"/>
  <c r="I147"/>
  <c r="K147"/>
  <c r="H24"/>
  <c r="I24"/>
  <c r="K24"/>
  <c r="H319"/>
  <c r="I319"/>
  <c r="K319"/>
  <c r="H161"/>
  <c r="I161"/>
  <c r="K161"/>
  <c r="H55"/>
  <c r="I55"/>
  <c r="K55"/>
  <c r="H458"/>
  <c r="I458"/>
  <c r="K458"/>
  <c r="H434"/>
  <c r="I434"/>
  <c r="K434"/>
  <c r="H418"/>
  <c r="I418"/>
  <c r="K418"/>
  <c r="H394"/>
  <c r="I394"/>
  <c r="K394"/>
  <c r="H365"/>
  <c r="I365"/>
  <c r="K365"/>
  <c r="H335"/>
  <c r="I335"/>
  <c r="K335"/>
  <c r="H301"/>
  <c r="I301"/>
  <c r="K301"/>
  <c r="H254"/>
  <c r="I254"/>
  <c r="K254"/>
  <c r="H149"/>
  <c r="I149"/>
  <c r="K149"/>
  <c r="H113"/>
  <c r="I113"/>
  <c r="K113"/>
  <c r="H465"/>
  <c r="I465"/>
  <c r="K465"/>
  <c r="H449"/>
  <c r="I449"/>
  <c r="K449"/>
  <c r="H433"/>
  <c r="I433"/>
  <c r="K433"/>
  <c r="H417"/>
  <c r="I417"/>
  <c r="K417"/>
  <c r="H401"/>
  <c r="I401"/>
  <c r="K401"/>
  <c r="H372"/>
  <c r="I372"/>
  <c r="K372"/>
  <c r="H355"/>
  <c r="I355"/>
  <c r="K355"/>
  <c r="H325"/>
  <c r="I325"/>
  <c r="K325"/>
  <c r="H286"/>
  <c r="I286"/>
  <c r="K286"/>
  <c r="H272"/>
  <c r="I272"/>
  <c r="K272"/>
  <c r="H258"/>
  <c r="I258"/>
  <c r="K258"/>
  <c r="H191"/>
  <c r="I191"/>
  <c r="K191"/>
  <c r="H136"/>
  <c r="I136"/>
  <c r="K136"/>
  <c r="H48"/>
  <c r="I48"/>
  <c r="K48"/>
  <c r="H23"/>
  <c r="I23"/>
  <c r="K23"/>
  <c r="H376"/>
  <c r="I376"/>
  <c r="K376"/>
  <c r="H360"/>
  <c r="I360"/>
  <c r="K360"/>
  <c r="H344"/>
  <c r="I344"/>
  <c r="K344"/>
  <c r="H328"/>
  <c r="I328"/>
  <c r="K328"/>
  <c r="H312"/>
  <c r="I312"/>
  <c r="K312"/>
  <c r="H298"/>
  <c r="I298"/>
  <c r="K298"/>
  <c r="H281"/>
  <c r="I281"/>
  <c r="K281"/>
  <c r="H234"/>
  <c r="I234"/>
  <c r="K234"/>
  <c r="H116"/>
  <c r="I116"/>
  <c r="K116"/>
  <c r="H81"/>
  <c r="I81"/>
  <c r="K81"/>
  <c r="H370"/>
  <c r="I370"/>
  <c r="K370"/>
  <c r="H346"/>
  <c r="I346"/>
  <c r="K346"/>
  <c r="H280"/>
  <c r="I280"/>
  <c r="K280"/>
  <c r="H246"/>
  <c r="I246"/>
  <c r="K246"/>
  <c r="H199"/>
  <c r="I199"/>
  <c r="K199"/>
  <c r="H154"/>
  <c r="I154"/>
  <c r="K154"/>
  <c r="H20"/>
  <c r="I20"/>
  <c r="K20"/>
  <c r="H377"/>
  <c r="I377"/>
  <c r="K377"/>
  <c r="H353"/>
  <c r="I353"/>
  <c r="K353"/>
  <c r="H329"/>
  <c r="I329"/>
  <c r="K329"/>
  <c r="H257"/>
  <c r="I257"/>
  <c r="K257"/>
  <c r="H202"/>
  <c r="I202"/>
  <c r="K202"/>
  <c r="H175"/>
  <c r="I175"/>
  <c r="K175"/>
  <c r="H95"/>
  <c r="I95"/>
  <c r="K95"/>
  <c r="H275"/>
  <c r="I275"/>
  <c r="K275"/>
  <c r="H251"/>
  <c r="I251"/>
  <c r="K251"/>
  <c r="H232"/>
  <c r="I232"/>
  <c r="K232"/>
  <c r="H223"/>
  <c r="I223"/>
  <c r="K223"/>
  <c r="H146"/>
  <c r="I146"/>
  <c r="K146"/>
  <c r="H114"/>
  <c r="I114"/>
  <c r="K114"/>
  <c r="H73"/>
  <c r="I73"/>
  <c r="K73"/>
  <c r="H47"/>
  <c r="I47"/>
  <c r="K47"/>
  <c r="H261"/>
  <c r="I261"/>
  <c r="K261"/>
  <c r="H237"/>
  <c r="I237"/>
  <c r="K237"/>
  <c r="H213"/>
  <c r="I213"/>
  <c r="K213"/>
  <c r="H184"/>
  <c r="I184"/>
  <c r="K184"/>
  <c r="H31"/>
  <c r="I31"/>
  <c r="K31"/>
  <c r="H268"/>
  <c r="I268"/>
  <c r="K268"/>
  <c r="H218"/>
  <c r="I218"/>
  <c r="K218"/>
  <c r="H137"/>
  <c r="I137"/>
  <c r="K137"/>
  <c r="H222"/>
  <c r="I222"/>
  <c r="K222"/>
  <c r="H62"/>
  <c r="I62"/>
  <c r="K62"/>
  <c r="H115"/>
  <c r="I115"/>
  <c r="K115"/>
  <c r="H77"/>
  <c r="I77"/>
  <c r="K77"/>
  <c r="H5880"/>
  <c r="I5880"/>
  <c r="K5880"/>
  <c r="H5824"/>
  <c r="I5824"/>
  <c r="K5824"/>
  <c r="H34"/>
  <c r="I34"/>
  <c r="K34"/>
  <c r="H94"/>
  <c r="I94"/>
  <c r="K94"/>
  <c r="H179"/>
  <c r="I179"/>
  <c r="K179"/>
  <c r="H19"/>
  <c r="I19"/>
  <c r="K19"/>
  <c r="H45"/>
  <c r="I45"/>
  <c r="K45"/>
  <c r="H626"/>
  <c r="I626"/>
  <c r="K626"/>
  <c r="H596"/>
  <c r="I596"/>
  <c r="K596"/>
  <c r="H549"/>
  <c r="I549"/>
  <c r="K549"/>
  <c r="H472"/>
  <c r="I472"/>
  <c r="K472"/>
  <c r="H311"/>
  <c r="I311"/>
  <c r="K311"/>
  <c r="H782"/>
  <c r="I782"/>
  <c r="K782"/>
  <c r="H758"/>
  <c r="I758"/>
  <c r="K758"/>
  <c r="H710"/>
  <c r="I710"/>
  <c r="K710"/>
  <c r="H686"/>
  <c r="I686"/>
  <c r="K686"/>
  <c r="H662"/>
  <c r="I662"/>
  <c r="K662"/>
  <c r="H622"/>
  <c r="I622"/>
  <c r="K622"/>
  <c r="H598"/>
  <c r="I598"/>
  <c r="K598"/>
  <c r="H526"/>
  <c r="I526"/>
  <c r="K526"/>
  <c r="H486"/>
  <c r="I486"/>
  <c r="K486"/>
  <c r="H327"/>
  <c r="I327"/>
  <c r="K327"/>
  <c r="H168"/>
  <c r="I168"/>
  <c r="K168"/>
  <c r="H752"/>
  <c r="I752"/>
  <c r="K752"/>
  <c r="H704"/>
  <c r="I704"/>
  <c r="K704"/>
  <c r="H624"/>
  <c r="I624"/>
  <c r="K624"/>
  <c r="H576"/>
  <c r="I576"/>
  <c r="K576"/>
  <c r="H528"/>
  <c r="I528"/>
  <c r="K528"/>
  <c r="H480"/>
  <c r="I480"/>
  <c r="K480"/>
  <c r="H339"/>
  <c r="I339"/>
  <c r="K339"/>
  <c r="H759"/>
  <c r="I759"/>
  <c r="K759"/>
  <c r="H663"/>
  <c r="I663"/>
  <c r="K663"/>
  <c r="H591"/>
  <c r="I591"/>
  <c r="K591"/>
  <c r="H535"/>
  <c r="I535"/>
  <c r="K535"/>
  <c r="H453"/>
  <c r="I453"/>
  <c r="K453"/>
  <c r="H364"/>
  <c r="I364"/>
  <c r="K364"/>
  <c r="H239"/>
  <c r="I239"/>
  <c r="K239"/>
  <c r="H431"/>
  <c r="I431"/>
  <c r="K431"/>
  <c r="H129"/>
  <c r="I129"/>
  <c r="K129"/>
  <c r="H392"/>
  <c r="I392"/>
  <c r="K392"/>
  <c r="H302"/>
  <c r="I302"/>
  <c r="K302"/>
  <c r="H442"/>
  <c r="I442"/>
  <c r="K442"/>
  <c r="H473"/>
  <c r="I473"/>
  <c r="K473"/>
  <c r="H359"/>
  <c r="I359"/>
  <c r="K359"/>
  <c r="H238"/>
  <c r="I238"/>
  <c r="K238"/>
  <c r="H354"/>
  <c r="I354"/>
  <c r="K354"/>
  <c r="H263"/>
  <c r="I263"/>
  <c r="K263"/>
  <c r="H72"/>
  <c r="I72"/>
  <c r="K72"/>
  <c r="H274"/>
  <c r="I274"/>
  <c r="K274"/>
  <c r="H291"/>
  <c r="I291"/>
  <c r="K291"/>
  <c r="H178"/>
  <c r="I178"/>
  <c r="K178"/>
  <c r="H253"/>
  <c r="I253"/>
  <c r="K253"/>
  <c r="H92"/>
  <c r="I92"/>
  <c r="K92"/>
  <c r="H49"/>
  <c r="I49"/>
  <c r="K49"/>
  <c r="H13"/>
  <c r="I13"/>
  <c r="K13"/>
  <c r="H643"/>
  <c r="I643"/>
  <c r="K643"/>
  <c r="H579"/>
  <c r="I579"/>
  <c r="K579"/>
  <c r="H481"/>
  <c r="I481"/>
  <c r="K481"/>
  <c r="H296"/>
  <c r="I296"/>
  <c r="K296"/>
  <c r="H57"/>
  <c r="I57"/>
  <c r="K57"/>
  <c r="H750"/>
  <c r="I750"/>
  <c r="K750"/>
  <c r="H726"/>
  <c r="I726"/>
  <c r="K726"/>
  <c r="H702"/>
  <c r="I702"/>
  <c r="K702"/>
  <c r="H654"/>
  <c r="I654"/>
  <c r="K654"/>
  <c r="H630"/>
  <c r="I630"/>
  <c r="K630"/>
  <c r="H590"/>
  <c r="I590"/>
  <c r="K590"/>
  <c r="H542"/>
  <c r="I542"/>
  <c r="K542"/>
  <c r="H447"/>
  <c r="I447"/>
  <c r="K447"/>
  <c r="H341"/>
  <c r="I341"/>
  <c r="K341"/>
  <c r="H768"/>
  <c r="I768"/>
  <c r="K768"/>
  <c r="H696"/>
  <c r="I696"/>
  <c r="K696"/>
  <c r="H640"/>
  <c r="I640"/>
  <c r="K640"/>
  <c r="H552"/>
  <c r="I552"/>
  <c r="K552"/>
  <c r="H459"/>
  <c r="I459"/>
  <c r="K459"/>
  <c r="H395"/>
  <c r="I395"/>
  <c r="K395"/>
  <c r="H743"/>
  <c r="I743"/>
  <c r="K743"/>
  <c r="H703"/>
  <c r="I703"/>
  <c r="K703"/>
  <c r="H647"/>
  <c r="I647"/>
  <c r="K647"/>
  <c r="H599"/>
  <c r="I599"/>
  <c r="K599"/>
  <c r="H519"/>
  <c r="I519"/>
  <c r="K519"/>
  <c r="H470"/>
  <c r="I470"/>
  <c r="K470"/>
  <c r="H350"/>
  <c r="I350"/>
  <c r="K350"/>
  <c r="H271"/>
  <c r="I271"/>
  <c r="K271"/>
  <c r="H414"/>
  <c r="I414"/>
  <c r="K414"/>
  <c r="H172"/>
  <c r="I172"/>
  <c r="K172"/>
  <c r="H7"/>
  <c r="I7"/>
  <c r="K7"/>
  <c r="H424"/>
  <c r="I424"/>
  <c r="K424"/>
  <c r="H366"/>
  <c r="I366"/>
  <c r="K366"/>
  <c r="H410"/>
  <c r="I410"/>
  <c r="K410"/>
  <c r="H288"/>
  <c r="I288"/>
  <c r="K288"/>
  <c r="H441"/>
  <c r="I441"/>
  <c r="K441"/>
  <c r="H384"/>
  <c r="I384"/>
  <c r="K384"/>
  <c r="H167"/>
  <c r="I167"/>
  <c r="K167"/>
  <c r="H194"/>
  <c r="I194"/>
  <c r="K194"/>
  <c r="H337"/>
  <c r="I337"/>
  <c r="K337"/>
  <c r="H112"/>
  <c r="I112"/>
  <c r="K112"/>
  <c r="H229"/>
  <c r="I229"/>
  <c r="K229"/>
  <c r="H132"/>
  <c r="I132"/>
  <c r="K132"/>
  <c r="H285"/>
  <c r="I285"/>
  <c r="K285"/>
  <c r="H151"/>
  <c r="I151"/>
  <c r="K151"/>
  <c r="H2357"/>
  <c r="H2349"/>
  <c r="H2261"/>
  <c r="H2037"/>
  <c r="H6486"/>
  <c r="H6466"/>
  <c r="H6453"/>
  <c r="H2460"/>
  <c r="H2741"/>
  <c r="H3069"/>
  <c r="I3069"/>
  <c r="K3069"/>
  <c r="H2267"/>
  <c r="I2267"/>
  <c r="K2267"/>
  <c r="H1606"/>
  <c r="I1606"/>
  <c r="K1606"/>
  <c r="H3132"/>
  <c r="I3132"/>
  <c r="K3132"/>
  <c r="H2646"/>
  <c r="H2785"/>
  <c r="H2694"/>
  <c r="H2939"/>
  <c r="H3293"/>
  <c r="H2454"/>
  <c r="I2454"/>
  <c r="K2454"/>
  <c r="H3264"/>
  <c r="I3264"/>
  <c r="K3264"/>
  <c r="H3456"/>
  <c r="I3456"/>
  <c r="K3456"/>
  <c r="H3089"/>
  <c r="I3089"/>
  <c r="K3089"/>
  <c r="H3355"/>
  <c r="I3355"/>
  <c r="K3355"/>
  <c r="H2999"/>
  <c r="I2999"/>
  <c r="K2999"/>
  <c r="H3310"/>
  <c r="I3310"/>
  <c r="K3310"/>
  <c r="H2528"/>
  <c r="I2528"/>
  <c r="K2528"/>
  <c r="H3257"/>
  <c r="I3257"/>
  <c r="K3257"/>
  <c r="H3425"/>
  <c r="H3263"/>
  <c r="I3263"/>
  <c r="K3263"/>
  <c r="H3544"/>
  <c r="I3544"/>
  <c r="K3544"/>
  <c r="H3640"/>
  <c r="I3640"/>
  <c r="K3640"/>
  <c r="H3736"/>
  <c r="I3736"/>
  <c r="K3736"/>
  <c r="H3832"/>
  <c r="I3832"/>
  <c r="K3832"/>
  <c r="H3928"/>
  <c r="I3928"/>
  <c r="K3928"/>
  <c r="H4024"/>
  <c r="I4024"/>
  <c r="K4024"/>
  <c r="H4120"/>
  <c r="I4120"/>
  <c r="K4120"/>
  <c r="H4216"/>
  <c r="I4216"/>
  <c r="K4216"/>
  <c r="H3271"/>
  <c r="I3271"/>
  <c r="K3271"/>
  <c r="H3499"/>
  <c r="I3499"/>
  <c r="K3499"/>
  <c r="H3595"/>
  <c r="I3595"/>
  <c r="K3595"/>
  <c r="H3691"/>
  <c r="I3691"/>
  <c r="K3691"/>
  <c r="H3787"/>
  <c r="I3787"/>
  <c r="K3787"/>
  <c r="H3883"/>
  <c r="I3883"/>
  <c r="K3883"/>
  <c r="H3250"/>
  <c r="I3250"/>
  <c r="K3250"/>
  <c r="H3494"/>
  <c r="I3494"/>
  <c r="K3494"/>
  <c r="H3590"/>
  <c r="I3590"/>
  <c r="K3590"/>
  <c r="H3686"/>
  <c r="I3686"/>
  <c r="K3686"/>
  <c r="H3782"/>
  <c r="I3782"/>
  <c r="K3782"/>
  <c r="H3878"/>
  <c r="I3878"/>
  <c r="K3878"/>
  <c r="H3974"/>
  <c r="I3974"/>
  <c r="K3974"/>
  <c r="H4070"/>
  <c r="I4070"/>
  <c r="K4070"/>
  <c r="H4166"/>
  <c r="I4166"/>
  <c r="K4166"/>
  <c r="H3103"/>
  <c r="I3103"/>
  <c r="K3103"/>
  <c r="H3415"/>
  <c r="I3415"/>
  <c r="K3415"/>
  <c r="H3553"/>
  <c r="I3553"/>
  <c r="K3553"/>
  <c r="H3649"/>
  <c r="I3649"/>
  <c r="K3649"/>
  <c r="H3745"/>
  <c r="I3745"/>
  <c r="K3745"/>
  <c r="H3841"/>
  <c r="I3841"/>
  <c r="K3841"/>
  <c r="H3937"/>
  <c r="I3937"/>
  <c r="K3937"/>
  <c r="H4033"/>
  <c r="I4033"/>
  <c r="K4033"/>
  <c r="H4129"/>
  <c r="I4129"/>
  <c r="K4129"/>
  <c r="H2312"/>
  <c r="I2312"/>
  <c r="K2312"/>
  <c r="H3260"/>
  <c r="I3260"/>
  <c r="K3260"/>
  <c r="H3492"/>
  <c r="I3492"/>
  <c r="K3492"/>
  <c r="H3588"/>
  <c r="I3588"/>
  <c r="K3588"/>
  <c r="H3684"/>
  <c r="I3684"/>
  <c r="K3684"/>
  <c r="H3780"/>
  <c r="I3780"/>
  <c r="K3780"/>
  <c r="H3876"/>
  <c r="I3876"/>
  <c r="K3876"/>
  <c r="H3972"/>
  <c r="I3972"/>
  <c r="K3972"/>
  <c r="H4068"/>
  <c r="I4068"/>
  <c r="K4068"/>
  <c r="H4164"/>
  <c r="I4164"/>
  <c r="K4164"/>
  <c r="H3065"/>
  <c r="I3065"/>
  <c r="K3065"/>
  <c r="H3431"/>
  <c r="I3431"/>
  <c r="K3431"/>
  <c r="H3559"/>
  <c r="I3559"/>
  <c r="K3559"/>
  <c r="H3655"/>
  <c r="I3655"/>
  <c r="K3655"/>
  <c r="H3751"/>
  <c r="I3751"/>
  <c r="K3751"/>
  <c r="H3847"/>
  <c r="I3847"/>
  <c r="K3847"/>
  <c r="H3943"/>
  <c r="I3943"/>
  <c r="K3943"/>
  <c r="H4039"/>
  <c r="I4039"/>
  <c r="K4039"/>
  <c r="H4135"/>
  <c r="I4135"/>
  <c r="K4135"/>
  <c r="H2326"/>
  <c r="I2326"/>
  <c r="K2326"/>
  <c r="H3340"/>
  <c r="I3340"/>
  <c r="K3340"/>
  <c r="H3522"/>
  <c r="I3522"/>
  <c r="K3522"/>
  <c r="H3618"/>
  <c r="I3618"/>
  <c r="K3618"/>
  <c r="H3714"/>
  <c r="I3714"/>
  <c r="K3714"/>
  <c r="H3810"/>
  <c r="I3810"/>
  <c r="K3810"/>
  <c r="H3906"/>
  <c r="I3906"/>
  <c r="K3906"/>
  <c r="H4002"/>
  <c r="I4002"/>
  <c r="K4002"/>
  <c r="H4098"/>
  <c r="I4098"/>
  <c r="K4098"/>
  <c r="H6488"/>
  <c r="H6468"/>
  <c r="H6391"/>
  <c r="H2468"/>
  <c r="H1405"/>
  <c r="H3077"/>
  <c r="I3077"/>
  <c r="K3077"/>
  <c r="H2475"/>
  <c r="I2475"/>
  <c r="K2475"/>
  <c r="H2111"/>
  <c r="I2111"/>
  <c r="K2111"/>
  <c r="H3236"/>
  <c r="H1820"/>
  <c r="H2875"/>
  <c r="H2807"/>
  <c r="I2807"/>
  <c r="K2807"/>
  <c r="H3034"/>
  <c r="I3034"/>
  <c r="K3034"/>
  <c r="H3325"/>
  <c r="I3325"/>
  <c r="K3325"/>
  <c r="H2946"/>
  <c r="I2946"/>
  <c r="K2946"/>
  <c r="H3296"/>
  <c r="I3296"/>
  <c r="K3296"/>
  <c r="H1564"/>
  <c r="I1564"/>
  <c r="K1564"/>
  <c r="H3153"/>
  <c r="I3153"/>
  <c r="K3153"/>
  <c r="H3387"/>
  <c r="I3387"/>
  <c r="K3387"/>
  <c r="H3063"/>
  <c r="I3063"/>
  <c r="K3063"/>
  <c r="H3342"/>
  <c r="I3342"/>
  <c r="K3342"/>
  <c r="H2954"/>
  <c r="I2954"/>
  <c r="K2954"/>
  <c r="H3289"/>
  <c r="I3289"/>
  <c r="K3289"/>
  <c r="H3441"/>
  <c r="I3441"/>
  <c r="K3441"/>
  <c r="H3292"/>
  <c r="I3292"/>
  <c r="K3292"/>
  <c r="H3552"/>
  <c r="H3648"/>
  <c r="H3744"/>
  <c r="I3744"/>
  <c r="K3744"/>
  <c r="H3840"/>
  <c r="I3840"/>
  <c r="K3840"/>
  <c r="H3936"/>
  <c r="I3936"/>
  <c r="K3936"/>
  <c r="H4032"/>
  <c r="I4032"/>
  <c r="K4032"/>
  <c r="H4128"/>
  <c r="I4128"/>
  <c r="K4128"/>
  <c r="H2256"/>
  <c r="H3300"/>
  <c r="H3507"/>
  <c r="H3603"/>
  <c r="H3699"/>
  <c r="H3795"/>
  <c r="H3891"/>
  <c r="H3279"/>
  <c r="I3279"/>
  <c r="K3279"/>
  <c r="H3502"/>
  <c r="I3502"/>
  <c r="K3502"/>
  <c r="H3598"/>
  <c r="I3598"/>
  <c r="K3598"/>
  <c r="H3694"/>
  <c r="I3694"/>
  <c r="K3694"/>
  <c r="H3790"/>
  <c r="I3790"/>
  <c r="K3790"/>
  <c r="H3886"/>
  <c r="H3982"/>
  <c r="H4078"/>
  <c r="H4174"/>
  <c r="H3161"/>
  <c r="H3444"/>
  <c r="H3561"/>
  <c r="I3561"/>
  <c r="K3561"/>
  <c r="H3657"/>
  <c r="I3657"/>
  <c r="K3657"/>
  <c r="H3753"/>
  <c r="I3753"/>
  <c r="K3753"/>
  <c r="H3849"/>
  <c r="I3849"/>
  <c r="K3849"/>
  <c r="H3945"/>
  <c r="I3945"/>
  <c r="K3945"/>
  <c r="H4041"/>
  <c r="I4041"/>
  <c r="K4041"/>
  <c r="H4137"/>
  <c r="I4137"/>
  <c r="K4137"/>
  <c r="H2440"/>
  <c r="I2440"/>
  <c r="K2440"/>
  <c r="H3266"/>
  <c r="I3266"/>
  <c r="K3266"/>
  <c r="H3500"/>
  <c r="I3500"/>
  <c r="K3500"/>
  <c r="H3596"/>
  <c r="I3596"/>
  <c r="K3596"/>
  <c r="H3692"/>
  <c r="I3692"/>
  <c r="K3692"/>
  <c r="H3788"/>
  <c r="I3788"/>
  <c r="K3788"/>
  <c r="H3884"/>
  <c r="I3884"/>
  <c r="K3884"/>
  <c r="H3980"/>
  <c r="I3980"/>
  <c r="K3980"/>
  <c r="H4076"/>
  <c r="I4076"/>
  <c r="K4076"/>
  <c r="H4172"/>
  <c r="I4172"/>
  <c r="K4172"/>
  <c r="H3123"/>
  <c r="I3123"/>
  <c r="K3123"/>
  <c r="H3460"/>
  <c r="I3460"/>
  <c r="K3460"/>
  <c r="H3567"/>
  <c r="I3567"/>
  <c r="K3567"/>
  <c r="H3663"/>
  <c r="I3663"/>
  <c r="K3663"/>
  <c r="H3759"/>
  <c r="I3759"/>
  <c r="K3759"/>
  <c r="H3855"/>
  <c r="I3855"/>
  <c r="K3855"/>
  <c r="H3951"/>
  <c r="I3951"/>
  <c r="K3951"/>
  <c r="H4047"/>
  <c r="I4047"/>
  <c r="K4047"/>
  <c r="H4143"/>
  <c r="I4143"/>
  <c r="K4143"/>
  <c r="H2850"/>
  <c r="I2850"/>
  <c r="K2850"/>
  <c r="H3346"/>
  <c r="I3346"/>
  <c r="K3346"/>
  <c r="H3530"/>
  <c r="I3530"/>
  <c r="K3530"/>
  <c r="H3626"/>
  <c r="I3626"/>
  <c r="K3626"/>
  <c r="H3722"/>
  <c r="I3722"/>
  <c r="K3722"/>
  <c r="H3818"/>
  <c r="I3818"/>
  <c r="K3818"/>
  <c r="H3914"/>
  <c r="I3914"/>
  <c r="K3914"/>
  <c r="H4010"/>
  <c r="I4010"/>
  <c r="K4010"/>
  <c r="H4106"/>
  <c r="I4106"/>
  <c r="K4106"/>
  <c r="H6492"/>
  <c r="H6470"/>
  <c r="H6393"/>
  <c r="H2591"/>
  <c r="I2591"/>
  <c r="K2591"/>
  <c r="H1879"/>
  <c r="I1879"/>
  <c r="K1879"/>
  <c r="H1660"/>
  <c r="I1660"/>
  <c r="K1660"/>
  <c r="H2651"/>
  <c r="I2651"/>
  <c r="K2651"/>
  <c r="H2338"/>
  <c r="H2288"/>
  <c r="H2464"/>
  <c r="H2907"/>
  <c r="H2849"/>
  <c r="H3066"/>
  <c r="H3341"/>
  <c r="H2987"/>
  <c r="I2987"/>
  <c r="K2987"/>
  <c r="H3312"/>
  <c r="I3312"/>
  <c r="K3312"/>
  <c r="H2342"/>
  <c r="I2342"/>
  <c r="K2342"/>
  <c r="H3185"/>
  <c r="I3185"/>
  <c r="K3185"/>
  <c r="H3403"/>
  <c r="I3403"/>
  <c r="K3403"/>
  <c r="H3095"/>
  <c r="I3095"/>
  <c r="K3095"/>
  <c r="H3358"/>
  <c r="I3358"/>
  <c r="K3358"/>
  <c r="H2978"/>
  <c r="I2978"/>
  <c r="K2978"/>
  <c r="H3305"/>
  <c r="I3305"/>
  <c r="K3305"/>
  <c r="H3449"/>
  <c r="I3449"/>
  <c r="K3449"/>
  <c r="H3298"/>
  <c r="H3560"/>
  <c r="H3656"/>
  <c r="I3656"/>
  <c r="K3656"/>
  <c r="H3752"/>
  <c r="I3752"/>
  <c r="K3752"/>
  <c r="H3848"/>
  <c r="I3848"/>
  <c r="K3848"/>
  <c r="H3944"/>
  <c r="I3944"/>
  <c r="K3944"/>
  <c r="H4040"/>
  <c r="I4040"/>
  <c r="K4040"/>
  <c r="H4136"/>
  <c r="H2384"/>
  <c r="H3306"/>
  <c r="H3515"/>
  <c r="H3611"/>
  <c r="H3707"/>
  <c r="H3803"/>
  <c r="H3899"/>
  <c r="I3899"/>
  <c r="K3899"/>
  <c r="H3308"/>
  <c r="I3308"/>
  <c r="K3308"/>
  <c r="H3510"/>
  <c r="I3510"/>
  <c r="K3510"/>
  <c r="H3606"/>
  <c r="I3606"/>
  <c r="K3606"/>
  <c r="H3702"/>
  <c r="I3702"/>
  <c r="K3702"/>
  <c r="H3798"/>
  <c r="H3894"/>
  <c r="H3990"/>
  <c r="H4086"/>
  <c r="H4182"/>
  <c r="H3219"/>
  <c r="H3450"/>
  <c r="H3569"/>
  <c r="I3569"/>
  <c r="K3569"/>
  <c r="H3665"/>
  <c r="I3665"/>
  <c r="K3665"/>
  <c r="H3761"/>
  <c r="I3761"/>
  <c r="K3761"/>
  <c r="H3857"/>
  <c r="I3857"/>
  <c r="K3857"/>
  <c r="H3953"/>
  <c r="I3953"/>
  <c r="K3953"/>
  <c r="H4049"/>
  <c r="I4049"/>
  <c r="K4049"/>
  <c r="H4145"/>
  <c r="I4145"/>
  <c r="K4145"/>
  <c r="H2598"/>
  <c r="I2598"/>
  <c r="K2598"/>
  <c r="H3295"/>
  <c r="I3295"/>
  <c r="K3295"/>
  <c r="H3508"/>
  <c r="I3508"/>
  <c r="K3508"/>
  <c r="H3604"/>
  <c r="I3604"/>
  <c r="K3604"/>
  <c r="H3700"/>
  <c r="I3700"/>
  <c r="K3700"/>
  <c r="H3796"/>
  <c r="I3796"/>
  <c r="K3796"/>
  <c r="H3892"/>
  <c r="I3892"/>
  <c r="K3892"/>
  <c r="H3988"/>
  <c r="I3988"/>
  <c r="K3988"/>
  <c r="H4084"/>
  <c r="I4084"/>
  <c r="K4084"/>
  <c r="H4180"/>
  <c r="I4180"/>
  <c r="K4180"/>
  <c r="H3135"/>
  <c r="I3135"/>
  <c r="K3135"/>
  <c r="H3466"/>
  <c r="I3466"/>
  <c r="K3466"/>
  <c r="H3575"/>
  <c r="I3575"/>
  <c r="K3575"/>
  <c r="H3671"/>
  <c r="I3671"/>
  <c r="K3671"/>
  <c r="H3767"/>
  <c r="I3767"/>
  <c r="K3767"/>
  <c r="H3863"/>
  <c r="I3863"/>
  <c r="K3863"/>
  <c r="H3959"/>
  <c r="I3959"/>
  <c r="K3959"/>
  <c r="H4055"/>
  <c r="I4055"/>
  <c r="K4055"/>
  <c r="H4151"/>
  <c r="I4151"/>
  <c r="K4151"/>
  <c r="H3011"/>
  <c r="I3011"/>
  <c r="K3011"/>
  <c r="H3375"/>
  <c r="I3375"/>
  <c r="K3375"/>
  <c r="H3538"/>
  <c r="I3538"/>
  <c r="K3538"/>
  <c r="H3634"/>
  <c r="I3634"/>
  <c r="K3634"/>
  <c r="H3730"/>
  <c r="I3730"/>
  <c r="K3730"/>
  <c r="H3826"/>
  <c r="I3826"/>
  <c r="K3826"/>
  <c r="H3922"/>
  <c r="I3922"/>
  <c r="K3922"/>
  <c r="H4018"/>
  <c r="I4018"/>
  <c r="K4018"/>
  <c r="H4114"/>
  <c r="I4114"/>
  <c r="K4114"/>
  <c r="H6496"/>
  <c r="H6417"/>
  <c r="I6417"/>
  <c r="K6417"/>
  <c r="H6401"/>
  <c r="I6401"/>
  <c r="K6401"/>
  <c r="H2687"/>
  <c r="I2687"/>
  <c r="K2687"/>
  <c r="H1911"/>
  <c r="I1911"/>
  <c r="K1911"/>
  <c r="H2346"/>
  <c r="I2346"/>
  <c r="K2346"/>
  <c r="H2667"/>
  <c r="H2354"/>
  <c r="H2344"/>
  <c r="H2520"/>
  <c r="H1678"/>
  <c r="H2865"/>
  <c r="H3082"/>
  <c r="H3349"/>
  <c r="I3349"/>
  <c r="K3349"/>
  <c r="H3003"/>
  <c r="I3003"/>
  <c r="K3003"/>
  <c r="H3320"/>
  <c r="I3320"/>
  <c r="K3320"/>
  <c r="H2400"/>
  <c r="I2400"/>
  <c r="K2400"/>
  <c r="H3201"/>
  <c r="I3201"/>
  <c r="K3201"/>
  <c r="H3411"/>
  <c r="I3411"/>
  <c r="K3411"/>
  <c r="H3111"/>
  <c r="I3111"/>
  <c r="K3111"/>
  <c r="H3366"/>
  <c r="I3366"/>
  <c r="K3366"/>
  <c r="H2994"/>
  <c r="I2994"/>
  <c r="K2994"/>
  <c r="H3313"/>
  <c r="I3313"/>
  <c r="K3313"/>
  <c r="H3481"/>
  <c r="I3481"/>
  <c r="K3481"/>
  <c r="H3356"/>
  <c r="I3356"/>
  <c r="K3356"/>
  <c r="H3568"/>
  <c r="I3568"/>
  <c r="K3568"/>
  <c r="H3664"/>
  <c r="I3664"/>
  <c r="K3664"/>
  <c r="H3760"/>
  <c r="I3760"/>
  <c r="K3760"/>
  <c r="H3856"/>
  <c r="I3856"/>
  <c r="K3856"/>
  <c r="H3952"/>
  <c r="I3952"/>
  <c r="K3952"/>
  <c r="H4048"/>
  <c r="H4144"/>
  <c r="H2710"/>
  <c r="H3335"/>
  <c r="H3523"/>
  <c r="H3619"/>
  <c r="H3715"/>
  <c r="H3811"/>
  <c r="I3811"/>
  <c r="K3811"/>
  <c r="H2712"/>
  <c r="I2712"/>
  <c r="K2712"/>
  <c r="H3314"/>
  <c r="I3314"/>
  <c r="K3314"/>
  <c r="H3518"/>
  <c r="I3518"/>
  <c r="K3518"/>
  <c r="H3614"/>
  <c r="I3614"/>
  <c r="K3614"/>
  <c r="H3710"/>
  <c r="H3806"/>
  <c r="H3902"/>
  <c r="H3998"/>
  <c r="H4094"/>
  <c r="H4190"/>
  <c r="H3231"/>
  <c r="H3479"/>
  <c r="I3479"/>
  <c r="K3479"/>
  <c r="H3577"/>
  <c r="I3577"/>
  <c r="K3577"/>
  <c r="H3673"/>
  <c r="I3673"/>
  <c r="K3673"/>
  <c r="H3769"/>
  <c r="I3769"/>
  <c r="K3769"/>
  <c r="H3865"/>
  <c r="I3865"/>
  <c r="K3865"/>
  <c r="H3961"/>
  <c r="I3961"/>
  <c r="K3961"/>
  <c r="H4057"/>
  <c r="I4057"/>
  <c r="K4057"/>
  <c r="H4153"/>
  <c r="I4153"/>
  <c r="K4153"/>
  <c r="H2931"/>
  <c r="I2931"/>
  <c r="K2931"/>
  <c r="H3324"/>
  <c r="I3324"/>
  <c r="K3324"/>
  <c r="H3516"/>
  <c r="I3516"/>
  <c r="K3516"/>
  <c r="H3612"/>
  <c r="I3612"/>
  <c r="K3612"/>
  <c r="H3708"/>
  <c r="I3708"/>
  <c r="K3708"/>
  <c r="H3804"/>
  <c r="I3804"/>
  <c r="K3804"/>
  <c r="H3900"/>
  <c r="I3900"/>
  <c r="K3900"/>
  <c r="H3996"/>
  <c r="I3996"/>
  <c r="K3996"/>
  <c r="H4092"/>
  <c r="I4092"/>
  <c r="K4092"/>
  <c r="H4188"/>
  <c r="I4188"/>
  <c r="K4188"/>
  <c r="H3193"/>
  <c r="I3193"/>
  <c r="K3193"/>
  <c r="H3487"/>
  <c r="I3487"/>
  <c r="K3487"/>
  <c r="H3583"/>
  <c r="I3583"/>
  <c r="K3583"/>
  <c r="H3679"/>
  <c r="I3679"/>
  <c r="K3679"/>
  <c r="H3775"/>
  <c r="I3775"/>
  <c r="K3775"/>
  <c r="H3871"/>
  <c r="I3871"/>
  <c r="K3871"/>
  <c r="H3967"/>
  <c r="I3967"/>
  <c r="K3967"/>
  <c r="H4063"/>
  <c r="I4063"/>
  <c r="K4063"/>
  <c r="H4159"/>
  <c r="I4159"/>
  <c r="K4159"/>
  <c r="H3023"/>
  <c r="I3023"/>
  <c r="K3023"/>
  <c r="H3404"/>
  <c r="I3404"/>
  <c r="K3404"/>
  <c r="H3546"/>
  <c r="I3546"/>
  <c r="K3546"/>
  <c r="H3642"/>
  <c r="I3642"/>
  <c r="K3642"/>
  <c r="H3738"/>
  <c r="I3738"/>
  <c r="K3738"/>
  <c r="H3834"/>
  <c r="I3834"/>
  <c r="K3834"/>
  <c r="H3930"/>
  <c r="I3930"/>
  <c r="K3930"/>
  <c r="H4026"/>
  <c r="I4026"/>
  <c r="K4026"/>
  <c r="H4122"/>
  <c r="I4122"/>
  <c r="K4122"/>
  <c r="H6419"/>
  <c r="I6419"/>
  <c r="K6419"/>
  <c r="H6403"/>
  <c r="I6403"/>
  <c r="K6403"/>
  <c r="H840"/>
  <c r="I840"/>
  <c r="K840"/>
  <c r="H2451"/>
  <c r="I2451"/>
  <c r="K2451"/>
  <c r="H2538"/>
  <c r="H2683"/>
  <c r="I2683"/>
  <c r="K2683"/>
  <c r="H2370"/>
  <c r="I2370"/>
  <c r="K2370"/>
  <c r="H2358"/>
  <c r="I2358"/>
  <c r="K2358"/>
  <c r="H2534"/>
  <c r="I2534"/>
  <c r="K2534"/>
  <c r="H1792"/>
  <c r="I1792"/>
  <c r="K1792"/>
  <c r="H2881"/>
  <c r="I2881"/>
  <c r="K2881"/>
  <c r="H3098"/>
  <c r="I3098"/>
  <c r="K3098"/>
  <c r="H3357"/>
  <c r="I3357"/>
  <c r="K3357"/>
  <c r="H3019"/>
  <c r="I3019"/>
  <c r="K3019"/>
  <c r="H3328"/>
  <c r="I3328"/>
  <c r="K3328"/>
  <c r="H2456"/>
  <c r="I2456"/>
  <c r="K2456"/>
  <c r="H3217"/>
  <c r="I3217"/>
  <c r="K3217"/>
  <c r="H3419"/>
  <c r="I3419"/>
  <c r="K3419"/>
  <c r="H3127"/>
  <c r="I3127"/>
  <c r="K3127"/>
  <c r="H3374"/>
  <c r="I3374"/>
  <c r="K3374"/>
  <c r="H3010"/>
  <c r="I3010"/>
  <c r="K3010"/>
  <c r="H3321"/>
  <c r="I3321"/>
  <c r="K3321"/>
  <c r="H2203"/>
  <c r="I2203"/>
  <c r="K2203"/>
  <c r="H3362"/>
  <c r="I3362"/>
  <c r="K3362"/>
  <c r="H3576"/>
  <c r="I3576"/>
  <c r="K3576"/>
  <c r="H3672"/>
  <c r="I3672"/>
  <c r="K3672"/>
  <c r="H3768"/>
  <c r="I3768"/>
  <c r="K3768"/>
  <c r="H3864"/>
  <c r="I3864"/>
  <c r="K3864"/>
  <c r="H3960"/>
  <c r="I3960"/>
  <c r="K3960"/>
  <c r="H4056"/>
  <c r="I4056"/>
  <c r="K4056"/>
  <c r="H4152"/>
  <c r="I4152"/>
  <c r="K4152"/>
  <c r="H2801"/>
  <c r="I2801"/>
  <c r="K2801"/>
  <c r="H3364"/>
  <c r="I3364"/>
  <c r="K3364"/>
  <c r="H3531"/>
  <c r="I3531"/>
  <c r="K3531"/>
  <c r="H3627"/>
  <c r="I3627"/>
  <c r="K3627"/>
  <c r="H3723"/>
  <c r="I3723"/>
  <c r="K3723"/>
  <c r="H3819"/>
  <c r="I3819"/>
  <c r="K3819"/>
  <c r="H2943"/>
  <c r="I2943"/>
  <c r="K2943"/>
  <c r="H3343"/>
  <c r="I3343"/>
  <c r="K3343"/>
  <c r="H3526"/>
  <c r="I3526"/>
  <c r="K3526"/>
  <c r="H3622"/>
  <c r="I3622"/>
  <c r="K3622"/>
  <c r="H3718"/>
  <c r="I3718"/>
  <c r="K3718"/>
  <c r="H3814"/>
  <c r="I3814"/>
  <c r="K3814"/>
  <c r="H3910"/>
  <c r="I3910"/>
  <c r="K3910"/>
  <c r="H4006"/>
  <c r="I4006"/>
  <c r="K4006"/>
  <c r="H4102"/>
  <c r="I4102"/>
  <c r="K4102"/>
  <c r="H4198"/>
  <c r="I4198"/>
  <c r="K4198"/>
  <c r="H3252"/>
  <c r="I3252"/>
  <c r="K3252"/>
  <c r="H3489"/>
  <c r="I3489"/>
  <c r="K3489"/>
  <c r="H3585"/>
  <c r="I3585"/>
  <c r="K3585"/>
  <c r="H3681"/>
  <c r="I3681"/>
  <c r="K3681"/>
  <c r="H3777"/>
  <c r="I3777"/>
  <c r="K3777"/>
  <c r="H3873"/>
  <c r="I3873"/>
  <c r="K3873"/>
  <c r="H3969"/>
  <c r="I3969"/>
  <c r="K3969"/>
  <c r="H4065"/>
  <c r="I4065"/>
  <c r="K4065"/>
  <c r="H4161"/>
  <c r="I4161"/>
  <c r="K4161"/>
  <c r="H2962"/>
  <c r="I2962"/>
  <c r="K2962"/>
  <c r="H3330"/>
  <c r="I3330"/>
  <c r="K3330"/>
  <c r="H3524"/>
  <c r="I3524"/>
  <c r="K3524"/>
  <c r="H3620"/>
  <c r="I3620"/>
  <c r="K3620"/>
  <c r="H3716"/>
  <c r="I3716"/>
  <c r="K3716"/>
  <c r="H3812"/>
  <c r="I3812"/>
  <c r="K3812"/>
  <c r="H3908"/>
  <c r="I3908"/>
  <c r="K3908"/>
  <c r="H4004"/>
  <c r="I4004"/>
  <c r="K4004"/>
  <c r="H4100"/>
  <c r="I4100"/>
  <c r="K4100"/>
  <c r="H4196"/>
  <c r="I4196"/>
  <c r="K4196"/>
  <c r="H3268"/>
  <c r="I3268"/>
  <c r="K3268"/>
  <c r="H3495"/>
  <c r="I3495"/>
  <c r="K3495"/>
  <c r="H3591"/>
  <c r="I3591"/>
  <c r="K3591"/>
  <c r="H3687"/>
  <c r="I3687"/>
  <c r="K3687"/>
  <c r="H3783"/>
  <c r="I3783"/>
  <c r="K3783"/>
  <c r="H3879"/>
  <c r="I3879"/>
  <c r="K3879"/>
  <c r="H3975"/>
  <c r="I3975"/>
  <c r="K3975"/>
  <c r="H4071"/>
  <c r="I4071"/>
  <c r="K4071"/>
  <c r="H4167"/>
  <c r="I4167"/>
  <c r="K4167"/>
  <c r="H3081"/>
  <c r="I3081"/>
  <c r="K3081"/>
  <c r="H3410"/>
  <c r="I3410"/>
  <c r="K3410"/>
  <c r="H3554"/>
  <c r="I3554"/>
  <c r="K3554"/>
  <c r="H3650"/>
  <c r="I3650"/>
  <c r="K3650"/>
  <c r="H3746"/>
  <c r="I3746"/>
  <c r="K3746"/>
  <c r="H3842"/>
  <c r="I3842"/>
  <c r="K3842"/>
  <c r="H3938"/>
  <c r="I3938"/>
  <c r="K3938"/>
  <c r="H4034"/>
  <c r="I4034"/>
  <c r="K4034"/>
  <c r="H4130"/>
  <c r="I4130"/>
  <c r="K4130"/>
  <c r="H6421"/>
  <c r="I6421"/>
  <c r="K6421"/>
  <c r="H6405"/>
  <c r="I6405"/>
  <c r="K6405"/>
  <c r="H979"/>
  <c r="I979"/>
  <c r="K979"/>
  <c r="H2802"/>
  <c r="I2802"/>
  <c r="K2802"/>
  <c r="H2714"/>
  <c r="H2814"/>
  <c r="H2562"/>
  <c r="H2817"/>
  <c r="H2906"/>
  <c r="H2056"/>
  <c r="H2929"/>
  <c r="H3146"/>
  <c r="H3381"/>
  <c r="I3381"/>
  <c r="K3381"/>
  <c r="H3067"/>
  <c r="I3067"/>
  <c r="K3067"/>
  <c r="H3352"/>
  <c r="I3352"/>
  <c r="K3352"/>
  <c r="H2922"/>
  <c r="I2922"/>
  <c r="K2922"/>
  <c r="H3251"/>
  <c r="H3443"/>
  <c r="H3175"/>
  <c r="H3398"/>
  <c r="H3058"/>
  <c r="I3058"/>
  <c r="K3058"/>
  <c r="H3329"/>
  <c r="H2795"/>
  <c r="I2795"/>
  <c r="K2795"/>
  <c r="H3455"/>
  <c r="I3455"/>
  <c r="K3455"/>
  <c r="H3584"/>
  <c r="I3584"/>
  <c r="K3584"/>
  <c r="H3680"/>
  <c r="I3680"/>
  <c r="K3680"/>
  <c r="H3776"/>
  <c r="I3776"/>
  <c r="K3776"/>
  <c r="H3872"/>
  <c r="I3872"/>
  <c r="K3872"/>
  <c r="H3968"/>
  <c r="H4064"/>
  <c r="H4160"/>
  <c r="H2938"/>
  <c r="H3370"/>
  <c r="H3539"/>
  <c r="H3635"/>
  <c r="H3731"/>
  <c r="H3827"/>
  <c r="I3827"/>
  <c r="K3827"/>
  <c r="H3017"/>
  <c r="I3017"/>
  <c r="K3017"/>
  <c r="H3372"/>
  <c r="I3372"/>
  <c r="K3372"/>
  <c r="H3534"/>
  <c r="I3534"/>
  <c r="K3534"/>
  <c r="H3630"/>
  <c r="H3726"/>
  <c r="H3822"/>
  <c r="H3918"/>
  <c r="H4014"/>
  <c r="H4110"/>
  <c r="H4206"/>
  <c r="H3258"/>
  <c r="H3497"/>
  <c r="I3497"/>
  <c r="K3497"/>
  <c r="H3593"/>
  <c r="I3593"/>
  <c r="K3593"/>
  <c r="H3689"/>
  <c r="I3689"/>
  <c r="K3689"/>
  <c r="H3785"/>
  <c r="I3785"/>
  <c r="K3785"/>
  <c r="H3881"/>
  <c r="I3881"/>
  <c r="K3881"/>
  <c r="H3977"/>
  <c r="I3977"/>
  <c r="K3977"/>
  <c r="H4073"/>
  <c r="I4073"/>
  <c r="K4073"/>
  <c r="H4169"/>
  <c r="I4169"/>
  <c r="K4169"/>
  <c r="H2979"/>
  <c r="I2979"/>
  <c r="K2979"/>
  <c r="H3359"/>
  <c r="I3359"/>
  <c r="K3359"/>
  <c r="H3532"/>
  <c r="I3532"/>
  <c r="K3532"/>
  <c r="H3628"/>
  <c r="I3628"/>
  <c r="K3628"/>
  <c r="H3724"/>
  <c r="I3724"/>
  <c r="K3724"/>
  <c r="H3820"/>
  <c r="I3820"/>
  <c r="K3820"/>
  <c r="H3916"/>
  <c r="I3916"/>
  <c r="K3916"/>
  <c r="H4012"/>
  <c r="I4012"/>
  <c r="K4012"/>
  <c r="H4108"/>
  <c r="I4108"/>
  <c r="K4108"/>
  <c r="H4204"/>
  <c r="I4204"/>
  <c r="K4204"/>
  <c r="H3274"/>
  <c r="I3274"/>
  <c r="K3274"/>
  <c r="H3503"/>
  <c r="I3503"/>
  <c r="K3503"/>
  <c r="H3599"/>
  <c r="I3599"/>
  <c r="K3599"/>
  <c r="H3695"/>
  <c r="I3695"/>
  <c r="K3695"/>
  <c r="H3791"/>
  <c r="I3791"/>
  <c r="K3791"/>
  <c r="H3887"/>
  <c r="I3887"/>
  <c r="K3887"/>
  <c r="H3983"/>
  <c r="I3983"/>
  <c r="K3983"/>
  <c r="H4079"/>
  <c r="I4079"/>
  <c r="K4079"/>
  <c r="H4175"/>
  <c r="I4175"/>
  <c r="K4175"/>
  <c r="H3139"/>
  <c r="I3139"/>
  <c r="K3139"/>
  <c r="H3439"/>
  <c r="I3439"/>
  <c r="K3439"/>
  <c r="H3562"/>
  <c r="I3562"/>
  <c r="K3562"/>
  <c r="H3658"/>
  <c r="I3658"/>
  <c r="K3658"/>
  <c r="H3754"/>
  <c r="I3754"/>
  <c r="K3754"/>
  <c r="H3850"/>
  <c r="I3850"/>
  <c r="K3850"/>
  <c r="H3946"/>
  <c r="I3946"/>
  <c r="K3946"/>
  <c r="H4042"/>
  <c r="I4042"/>
  <c r="K4042"/>
  <c r="H4138"/>
  <c r="I4138"/>
  <c r="K4138"/>
  <c r="H6429"/>
  <c r="I6429"/>
  <c r="K6429"/>
  <c r="H6413"/>
  <c r="I6413"/>
  <c r="K6413"/>
  <c r="H1668"/>
  <c r="I1668"/>
  <c r="K1668"/>
  <c r="H1848"/>
  <c r="I1848"/>
  <c r="K1848"/>
  <c r="H2730"/>
  <c r="H2894"/>
  <c r="H2722"/>
  <c r="H1776"/>
  <c r="H2294"/>
  <c r="I2294"/>
  <c r="K2294"/>
  <c r="H2171"/>
  <c r="I2171"/>
  <c r="K2171"/>
  <c r="H2945"/>
  <c r="I2945"/>
  <c r="K2945"/>
  <c r="H3162"/>
  <c r="I3162"/>
  <c r="K3162"/>
  <c r="H3389"/>
  <c r="I3389"/>
  <c r="K3389"/>
  <c r="H3083"/>
  <c r="I3083"/>
  <c r="K3083"/>
  <c r="H3360"/>
  <c r="I3360"/>
  <c r="K3360"/>
  <c r="H2935"/>
  <c r="I2935"/>
  <c r="K2935"/>
  <c r="H3259"/>
  <c r="I3259"/>
  <c r="K3259"/>
  <c r="H3451"/>
  <c r="I3451"/>
  <c r="K3451"/>
  <c r="H3191"/>
  <c r="I3191"/>
  <c r="K3191"/>
  <c r="H3406"/>
  <c r="I3406"/>
  <c r="K3406"/>
  <c r="H3074"/>
  <c r="I3074"/>
  <c r="K3074"/>
  <c r="H3345"/>
  <c r="I3345"/>
  <c r="K3345"/>
  <c r="H2871"/>
  <c r="I2871"/>
  <c r="K2871"/>
  <c r="H3496"/>
  <c r="I3496"/>
  <c r="K3496"/>
  <c r="H3592"/>
  <c r="I3592"/>
  <c r="K3592"/>
  <c r="H3688"/>
  <c r="I3688"/>
  <c r="K3688"/>
  <c r="H3784"/>
  <c r="I3784"/>
  <c r="K3784"/>
  <c r="H3880"/>
  <c r="I3880"/>
  <c r="K3880"/>
  <c r="H3976"/>
  <c r="I3976"/>
  <c r="K3976"/>
  <c r="H4072"/>
  <c r="I4072"/>
  <c r="K4072"/>
  <c r="H4168"/>
  <c r="I4168"/>
  <c r="K4168"/>
  <c r="H3001"/>
  <c r="I3001"/>
  <c r="K3001"/>
  <c r="H3399"/>
  <c r="I3399"/>
  <c r="K3399"/>
  <c r="H3547"/>
  <c r="I3547"/>
  <c r="K3547"/>
  <c r="H3643"/>
  <c r="I3643"/>
  <c r="K3643"/>
  <c r="H3739"/>
  <c r="I3739"/>
  <c r="K3739"/>
  <c r="H3835"/>
  <c r="I3835"/>
  <c r="K3835"/>
  <c r="H3075"/>
  <c r="I3075"/>
  <c r="K3075"/>
  <c r="H3378"/>
  <c r="I3378"/>
  <c r="K3378"/>
  <c r="H3542"/>
  <c r="I3542"/>
  <c r="K3542"/>
  <c r="H3638"/>
  <c r="I3638"/>
  <c r="K3638"/>
  <c r="H3734"/>
  <c r="I3734"/>
  <c r="K3734"/>
  <c r="H3830"/>
  <c r="I3830"/>
  <c r="K3830"/>
  <c r="H3926"/>
  <c r="I3926"/>
  <c r="K3926"/>
  <c r="H4022"/>
  <c r="I4022"/>
  <c r="K4022"/>
  <c r="H4118"/>
  <c r="I4118"/>
  <c r="K4118"/>
  <c r="H4214"/>
  <c r="I4214"/>
  <c r="K4214"/>
  <c r="H3287"/>
  <c r="I3287"/>
  <c r="K3287"/>
  <c r="H3505"/>
  <c r="I3505"/>
  <c r="K3505"/>
  <c r="H3601"/>
  <c r="I3601"/>
  <c r="K3601"/>
  <c r="H3697"/>
  <c r="I3697"/>
  <c r="K3697"/>
  <c r="H3793"/>
  <c r="I3793"/>
  <c r="K3793"/>
  <c r="H3889"/>
  <c r="I3889"/>
  <c r="K3889"/>
  <c r="H3985"/>
  <c r="I3985"/>
  <c r="K3985"/>
  <c r="H4081"/>
  <c r="I4081"/>
  <c r="K4081"/>
  <c r="H4177"/>
  <c r="I4177"/>
  <c r="K4177"/>
  <c r="H2991"/>
  <c r="I2991"/>
  <c r="K2991"/>
  <c r="H3388"/>
  <c r="I3388"/>
  <c r="K3388"/>
  <c r="H3540"/>
  <c r="I3540"/>
  <c r="K3540"/>
  <c r="H3636"/>
  <c r="I3636"/>
  <c r="K3636"/>
  <c r="H3732"/>
  <c r="I3732"/>
  <c r="K3732"/>
  <c r="H3828"/>
  <c r="I3828"/>
  <c r="K3828"/>
  <c r="H3924"/>
  <c r="I3924"/>
  <c r="K3924"/>
  <c r="H4020"/>
  <c r="I4020"/>
  <c r="K4020"/>
  <c r="H4116"/>
  <c r="I4116"/>
  <c r="K4116"/>
  <c r="H4212"/>
  <c r="I4212"/>
  <c r="K4212"/>
  <c r="H3303"/>
  <c r="I3303"/>
  <c r="K3303"/>
  <c r="H3511"/>
  <c r="I3511"/>
  <c r="K3511"/>
  <c r="H3607"/>
  <c r="I3607"/>
  <c r="K3607"/>
  <c r="H3703"/>
  <c r="I3703"/>
  <c r="K3703"/>
  <c r="H3799"/>
  <c r="I3799"/>
  <c r="K3799"/>
  <c r="H3895"/>
  <c r="I3895"/>
  <c r="K3895"/>
  <c r="H3991"/>
  <c r="I3991"/>
  <c r="K3991"/>
  <c r="H4087"/>
  <c r="I4087"/>
  <c r="K4087"/>
  <c r="H4183"/>
  <c r="I4183"/>
  <c r="K4183"/>
  <c r="H3151"/>
  <c r="I3151"/>
  <c r="K3151"/>
  <c r="H3468"/>
  <c r="I3468"/>
  <c r="K3468"/>
  <c r="H3570"/>
  <c r="I3570"/>
  <c r="K3570"/>
  <c r="H3666"/>
  <c r="I3666"/>
  <c r="K3666"/>
  <c r="H3762"/>
  <c r="I3762"/>
  <c r="K3762"/>
  <c r="H3858"/>
  <c r="I3858"/>
  <c r="K3858"/>
  <c r="H3954"/>
  <c r="I3954"/>
  <c r="K3954"/>
  <c r="H4050"/>
  <c r="I4050"/>
  <c r="K4050"/>
  <c r="H4146"/>
  <c r="I4146"/>
  <c r="K4146"/>
  <c r="H6431"/>
  <c r="I6431"/>
  <c r="K6431"/>
  <c r="H6415"/>
  <c r="I6415"/>
  <c r="K6415"/>
  <c r="H2102"/>
  <c r="I2102"/>
  <c r="K2102"/>
  <c r="H2199"/>
  <c r="I2199"/>
  <c r="K2199"/>
  <c r="H2936"/>
  <c r="H2998"/>
  <c r="H2852"/>
  <c r="H2502"/>
  <c r="I2502"/>
  <c r="K2502"/>
  <c r="H2480"/>
  <c r="I2480"/>
  <c r="K2480"/>
  <c r="H2368"/>
  <c r="I2368"/>
  <c r="K2368"/>
  <c r="H1864"/>
  <c r="I1864"/>
  <c r="K1864"/>
  <c r="H3226"/>
  <c r="I3226"/>
  <c r="K3226"/>
  <c r="H3421"/>
  <c r="I3421"/>
  <c r="K3421"/>
  <c r="H3147"/>
  <c r="I3147"/>
  <c r="K3147"/>
  <c r="H3392"/>
  <c r="I3392"/>
  <c r="K3392"/>
  <c r="H2971"/>
  <c r="I2971"/>
  <c r="K2971"/>
  <c r="H3291"/>
  <c r="I3291"/>
  <c r="K3291"/>
  <c r="H2582"/>
  <c r="I2582"/>
  <c r="K2582"/>
  <c r="H3246"/>
  <c r="I3246"/>
  <c r="K3246"/>
  <c r="H3438"/>
  <c r="I3438"/>
  <c r="K3438"/>
  <c r="H3138"/>
  <c r="I3138"/>
  <c r="K3138"/>
  <c r="H3353"/>
  <c r="I3353"/>
  <c r="K3353"/>
  <c r="H2919"/>
  <c r="H3504"/>
  <c r="I3504"/>
  <c r="K3504"/>
  <c r="H3600"/>
  <c r="I3600"/>
  <c r="K3600"/>
  <c r="H3696"/>
  <c r="I3696"/>
  <c r="K3696"/>
  <c r="H3792"/>
  <c r="I3792"/>
  <c r="K3792"/>
  <c r="H3888"/>
  <c r="I3888"/>
  <c r="K3888"/>
  <c r="H3984"/>
  <c r="I3984"/>
  <c r="K3984"/>
  <c r="H4080"/>
  <c r="I4080"/>
  <c r="K4080"/>
  <c r="H4176"/>
  <c r="I4176"/>
  <c r="K4176"/>
  <c r="H3059"/>
  <c r="I3059"/>
  <c r="K3059"/>
  <c r="H3428"/>
  <c r="I3428"/>
  <c r="K3428"/>
  <c r="H3555"/>
  <c r="I3555"/>
  <c r="K3555"/>
  <c r="H3651"/>
  <c r="I3651"/>
  <c r="K3651"/>
  <c r="H3747"/>
  <c r="I3747"/>
  <c r="K3747"/>
  <c r="H3843"/>
  <c r="I3843"/>
  <c r="K3843"/>
  <c r="H3087"/>
  <c r="I3087"/>
  <c r="K3087"/>
  <c r="H3407"/>
  <c r="I3407"/>
  <c r="K3407"/>
  <c r="H3550"/>
  <c r="I3550"/>
  <c r="K3550"/>
  <c r="H3646"/>
  <c r="I3646"/>
  <c r="K3646"/>
  <c r="H3742"/>
  <c r="I3742"/>
  <c r="K3742"/>
  <c r="H3838"/>
  <c r="I3838"/>
  <c r="K3838"/>
  <c r="H3934"/>
  <c r="I3934"/>
  <c r="K3934"/>
  <c r="H4030"/>
  <c r="I4030"/>
  <c r="K4030"/>
  <c r="H4126"/>
  <c r="I4126"/>
  <c r="K4126"/>
  <c r="H2060"/>
  <c r="I2060"/>
  <c r="K2060"/>
  <c r="H3316"/>
  <c r="I3316"/>
  <c r="K3316"/>
  <c r="H3513"/>
  <c r="I3513"/>
  <c r="K3513"/>
  <c r="H3609"/>
  <c r="I3609"/>
  <c r="K3609"/>
  <c r="H3705"/>
  <c r="I3705"/>
  <c r="K3705"/>
  <c r="H3801"/>
  <c r="I3801"/>
  <c r="K3801"/>
  <c r="H3897"/>
  <c r="I3897"/>
  <c r="K3897"/>
  <c r="H3993"/>
  <c r="I3993"/>
  <c r="K3993"/>
  <c r="H4089"/>
  <c r="I4089"/>
  <c r="K4089"/>
  <c r="H4185"/>
  <c r="I4185"/>
  <c r="K4185"/>
  <c r="H3049"/>
  <c r="I3049"/>
  <c r="K3049"/>
  <c r="H3394"/>
  <c r="I3394"/>
  <c r="K3394"/>
  <c r="H3548"/>
  <c r="I3548"/>
  <c r="K3548"/>
  <c r="H3644"/>
  <c r="I3644"/>
  <c r="K3644"/>
  <c r="H3740"/>
  <c r="I3740"/>
  <c r="K3740"/>
  <c r="H3836"/>
  <c r="I3836"/>
  <c r="K3836"/>
  <c r="H3932"/>
  <c r="I3932"/>
  <c r="K3932"/>
  <c r="H4028"/>
  <c r="I4028"/>
  <c r="K4028"/>
  <c r="H4124"/>
  <c r="I4124"/>
  <c r="K4124"/>
  <c r="H1832"/>
  <c r="I1832"/>
  <c r="K1832"/>
  <c r="H3332"/>
  <c r="I3332"/>
  <c r="K3332"/>
  <c r="H3519"/>
  <c r="I3519"/>
  <c r="K3519"/>
  <c r="H3615"/>
  <c r="I3615"/>
  <c r="K3615"/>
  <c r="H3711"/>
  <c r="I3711"/>
  <c r="K3711"/>
  <c r="H3807"/>
  <c r="I3807"/>
  <c r="K3807"/>
  <c r="H3903"/>
  <c r="I3903"/>
  <c r="K3903"/>
  <c r="H3999"/>
  <c r="I3999"/>
  <c r="K3999"/>
  <c r="H4095"/>
  <c r="I4095"/>
  <c r="K4095"/>
  <c r="H4191"/>
  <c r="I4191"/>
  <c r="K4191"/>
  <c r="H3209"/>
  <c r="I3209"/>
  <c r="K3209"/>
  <c r="H3474"/>
  <c r="I3474"/>
  <c r="K3474"/>
  <c r="H3578"/>
  <c r="I3578"/>
  <c r="K3578"/>
  <c r="H3674"/>
  <c r="I3674"/>
  <c r="K3674"/>
  <c r="H3770"/>
  <c r="I3770"/>
  <c r="K3770"/>
  <c r="H3866"/>
  <c r="I3866"/>
  <c r="K3866"/>
  <c r="H3962"/>
  <c r="I3962"/>
  <c r="K3962"/>
  <c r="H4058"/>
  <c r="I4058"/>
  <c r="K4058"/>
  <c r="H4154"/>
  <c r="I4154"/>
  <c r="K4154"/>
  <c r="H6458"/>
  <c r="I6458"/>
  <c r="K6458"/>
  <c r="H6445"/>
  <c r="I6445"/>
  <c r="K6445"/>
  <c r="H2276"/>
  <c r="I2276"/>
  <c r="K2276"/>
  <c r="H2549"/>
  <c r="I2549"/>
  <c r="K2549"/>
  <c r="H2981"/>
  <c r="H3224"/>
  <c r="H3198"/>
  <c r="H3052"/>
  <c r="H2248"/>
  <c r="H2771"/>
  <c r="H2680"/>
  <c r="H2927"/>
  <c r="I2927"/>
  <c r="K2927"/>
  <c r="H3285"/>
  <c r="I3285"/>
  <c r="K3285"/>
  <c r="H3477"/>
  <c r="I3477"/>
  <c r="K3477"/>
  <c r="H3256"/>
  <c r="I3256"/>
  <c r="K3256"/>
  <c r="H3448"/>
  <c r="I3448"/>
  <c r="K3448"/>
  <c r="H3073"/>
  <c r="H3347"/>
  <c r="H2983"/>
  <c r="H3302"/>
  <c r="H2470"/>
  <c r="H3249"/>
  <c r="H3417"/>
  <c r="H3241"/>
  <c r="I3241"/>
  <c r="K3241"/>
  <c r="H3536"/>
  <c r="I3536"/>
  <c r="K3536"/>
  <c r="H3632"/>
  <c r="I3632"/>
  <c r="K3632"/>
  <c r="H3728"/>
  <c r="I3728"/>
  <c r="K3728"/>
  <c r="H3824"/>
  <c r="I3824"/>
  <c r="K3824"/>
  <c r="H3920"/>
  <c r="I3920"/>
  <c r="K3920"/>
  <c r="H4016"/>
  <c r="I4016"/>
  <c r="K4016"/>
  <c r="H4112"/>
  <c r="I4112"/>
  <c r="K4112"/>
  <c r="H4208"/>
  <c r="I4208"/>
  <c r="K4208"/>
  <c r="H3199"/>
  <c r="I3199"/>
  <c r="K3199"/>
  <c r="H3491"/>
  <c r="I3491"/>
  <c r="K3491"/>
  <c r="H3587"/>
  <c r="I3587"/>
  <c r="K3587"/>
  <c r="H3683"/>
  <c r="I3683"/>
  <c r="K3683"/>
  <c r="H3779"/>
  <c r="I3779"/>
  <c r="K3779"/>
  <c r="H3875"/>
  <c r="I3875"/>
  <c r="K3875"/>
  <c r="H3244"/>
  <c r="I3244"/>
  <c r="K3244"/>
  <c r="H3486"/>
  <c r="I3486"/>
  <c r="K3486"/>
  <c r="H3582"/>
  <c r="I3582"/>
  <c r="K3582"/>
  <c r="H3678"/>
  <c r="I3678"/>
  <c r="K3678"/>
  <c r="H3774"/>
  <c r="I3774"/>
  <c r="K3774"/>
  <c r="H3870"/>
  <c r="I3870"/>
  <c r="K3870"/>
  <c r="H3966"/>
  <c r="I3966"/>
  <c r="K3966"/>
  <c r="H4062"/>
  <c r="I4062"/>
  <c r="K4062"/>
  <c r="H4158"/>
  <c r="I4158"/>
  <c r="K4158"/>
  <c r="H3091"/>
  <c r="I3091"/>
  <c r="K3091"/>
  <c r="H3386"/>
  <c r="I3386"/>
  <c r="K3386"/>
  <c r="H3545"/>
  <c r="I3545"/>
  <c r="K3545"/>
  <c r="H3641"/>
  <c r="I3641"/>
  <c r="K3641"/>
  <c r="H3737"/>
  <c r="I3737"/>
  <c r="K3737"/>
  <c r="H3833"/>
  <c r="I3833"/>
  <c r="K3833"/>
  <c r="H3929"/>
  <c r="I3929"/>
  <c r="K3929"/>
  <c r="H4025"/>
  <c r="I4025"/>
  <c r="K4025"/>
  <c r="H4121"/>
  <c r="I4121"/>
  <c r="K4121"/>
  <c r="H4217"/>
  <c r="I4217"/>
  <c r="K4217"/>
  <c r="H3235"/>
  <c r="I3235"/>
  <c r="K3235"/>
  <c r="H3484"/>
  <c r="I3484"/>
  <c r="K3484"/>
  <c r="H3580"/>
  <c r="I3580"/>
  <c r="K3580"/>
  <c r="H3676"/>
  <c r="I3676"/>
  <c r="K3676"/>
  <c r="H3772"/>
  <c r="I3772"/>
  <c r="K3772"/>
  <c r="H3868"/>
  <c r="I3868"/>
  <c r="K3868"/>
  <c r="H3964"/>
  <c r="I3964"/>
  <c r="K3964"/>
  <c r="H4060"/>
  <c r="I4060"/>
  <c r="K4060"/>
  <c r="H4156"/>
  <c r="I4156"/>
  <c r="K4156"/>
  <c r="H3007"/>
  <c r="I3007"/>
  <c r="K3007"/>
  <c r="H3402"/>
  <c r="I3402"/>
  <c r="K3402"/>
  <c r="H3551"/>
  <c r="I3551"/>
  <c r="K3551"/>
  <c r="H3647"/>
  <c r="I3647"/>
  <c r="K3647"/>
  <c r="H3743"/>
  <c r="I3743"/>
  <c r="K3743"/>
  <c r="H3839"/>
  <c r="I3839"/>
  <c r="K3839"/>
  <c r="H3935"/>
  <c r="I3935"/>
  <c r="K3935"/>
  <c r="H4031"/>
  <c r="I4031"/>
  <c r="K4031"/>
  <c r="H4127"/>
  <c r="I4127"/>
  <c r="K4127"/>
  <c r="H1836"/>
  <c r="I1836"/>
  <c r="K1836"/>
  <c r="H3311"/>
  <c r="I3311"/>
  <c r="K3311"/>
  <c r="H3514"/>
  <c r="I3514"/>
  <c r="K3514"/>
  <c r="H3610"/>
  <c r="I3610"/>
  <c r="K3610"/>
  <c r="H3706"/>
  <c r="I3706"/>
  <c r="K3706"/>
  <c r="H3802"/>
  <c r="I3802"/>
  <c r="K3802"/>
  <c r="H3898"/>
  <c r="I3898"/>
  <c r="K3898"/>
  <c r="H3994"/>
  <c r="I3994"/>
  <c r="K3994"/>
  <c r="H4090"/>
  <c r="I4090"/>
  <c r="K4090"/>
  <c r="H4186"/>
  <c r="I4186"/>
  <c r="K4186"/>
  <c r="H3453"/>
  <c r="I3453"/>
  <c r="K3453"/>
  <c r="H2664"/>
  <c r="I2664"/>
  <c r="K2664"/>
  <c r="H3216"/>
  <c r="I3216"/>
  <c r="K3216"/>
  <c r="H6443"/>
  <c r="H3529"/>
  <c r="I3529"/>
  <c r="K3529"/>
  <c r="H4046"/>
  <c r="I4046"/>
  <c r="K4046"/>
  <c r="H3662"/>
  <c r="H3859"/>
  <c r="H3463"/>
  <c r="H4000"/>
  <c r="H3616"/>
  <c r="I3616"/>
  <c r="K3616"/>
  <c r="H3186"/>
  <c r="I3186"/>
  <c r="K3186"/>
  <c r="H3315"/>
  <c r="I3315"/>
  <c r="K3315"/>
  <c r="H3445"/>
  <c r="I3445"/>
  <c r="K3445"/>
  <c r="H2608"/>
  <c r="I2608"/>
  <c r="K2608"/>
  <c r="H3208"/>
  <c r="H6441"/>
  <c r="H3654"/>
  <c r="I3654"/>
  <c r="K3654"/>
  <c r="H3851"/>
  <c r="I3851"/>
  <c r="K3851"/>
  <c r="H3434"/>
  <c r="I3434"/>
  <c r="K3434"/>
  <c r="H3992"/>
  <c r="I3992"/>
  <c r="K3992"/>
  <c r="H3608"/>
  <c r="I3608"/>
  <c r="K3608"/>
  <c r="H3170"/>
  <c r="I3170"/>
  <c r="K3170"/>
  <c r="H3307"/>
  <c r="I3307"/>
  <c r="K3307"/>
  <c r="H3437"/>
  <c r="I3437"/>
  <c r="K3437"/>
  <c r="H2550"/>
  <c r="I2550"/>
  <c r="K2550"/>
  <c r="H3120"/>
  <c r="I3120"/>
  <c r="K3120"/>
  <c r="H6433"/>
  <c r="H3574"/>
  <c r="H3771"/>
  <c r="H3187"/>
  <c r="H3912"/>
  <c r="H3528"/>
  <c r="H3470"/>
  <c r="I3470"/>
  <c r="K3470"/>
  <c r="H3025"/>
  <c r="I3025"/>
  <c r="K3025"/>
  <c r="H3261"/>
  <c r="I3261"/>
  <c r="K3261"/>
  <c r="H2889"/>
  <c r="I2889"/>
  <c r="K2889"/>
  <c r="H2885"/>
  <c r="I2885"/>
  <c r="K2885"/>
  <c r="H6456"/>
  <c r="I6456"/>
  <c r="K6456"/>
  <c r="H3351"/>
  <c r="I3351"/>
  <c r="K3351"/>
  <c r="H3950"/>
  <c r="I3950"/>
  <c r="K3950"/>
  <c r="H3566"/>
  <c r="H3763"/>
  <c r="H3129"/>
  <c r="H3904"/>
  <c r="H3520"/>
  <c r="H3462"/>
  <c r="I3462"/>
  <c r="K3462"/>
  <c r="H3009"/>
  <c r="I3009"/>
  <c r="K3009"/>
  <c r="H3253"/>
  <c r="I3253"/>
  <c r="K3253"/>
  <c r="H2873"/>
  <c r="I2873"/>
  <c r="K2873"/>
  <c r="H2622"/>
  <c r="I2622"/>
  <c r="K2622"/>
  <c r="H6482"/>
  <c r="H3809"/>
  <c r="I3809"/>
  <c r="K3809"/>
  <c r="H3322"/>
  <c r="I3322"/>
  <c r="K3322"/>
  <c r="H3942"/>
  <c r="I3942"/>
  <c r="K3942"/>
  <c r="H3558"/>
  <c r="I3558"/>
  <c r="K3558"/>
  <c r="H3755"/>
  <c r="I3755"/>
  <c r="K3755"/>
  <c r="H3071"/>
  <c r="I3071"/>
  <c r="K3071"/>
  <c r="H3896"/>
  <c r="I3896"/>
  <c r="K3896"/>
  <c r="H3512"/>
  <c r="I3512"/>
  <c r="K3512"/>
  <c r="H3454"/>
  <c r="I3454"/>
  <c r="K3454"/>
  <c r="H2993"/>
  <c r="I2993"/>
  <c r="K2993"/>
  <c r="H3245"/>
  <c r="I3245"/>
  <c r="K3245"/>
  <c r="H2857"/>
  <c r="H2238"/>
  <c r="H6476"/>
  <c r="I1776"/>
  <c r="K1776"/>
  <c r="I2722"/>
  <c r="K2722"/>
  <c r="I2730"/>
  <c r="K2730"/>
  <c r="I3341"/>
  <c r="K3341"/>
  <c r="I6393"/>
  <c r="K6393"/>
  <c r="I6470"/>
  <c r="K6470"/>
  <c r="I2875"/>
  <c r="K2875"/>
  <c r="I1820"/>
  <c r="K1820"/>
  <c r="I3236"/>
  <c r="K3236"/>
  <c r="I3293"/>
  <c r="K3293"/>
  <c r="I2939"/>
  <c r="K2939"/>
  <c r="I2694"/>
  <c r="K2694"/>
  <c r="I2785"/>
  <c r="K2785"/>
  <c r="I2646"/>
  <c r="K2646"/>
  <c r="I6496"/>
  <c r="K6496"/>
  <c r="I3417"/>
  <c r="K3417"/>
  <c r="I3249"/>
  <c r="K3249"/>
  <c r="I3224"/>
  <c r="K3224"/>
  <c r="I6492"/>
  <c r="K6492"/>
  <c r="I6488"/>
  <c r="K6488"/>
  <c r="I3262"/>
  <c r="K3262"/>
  <c r="I2696"/>
  <c r="K2696"/>
  <c r="I3408"/>
  <c r="K3408"/>
  <c r="I3179"/>
  <c r="K3179"/>
  <c r="I6433"/>
  <c r="K6433"/>
  <c r="I6486"/>
  <c r="K6486"/>
  <c r="I3082"/>
  <c r="K3082"/>
  <c r="I2272"/>
  <c r="K2272"/>
  <c r="I2865"/>
  <c r="K2865"/>
  <c r="I2496"/>
  <c r="K2496"/>
  <c r="I1678"/>
  <c r="K1678"/>
  <c r="I2520"/>
  <c r="K2520"/>
  <c r="I2344"/>
  <c r="K2344"/>
  <c r="I2948"/>
  <c r="K2948"/>
  <c r="I2354"/>
  <c r="K2354"/>
  <c r="I3094"/>
  <c r="K3094"/>
  <c r="I2667"/>
  <c r="K2667"/>
  <c r="I2714"/>
  <c r="K2714"/>
  <c r="H6404"/>
  <c r="I6404"/>
  <c r="K6404"/>
  <c r="H6392"/>
  <c r="I6392"/>
  <c r="K6392"/>
  <c r="H6444"/>
  <c r="I6444"/>
  <c r="K6444"/>
  <c r="H6432"/>
  <c r="I6432"/>
  <c r="K6432"/>
  <c r="H6420"/>
  <c r="I6420"/>
  <c r="K6420"/>
  <c r="H6469"/>
  <c r="I6469"/>
  <c r="K6469"/>
  <c r="H6457"/>
  <c r="I6457"/>
  <c r="K6457"/>
  <c r="H6477"/>
  <c r="I6477"/>
  <c r="K6477"/>
  <c r="H6497"/>
  <c r="I6497"/>
  <c r="K6497"/>
  <c r="H6487"/>
  <c r="I6487"/>
  <c r="K6487"/>
  <c r="I3066"/>
  <c r="K3066"/>
  <c r="I2092"/>
  <c r="K2092"/>
  <c r="I2849"/>
  <c r="K2849"/>
  <c r="I2438"/>
  <c r="K2438"/>
  <c r="I2907"/>
  <c r="K2907"/>
  <c r="I2464"/>
  <c r="K2464"/>
  <c r="I2857"/>
  <c r="K2857"/>
  <c r="I2288"/>
  <c r="K2288"/>
  <c r="I2940"/>
  <c r="K2940"/>
  <c r="I2338"/>
  <c r="K2338"/>
  <c r="I3086"/>
  <c r="K3086"/>
  <c r="I3208"/>
  <c r="K3208"/>
  <c r="I2538"/>
  <c r="K2538"/>
  <c r="I6391"/>
  <c r="K6391"/>
  <c r="I6443"/>
  <c r="K6443"/>
  <c r="I6468"/>
  <c r="K6468"/>
  <c r="I6476"/>
  <c r="K6476"/>
  <c r="I3258"/>
  <c r="K3258"/>
  <c r="I4206"/>
  <c r="K4206"/>
  <c r="I4110"/>
  <c r="K4110"/>
  <c r="I4014"/>
  <c r="K4014"/>
  <c r="I3918"/>
  <c r="K3918"/>
  <c r="I3822"/>
  <c r="K3822"/>
  <c r="I3726"/>
  <c r="K3726"/>
  <c r="I3630"/>
  <c r="K3630"/>
  <c r="I3731"/>
  <c r="K3731"/>
  <c r="I3635"/>
  <c r="K3635"/>
  <c r="I3539"/>
  <c r="K3539"/>
  <c r="I3370"/>
  <c r="K3370"/>
  <c r="I2938"/>
  <c r="K2938"/>
  <c r="I4160"/>
  <c r="K4160"/>
  <c r="I4064"/>
  <c r="K4064"/>
  <c r="I3968"/>
  <c r="K3968"/>
  <c r="H3488"/>
  <c r="I3488"/>
  <c r="K3488"/>
  <c r="H3183"/>
  <c r="I3183"/>
  <c r="K3183"/>
  <c r="H1948"/>
  <c r="I1948"/>
  <c r="K1948"/>
  <c r="H3393"/>
  <c r="I3393"/>
  <c r="K3393"/>
  <c r="H3297"/>
  <c r="I3297"/>
  <c r="K3297"/>
  <c r="H3154"/>
  <c r="I3154"/>
  <c r="K3154"/>
  <c r="H2967"/>
  <c r="I2967"/>
  <c r="K2967"/>
  <c r="H3446"/>
  <c r="I3446"/>
  <c r="K3446"/>
  <c r="H3350"/>
  <c r="I3350"/>
  <c r="K3350"/>
  <c r="H3254"/>
  <c r="I3254"/>
  <c r="K3254"/>
  <c r="H3079"/>
  <c r="I3079"/>
  <c r="K3079"/>
  <c r="H2640"/>
  <c r="I2640"/>
  <c r="K2640"/>
  <c r="H3395"/>
  <c r="I3395"/>
  <c r="K3395"/>
  <c r="H3299"/>
  <c r="I3299"/>
  <c r="K3299"/>
  <c r="H3169"/>
  <c r="I3169"/>
  <c r="K3169"/>
  <c r="H2977"/>
  <c r="I2977"/>
  <c r="K2977"/>
  <c r="H2119"/>
  <c r="I2119"/>
  <c r="K2119"/>
  <c r="H3400"/>
  <c r="I3400"/>
  <c r="K3400"/>
  <c r="H3304"/>
  <c r="I3304"/>
  <c r="K3304"/>
  <c r="H3163"/>
  <c r="I3163"/>
  <c r="K3163"/>
  <c r="H2970"/>
  <c r="I2970"/>
  <c r="K2970"/>
  <c r="H3429"/>
  <c r="I3429"/>
  <c r="K3429"/>
  <c r="H3333"/>
  <c r="I3333"/>
  <c r="K3333"/>
  <c r="H3242"/>
  <c r="I3242"/>
  <c r="K3242"/>
  <c r="H3050"/>
  <c r="I3050"/>
  <c r="K3050"/>
  <c r="H1980"/>
  <c r="I1980"/>
  <c r="K1980"/>
  <c r="H2843"/>
  <c r="I2843"/>
  <c r="K2843"/>
  <c r="H2424"/>
  <c r="I2424"/>
  <c r="K2424"/>
  <c r="H2891"/>
  <c r="I2891"/>
  <c r="K2891"/>
  <c r="H2536"/>
  <c r="I2536"/>
  <c r="K2536"/>
  <c r="H1852"/>
  <c r="I1852"/>
  <c r="K1852"/>
  <c r="H2560"/>
  <c r="I2560"/>
  <c r="K2560"/>
  <c r="H863"/>
  <c r="I863"/>
  <c r="K863"/>
  <c r="H2860"/>
  <c r="I2860"/>
  <c r="K2860"/>
  <c r="H2143"/>
  <c r="I2143"/>
  <c r="K2143"/>
  <c r="H3006"/>
  <c r="I3006"/>
  <c r="K3006"/>
  <c r="H2491"/>
  <c r="I2491"/>
  <c r="K2491"/>
  <c r="H3128"/>
  <c r="I3128"/>
  <c r="K3128"/>
  <c r="H2522"/>
  <c r="I2522"/>
  <c r="K2522"/>
  <c r="H2973"/>
  <c r="I2973"/>
  <c r="K2973"/>
  <c r="H1756"/>
  <c r="I1756"/>
  <c r="K1756"/>
  <c r="H1259"/>
  <c r="H2253"/>
  <c r="H2679"/>
  <c r="I2679"/>
  <c r="K2679"/>
  <c r="H2268"/>
  <c r="I2268"/>
  <c r="K2268"/>
  <c r="H6414"/>
  <c r="I6414"/>
  <c r="K6414"/>
  <c r="H6402"/>
  <c r="I6402"/>
  <c r="K6402"/>
  <c r="H6454"/>
  <c r="I6454"/>
  <c r="K6454"/>
  <c r="H6442"/>
  <c r="I6442"/>
  <c r="K6442"/>
  <c r="H6430"/>
  <c r="I6430"/>
  <c r="K6430"/>
  <c r="H6418"/>
  <c r="I6418"/>
  <c r="K6418"/>
  <c r="H6467"/>
  <c r="I6467"/>
  <c r="K6467"/>
  <c r="H6455"/>
  <c r="I6455"/>
  <c r="K6455"/>
  <c r="H6491"/>
  <c r="I6491"/>
  <c r="K6491"/>
  <c r="I2852"/>
  <c r="K2852"/>
  <c r="I2998"/>
  <c r="K2998"/>
  <c r="I6453"/>
  <c r="K6453"/>
  <c r="I6441"/>
  <c r="K6441"/>
  <c r="I6466"/>
  <c r="K6466"/>
  <c r="I6482"/>
  <c r="K6482"/>
  <c r="I3231"/>
  <c r="K3231"/>
  <c r="I4190"/>
  <c r="K4190"/>
  <c r="I4094"/>
  <c r="K4094"/>
  <c r="I3998"/>
  <c r="K3998"/>
  <c r="I3902"/>
  <c r="K3902"/>
  <c r="I3806"/>
  <c r="K3806"/>
  <c r="I3710"/>
  <c r="K3710"/>
  <c r="I3715"/>
  <c r="K3715"/>
  <c r="I3619"/>
  <c r="K3619"/>
  <c r="I3523"/>
  <c r="K3523"/>
  <c r="I3335"/>
  <c r="K3335"/>
  <c r="I2710"/>
  <c r="K2710"/>
  <c r="I4144"/>
  <c r="K4144"/>
  <c r="I4048"/>
  <c r="K4048"/>
  <c r="H3426"/>
  <c r="I3426"/>
  <c r="K3426"/>
  <c r="H3113"/>
  <c r="I3113"/>
  <c r="K3113"/>
  <c r="H3473"/>
  <c r="I3473"/>
  <c r="K3473"/>
  <c r="H3377"/>
  <c r="I3377"/>
  <c r="K3377"/>
  <c r="H3281"/>
  <c r="I3281"/>
  <c r="K3281"/>
  <c r="H3122"/>
  <c r="I3122"/>
  <c r="K3122"/>
  <c r="H2930"/>
  <c r="I2930"/>
  <c r="K2930"/>
  <c r="H3430"/>
  <c r="I3430"/>
  <c r="K3430"/>
  <c r="H3334"/>
  <c r="I3334"/>
  <c r="K3334"/>
  <c r="H3239"/>
  <c r="I3239"/>
  <c r="K3239"/>
  <c r="H3047"/>
  <c r="I3047"/>
  <c r="K3047"/>
  <c r="H3475"/>
  <c r="I3475"/>
  <c r="K3475"/>
  <c r="H3379"/>
  <c r="I3379"/>
  <c r="K3379"/>
  <c r="H3283"/>
  <c r="I3283"/>
  <c r="K3283"/>
  <c r="H3137"/>
  <c r="I3137"/>
  <c r="K3137"/>
  <c r="H2959"/>
  <c r="I2959"/>
  <c r="K2959"/>
  <c r="H3480"/>
  <c r="I3480"/>
  <c r="K3480"/>
  <c r="H3384"/>
  <c r="I3384"/>
  <c r="K3384"/>
  <c r="H3288"/>
  <c r="I3288"/>
  <c r="K3288"/>
  <c r="H3131"/>
  <c r="I3131"/>
  <c r="K3131"/>
  <c r="H2903"/>
  <c r="I2903"/>
  <c r="K2903"/>
  <c r="H3413"/>
  <c r="I3413"/>
  <c r="K3413"/>
  <c r="H3317"/>
  <c r="I3317"/>
  <c r="K3317"/>
  <c r="H3210"/>
  <c r="I3210"/>
  <c r="K3210"/>
  <c r="H3018"/>
  <c r="I3018"/>
  <c r="K3018"/>
  <c r="H1726"/>
  <c r="I1726"/>
  <c r="K1726"/>
  <c r="H2793"/>
  <c r="I2793"/>
  <c r="K2793"/>
  <c r="H2310"/>
  <c r="I2310"/>
  <c r="K2310"/>
  <c r="H2859"/>
  <c r="I2859"/>
  <c r="K2859"/>
  <c r="H2422"/>
  <c r="I2422"/>
  <c r="K2422"/>
  <c r="H1459"/>
  <c r="I1459"/>
  <c r="K1459"/>
  <c r="H2488"/>
  <c r="I2488"/>
  <c r="K2488"/>
  <c r="H3228"/>
  <c r="I3228"/>
  <c r="K3228"/>
  <c r="H2844"/>
  <c r="I2844"/>
  <c r="K2844"/>
  <c r="H2080"/>
  <c r="I2080"/>
  <c r="K2080"/>
  <c r="H2990"/>
  <c r="I2990"/>
  <c r="K2990"/>
  <c r="H2459"/>
  <c r="I2459"/>
  <c r="K2459"/>
  <c r="H3112"/>
  <c r="I3112"/>
  <c r="K3112"/>
  <c r="H2330"/>
  <c r="I2330"/>
  <c r="K2330"/>
  <c r="H2877"/>
  <c r="H2794"/>
  <c r="H2733"/>
  <c r="H2086"/>
  <c r="I2086"/>
  <c r="K2086"/>
  <c r="H2583"/>
  <c r="I2583"/>
  <c r="K2583"/>
  <c r="H1924"/>
  <c r="I1924"/>
  <c r="K1924"/>
  <c r="H6412"/>
  <c r="I6412"/>
  <c r="K6412"/>
  <c r="H6400"/>
  <c r="I6400"/>
  <c r="K6400"/>
  <c r="H6452"/>
  <c r="I6452"/>
  <c r="K6452"/>
  <c r="H6440"/>
  <c r="I6440"/>
  <c r="K6440"/>
  <c r="H6428"/>
  <c r="I6428"/>
  <c r="K6428"/>
  <c r="H6416"/>
  <c r="I6416"/>
  <c r="K6416"/>
  <c r="H6465"/>
  <c r="I6465"/>
  <c r="K6465"/>
  <c r="H6481"/>
  <c r="I6481"/>
  <c r="K6481"/>
  <c r="H6495"/>
  <c r="I6495"/>
  <c r="K6495"/>
  <c r="I3450"/>
  <c r="K3450"/>
  <c r="I3219"/>
  <c r="K3219"/>
  <c r="I4182"/>
  <c r="K4182"/>
  <c r="I4086"/>
  <c r="K4086"/>
  <c r="I3990"/>
  <c r="K3990"/>
  <c r="I3894"/>
  <c r="K3894"/>
  <c r="I3798"/>
  <c r="K3798"/>
  <c r="I3803"/>
  <c r="K3803"/>
  <c r="I3707"/>
  <c r="K3707"/>
  <c r="I3611"/>
  <c r="K3611"/>
  <c r="I3515"/>
  <c r="K3515"/>
  <c r="I3306"/>
  <c r="K3306"/>
  <c r="I2384"/>
  <c r="K2384"/>
  <c r="I4136"/>
  <c r="K4136"/>
  <c r="I3560"/>
  <c r="K3560"/>
  <c r="H3420"/>
  <c r="I3420"/>
  <c r="K3420"/>
  <c r="H3055"/>
  <c r="I3055"/>
  <c r="K3055"/>
  <c r="H3465"/>
  <c r="I3465"/>
  <c r="K3465"/>
  <c r="H3369"/>
  <c r="I3369"/>
  <c r="K3369"/>
  <c r="H3273"/>
  <c r="I3273"/>
  <c r="K3273"/>
  <c r="H3106"/>
  <c r="I3106"/>
  <c r="K3106"/>
  <c r="H2866"/>
  <c r="I2866"/>
  <c r="K2866"/>
  <c r="H3422"/>
  <c r="I3422"/>
  <c r="K3422"/>
  <c r="H3326"/>
  <c r="I3326"/>
  <c r="K3326"/>
  <c r="H3223"/>
  <c r="I3223"/>
  <c r="K3223"/>
  <c r="H3031"/>
  <c r="I3031"/>
  <c r="K3031"/>
  <c r="H3467"/>
  <c r="I3467"/>
  <c r="K3467"/>
  <c r="H3371"/>
  <c r="I3371"/>
  <c r="K3371"/>
  <c r="H3275"/>
  <c r="I3275"/>
  <c r="K3275"/>
  <c r="H3121"/>
  <c r="I3121"/>
  <c r="K3121"/>
  <c r="H2953"/>
  <c r="I2953"/>
  <c r="K2953"/>
  <c r="H3472"/>
  <c r="I3472"/>
  <c r="K3472"/>
  <c r="H3376"/>
  <c r="I3376"/>
  <c r="K3376"/>
  <c r="H3280"/>
  <c r="I3280"/>
  <c r="K3280"/>
  <c r="H3115"/>
  <c r="I3115"/>
  <c r="K3115"/>
  <c r="H2568"/>
  <c r="I2568"/>
  <c r="K2568"/>
  <c r="H3405"/>
  <c r="I3405"/>
  <c r="K3405"/>
  <c r="H3309"/>
  <c r="I3309"/>
  <c r="K3309"/>
  <c r="H3194"/>
  <c r="I3194"/>
  <c r="K3194"/>
  <c r="H3002"/>
  <c r="I3002"/>
  <c r="K3002"/>
  <c r="H1291"/>
  <c r="I1291"/>
  <c r="K1291"/>
  <c r="H2779"/>
  <c r="I2779"/>
  <c r="K2779"/>
  <c r="H2296"/>
  <c r="I2296"/>
  <c r="K2296"/>
  <c r="H2835"/>
  <c r="I2835"/>
  <c r="K2835"/>
  <c r="H2408"/>
  <c r="I2408"/>
  <c r="K2408"/>
  <c r="H2760"/>
  <c r="I2760"/>
  <c r="K2760"/>
  <c r="H1928"/>
  <c r="I1928"/>
  <c r="K1928"/>
  <c r="H3148"/>
  <c r="I3148"/>
  <c r="K3148"/>
  <c r="H2754"/>
  <c r="I2754"/>
  <c r="K2754"/>
  <c r="H1710"/>
  <c r="I1710"/>
  <c r="K1710"/>
  <c r="H2910"/>
  <c r="I2910"/>
  <c r="K2910"/>
  <c r="H2299"/>
  <c r="I2299"/>
  <c r="K2299"/>
  <c r="H3032"/>
  <c r="I3032"/>
  <c r="K3032"/>
  <c r="H2096"/>
  <c r="I2096"/>
  <c r="K2096"/>
  <c r="H2789"/>
  <c r="I2789"/>
  <c r="K2789"/>
  <c r="H2643"/>
  <c r="H2645"/>
  <c r="H1910"/>
  <c r="H2495"/>
  <c r="I2495"/>
  <c r="K2495"/>
  <c r="H2141"/>
  <c r="I2141"/>
  <c r="K2141"/>
  <c r="H6411"/>
  <c r="I6411"/>
  <c r="K6411"/>
  <c r="H6399"/>
  <c r="I6399"/>
  <c r="K6399"/>
  <c r="H6451"/>
  <c r="I6451"/>
  <c r="K6451"/>
  <c r="H6439"/>
  <c r="I6439"/>
  <c r="K6439"/>
  <c r="H6427"/>
  <c r="I6427"/>
  <c r="K6427"/>
  <c r="H6475"/>
  <c r="I6475"/>
  <c r="K6475"/>
  <c r="H6464"/>
  <c r="I6464"/>
  <c r="K6464"/>
  <c r="H6480"/>
  <c r="I6480"/>
  <c r="K6480"/>
  <c r="H6490"/>
  <c r="I6490"/>
  <c r="K6490"/>
  <c r="I3444"/>
  <c r="K3444"/>
  <c r="I3161"/>
  <c r="K3161"/>
  <c r="I4174"/>
  <c r="K4174"/>
  <c r="I4078"/>
  <c r="K4078"/>
  <c r="I3982"/>
  <c r="K3982"/>
  <c r="I3886"/>
  <c r="K3886"/>
  <c r="I3891"/>
  <c r="K3891"/>
  <c r="I3795"/>
  <c r="K3795"/>
  <c r="I3699"/>
  <c r="K3699"/>
  <c r="I3603"/>
  <c r="K3603"/>
  <c r="I3507"/>
  <c r="K3507"/>
  <c r="I3300"/>
  <c r="K3300"/>
  <c r="I2256"/>
  <c r="K2256"/>
  <c r="I3648"/>
  <c r="K3648"/>
  <c r="I3552"/>
  <c r="K3552"/>
  <c r="H3391"/>
  <c r="I3391"/>
  <c r="K3391"/>
  <c r="H3043"/>
  <c r="I3043"/>
  <c r="K3043"/>
  <c r="H3457"/>
  <c r="I3457"/>
  <c r="K3457"/>
  <c r="H3361"/>
  <c r="I3361"/>
  <c r="K3361"/>
  <c r="H3265"/>
  <c r="I3265"/>
  <c r="K3265"/>
  <c r="H3090"/>
  <c r="I3090"/>
  <c r="K3090"/>
  <c r="H2584"/>
  <c r="I2584"/>
  <c r="K2584"/>
  <c r="H3414"/>
  <c r="I3414"/>
  <c r="K3414"/>
  <c r="H3318"/>
  <c r="I3318"/>
  <c r="K3318"/>
  <c r="H3207"/>
  <c r="I3207"/>
  <c r="K3207"/>
  <c r="H3015"/>
  <c r="I3015"/>
  <c r="K3015"/>
  <c r="H3459"/>
  <c r="I3459"/>
  <c r="K3459"/>
  <c r="H3363"/>
  <c r="I3363"/>
  <c r="K3363"/>
  <c r="H3267"/>
  <c r="I3267"/>
  <c r="K3267"/>
  <c r="H3105"/>
  <c r="I3105"/>
  <c r="K3105"/>
  <c r="H2947"/>
  <c r="I2947"/>
  <c r="K2947"/>
  <c r="H3464"/>
  <c r="I3464"/>
  <c r="K3464"/>
  <c r="H3368"/>
  <c r="I3368"/>
  <c r="K3368"/>
  <c r="H3272"/>
  <c r="I3272"/>
  <c r="K3272"/>
  <c r="H3099"/>
  <c r="I3099"/>
  <c r="K3099"/>
  <c r="H2512"/>
  <c r="I2512"/>
  <c r="K2512"/>
  <c r="H3397"/>
  <c r="I3397"/>
  <c r="K3397"/>
  <c r="H3301"/>
  <c r="I3301"/>
  <c r="K3301"/>
  <c r="H3178"/>
  <c r="I3178"/>
  <c r="K3178"/>
  <c r="H2986"/>
  <c r="I2986"/>
  <c r="K2986"/>
  <c r="H2961"/>
  <c r="I2961"/>
  <c r="K2961"/>
  <c r="H2752"/>
  <c r="I2752"/>
  <c r="K2752"/>
  <c r="H2240"/>
  <c r="I2240"/>
  <c r="K2240"/>
  <c r="H2799"/>
  <c r="I2799"/>
  <c r="K2799"/>
  <c r="H2352"/>
  <c r="I2352"/>
  <c r="K2352"/>
  <c r="H2704"/>
  <c r="I2704"/>
  <c r="K2704"/>
  <c r="H1900"/>
  <c r="I1900"/>
  <c r="K1900"/>
  <c r="H3140"/>
  <c r="I3140"/>
  <c r="K3140"/>
  <c r="H2738"/>
  <c r="I2738"/>
  <c r="K2738"/>
  <c r="H1696"/>
  <c r="I1696"/>
  <c r="K1696"/>
  <c r="H2902"/>
  <c r="I2902"/>
  <c r="K2902"/>
  <c r="H2283"/>
  <c r="I2283"/>
  <c r="K2283"/>
  <c r="H3024"/>
  <c r="I3024"/>
  <c r="K3024"/>
  <c r="H2064"/>
  <c r="I2064"/>
  <c r="K2064"/>
  <c r="H2781"/>
  <c r="I2781"/>
  <c r="K2781"/>
  <c r="H2627"/>
  <c r="H2637"/>
  <c r="I2637"/>
  <c r="K2637"/>
  <c r="H1894"/>
  <c r="I1894"/>
  <c r="K1894"/>
  <c r="H2479"/>
  <c r="H2110"/>
  <c r="I2110"/>
  <c r="K2110"/>
  <c r="H6410"/>
  <c r="I6410"/>
  <c r="K6410"/>
  <c r="H6398"/>
  <c r="I6398"/>
  <c r="K6398"/>
  <c r="H6450"/>
  <c r="I6450"/>
  <c r="K6450"/>
  <c r="H6438"/>
  <c r="I6438"/>
  <c r="K6438"/>
  <c r="H6426"/>
  <c r="I6426"/>
  <c r="K6426"/>
  <c r="H6474"/>
  <c r="I6474"/>
  <c r="K6474"/>
  <c r="H6463"/>
  <c r="I6463"/>
  <c r="K6463"/>
  <c r="H6485"/>
  <c r="I6485"/>
  <c r="K6485"/>
  <c r="I2894"/>
  <c r="K2894"/>
  <c r="I2936"/>
  <c r="K2936"/>
  <c r="H2327"/>
  <c r="H916"/>
  <c r="I916"/>
  <c r="K916"/>
  <c r="H6409"/>
  <c r="I6409"/>
  <c r="K6409"/>
  <c r="H6397"/>
  <c r="I6397"/>
  <c r="K6397"/>
  <c r="H6449"/>
  <c r="I6449"/>
  <c r="K6449"/>
  <c r="H6437"/>
  <c r="I6437"/>
  <c r="K6437"/>
  <c r="H6425"/>
  <c r="I6425"/>
  <c r="K6425"/>
  <c r="H6473"/>
  <c r="I6473"/>
  <c r="K6473"/>
  <c r="H6462"/>
  <c r="I6462"/>
  <c r="K6462"/>
  <c r="H6479"/>
  <c r="I6479"/>
  <c r="K6479"/>
  <c r="H6494"/>
  <c r="I6494"/>
  <c r="K6494"/>
  <c r="I2470"/>
  <c r="K2470"/>
  <c r="I3398"/>
  <c r="K3398"/>
  <c r="I3302"/>
  <c r="K3302"/>
  <c r="I3175"/>
  <c r="K3175"/>
  <c r="I2983"/>
  <c r="K2983"/>
  <c r="I3443"/>
  <c r="K3443"/>
  <c r="I3347"/>
  <c r="K3347"/>
  <c r="I3251"/>
  <c r="K3251"/>
  <c r="I3073"/>
  <c r="K3073"/>
  <c r="I3146"/>
  <c r="K3146"/>
  <c r="I2929"/>
  <c r="K2929"/>
  <c r="I2680"/>
  <c r="K2680"/>
  <c r="I2056"/>
  <c r="K2056"/>
  <c r="I2771"/>
  <c r="K2771"/>
  <c r="I2906"/>
  <c r="K2906"/>
  <c r="I2248"/>
  <c r="K2248"/>
  <c r="I2817"/>
  <c r="K2817"/>
  <c r="I3052"/>
  <c r="K3052"/>
  <c r="I2562"/>
  <c r="K2562"/>
  <c r="I3198"/>
  <c r="K3198"/>
  <c r="I2814"/>
  <c r="K2814"/>
  <c r="H1991"/>
  <c r="I1991"/>
  <c r="K1991"/>
  <c r="H2928"/>
  <c r="I2928"/>
  <c r="K2928"/>
  <c r="H1645"/>
  <c r="I1645"/>
  <c r="K1645"/>
  <c r="H2606"/>
  <c r="I2606"/>
  <c r="K2606"/>
  <c r="H2435"/>
  <c r="I2435"/>
  <c r="K2435"/>
  <c r="H2541"/>
  <c r="I2541"/>
  <c r="K2541"/>
  <c r="H1654"/>
  <c r="I1654"/>
  <c r="K1654"/>
  <c r="H2319"/>
  <c r="H822"/>
  <c r="I822"/>
  <c r="K822"/>
  <c r="H6408"/>
  <c r="I6408"/>
  <c r="K6408"/>
  <c r="H6396"/>
  <c r="I6396"/>
  <c r="K6396"/>
  <c r="H6448"/>
  <c r="I6448"/>
  <c r="K6448"/>
  <c r="H6436"/>
  <c r="I6436"/>
  <c r="K6436"/>
  <c r="H6424"/>
  <c r="I6424"/>
  <c r="K6424"/>
  <c r="H6472"/>
  <c r="I6472"/>
  <c r="K6472"/>
  <c r="H6461"/>
  <c r="I6461"/>
  <c r="K6461"/>
  <c r="H6489"/>
  <c r="I6489"/>
  <c r="K6489"/>
  <c r="I3380"/>
  <c r="K3380"/>
  <c r="I3033"/>
  <c r="K3033"/>
  <c r="I4150"/>
  <c r="K4150"/>
  <c r="I4054"/>
  <c r="K4054"/>
  <c r="I3958"/>
  <c r="K3958"/>
  <c r="I3862"/>
  <c r="K3862"/>
  <c r="I3766"/>
  <c r="K3766"/>
  <c r="I3670"/>
  <c r="K3670"/>
  <c r="I3574"/>
  <c r="K3574"/>
  <c r="I3471"/>
  <c r="K3471"/>
  <c r="I3215"/>
  <c r="K3215"/>
  <c r="I3867"/>
  <c r="K3867"/>
  <c r="I3771"/>
  <c r="K3771"/>
  <c r="I3675"/>
  <c r="K3675"/>
  <c r="I3579"/>
  <c r="K3579"/>
  <c r="I3483"/>
  <c r="K3483"/>
  <c r="I3187"/>
  <c r="K3187"/>
  <c r="I4200"/>
  <c r="K4200"/>
  <c r="I4104"/>
  <c r="K4104"/>
  <c r="I4008"/>
  <c r="K4008"/>
  <c r="I3912"/>
  <c r="K3912"/>
  <c r="I3816"/>
  <c r="K3816"/>
  <c r="I3720"/>
  <c r="K3720"/>
  <c r="I3624"/>
  <c r="K3624"/>
  <c r="I3528"/>
  <c r="K3528"/>
  <c r="H3327"/>
  <c r="I3327"/>
  <c r="K3327"/>
  <c r="H2955"/>
  <c r="I2955"/>
  <c r="K2955"/>
  <c r="H3433"/>
  <c r="I3433"/>
  <c r="K3433"/>
  <c r="H3337"/>
  <c r="I3337"/>
  <c r="K3337"/>
  <c r="H3234"/>
  <c r="I3234"/>
  <c r="K3234"/>
  <c r="H3042"/>
  <c r="I3042"/>
  <c r="K3042"/>
  <c r="H1804"/>
  <c r="I1804"/>
  <c r="K1804"/>
  <c r="H3390"/>
  <c r="I3390"/>
  <c r="K3390"/>
  <c r="H3294"/>
  <c r="I3294"/>
  <c r="K3294"/>
  <c r="H3159"/>
  <c r="I3159"/>
  <c r="K3159"/>
  <c r="H2923"/>
  <c r="I2923"/>
  <c r="K2923"/>
  <c r="H3435"/>
  <c r="I3435"/>
  <c r="K3435"/>
  <c r="H3339"/>
  <c r="I3339"/>
  <c r="K3339"/>
  <c r="H3243"/>
  <c r="I3243"/>
  <c r="K3243"/>
  <c r="H3057"/>
  <c r="I3057"/>
  <c r="K3057"/>
  <c r="H2882"/>
  <c r="I2882"/>
  <c r="K2882"/>
  <c r="H3440"/>
  <c r="I3440"/>
  <c r="K3440"/>
  <c r="H3344"/>
  <c r="I3344"/>
  <c r="K3344"/>
  <c r="H3248"/>
  <c r="I3248"/>
  <c r="K3248"/>
  <c r="H3051"/>
  <c r="I3051"/>
  <c r="K3051"/>
  <c r="H3469"/>
  <c r="I3469"/>
  <c r="K3469"/>
  <c r="H3373"/>
  <c r="I3373"/>
  <c r="K3373"/>
  <c r="H3277"/>
  <c r="I3277"/>
  <c r="K3277"/>
  <c r="H3130"/>
  <c r="I3130"/>
  <c r="K3130"/>
  <c r="H2898"/>
  <c r="I2898"/>
  <c r="K2898"/>
  <c r="H2913"/>
  <c r="I2913"/>
  <c r="K2913"/>
  <c r="H2624"/>
  <c r="I2624"/>
  <c r="K2624"/>
  <c r="H2028"/>
  <c r="I2028"/>
  <c r="K2028"/>
  <c r="H2736"/>
  <c r="I2736"/>
  <c r="K2736"/>
  <c r="H2890"/>
  <c r="I2890"/>
  <c r="K2890"/>
  <c r="H2215"/>
  <c r="I2215"/>
  <c r="K2215"/>
  <c r="H2803"/>
  <c r="I2803"/>
  <c r="K2803"/>
  <c r="H3044"/>
  <c r="I3044"/>
  <c r="K3044"/>
  <c r="H2546"/>
  <c r="I2546"/>
  <c r="K2546"/>
  <c r="H3190"/>
  <c r="I3190"/>
  <c r="K3190"/>
  <c r="H2806"/>
  <c r="I2806"/>
  <c r="K2806"/>
  <c r="H1959"/>
  <c r="I1959"/>
  <c r="K1959"/>
  <c r="H2840"/>
  <c r="I2840"/>
  <c r="K2840"/>
  <c r="H3173"/>
  <c r="I3173"/>
  <c r="K3173"/>
  <c r="H2430"/>
  <c r="I2430"/>
  <c r="K2430"/>
  <c r="H2259"/>
  <c r="I2259"/>
  <c r="K2259"/>
  <c r="H2453"/>
  <c r="I2453"/>
  <c r="K2453"/>
  <c r="H1209"/>
  <c r="I1209"/>
  <c r="K1209"/>
  <c r="H2660"/>
  <c r="H1905"/>
  <c r="I1905"/>
  <c r="K1905"/>
  <c r="H6407"/>
  <c r="I6407"/>
  <c r="K6407"/>
  <c r="H6395"/>
  <c r="I6395"/>
  <c r="K6395"/>
  <c r="H6447"/>
  <c r="I6447"/>
  <c r="K6447"/>
  <c r="H6435"/>
  <c r="I6435"/>
  <c r="K6435"/>
  <c r="H6423"/>
  <c r="I6423"/>
  <c r="K6423"/>
  <c r="H6471"/>
  <c r="I6471"/>
  <c r="K6471"/>
  <c r="H6460"/>
  <c r="I6460"/>
  <c r="K6460"/>
  <c r="H6478"/>
  <c r="I6478"/>
  <c r="K6478"/>
  <c r="H6484"/>
  <c r="I6484"/>
  <c r="K6484"/>
  <c r="I3662"/>
  <c r="K3662"/>
  <c r="I3566"/>
  <c r="K3566"/>
  <c r="I3442"/>
  <c r="K3442"/>
  <c r="I3203"/>
  <c r="K3203"/>
  <c r="I3859"/>
  <c r="K3859"/>
  <c r="I3763"/>
  <c r="K3763"/>
  <c r="I3667"/>
  <c r="K3667"/>
  <c r="I3571"/>
  <c r="K3571"/>
  <c r="I3463"/>
  <c r="K3463"/>
  <c r="I3129"/>
  <c r="K3129"/>
  <c r="I4192"/>
  <c r="K4192"/>
  <c r="I4096"/>
  <c r="K4096"/>
  <c r="I4000"/>
  <c r="K4000"/>
  <c r="I3904"/>
  <c r="K3904"/>
  <c r="I3808"/>
  <c r="K3808"/>
  <c r="I3712"/>
  <c r="K3712"/>
  <c r="I3520"/>
  <c r="K3520"/>
  <c r="I3298"/>
  <c r="K3298"/>
  <c r="I2919"/>
  <c r="K2919"/>
  <c r="I3425"/>
  <c r="K3425"/>
  <c r="I3329"/>
  <c r="K3329"/>
  <c r="H3218"/>
  <c r="I3218"/>
  <c r="K3218"/>
  <c r="H3026"/>
  <c r="I3026"/>
  <c r="K3026"/>
  <c r="H3478"/>
  <c r="I3478"/>
  <c r="K3478"/>
  <c r="H3382"/>
  <c r="I3382"/>
  <c r="K3382"/>
  <c r="H3286"/>
  <c r="I3286"/>
  <c r="K3286"/>
  <c r="H3143"/>
  <c r="I3143"/>
  <c r="K3143"/>
  <c r="H2887"/>
  <c r="I2887"/>
  <c r="K2887"/>
  <c r="H3427"/>
  <c r="I3427"/>
  <c r="K3427"/>
  <c r="H3331"/>
  <c r="I3331"/>
  <c r="K3331"/>
  <c r="H3233"/>
  <c r="I3233"/>
  <c r="K3233"/>
  <c r="H3041"/>
  <c r="I3041"/>
  <c r="K3041"/>
  <c r="H2809"/>
  <c r="I2809"/>
  <c r="K2809"/>
  <c r="H3432"/>
  <c r="I3432"/>
  <c r="K3432"/>
  <c r="H3336"/>
  <c r="I3336"/>
  <c r="K3336"/>
  <c r="H3227"/>
  <c r="I3227"/>
  <c r="K3227"/>
  <c r="H3035"/>
  <c r="I3035"/>
  <c r="K3035"/>
  <c r="H3461"/>
  <c r="I3461"/>
  <c r="K3461"/>
  <c r="H3365"/>
  <c r="I3365"/>
  <c r="K3365"/>
  <c r="H3269"/>
  <c r="I3269"/>
  <c r="K3269"/>
  <c r="H3114"/>
  <c r="I3114"/>
  <c r="K3114"/>
  <c r="H2726"/>
  <c r="I2726"/>
  <c r="K2726"/>
  <c r="H2897"/>
  <c r="I2897"/>
  <c r="K2897"/>
  <c r="H2566"/>
  <c r="I2566"/>
  <c r="K2566"/>
  <c r="H1916"/>
  <c r="I1916"/>
  <c r="K1916"/>
  <c r="H2678"/>
  <c r="I2678"/>
  <c r="K2678"/>
  <c r="H2874"/>
  <c r="I2874"/>
  <c r="K2874"/>
  <c r="H2187"/>
  <c r="I2187"/>
  <c r="K2187"/>
  <c r="H2767"/>
  <c r="I2767"/>
  <c r="K2767"/>
  <c r="H3036"/>
  <c r="I3036"/>
  <c r="K3036"/>
  <c r="H2530"/>
  <c r="I2530"/>
  <c r="K2530"/>
  <c r="H3182"/>
  <c r="I3182"/>
  <c r="K3182"/>
  <c r="H2798"/>
  <c r="I2798"/>
  <c r="K2798"/>
  <c r="H1927"/>
  <c r="I1927"/>
  <c r="K1927"/>
  <c r="H2832"/>
  <c r="I2832"/>
  <c r="K2832"/>
  <c r="H3165"/>
  <c r="I3165"/>
  <c r="K3165"/>
  <c r="H2414"/>
  <c r="I2414"/>
  <c r="K2414"/>
  <c r="H2243"/>
  <c r="I2243"/>
  <c r="K2243"/>
  <c r="H2445"/>
  <c r="I2445"/>
  <c r="K2445"/>
  <c r="H1105"/>
  <c r="I1105"/>
  <c r="K1105"/>
  <c r="H2652"/>
  <c r="I2652"/>
  <c r="K2652"/>
  <c r="H1889"/>
  <c r="I1889"/>
  <c r="K1889"/>
  <c r="H6406"/>
  <c r="I6406"/>
  <c r="K6406"/>
  <c r="H6394"/>
  <c r="I6394"/>
  <c r="K6394"/>
  <c r="H6446"/>
  <c r="I6446"/>
  <c r="K6446"/>
  <c r="H6434"/>
  <c r="I6434"/>
  <c r="K6434"/>
  <c r="H6422"/>
  <c r="I6422"/>
  <c r="K6422"/>
  <c r="H6459"/>
  <c r="I6459"/>
  <c r="K6459"/>
  <c r="H6493"/>
  <c r="I6493"/>
  <c r="K6493"/>
  <c r="H6483"/>
  <c r="I6483"/>
  <c r="K6483"/>
  <c r="H2218"/>
  <c r="I2218"/>
  <c r="K2218"/>
  <c r="H2210"/>
  <c r="I2210"/>
  <c r="K2210"/>
  <c r="H2047"/>
  <c r="I2047"/>
  <c r="K2047"/>
  <c r="H2737"/>
  <c r="H1707"/>
  <c r="I1707"/>
  <c r="K1707"/>
  <c r="H2031"/>
  <c r="I2031"/>
  <c r="K2031"/>
  <c r="H2729"/>
  <c r="H1699"/>
  <c r="I1699"/>
  <c r="K1699"/>
  <c r="H1533"/>
  <c r="I1533"/>
  <c r="K1533"/>
  <c r="H2481"/>
  <c r="I2481"/>
  <c r="K2481"/>
  <c r="H2045"/>
  <c r="I2045"/>
  <c r="K2045"/>
  <c r="H1516"/>
  <c r="I1516"/>
  <c r="K1516"/>
  <c r="H2473"/>
  <c r="I2473"/>
  <c r="K2473"/>
  <c r="H818"/>
  <c r="I818"/>
  <c r="K818"/>
  <c r="H1898"/>
  <c r="I1898"/>
  <c r="K1898"/>
  <c r="H2109"/>
  <c r="H1771"/>
  <c r="I1771"/>
  <c r="K1771"/>
  <c r="H950"/>
  <c r="I950"/>
  <c r="K950"/>
  <c r="H1913"/>
  <c r="H1340"/>
  <c r="I1340"/>
  <c r="K1340"/>
  <c r="H2233"/>
  <c r="I2233"/>
  <c r="K2233"/>
  <c r="H2529"/>
  <c r="I2529"/>
  <c r="K2529"/>
  <c r="H675"/>
  <c r="I675"/>
  <c r="K675"/>
  <c r="H2004"/>
  <c r="I2004"/>
  <c r="K2004"/>
  <c r="H2308"/>
  <c r="I2308"/>
  <c r="K2308"/>
  <c r="H2500"/>
  <c r="I2500"/>
  <c r="K2500"/>
  <c r="H2692"/>
  <c r="I2692"/>
  <c r="K2692"/>
  <c r="H1688"/>
  <c r="H2126"/>
  <c r="I2126"/>
  <c r="K2126"/>
  <c r="H2335"/>
  <c r="I2335"/>
  <c r="K2335"/>
  <c r="H2503"/>
  <c r="H2599"/>
  <c r="I2599"/>
  <c r="K2599"/>
  <c r="H2695"/>
  <c r="I2695"/>
  <c r="K2695"/>
  <c r="H1131"/>
  <c r="I1131"/>
  <c r="K1131"/>
  <c r="H1257"/>
  <c r="I1257"/>
  <c r="K1257"/>
  <c r="H1704"/>
  <c r="I1704"/>
  <c r="K1704"/>
  <c r="H1926"/>
  <c r="I1926"/>
  <c r="K1926"/>
  <c r="H2117"/>
  <c r="I2117"/>
  <c r="K2117"/>
  <c r="H2269"/>
  <c r="I2269"/>
  <c r="K2269"/>
  <c r="H2365"/>
  <c r="H2461"/>
  <c r="I2461"/>
  <c r="K2461"/>
  <c r="H2557"/>
  <c r="I2557"/>
  <c r="K2557"/>
  <c r="H2653"/>
  <c r="H2749"/>
  <c r="I2749"/>
  <c r="K2749"/>
  <c r="H1113"/>
  <c r="I1113"/>
  <c r="K1113"/>
  <c r="H1943"/>
  <c r="I1943"/>
  <c r="K1943"/>
  <c r="H2275"/>
  <c r="I2275"/>
  <c r="K2275"/>
  <c r="H2467"/>
  <c r="I2467"/>
  <c r="K2467"/>
  <c r="H2659"/>
  <c r="I2659"/>
  <c r="K2659"/>
  <c r="H2810"/>
  <c r="I2810"/>
  <c r="K2810"/>
  <c r="H1880"/>
  <c r="I1880"/>
  <c r="K1880"/>
  <c r="H2254"/>
  <c r="H2446"/>
  <c r="I2446"/>
  <c r="K2446"/>
  <c r="H2638"/>
  <c r="I2638"/>
  <c r="K2638"/>
  <c r="H2797"/>
  <c r="I2797"/>
  <c r="K2797"/>
  <c r="H2893"/>
  <c r="I2893"/>
  <c r="K2893"/>
  <c r="H2989"/>
  <c r="I2989"/>
  <c r="K2989"/>
  <c r="H3085"/>
  <c r="I3085"/>
  <c r="K3085"/>
  <c r="H3181"/>
  <c r="I3181"/>
  <c r="K3181"/>
  <c r="H1760"/>
  <c r="I1760"/>
  <c r="K1760"/>
  <c r="H2127"/>
  <c r="I2127"/>
  <c r="K2127"/>
  <c r="H2362"/>
  <c r="I2362"/>
  <c r="K2362"/>
  <c r="H2554"/>
  <c r="I2554"/>
  <c r="K2554"/>
  <c r="H2746"/>
  <c r="I2746"/>
  <c r="K2746"/>
  <c r="H2848"/>
  <c r="I2848"/>
  <c r="K2848"/>
  <c r="H2944"/>
  <c r="I2944"/>
  <c r="K2944"/>
  <c r="H3040"/>
  <c r="I3040"/>
  <c r="K3040"/>
  <c r="H3136"/>
  <c r="I3136"/>
  <c r="K3136"/>
  <c r="H3232"/>
  <c r="I3232"/>
  <c r="K3232"/>
  <c r="H2023"/>
  <c r="I2023"/>
  <c r="K2023"/>
  <c r="H2315"/>
  <c r="I2315"/>
  <c r="K2315"/>
  <c r="H2507"/>
  <c r="I2507"/>
  <c r="K2507"/>
  <c r="H2699"/>
  <c r="I2699"/>
  <c r="K2699"/>
  <c r="H2822"/>
  <c r="I2822"/>
  <c r="K2822"/>
  <c r="H2918"/>
  <c r="I2918"/>
  <c r="K2918"/>
  <c r="H3014"/>
  <c r="I3014"/>
  <c r="K3014"/>
  <c r="H3110"/>
  <c r="I3110"/>
  <c r="K3110"/>
  <c r="H3206"/>
  <c r="I3206"/>
  <c r="K3206"/>
  <c r="H1724"/>
  <c r="I1724"/>
  <c r="K1724"/>
  <c r="H2175"/>
  <c r="I2175"/>
  <c r="K2175"/>
  <c r="H2386"/>
  <c r="I2386"/>
  <c r="K2386"/>
  <c r="H2578"/>
  <c r="I2578"/>
  <c r="K2578"/>
  <c r="H2772"/>
  <c r="I2772"/>
  <c r="K2772"/>
  <c r="H2868"/>
  <c r="I2868"/>
  <c r="K2868"/>
  <c r="H2964"/>
  <c r="I2964"/>
  <c r="K2964"/>
  <c r="H3060"/>
  <c r="I3060"/>
  <c r="K3060"/>
  <c r="H3156"/>
  <c r="I3156"/>
  <c r="K3156"/>
  <c r="H1339"/>
  <c r="I1339"/>
  <c r="K1339"/>
  <c r="H2416"/>
  <c r="I2416"/>
  <c r="K2416"/>
  <c r="H2831"/>
  <c r="I2831"/>
  <c r="K2831"/>
  <c r="H2044"/>
  <c r="I2044"/>
  <c r="K2044"/>
  <c r="H2616"/>
  <c r="I2616"/>
  <c r="K2616"/>
  <c r="H2905"/>
  <c r="I2905"/>
  <c r="K2905"/>
  <c r="H2262"/>
  <c r="I2262"/>
  <c r="K2262"/>
  <c r="H2769"/>
  <c r="I2769"/>
  <c r="K2769"/>
  <c r="H1964"/>
  <c r="I1964"/>
  <c r="K1964"/>
  <c r="H2592"/>
  <c r="I2592"/>
  <c r="K2592"/>
  <c r="H1676"/>
  <c r="I1676"/>
  <c r="K1676"/>
  <c r="H2074"/>
  <c r="I2074"/>
  <c r="K2074"/>
  <c r="H2116"/>
  <c r="H1787"/>
  <c r="I1787"/>
  <c r="K1787"/>
  <c r="H1027"/>
  <c r="I1027"/>
  <c r="K1027"/>
  <c r="H1977"/>
  <c r="H1530"/>
  <c r="I1530"/>
  <c r="K1530"/>
  <c r="H2249"/>
  <c r="I2249"/>
  <c r="K2249"/>
  <c r="H2537"/>
  <c r="I2537"/>
  <c r="K2537"/>
  <c r="H971"/>
  <c r="I971"/>
  <c r="K971"/>
  <c r="H2020"/>
  <c r="I2020"/>
  <c r="K2020"/>
  <c r="H2316"/>
  <c r="I2316"/>
  <c r="K2316"/>
  <c r="H2508"/>
  <c r="I2508"/>
  <c r="K2508"/>
  <c r="H2700"/>
  <c r="I2700"/>
  <c r="K2700"/>
  <c r="H1702"/>
  <c r="H2142"/>
  <c r="I2142"/>
  <c r="K2142"/>
  <c r="H2367"/>
  <c r="I2367"/>
  <c r="K2367"/>
  <c r="H2511"/>
  <c r="H2607"/>
  <c r="I2607"/>
  <c r="K2607"/>
  <c r="H2703"/>
  <c r="I2703"/>
  <c r="K2703"/>
  <c r="H1181"/>
  <c r="I1181"/>
  <c r="K1181"/>
  <c r="H1282"/>
  <c r="I1282"/>
  <c r="K1282"/>
  <c r="H1718"/>
  <c r="I1718"/>
  <c r="K1718"/>
  <c r="H1942"/>
  <c r="H2133"/>
  <c r="I2133"/>
  <c r="K2133"/>
  <c r="H2277"/>
  <c r="I2277"/>
  <c r="K2277"/>
  <c r="H2373"/>
  <c r="H2469"/>
  <c r="I2469"/>
  <c r="K2469"/>
  <c r="H2565"/>
  <c r="I2565"/>
  <c r="K2565"/>
  <c r="H2661"/>
  <c r="H2757"/>
  <c r="I2757"/>
  <c r="K2757"/>
  <c r="H1576"/>
  <c r="I1576"/>
  <c r="K1576"/>
  <c r="H1975"/>
  <c r="I1975"/>
  <c r="K1975"/>
  <c r="H2291"/>
  <c r="I2291"/>
  <c r="K2291"/>
  <c r="H2483"/>
  <c r="I2483"/>
  <c r="K2483"/>
  <c r="H2675"/>
  <c r="I2675"/>
  <c r="K2675"/>
  <c r="H2818"/>
  <c r="I2818"/>
  <c r="K2818"/>
  <c r="H1912"/>
  <c r="I1912"/>
  <c r="K1912"/>
  <c r="H2270"/>
  <c r="I2270"/>
  <c r="K2270"/>
  <c r="H2462"/>
  <c r="I2462"/>
  <c r="K2462"/>
  <c r="H2654"/>
  <c r="I2654"/>
  <c r="K2654"/>
  <c r="H2805"/>
  <c r="I2805"/>
  <c r="K2805"/>
  <c r="H2901"/>
  <c r="I2901"/>
  <c r="K2901"/>
  <c r="H2997"/>
  <c r="I2997"/>
  <c r="K2997"/>
  <c r="H3093"/>
  <c r="I3093"/>
  <c r="K3093"/>
  <c r="H3189"/>
  <c r="I3189"/>
  <c r="K3189"/>
  <c r="H1774"/>
  <c r="I1774"/>
  <c r="K1774"/>
  <c r="H2159"/>
  <c r="I2159"/>
  <c r="K2159"/>
  <c r="H2378"/>
  <c r="I2378"/>
  <c r="K2378"/>
  <c r="H2570"/>
  <c r="I2570"/>
  <c r="K2570"/>
  <c r="H2762"/>
  <c r="I2762"/>
  <c r="K2762"/>
  <c r="H2856"/>
  <c r="I2856"/>
  <c r="K2856"/>
  <c r="H2952"/>
  <c r="I2952"/>
  <c r="K2952"/>
  <c r="H3048"/>
  <c r="I3048"/>
  <c r="K3048"/>
  <c r="H3144"/>
  <c r="I3144"/>
  <c r="K3144"/>
  <c r="H3240"/>
  <c r="I3240"/>
  <c r="K3240"/>
  <c r="H2055"/>
  <c r="I2055"/>
  <c r="K2055"/>
  <c r="H2331"/>
  <c r="I2331"/>
  <c r="K2331"/>
  <c r="H2523"/>
  <c r="I2523"/>
  <c r="K2523"/>
  <c r="H2715"/>
  <c r="I2715"/>
  <c r="K2715"/>
  <c r="H2830"/>
  <c r="I2830"/>
  <c r="K2830"/>
  <c r="H2926"/>
  <c r="I2926"/>
  <c r="K2926"/>
  <c r="H3022"/>
  <c r="I3022"/>
  <c r="K3022"/>
  <c r="H3118"/>
  <c r="I3118"/>
  <c r="K3118"/>
  <c r="H3214"/>
  <c r="I3214"/>
  <c r="K3214"/>
  <c r="H1824"/>
  <c r="I1824"/>
  <c r="K1824"/>
  <c r="H2207"/>
  <c r="I2207"/>
  <c r="K2207"/>
  <c r="H2402"/>
  <c r="I2402"/>
  <c r="K2402"/>
  <c r="H2594"/>
  <c r="I2594"/>
  <c r="K2594"/>
  <c r="H2780"/>
  <c r="I2780"/>
  <c r="K2780"/>
  <c r="H2876"/>
  <c r="I2876"/>
  <c r="K2876"/>
  <c r="H2972"/>
  <c r="I2972"/>
  <c r="K2972"/>
  <c r="H3068"/>
  <c r="I3068"/>
  <c r="K3068"/>
  <c r="H3164"/>
  <c r="I3164"/>
  <c r="K3164"/>
  <c r="H1692"/>
  <c r="I1692"/>
  <c r="K1692"/>
  <c r="H2472"/>
  <c r="I2472"/>
  <c r="K2472"/>
  <c r="H2851"/>
  <c r="I2851"/>
  <c r="K2851"/>
  <c r="H2155"/>
  <c r="I2155"/>
  <c r="K2155"/>
  <c r="H2630"/>
  <c r="I2630"/>
  <c r="K2630"/>
  <c r="H2921"/>
  <c r="I2921"/>
  <c r="K2921"/>
  <c r="H2320"/>
  <c r="I2320"/>
  <c r="K2320"/>
  <c r="H2783"/>
  <c r="I2783"/>
  <c r="K2783"/>
  <c r="H1992"/>
  <c r="I1992"/>
  <c r="K1992"/>
  <c r="H2648"/>
  <c r="I2648"/>
  <c r="K2648"/>
  <c r="H1712"/>
  <c r="I1712"/>
  <c r="K1712"/>
  <c r="H1677"/>
  <c r="I1677"/>
  <c r="K1677"/>
  <c r="H2204"/>
  <c r="H1867"/>
  <c r="I1867"/>
  <c r="K1867"/>
  <c r="H1395"/>
  <c r="I1395"/>
  <c r="K1395"/>
  <c r="H1985"/>
  <c r="H1686"/>
  <c r="I1686"/>
  <c r="K1686"/>
  <c r="H2313"/>
  <c r="I2313"/>
  <c r="K2313"/>
  <c r="H2585"/>
  <c r="I2585"/>
  <c r="K2585"/>
  <c r="H1597"/>
  <c r="I1597"/>
  <c r="K1597"/>
  <c r="H2084"/>
  <c r="I2084"/>
  <c r="K2084"/>
  <c r="H2348"/>
  <c r="I2348"/>
  <c r="K2348"/>
  <c r="H2540"/>
  <c r="I2540"/>
  <c r="K2540"/>
  <c r="H2732"/>
  <c r="I2732"/>
  <c r="K2732"/>
  <c r="H1780"/>
  <c r="H2206"/>
  <c r="I2206"/>
  <c r="K2206"/>
  <c r="H2375"/>
  <c r="I2375"/>
  <c r="K2375"/>
  <c r="H2519"/>
  <c r="H2615"/>
  <c r="I2615"/>
  <c r="K2615"/>
  <c r="H2711"/>
  <c r="I2711"/>
  <c r="K2711"/>
  <c r="H1277"/>
  <c r="I1277"/>
  <c r="K1277"/>
  <c r="H1305"/>
  <c r="I1305"/>
  <c r="K1305"/>
  <c r="H1732"/>
  <c r="I1732"/>
  <c r="K1732"/>
  <c r="H1958"/>
  <c r="I1958"/>
  <c r="K1958"/>
  <c r="H2149"/>
  <c r="I2149"/>
  <c r="K2149"/>
  <c r="H2285"/>
  <c r="I2285"/>
  <c r="K2285"/>
  <c r="H2381"/>
  <c r="H2477"/>
  <c r="I2477"/>
  <c r="K2477"/>
  <c r="H2573"/>
  <c r="I2573"/>
  <c r="K2573"/>
  <c r="H2669"/>
  <c r="H529"/>
  <c r="I529"/>
  <c r="K529"/>
  <c r="H1638"/>
  <c r="I1638"/>
  <c r="K1638"/>
  <c r="H2007"/>
  <c r="I2007"/>
  <c r="K2007"/>
  <c r="H2307"/>
  <c r="I2307"/>
  <c r="K2307"/>
  <c r="H2499"/>
  <c r="I2499"/>
  <c r="K2499"/>
  <c r="H2691"/>
  <c r="I2691"/>
  <c r="K2691"/>
  <c r="H2826"/>
  <c r="I2826"/>
  <c r="K2826"/>
  <c r="H1944"/>
  <c r="I1944"/>
  <c r="K1944"/>
  <c r="H2286"/>
  <c r="I2286"/>
  <c r="K2286"/>
  <c r="H2478"/>
  <c r="I2478"/>
  <c r="K2478"/>
  <c r="H2670"/>
  <c r="I2670"/>
  <c r="K2670"/>
  <c r="H2813"/>
  <c r="I2813"/>
  <c r="K2813"/>
  <c r="H2909"/>
  <c r="I2909"/>
  <c r="K2909"/>
  <c r="H3005"/>
  <c r="I3005"/>
  <c r="K3005"/>
  <c r="H3101"/>
  <c r="I3101"/>
  <c r="K3101"/>
  <c r="H3197"/>
  <c r="I3197"/>
  <c r="K3197"/>
  <c r="H1788"/>
  <c r="I1788"/>
  <c r="K1788"/>
  <c r="H2191"/>
  <c r="I2191"/>
  <c r="K2191"/>
  <c r="H2394"/>
  <c r="I2394"/>
  <c r="K2394"/>
  <c r="H2586"/>
  <c r="I2586"/>
  <c r="K2586"/>
  <c r="H2768"/>
  <c r="I2768"/>
  <c r="K2768"/>
  <c r="H2864"/>
  <c r="I2864"/>
  <c r="K2864"/>
  <c r="H2960"/>
  <c r="I2960"/>
  <c r="K2960"/>
  <c r="H3056"/>
  <c r="I3056"/>
  <c r="K3056"/>
  <c r="H3152"/>
  <c r="I3152"/>
  <c r="K3152"/>
  <c r="H1050"/>
  <c r="I1050"/>
  <c r="K1050"/>
  <c r="H2087"/>
  <c r="I2087"/>
  <c r="K2087"/>
  <c r="H2347"/>
  <c r="I2347"/>
  <c r="K2347"/>
  <c r="H2539"/>
  <c r="I2539"/>
  <c r="K2539"/>
  <c r="H2731"/>
  <c r="I2731"/>
  <c r="K2731"/>
  <c r="H2838"/>
  <c r="I2838"/>
  <c r="K2838"/>
  <c r="H2934"/>
  <c r="I2934"/>
  <c r="K2934"/>
  <c r="H3030"/>
  <c r="I3030"/>
  <c r="K3030"/>
  <c r="H3126"/>
  <c r="I3126"/>
  <c r="K3126"/>
  <c r="H3222"/>
  <c r="I3222"/>
  <c r="K3222"/>
  <c r="H1856"/>
  <c r="I1856"/>
  <c r="K1856"/>
  <c r="H2226"/>
  <c r="I2226"/>
  <c r="K2226"/>
  <c r="H2418"/>
  <c r="I2418"/>
  <c r="K2418"/>
  <c r="H2610"/>
  <c r="I2610"/>
  <c r="K2610"/>
  <c r="H2788"/>
  <c r="I2788"/>
  <c r="K2788"/>
  <c r="H2884"/>
  <c r="I2884"/>
  <c r="K2884"/>
  <c r="H2980"/>
  <c r="I2980"/>
  <c r="K2980"/>
  <c r="H3076"/>
  <c r="I3076"/>
  <c r="K3076"/>
  <c r="H3172"/>
  <c r="I3172"/>
  <c r="K3172"/>
  <c r="H1806"/>
  <c r="I1806"/>
  <c r="K1806"/>
  <c r="H2486"/>
  <c r="I2486"/>
  <c r="K2486"/>
  <c r="H2867"/>
  <c r="I2867"/>
  <c r="K2867"/>
  <c r="H2183"/>
  <c r="I2183"/>
  <c r="K2183"/>
  <c r="H2688"/>
  <c r="I2688"/>
  <c r="K2688"/>
  <c r="H1026"/>
  <c r="I1026"/>
  <c r="K1026"/>
  <c r="H2376"/>
  <c r="I2376"/>
  <c r="K2376"/>
  <c r="H2819"/>
  <c r="I2819"/>
  <c r="K2819"/>
  <c r="H2108"/>
  <c r="I2108"/>
  <c r="K2108"/>
  <c r="H2662"/>
  <c r="I2662"/>
  <c r="K2662"/>
  <c r="H1790"/>
  <c r="I1790"/>
  <c r="K1790"/>
  <c r="H1685"/>
  <c r="I1685"/>
  <c r="K1685"/>
  <c r="H2212"/>
  <c r="H1883"/>
  <c r="H1403"/>
  <c r="I1403"/>
  <c r="K1403"/>
  <c r="H2065"/>
  <c r="I2065"/>
  <c r="K2065"/>
  <c r="H1736"/>
  <c r="I1736"/>
  <c r="K1736"/>
  <c r="H2321"/>
  <c r="I2321"/>
  <c r="K2321"/>
  <c r="H2593"/>
  <c r="I2593"/>
  <c r="K2593"/>
  <c r="H1620"/>
  <c r="I1620"/>
  <c r="K1620"/>
  <c r="H2100"/>
  <c r="I2100"/>
  <c r="K2100"/>
  <c r="H2356"/>
  <c r="I2356"/>
  <c r="K2356"/>
  <c r="H2548"/>
  <c r="I2548"/>
  <c r="K2548"/>
  <c r="H2740"/>
  <c r="I2740"/>
  <c r="K2740"/>
  <c r="H1816"/>
  <c r="H2222"/>
  <c r="I2222"/>
  <c r="K2222"/>
  <c r="H2383"/>
  <c r="I2383"/>
  <c r="K2383"/>
  <c r="H2527"/>
  <c r="I2527"/>
  <c r="K2527"/>
  <c r="H2623"/>
  <c r="I2623"/>
  <c r="K2623"/>
  <c r="H2719"/>
  <c r="I2719"/>
  <c r="K2719"/>
  <c r="H1401"/>
  <c r="I1401"/>
  <c r="K1401"/>
  <c r="H1329"/>
  <c r="I1329"/>
  <c r="K1329"/>
  <c r="H1768"/>
  <c r="I1768"/>
  <c r="K1768"/>
  <c r="H1974"/>
  <c r="I1974"/>
  <c r="K1974"/>
  <c r="H2165"/>
  <c r="I2165"/>
  <c r="K2165"/>
  <c r="H2293"/>
  <c r="I2293"/>
  <c r="K2293"/>
  <c r="H2389"/>
  <c r="H2485"/>
  <c r="I2485"/>
  <c r="K2485"/>
  <c r="H2581"/>
  <c r="I2581"/>
  <c r="K2581"/>
  <c r="H2677"/>
  <c r="I2677"/>
  <c r="K2677"/>
  <c r="H629"/>
  <c r="I629"/>
  <c r="K629"/>
  <c r="H1656"/>
  <c r="I1656"/>
  <c r="K1656"/>
  <c r="H2039"/>
  <c r="I2039"/>
  <c r="K2039"/>
  <c r="H2323"/>
  <c r="I2323"/>
  <c r="K2323"/>
  <c r="H2515"/>
  <c r="I2515"/>
  <c r="K2515"/>
  <c r="H2707"/>
  <c r="I2707"/>
  <c r="K2707"/>
  <c r="H2834"/>
  <c r="I2834"/>
  <c r="K2834"/>
  <c r="H1976"/>
  <c r="I1976"/>
  <c r="K1976"/>
  <c r="H2302"/>
  <c r="I2302"/>
  <c r="K2302"/>
  <c r="H2494"/>
  <c r="I2494"/>
  <c r="K2494"/>
  <c r="H2686"/>
  <c r="I2686"/>
  <c r="K2686"/>
  <c r="H2821"/>
  <c r="I2821"/>
  <c r="K2821"/>
  <c r="H2917"/>
  <c r="I2917"/>
  <c r="K2917"/>
  <c r="H3013"/>
  <c r="I3013"/>
  <c r="K3013"/>
  <c r="H3109"/>
  <c r="I3109"/>
  <c r="K3109"/>
  <c r="H3205"/>
  <c r="I3205"/>
  <c r="K3205"/>
  <c r="H1840"/>
  <c r="I1840"/>
  <c r="K1840"/>
  <c r="H2223"/>
  <c r="I2223"/>
  <c r="K2223"/>
  <c r="H2410"/>
  <c r="I2410"/>
  <c r="K2410"/>
  <c r="H2602"/>
  <c r="I2602"/>
  <c r="K2602"/>
  <c r="H2776"/>
  <c r="I2776"/>
  <c r="K2776"/>
  <c r="H2872"/>
  <c r="I2872"/>
  <c r="K2872"/>
  <c r="H2968"/>
  <c r="I2968"/>
  <c r="K2968"/>
  <c r="H3064"/>
  <c r="I3064"/>
  <c r="K3064"/>
  <c r="H3160"/>
  <c r="I3160"/>
  <c r="K3160"/>
  <c r="H1720"/>
  <c r="I1720"/>
  <c r="K1720"/>
  <c r="H2118"/>
  <c r="I2118"/>
  <c r="K2118"/>
  <c r="H2363"/>
  <c r="I2363"/>
  <c r="K2363"/>
  <c r="H2555"/>
  <c r="I2555"/>
  <c r="K2555"/>
  <c r="H2747"/>
  <c r="I2747"/>
  <c r="K2747"/>
  <c r="H2846"/>
  <c r="I2846"/>
  <c r="K2846"/>
  <c r="H2942"/>
  <c r="I2942"/>
  <c r="K2942"/>
  <c r="H3038"/>
  <c r="I3038"/>
  <c r="K3038"/>
  <c r="H3134"/>
  <c r="I3134"/>
  <c r="K3134"/>
  <c r="H3230"/>
  <c r="I3230"/>
  <c r="K3230"/>
  <c r="H1888"/>
  <c r="I1888"/>
  <c r="K1888"/>
  <c r="H2242"/>
  <c r="I2242"/>
  <c r="K2242"/>
  <c r="H2434"/>
  <c r="I2434"/>
  <c r="K2434"/>
  <c r="H2626"/>
  <c r="I2626"/>
  <c r="K2626"/>
  <c r="H2796"/>
  <c r="I2796"/>
  <c r="K2796"/>
  <c r="H2892"/>
  <c r="I2892"/>
  <c r="K2892"/>
  <c r="H2988"/>
  <c r="I2988"/>
  <c r="K2988"/>
  <c r="H3084"/>
  <c r="I3084"/>
  <c r="K3084"/>
  <c r="H3180"/>
  <c r="I3180"/>
  <c r="K3180"/>
  <c r="H1868"/>
  <c r="I1868"/>
  <c r="K1868"/>
  <c r="H2544"/>
  <c r="I2544"/>
  <c r="K2544"/>
  <c r="H2883"/>
  <c r="I2883"/>
  <c r="K2883"/>
  <c r="H2232"/>
  <c r="I2232"/>
  <c r="K2232"/>
  <c r="H2744"/>
  <c r="I2744"/>
  <c r="K2744"/>
  <c r="H1436"/>
  <c r="I1436"/>
  <c r="K1436"/>
  <c r="H2390"/>
  <c r="I2390"/>
  <c r="K2390"/>
  <c r="H2833"/>
  <c r="I2833"/>
  <c r="K2833"/>
  <c r="H2219"/>
  <c r="I2219"/>
  <c r="K2219"/>
  <c r="H2720"/>
  <c r="I2720"/>
  <c r="K2720"/>
  <c r="H1884"/>
  <c r="I1884"/>
  <c r="K1884"/>
  <c r="H1773"/>
  <c r="I1773"/>
  <c r="K1773"/>
  <c r="H978"/>
  <c r="H1939"/>
  <c r="I1939"/>
  <c r="K1939"/>
  <c r="H1646"/>
  <c r="I1646"/>
  <c r="K1646"/>
  <c r="H2073"/>
  <c r="I2073"/>
  <c r="K2073"/>
  <c r="H1750"/>
  <c r="I1750"/>
  <c r="K1750"/>
  <c r="H2329"/>
  <c r="I2329"/>
  <c r="K2329"/>
  <c r="H2601"/>
  <c r="I2601"/>
  <c r="K2601"/>
  <c r="H1642"/>
  <c r="I1642"/>
  <c r="K1642"/>
  <c r="H2115"/>
  <c r="I2115"/>
  <c r="K2115"/>
  <c r="H2364"/>
  <c r="I2364"/>
  <c r="K2364"/>
  <c r="H2556"/>
  <c r="I2556"/>
  <c r="K2556"/>
  <c r="H2748"/>
  <c r="I2748"/>
  <c r="K2748"/>
  <c r="H1839"/>
  <c r="H2231"/>
  <c r="I2231"/>
  <c r="K2231"/>
  <c r="H2407"/>
  <c r="I2407"/>
  <c r="K2407"/>
  <c r="H2535"/>
  <c r="I2535"/>
  <c r="K2535"/>
  <c r="H2631"/>
  <c r="I2631"/>
  <c r="K2631"/>
  <c r="H2727"/>
  <c r="I2727"/>
  <c r="K2727"/>
  <c r="H1553"/>
  <c r="I1553"/>
  <c r="K1553"/>
  <c r="H1355"/>
  <c r="I1355"/>
  <c r="K1355"/>
  <c r="H1782"/>
  <c r="I1782"/>
  <c r="K1782"/>
  <c r="H1990"/>
  <c r="I1990"/>
  <c r="K1990"/>
  <c r="H2181"/>
  <c r="I2181"/>
  <c r="K2181"/>
  <c r="H2301"/>
  <c r="I2301"/>
  <c r="K2301"/>
  <c r="H2397"/>
  <c r="H2493"/>
  <c r="I2493"/>
  <c r="K2493"/>
  <c r="H2589"/>
  <c r="I2589"/>
  <c r="K2589"/>
  <c r="H2685"/>
  <c r="I2685"/>
  <c r="K2685"/>
  <c r="H900"/>
  <c r="I900"/>
  <c r="K900"/>
  <c r="H1670"/>
  <c r="I1670"/>
  <c r="K1670"/>
  <c r="H2071"/>
  <c r="I2071"/>
  <c r="K2071"/>
  <c r="H2339"/>
  <c r="I2339"/>
  <c r="K2339"/>
  <c r="H2531"/>
  <c r="I2531"/>
  <c r="K2531"/>
  <c r="H2723"/>
  <c r="I2723"/>
  <c r="K2723"/>
  <c r="H2842"/>
  <c r="I2842"/>
  <c r="K2842"/>
  <c r="H2008"/>
  <c r="I2008"/>
  <c r="K2008"/>
  <c r="H2318"/>
  <c r="H2510"/>
  <c r="I2510"/>
  <c r="K2510"/>
  <c r="H2702"/>
  <c r="I2702"/>
  <c r="K2702"/>
  <c r="H2829"/>
  <c r="I2829"/>
  <c r="K2829"/>
  <c r="H2925"/>
  <c r="I2925"/>
  <c r="K2925"/>
  <c r="H3021"/>
  <c r="I3021"/>
  <c r="K3021"/>
  <c r="H3117"/>
  <c r="I3117"/>
  <c r="K3117"/>
  <c r="H3213"/>
  <c r="I3213"/>
  <c r="K3213"/>
  <c r="H1872"/>
  <c r="I1872"/>
  <c r="K1872"/>
  <c r="H2234"/>
  <c r="I2234"/>
  <c r="K2234"/>
  <c r="H2426"/>
  <c r="I2426"/>
  <c r="K2426"/>
  <c r="H2618"/>
  <c r="I2618"/>
  <c r="K2618"/>
  <c r="H2784"/>
  <c r="I2784"/>
  <c r="K2784"/>
  <c r="H2880"/>
  <c r="I2880"/>
  <c r="K2880"/>
  <c r="H2976"/>
  <c r="I2976"/>
  <c r="K2976"/>
  <c r="H3072"/>
  <c r="I3072"/>
  <c r="K3072"/>
  <c r="H3168"/>
  <c r="I3168"/>
  <c r="K3168"/>
  <c r="H1734"/>
  <c r="I1734"/>
  <c r="K1734"/>
  <c r="H2150"/>
  <c r="I2150"/>
  <c r="K2150"/>
  <c r="H2379"/>
  <c r="I2379"/>
  <c r="K2379"/>
  <c r="H2571"/>
  <c r="I2571"/>
  <c r="K2571"/>
  <c r="H2763"/>
  <c r="I2763"/>
  <c r="K2763"/>
  <c r="H2854"/>
  <c r="I2854"/>
  <c r="K2854"/>
  <c r="H2950"/>
  <c r="I2950"/>
  <c r="K2950"/>
  <c r="H3046"/>
  <c r="I3046"/>
  <c r="K3046"/>
  <c r="H3142"/>
  <c r="I3142"/>
  <c r="K3142"/>
  <c r="H3238"/>
  <c r="I3238"/>
  <c r="K3238"/>
  <c r="H1920"/>
  <c r="I1920"/>
  <c r="K1920"/>
  <c r="H2258"/>
  <c r="I2258"/>
  <c r="K2258"/>
  <c r="H2450"/>
  <c r="I2450"/>
  <c r="K2450"/>
  <c r="H2642"/>
  <c r="I2642"/>
  <c r="K2642"/>
  <c r="H2804"/>
  <c r="I2804"/>
  <c r="K2804"/>
  <c r="H2900"/>
  <c r="I2900"/>
  <c r="K2900"/>
  <c r="H2996"/>
  <c r="I2996"/>
  <c r="K2996"/>
  <c r="H3092"/>
  <c r="I3092"/>
  <c r="K3092"/>
  <c r="H3188"/>
  <c r="I3188"/>
  <c r="K3188"/>
  <c r="H1896"/>
  <c r="I1896"/>
  <c r="K1896"/>
  <c r="H2600"/>
  <c r="I2600"/>
  <c r="K2600"/>
  <c r="H2899"/>
  <c r="I2899"/>
  <c r="K2899"/>
  <c r="H2246"/>
  <c r="I2246"/>
  <c r="K2246"/>
  <c r="H2758"/>
  <c r="I2758"/>
  <c r="K2758"/>
  <c r="H1664"/>
  <c r="I1664"/>
  <c r="K1664"/>
  <c r="H2448"/>
  <c r="I2448"/>
  <c r="K2448"/>
  <c r="H2847"/>
  <c r="I2847"/>
  <c r="K2847"/>
  <c r="H2264"/>
  <c r="I2264"/>
  <c r="K2264"/>
  <c r="H2777"/>
  <c r="I2777"/>
  <c r="K2777"/>
  <c r="H1996"/>
  <c r="I1996"/>
  <c r="K1996"/>
  <c r="H1781"/>
  <c r="I1781"/>
  <c r="K1781"/>
  <c r="H1057"/>
  <c r="H1955"/>
  <c r="I1955"/>
  <c r="K1955"/>
  <c r="H1649"/>
  <c r="I1649"/>
  <c r="K1649"/>
  <c r="H2081"/>
  <c r="I2081"/>
  <c r="K2081"/>
  <c r="H1764"/>
  <c r="I1764"/>
  <c r="K1764"/>
  <c r="H2345"/>
  <c r="I2345"/>
  <c r="K2345"/>
  <c r="H2609"/>
  <c r="I2609"/>
  <c r="K2609"/>
  <c r="H1680"/>
  <c r="I1680"/>
  <c r="K1680"/>
  <c r="H2131"/>
  <c r="I2131"/>
  <c r="K2131"/>
  <c r="H2372"/>
  <c r="I2372"/>
  <c r="K2372"/>
  <c r="H2564"/>
  <c r="I2564"/>
  <c r="K2564"/>
  <c r="H2756"/>
  <c r="I2756"/>
  <c r="K2756"/>
  <c r="H1855"/>
  <c r="H2239"/>
  <c r="I2239"/>
  <c r="K2239"/>
  <c r="H2415"/>
  <c r="I2415"/>
  <c r="K2415"/>
  <c r="H2543"/>
  <c r="I2543"/>
  <c r="K2543"/>
  <c r="H2639"/>
  <c r="I2639"/>
  <c r="K2639"/>
  <c r="H2735"/>
  <c r="I2735"/>
  <c r="K2735"/>
  <c r="H1571"/>
  <c r="I1571"/>
  <c r="K1571"/>
  <c r="H1378"/>
  <c r="I1378"/>
  <c r="K1378"/>
  <c r="H1796"/>
  <c r="I1796"/>
  <c r="K1796"/>
  <c r="H2006"/>
  <c r="I2006"/>
  <c r="K2006"/>
  <c r="H2197"/>
  <c r="I2197"/>
  <c r="K2197"/>
  <c r="H2309"/>
  <c r="I2309"/>
  <c r="K2309"/>
  <c r="H2405"/>
  <c r="H2501"/>
  <c r="I2501"/>
  <c r="K2501"/>
  <c r="H2597"/>
  <c r="I2597"/>
  <c r="K2597"/>
  <c r="H2693"/>
  <c r="I2693"/>
  <c r="K2693"/>
  <c r="H1017"/>
  <c r="I1017"/>
  <c r="K1017"/>
  <c r="H1684"/>
  <c r="I1684"/>
  <c r="K1684"/>
  <c r="H2103"/>
  <c r="I2103"/>
  <c r="K2103"/>
  <c r="H2355"/>
  <c r="I2355"/>
  <c r="K2355"/>
  <c r="H2547"/>
  <c r="I2547"/>
  <c r="K2547"/>
  <c r="H2739"/>
  <c r="I2739"/>
  <c r="K2739"/>
  <c r="H993"/>
  <c r="I993"/>
  <c r="K993"/>
  <c r="H2040"/>
  <c r="I2040"/>
  <c r="K2040"/>
  <c r="H2334"/>
  <c r="I2334"/>
  <c r="K2334"/>
  <c r="H2526"/>
  <c r="I2526"/>
  <c r="K2526"/>
  <c r="H2718"/>
  <c r="I2718"/>
  <c r="K2718"/>
  <c r="H2837"/>
  <c r="I2837"/>
  <c r="K2837"/>
  <c r="H2933"/>
  <c r="I2933"/>
  <c r="K2933"/>
  <c r="H3029"/>
  <c r="I3029"/>
  <c r="K3029"/>
  <c r="H3125"/>
  <c r="I3125"/>
  <c r="K3125"/>
  <c r="H3221"/>
  <c r="I3221"/>
  <c r="K3221"/>
  <c r="H1904"/>
  <c r="I1904"/>
  <c r="K1904"/>
  <c r="H2250"/>
  <c r="I2250"/>
  <c r="K2250"/>
  <c r="H2442"/>
  <c r="I2442"/>
  <c r="K2442"/>
  <c r="H2634"/>
  <c r="I2634"/>
  <c r="K2634"/>
  <c r="H2792"/>
  <c r="I2792"/>
  <c r="K2792"/>
  <c r="H2888"/>
  <c r="I2888"/>
  <c r="K2888"/>
  <c r="H2984"/>
  <c r="I2984"/>
  <c r="K2984"/>
  <c r="H3080"/>
  <c r="I3080"/>
  <c r="K3080"/>
  <c r="H3176"/>
  <c r="I3176"/>
  <c r="K3176"/>
  <c r="H1748"/>
  <c r="I1748"/>
  <c r="K1748"/>
  <c r="H2182"/>
  <c r="I2182"/>
  <c r="K2182"/>
  <c r="H2395"/>
  <c r="I2395"/>
  <c r="K2395"/>
  <c r="H2587"/>
  <c r="I2587"/>
  <c r="K2587"/>
  <c r="H2766"/>
  <c r="I2766"/>
  <c r="K2766"/>
  <c r="H2862"/>
  <c r="I2862"/>
  <c r="K2862"/>
  <c r="H2958"/>
  <c r="I2958"/>
  <c r="K2958"/>
  <c r="H3054"/>
  <c r="I3054"/>
  <c r="K3054"/>
  <c r="H3150"/>
  <c r="I3150"/>
  <c r="K3150"/>
  <c r="H1363"/>
  <c r="I1363"/>
  <c r="K1363"/>
  <c r="H1952"/>
  <c r="I1952"/>
  <c r="K1952"/>
  <c r="H2274"/>
  <c r="I2274"/>
  <c r="K2274"/>
  <c r="H2466"/>
  <c r="I2466"/>
  <c r="K2466"/>
  <c r="H2658"/>
  <c r="I2658"/>
  <c r="K2658"/>
  <c r="H2812"/>
  <c r="I2812"/>
  <c r="K2812"/>
  <c r="H2908"/>
  <c r="I2908"/>
  <c r="K2908"/>
  <c r="H3004"/>
  <c r="I3004"/>
  <c r="K3004"/>
  <c r="H3100"/>
  <c r="I3100"/>
  <c r="K3100"/>
  <c r="H3196"/>
  <c r="I3196"/>
  <c r="K3196"/>
  <c r="H2012"/>
  <c r="I2012"/>
  <c r="K2012"/>
  <c r="H2614"/>
  <c r="I2614"/>
  <c r="K2614"/>
  <c r="H2915"/>
  <c r="I2915"/>
  <c r="K2915"/>
  <c r="H2304"/>
  <c r="I2304"/>
  <c r="K2304"/>
  <c r="H2775"/>
  <c r="I2775"/>
  <c r="K2775"/>
  <c r="H1740"/>
  <c r="I1740"/>
  <c r="K1740"/>
  <c r="H2504"/>
  <c r="I2504"/>
  <c r="K2504"/>
  <c r="H2863"/>
  <c r="I2863"/>
  <c r="K2863"/>
  <c r="H2278"/>
  <c r="I2278"/>
  <c r="K2278"/>
  <c r="H2791"/>
  <c r="I2791"/>
  <c r="K2791"/>
  <c r="H2024"/>
  <c r="I2024"/>
  <c r="K2024"/>
  <c r="H1869"/>
  <c r="I1869"/>
  <c r="K1869"/>
  <c r="H1346"/>
  <c r="I1346"/>
  <c r="K1346"/>
  <c r="H2035"/>
  <c r="I2035"/>
  <c r="K2035"/>
  <c r="H1737"/>
  <c r="I1737"/>
  <c r="K1737"/>
  <c r="H2144"/>
  <c r="I2144"/>
  <c r="K2144"/>
  <c r="H1918"/>
  <c r="I1918"/>
  <c r="K1918"/>
  <c r="H2401"/>
  <c r="I2401"/>
  <c r="K2401"/>
  <c r="H2657"/>
  <c r="I2657"/>
  <c r="K2657"/>
  <c r="H1808"/>
  <c r="I1808"/>
  <c r="K1808"/>
  <c r="H2195"/>
  <c r="I2195"/>
  <c r="K2195"/>
  <c r="H2404"/>
  <c r="I2404"/>
  <c r="K2404"/>
  <c r="H2596"/>
  <c r="I2596"/>
  <c r="K2596"/>
  <c r="H977"/>
  <c r="I977"/>
  <c r="K977"/>
  <c r="H1919"/>
  <c r="I1919"/>
  <c r="K1919"/>
  <c r="H2271"/>
  <c r="I2271"/>
  <c r="K2271"/>
  <c r="H2423"/>
  <c r="I2423"/>
  <c r="K2423"/>
  <c r="H2551"/>
  <c r="I2551"/>
  <c r="K2551"/>
  <c r="H2647"/>
  <c r="I2647"/>
  <c r="K2647"/>
  <c r="H2743"/>
  <c r="I2743"/>
  <c r="K2743"/>
  <c r="H611"/>
  <c r="I611"/>
  <c r="K611"/>
  <c r="H1402"/>
  <c r="I1402"/>
  <c r="K1402"/>
  <c r="H1830"/>
  <c r="I1830"/>
  <c r="K1830"/>
  <c r="H2022"/>
  <c r="I2022"/>
  <c r="K2022"/>
  <c r="H2213"/>
  <c r="I2213"/>
  <c r="K2213"/>
  <c r="H2317"/>
  <c r="I2317"/>
  <c r="K2317"/>
  <c r="H2413"/>
  <c r="I2413"/>
  <c r="K2413"/>
  <c r="H2509"/>
  <c r="I2509"/>
  <c r="K2509"/>
  <c r="H2605"/>
  <c r="I2605"/>
  <c r="K2605"/>
  <c r="H2701"/>
  <c r="I2701"/>
  <c r="K2701"/>
  <c r="H1107"/>
  <c r="I1107"/>
  <c r="K1107"/>
  <c r="H1784"/>
  <c r="I1784"/>
  <c r="K1784"/>
  <c r="H2134"/>
  <c r="I2134"/>
  <c r="K2134"/>
  <c r="H2371"/>
  <c r="I2371"/>
  <c r="K2371"/>
  <c r="H2563"/>
  <c r="I2563"/>
  <c r="K2563"/>
  <c r="H2755"/>
  <c r="I2755"/>
  <c r="K2755"/>
  <c r="H1314"/>
  <c r="I1314"/>
  <c r="K1314"/>
  <c r="H2072"/>
  <c r="I2072"/>
  <c r="K2072"/>
  <c r="H2350"/>
  <c r="I2350"/>
  <c r="K2350"/>
  <c r="H2542"/>
  <c r="I2542"/>
  <c r="K2542"/>
  <c r="H2734"/>
  <c r="I2734"/>
  <c r="K2734"/>
  <c r="H2845"/>
  <c r="I2845"/>
  <c r="K2845"/>
  <c r="H2941"/>
  <c r="I2941"/>
  <c r="K2941"/>
  <c r="H3037"/>
  <c r="I3037"/>
  <c r="K3037"/>
  <c r="H3133"/>
  <c r="I3133"/>
  <c r="K3133"/>
  <c r="H3229"/>
  <c r="I3229"/>
  <c r="K3229"/>
  <c r="H1936"/>
  <c r="I1936"/>
  <c r="K1936"/>
  <c r="H2266"/>
  <c r="I2266"/>
  <c r="K2266"/>
  <c r="H2458"/>
  <c r="I2458"/>
  <c r="K2458"/>
  <c r="H2650"/>
  <c r="I2650"/>
  <c r="K2650"/>
  <c r="H2800"/>
  <c r="I2800"/>
  <c r="K2800"/>
  <c r="H2896"/>
  <c r="I2896"/>
  <c r="K2896"/>
  <c r="H2992"/>
  <c r="I2992"/>
  <c r="K2992"/>
  <c r="H3088"/>
  <c r="I3088"/>
  <c r="K3088"/>
  <c r="H3184"/>
  <c r="I3184"/>
  <c r="K3184"/>
  <c r="H1831"/>
  <c r="I1831"/>
  <c r="K1831"/>
  <c r="H2214"/>
  <c r="I2214"/>
  <c r="K2214"/>
  <c r="H2411"/>
  <c r="I2411"/>
  <c r="K2411"/>
  <c r="H2603"/>
  <c r="I2603"/>
  <c r="K2603"/>
  <c r="H2774"/>
  <c r="I2774"/>
  <c r="K2774"/>
  <c r="H2870"/>
  <c r="I2870"/>
  <c r="K2870"/>
  <c r="H2966"/>
  <c r="I2966"/>
  <c r="K2966"/>
  <c r="H3062"/>
  <c r="I3062"/>
  <c r="K3062"/>
  <c r="H3158"/>
  <c r="I3158"/>
  <c r="K3158"/>
  <c r="H738"/>
  <c r="I738"/>
  <c r="K738"/>
  <c r="H1984"/>
  <c r="I1984"/>
  <c r="K1984"/>
  <c r="H2290"/>
  <c r="I2290"/>
  <c r="K2290"/>
  <c r="H2482"/>
  <c r="I2482"/>
  <c r="K2482"/>
  <c r="H2674"/>
  <c r="I2674"/>
  <c r="K2674"/>
  <c r="H2820"/>
  <c r="I2820"/>
  <c r="K2820"/>
  <c r="H2916"/>
  <c r="I2916"/>
  <c r="K2916"/>
  <c r="H3012"/>
  <c r="I3012"/>
  <c r="K3012"/>
  <c r="H3108"/>
  <c r="I3108"/>
  <c r="K3108"/>
  <c r="H3204"/>
  <c r="I3204"/>
  <c r="K3204"/>
  <c r="H2123"/>
  <c r="I2123"/>
  <c r="K2123"/>
  <c r="H2672"/>
  <c r="I2672"/>
  <c r="K2672"/>
  <c r="H1386"/>
  <c r="I1386"/>
  <c r="K1386"/>
  <c r="H2360"/>
  <c r="I2360"/>
  <c r="K2360"/>
  <c r="H2811"/>
  <c r="I2811"/>
  <c r="K2811"/>
  <c r="H1932"/>
  <c r="I1932"/>
  <c r="K1932"/>
  <c r="H2518"/>
  <c r="I2518"/>
  <c r="K2518"/>
  <c r="H2879"/>
  <c r="I2879"/>
  <c r="K2879"/>
  <c r="H2336"/>
  <c r="I2336"/>
  <c r="K2336"/>
  <c r="H2827"/>
  <c r="I2827"/>
  <c r="K2827"/>
  <c r="H2139"/>
  <c r="I2139"/>
  <c r="K2139"/>
  <c r="H1877"/>
  <c r="I1877"/>
  <c r="K1877"/>
  <c r="H1365"/>
  <c r="I1365"/>
  <c r="K1365"/>
  <c r="H2051"/>
  <c r="I2051"/>
  <c r="K2051"/>
  <c r="H1745"/>
  <c r="I1745"/>
  <c r="K1745"/>
  <c r="H2160"/>
  <c r="H1950"/>
  <c r="I1950"/>
  <c r="K1950"/>
  <c r="H2409"/>
  <c r="I2409"/>
  <c r="K2409"/>
  <c r="H2665"/>
  <c r="I2665"/>
  <c r="K2665"/>
  <c r="H1822"/>
  <c r="I1822"/>
  <c r="K1822"/>
  <c r="H2211"/>
  <c r="I2211"/>
  <c r="K2211"/>
  <c r="H2412"/>
  <c r="I2412"/>
  <c r="K2412"/>
  <c r="H2604"/>
  <c r="I2604"/>
  <c r="K2604"/>
  <c r="H1097"/>
  <c r="I1097"/>
  <c r="K1097"/>
  <c r="H1935"/>
  <c r="I1935"/>
  <c r="K1935"/>
  <c r="H2279"/>
  <c r="I2279"/>
  <c r="K2279"/>
  <c r="H2431"/>
  <c r="I2431"/>
  <c r="K2431"/>
  <c r="H2559"/>
  <c r="H2655"/>
  <c r="I2655"/>
  <c r="K2655"/>
  <c r="H2751"/>
  <c r="I2751"/>
  <c r="K2751"/>
  <c r="H799"/>
  <c r="I799"/>
  <c r="K799"/>
  <c r="H1572"/>
  <c r="I1572"/>
  <c r="K1572"/>
  <c r="H1846"/>
  <c r="I1846"/>
  <c r="K1846"/>
  <c r="H2038"/>
  <c r="I2038"/>
  <c r="K2038"/>
  <c r="H2229"/>
  <c r="I2229"/>
  <c r="K2229"/>
  <c r="H2325"/>
  <c r="I2325"/>
  <c r="K2325"/>
  <c r="H2421"/>
  <c r="I2421"/>
  <c r="K2421"/>
  <c r="H2517"/>
  <c r="I2517"/>
  <c r="K2517"/>
  <c r="H2613"/>
  <c r="I2613"/>
  <c r="K2613"/>
  <c r="H2709"/>
  <c r="H1139"/>
  <c r="I1139"/>
  <c r="K1139"/>
  <c r="H1798"/>
  <c r="I1798"/>
  <c r="K1798"/>
  <c r="H2166"/>
  <c r="I2166"/>
  <c r="K2166"/>
  <c r="H2387"/>
  <c r="I2387"/>
  <c r="K2387"/>
  <c r="H2579"/>
  <c r="I2579"/>
  <c r="K2579"/>
  <c r="H2770"/>
  <c r="I2770"/>
  <c r="K2770"/>
  <c r="H1412"/>
  <c r="I1412"/>
  <c r="K1412"/>
  <c r="H2104"/>
  <c r="I2104"/>
  <c r="K2104"/>
  <c r="H2366"/>
  <c r="I2366"/>
  <c r="K2366"/>
  <c r="H2558"/>
  <c r="I2558"/>
  <c r="K2558"/>
  <c r="H2750"/>
  <c r="I2750"/>
  <c r="K2750"/>
  <c r="H2853"/>
  <c r="I2853"/>
  <c r="K2853"/>
  <c r="H2949"/>
  <c r="I2949"/>
  <c r="K2949"/>
  <c r="H3045"/>
  <c r="I3045"/>
  <c r="K3045"/>
  <c r="H3141"/>
  <c r="I3141"/>
  <c r="K3141"/>
  <c r="H3237"/>
  <c r="I3237"/>
  <c r="K3237"/>
  <c r="H1968"/>
  <c r="I1968"/>
  <c r="K1968"/>
  <c r="H2282"/>
  <c r="I2282"/>
  <c r="K2282"/>
  <c r="H2474"/>
  <c r="I2474"/>
  <c r="K2474"/>
  <c r="H2666"/>
  <c r="I2666"/>
  <c r="K2666"/>
  <c r="H2808"/>
  <c r="I2808"/>
  <c r="K2808"/>
  <c r="H2904"/>
  <c r="I2904"/>
  <c r="K2904"/>
  <c r="H3000"/>
  <c r="I3000"/>
  <c r="K3000"/>
  <c r="H3096"/>
  <c r="I3096"/>
  <c r="K3096"/>
  <c r="H3192"/>
  <c r="I3192"/>
  <c r="K3192"/>
  <c r="H1863"/>
  <c r="I1863"/>
  <c r="K1863"/>
  <c r="H2235"/>
  <c r="I2235"/>
  <c r="K2235"/>
  <c r="H2427"/>
  <c r="I2427"/>
  <c r="K2427"/>
  <c r="H2619"/>
  <c r="I2619"/>
  <c r="K2619"/>
  <c r="H2782"/>
  <c r="I2782"/>
  <c r="K2782"/>
  <c r="H2878"/>
  <c r="I2878"/>
  <c r="K2878"/>
  <c r="H2974"/>
  <c r="I2974"/>
  <c r="K2974"/>
  <c r="H3070"/>
  <c r="I3070"/>
  <c r="K3070"/>
  <c r="H3166"/>
  <c r="I3166"/>
  <c r="K3166"/>
  <c r="H1083"/>
  <c r="I1083"/>
  <c r="K1083"/>
  <c r="H2016"/>
  <c r="I2016"/>
  <c r="K2016"/>
  <c r="H2306"/>
  <c r="I2306"/>
  <c r="K2306"/>
  <c r="H2498"/>
  <c r="I2498"/>
  <c r="K2498"/>
  <c r="H2690"/>
  <c r="I2690"/>
  <c r="K2690"/>
  <c r="H2828"/>
  <c r="I2828"/>
  <c r="K2828"/>
  <c r="H2924"/>
  <c r="I2924"/>
  <c r="K2924"/>
  <c r="H3020"/>
  <c r="I3020"/>
  <c r="K3020"/>
  <c r="H3116"/>
  <c r="I3116"/>
  <c r="K3116"/>
  <c r="H3212"/>
  <c r="I3212"/>
  <c r="K3212"/>
  <c r="H2151"/>
  <c r="I2151"/>
  <c r="K2151"/>
  <c r="H2728"/>
  <c r="I2728"/>
  <c r="K2728"/>
  <c r="H1604"/>
  <c r="I1604"/>
  <c r="K1604"/>
  <c r="H2374"/>
  <c r="I2374"/>
  <c r="K2374"/>
  <c r="H2825"/>
  <c r="I2825"/>
  <c r="K2825"/>
  <c r="H1960"/>
  <c r="I1960"/>
  <c r="K1960"/>
  <c r="H2576"/>
  <c r="I2576"/>
  <c r="K2576"/>
  <c r="H2895"/>
  <c r="I2895"/>
  <c r="K2895"/>
  <c r="H2392"/>
  <c r="I2392"/>
  <c r="K2392"/>
  <c r="H2841"/>
  <c r="I2841"/>
  <c r="K2841"/>
  <c r="H2224"/>
  <c r="I2224"/>
  <c r="K2224"/>
  <c r="H1941"/>
  <c r="I1941"/>
  <c r="K1941"/>
  <c r="H1557"/>
  <c r="I1557"/>
  <c r="K1557"/>
  <c r="H2114"/>
  <c r="I2114"/>
  <c r="K2114"/>
  <c r="H1809"/>
  <c r="I1809"/>
  <c r="K1809"/>
  <c r="H153"/>
  <c r="H2062"/>
  <c r="I2062"/>
  <c r="K2062"/>
  <c r="H2457"/>
  <c r="I2457"/>
  <c r="K2457"/>
  <c r="H2713"/>
  <c r="I2713"/>
  <c r="K2713"/>
  <c r="H1892"/>
  <c r="I1892"/>
  <c r="K1892"/>
  <c r="H2252"/>
  <c r="I2252"/>
  <c r="K2252"/>
  <c r="H2444"/>
  <c r="I2444"/>
  <c r="K2444"/>
  <c r="H2636"/>
  <c r="I2636"/>
  <c r="K2636"/>
  <c r="H1469"/>
  <c r="I1469"/>
  <c r="K1469"/>
  <c r="H1999"/>
  <c r="I1999"/>
  <c r="K1999"/>
  <c r="H2287"/>
  <c r="I2287"/>
  <c r="K2287"/>
  <c r="H2463"/>
  <c r="I2463"/>
  <c r="K2463"/>
  <c r="H2567"/>
  <c r="H2663"/>
  <c r="I2663"/>
  <c r="K2663"/>
  <c r="H2759"/>
  <c r="I2759"/>
  <c r="K2759"/>
  <c r="H893"/>
  <c r="I893"/>
  <c r="K893"/>
  <c r="H1588"/>
  <c r="I1588"/>
  <c r="K1588"/>
  <c r="H1862"/>
  <c r="I1862"/>
  <c r="K1862"/>
  <c r="H2054"/>
  <c r="I2054"/>
  <c r="K2054"/>
  <c r="H2237"/>
  <c r="I2237"/>
  <c r="K2237"/>
  <c r="H2333"/>
  <c r="I2333"/>
  <c r="K2333"/>
  <c r="H2429"/>
  <c r="I2429"/>
  <c r="K2429"/>
  <c r="H2525"/>
  <c r="I2525"/>
  <c r="K2525"/>
  <c r="H2621"/>
  <c r="I2621"/>
  <c r="K2621"/>
  <c r="H2717"/>
  <c r="H1163"/>
  <c r="I1163"/>
  <c r="K1163"/>
  <c r="H1812"/>
  <c r="I1812"/>
  <c r="K1812"/>
  <c r="H2198"/>
  <c r="I2198"/>
  <c r="K2198"/>
  <c r="H2403"/>
  <c r="I2403"/>
  <c r="K2403"/>
  <c r="H2595"/>
  <c r="I2595"/>
  <c r="K2595"/>
  <c r="H2778"/>
  <c r="I2778"/>
  <c r="K2778"/>
  <c r="H1728"/>
  <c r="I1728"/>
  <c r="K1728"/>
  <c r="H2135"/>
  <c r="I2135"/>
  <c r="K2135"/>
  <c r="H2382"/>
  <c r="I2382"/>
  <c r="K2382"/>
  <c r="H2574"/>
  <c r="I2574"/>
  <c r="K2574"/>
  <c r="H2765"/>
  <c r="I2765"/>
  <c r="K2765"/>
  <c r="H2861"/>
  <c r="I2861"/>
  <c r="K2861"/>
  <c r="H2957"/>
  <c r="I2957"/>
  <c r="K2957"/>
  <c r="H3053"/>
  <c r="I3053"/>
  <c r="K3053"/>
  <c r="H3149"/>
  <c r="I3149"/>
  <c r="K3149"/>
  <c r="H1337"/>
  <c r="I1337"/>
  <c r="K1337"/>
  <c r="H2000"/>
  <c r="I2000"/>
  <c r="K2000"/>
  <c r="H2298"/>
  <c r="I2298"/>
  <c r="K2298"/>
  <c r="H2490"/>
  <c r="I2490"/>
  <c r="K2490"/>
  <c r="H2682"/>
  <c r="I2682"/>
  <c r="K2682"/>
  <c r="H2816"/>
  <c r="I2816"/>
  <c r="K2816"/>
  <c r="H2912"/>
  <c r="I2912"/>
  <c r="K2912"/>
  <c r="H3008"/>
  <c r="I3008"/>
  <c r="K3008"/>
  <c r="H3104"/>
  <c r="I3104"/>
  <c r="K3104"/>
  <c r="H3200"/>
  <c r="I3200"/>
  <c r="K3200"/>
  <c r="H1895"/>
  <c r="I1895"/>
  <c r="K1895"/>
  <c r="H2251"/>
  <c r="I2251"/>
  <c r="K2251"/>
  <c r="H2443"/>
  <c r="I2443"/>
  <c r="K2443"/>
  <c r="H2635"/>
  <c r="I2635"/>
  <c r="K2635"/>
  <c r="H2790"/>
  <c r="I2790"/>
  <c r="K2790"/>
  <c r="H2886"/>
  <c r="I2886"/>
  <c r="K2886"/>
  <c r="H2982"/>
  <c r="I2982"/>
  <c r="K2982"/>
  <c r="H3078"/>
  <c r="I3078"/>
  <c r="K3078"/>
  <c r="H3174"/>
  <c r="I3174"/>
  <c r="K3174"/>
  <c r="H1482"/>
  <c r="I1482"/>
  <c r="K1482"/>
  <c r="H2048"/>
  <c r="I2048"/>
  <c r="K2048"/>
  <c r="H2322"/>
  <c r="I2322"/>
  <c r="K2322"/>
  <c r="H2514"/>
  <c r="I2514"/>
  <c r="K2514"/>
  <c r="H2706"/>
  <c r="I2706"/>
  <c r="K2706"/>
  <c r="H2836"/>
  <c r="I2836"/>
  <c r="K2836"/>
  <c r="H2932"/>
  <c r="I2932"/>
  <c r="K2932"/>
  <c r="H3028"/>
  <c r="I3028"/>
  <c r="K3028"/>
  <c r="H3124"/>
  <c r="I3124"/>
  <c r="K3124"/>
  <c r="H3220"/>
  <c r="I3220"/>
  <c r="K3220"/>
  <c r="H2230"/>
  <c r="I2230"/>
  <c r="K2230"/>
  <c r="H2742"/>
  <c r="I2742"/>
  <c r="K2742"/>
  <c r="H1662"/>
  <c r="I1662"/>
  <c r="K1662"/>
  <c r="H2432"/>
  <c r="I2432"/>
  <c r="K2432"/>
  <c r="H2839"/>
  <c r="I2839"/>
  <c r="K2839"/>
  <c r="H2076"/>
  <c r="I2076"/>
  <c r="K2076"/>
  <c r="H2632"/>
  <c r="I2632"/>
  <c r="K2632"/>
  <c r="H2911"/>
  <c r="I2911"/>
  <c r="K2911"/>
  <c r="H2406"/>
  <c r="I2406"/>
  <c r="K2406"/>
  <c r="H2858"/>
  <c r="I2858"/>
  <c r="K2858"/>
  <c r="H2280"/>
  <c r="I2280"/>
  <c r="K2280"/>
  <c r="H1949"/>
  <c r="I1949"/>
  <c r="K1949"/>
  <c r="H1593"/>
  <c r="I1593"/>
  <c r="K1593"/>
  <c r="H2122"/>
  <c r="I2122"/>
  <c r="K2122"/>
  <c r="H1817"/>
  <c r="I1817"/>
  <c r="K1817"/>
  <c r="H757"/>
  <c r="H2094"/>
  <c r="I2094"/>
  <c r="K2094"/>
  <c r="H2465"/>
  <c r="I2465"/>
  <c r="K2465"/>
  <c r="H2721"/>
  <c r="I2721"/>
  <c r="K2721"/>
  <c r="H1908"/>
  <c r="I1908"/>
  <c r="K1908"/>
  <c r="H2260"/>
  <c r="I2260"/>
  <c r="K2260"/>
  <c r="H2452"/>
  <c r="I2452"/>
  <c r="K2452"/>
  <c r="H2644"/>
  <c r="I2644"/>
  <c r="K2644"/>
  <c r="H1493"/>
  <c r="I1493"/>
  <c r="K1493"/>
  <c r="H2015"/>
  <c r="I2015"/>
  <c r="K2015"/>
  <c r="H2311"/>
  <c r="I2311"/>
  <c r="K2311"/>
  <c r="H2471"/>
  <c r="I2471"/>
  <c r="K2471"/>
  <c r="H2575"/>
  <c r="H2671"/>
  <c r="I2671"/>
  <c r="K2671"/>
  <c r="H789"/>
  <c r="I789"/>
  <c r="K789"/>
  <c r="H1074"/>
  <c r="I1074"/>
  <c r="K1074"/>
  <c r="H1636"/>
  <c r="I1636"/>
  <c r="K1636"/>
  <c r="H1878"/>
  <c r="I1878"/>
  <c r="K1878"/>
  <c r="H2070"/>
  <c r="I2070"/>
  <c r="K2070"/>
  <c r="H2245"/>
  <c r="I2245"/>
  <c r="K2245"/>
  <c r="H2341"/>
  <c r="I2341"/>
  <c r="K2341"/>
  <c r="H2437"/>
  <c r="I2437"/>
  <c r="K2437"/>
  <c r="H2533"/>
  <c r="I2533"/>
  <c r="K2533"/>
  <c r="H2629"/>
  <c r="I2629"/>
  <c r="K2629"/>
  <c r="H2725"/>
  <c r="H1186"/>
  <c r="I1186"/>
  <c r="K1186"/>
  <c r="H1847"/>
  <c r="I1847"/>
  <c r="K1847"/>
  <c r="H2227"/>
  <c r="I2227"/>
  <c r="K2227"/>
  <c r="H2419"/>
  <c r="I2419"/>
  <c r="K2419"/>
  <c r="H2611"/>
  <c r="I2611"/>
  <c r="K2611"/>
  <c r="H2786"/>
  <c r="I2786"/>
  <c r="K2786"/>
  <c r="H1742"/>
  <c r="I1742"/>
  <c r="K1742"/>
  <c r="H2167"/>
  <c r="I2167"/>
  <c r="K2167"/>
  <c r="H2398"/>
  <c r="I2398"/>
  <c r="K2398"/>
  <c r="H2590"/>
  <c r="I2590"/>
  <c r="K2590"/>
  <c r="H2773"/>
  <c r="I2773"/>
  <c r="K2773"/>
  <c r="H2869"/>
  <c r="I2869"/>
  <c r="K2869"/>
  <c r="H2965"/>
  <c r="I2965"/>
  <c r="K2965"/>
  <c r="H3061"/>
  <c r="I3061"/>
  <c r="K3061"/>
  <c r="H3157"/>
  <c r="I3157"/>
  <c r="K3157"/>
  <c r="H1623"/>
  <c r="I1623"/>
  <c r="K1623"/>
  <c r="H2032"/>
  <c r="I2032"/>
  <c r="K2032"/>
  <c r="H2314"/>
  <c r="I2314"/>
  <c r="K2314"/>
  <c r="H2506"/>
  <c r="I2506"/>
  <c r="K2506"/>
  <c r="H2698"/>
  <c r="I2698"/>
  <c r="K2698"/>
  <c r="H2824"/>
  <c r="I2824"/>
  <c r="K2824"/>
  <c r="H2920"/>
  <c r="I2920"/>
  <c r="K2920"/>
  <c r="H3016"/>
  <c r="I3016"/>
  <c r="K3016"/>
  <c r="H2455"/>
  <c r="H2359"/>
  <c r="I2359"/>
  <c r="K2359"/>
  <c r="H2263"/>
  <c r="I2263"/>
  <c r="K2263"/>
  <c r="H2095"/>
  <c r="I2095"/>
  <c r="K2095"/>
  <c r="H1903"/>
  <c r="I1903"/>
  <c r="K1903"/>
  <c r="H1652"/>
  <c r="I1652"/>
  <c r="K1652"/>
  <c r="H880"/>
  <c r="I880"/>
  <c r="K880"/>
  <c r="H2684"/>
  <c r="I2684"/>
  <c r="K2684"/>
  <c r="H2588"/>
  <c r="I2588"/>
  <c r="K2588"/>
  <c r="H2492"/>
  <c r="H2396"/>
  <c r="I2396"/>
  <c r="K2396"/>
  <c r="H2300"/>
  <c r="I2300"/>
  <c r="K2300"/>
  <c r="H2179"/>
  <c r="H1988"/>
  <c r="I1988"/>
  <c r="K1988"/>
  <c r="H1772"/>
  <c r="I1772"/>
  <c r="K1772"/>
  <c r="H484"/>
  <c r="I484"/>
  <c r="K484"/>
  <c r="H2649"/>
  <c r="I2649"/>
  <c r="K2649"/>
  <c r="H2521"/>
  <c r="I2521"/>
  <c r="K2521"/>
  <c r="H2393"/>
  <c r="I2393"/>
  <c r="K2393"/>
  <c r="H2225"/>
  <c r="I2225"/>
  <c r="K2225"/>
  <c r="H1902"/>
  <c r="I1902"/>
  <c r="K1902"/>
  <c r="H1293"/>
  <c r="I1293"/>
  <c r="K1293"/>
  <c r="H2136"/>
  <c r="I2136"/>
  <c r="K2136"/>
  <c r="H1969"/>
  <c r="I1969"/>
  <c r="K1969"/>
  <c r="H1793"/>
  <c r="H1612"/>
  <c r="I1612"/>
  <c r="K1612"/>
  <c r="H934"/>
  <c r="I934"/>
  <c r="K934"/>
  <c r="H2099"/>
  <c r="I2099"/>
  <c r="K2099"/>
  <c r="H1931"/>
  <c r="I1931"/>
  <c r="K1931"/>
  <c r="H1763"/>
  <c r="I1763"/>
  <c r="K1763"/>
  <c r="H1523"/>
  <c r="I1523"/>
  <c r="K1523"/>
  <c r="H927"/>
  <c r="I927"/>
  <c r="K927"/>
  <c r="H2101"/>
  <c r="I2101"/>
  <c r="K2101"/>
  <c r="H1925"/>
  <c r="H1757"/>
  <c r="H1890"/>
  <c r="I1890"/>
  <c r="K1890"/>
  <c r="H2447"/>
  <c r="I2447"/>
  <c r="K2447"/>
  <c r="H2351"/>
  <c r="I2351"/>
  <c r="K2351"/>
  <c r="H2255"/>
  <c r="I2255"/>
  <c r="K2255"/>
  <c r="H2079"/>
  <c r="I2079"/>
  <c r="K2079"/>
  <c r="H1887"/>
  <c r="I1887"/>
  <c r="K1887"/>
  <c r="H1610"/>
  <c r="I1610"/>
  <c r="K1610"/>
  <c r="H593"/>
  <c r="I593"/>
  <c r="K593"/>
  <c r="H2676"/>
  <c r="I2676"/>
  <c r="K2676"/>
  <c r="H2580"/>
  <c r="I2580"/>
  <c r="K2580"/>
  <c r="H2484"/>
  <c r="H2388"/>
  <c r="I2388"/>
  <c r="K2388"/>
  <c r="H2292"/>
  <c r="I2292"/>
  <c r="K2292"/>
  <c r="H2163"/>
  <c r="I2163"/>
  <c r="K2163"/>
  <c r="H1972"/>
  <c r="I1972"/>
  <c r="K1972"/>
  <c r="H1708"/>
  <c r="I1708"/>
  <c r="K1708"/>
  <c r="H2753"/>
  <c r="I2753"/>
  <c r="K2753"/>
  <c r="H2625"/>
  <c r="I2625"/>
  <c r="K2625"/>
  <c r="H2497"/>
  <c r="I2497"/>
  <c r="K2497"/>
  <c r="H2369"/>
  <c r="I2369"/>
  <c r="K2369"/>
  <c r="H2173"/>
  <c r="I2173"/>
  <c r="K2173"/>
  <c r="H1838"/>
  <c r="I1838"/>
  <c r="K1838"/>
  <c r="H1091"/>
  <c r="H2105"/>
  <c r="I2105"/>
  <c r="K2105"/>
  <c r="H1937"/>
  <c r="I1937"/>
  <c r="K1937"/>
  <c r="H1761"/>
  <c r="I1761"/>
  <c r="K1761"/>
  <c r="H1546"/>
  <c r="I1546"/>
  <c r="K1546"/>
  <c r="H682"/>
  <c r="I682"/>
  <c r="K682"/>
  <c r="H2075"/>
  <c r="I2075"/>
  <c r="K2075"/>
  <c r="H1899"/>
  <c r="I1899"/>
  <c r="K1899"/>
  <c r="H1731"/>
  <c r="I1731"/>
  <c r="K1731"/>
  <c r="H1429"/>
  <c r="I1429"/>
  <c r="K1429"/>
  <c r="H595"/>
  <c r="I595"/>
  <c r="K595"/>
  <c r="H2069"/>
  <c r="I2069"/>
  <c r="K2069"/>
  <c r="H1893"/>
  <c r="H1725"/>
  <c r="I1725"/>
  <c r="K1725"/>
  <c r="H1882"/>
  <c r="I1882"/>
  <c r="K1882"/>
  <c r="I2318"/>
  <c r="K2318"/>
  <c r="H2439"/>
  <c r="I2439"/>
  <c r="K2439"/>
  <c r="H2343"/>
  <c r="I2343"/>
  <c r="K2343"/>
  <c r="H2247"/>
  <c r="I2247"/>
  <c r="K2247"/>
  <c r="H2063"/>
  <c r="I2063"/>
  <c r="K2063"/>
  <c r="H1871"/>
  <c r="I1871"/>
  <c r="K1871"/>
  <c r="H1569"/>
  <c r="I1569"/>
  <c r="K1569"/>
  <c r="H2764"/>
  <c r="I2764"/>
  <c r="K2764"/>
  <c r="H2668"/>
  <c r="I2668"/>
  <c r="K2668"/>
  <c r="H2572"/>
  <c r="I2572"/>
  <c r="K2572"/>
  <c r="H2476"/>
  <c r="I2476"/>
  <c r="K2476"/>
  <c r="H2380"/>
  <c r="I2380"/>
  <c r="K2380"/>
  <c r="H2284"/>
  <c r="I2284"/>
  <c r="K2284"/>
  <c r="H2147"/>
  <c r="I2147"/>
  <c r="K2147"/>
  <c r="H1956"/>
  <c r="I1956"/>
  <c r="K1956"/>
  <c r="H1694"/>
  <c r="I1694"/>
  <c r="K1694"/>
  <c r="H2745"/>
  <c r="I2745"/>
  <c r="K2745"/>
  <c r="H2617"/>
  <c r="I2617"/>
  <c r="K2617"/>
  <c r="H2489"/>
  <c r="I2489"/>
  <c r="K2489"/>
  <c r="H2353"/>
  <c r="I2353"/>
  <c r="K2353"/>
  <c r="H2157"/>
  <c r="I2157"/>
  <c r="K2157"/>
  <c r="H1800"/>
  <c r="I1800"/>
  <c r="K1800"/>
  <c r="H968"/>
  <c r="I968"/>
  <c r="K968"/>
  <c r="H2097"/>
  <c r="I2097"/>
  <c r="K2097"/>
  <c r="H1929"/>
  <c r="I1929"/>
  <c r="K1929"/>
  <c r="H1753"/>
  <c r="I1753"/>
  <c r="K1753"/>
  <c r="H1539"/>
  <c r="I1539"/>
  <c r="K1539"/>
  <c r="H499"/>
  <c r="H2059"/>
  <c r="I2059"/>
  <c r="K2059"/>
  <c r="H1891"/>
  <c r="I1891"/>
  <c r="K1891"/>
  <c r="H1715"/>
  <c r="I1715"/>
  <c r="K1715"/>
  <c r="H1419"/>
  <c r="I1419"/>
  <c r="K1419"/>
  <c r="H340"/>
  <c r="I340"/>
  <c r="K340"/>
  <c r="H2061"/>
  <c r="I2061"/>
  <c r="K2061"/>
  <c r="H1885"/>
  <c r="I1885"/>
  <c r="K1885"/>
  <c r="H1717"/>
  <c r="I1717"/>
  <c r="K1717"/>
  <c r="H1042"/>
  <c r="I1042"/>
  <c r="K1042"/>
  <c r="H1721"/>
  <c r="I1721"/>
  <c r="K1721"/>
  <c r="H1385"/>
  <c r="I1385"/>
  <c r="K1385"/>
  <c r="H2194"/>
  <c r="I2194"/>
  <c r="K2194"/>
  <c r="H2027"/>
  <c r="I2027"/>
  <c r="K2027"/>
  <c r="H1859"/>
  <c r="I1859"/>
  <c r="K1859"/>
  <c r="H1691"/>
  <c r="I1691"/>
  <c r="K1691"/>
  <c r="H1338"/>
  <c r="I1338"/>
  <c r="K1338"/>
  <c r="H2196"/>
  <c r="I2196"/>
  <c r="K2196"/>
  <c r="H2021"/>
  <c r="I2021"/>
  <c r="K2021"/>
  <c r="H1853"/>
  <c r="I1853"/>
  <c r="K1853"/>
  <c r="H1661"/>
  <c r="I1661"/>
  <c r="K1661"/>
  <c r="I2254"/>
  <c r="K2254"/>
  <c r="I153"/>
  <c r="K153"/>
  <c r="H2049"/>
  <c r="I2049"/>
  <c r="K2049"/>
  <c r="H1881"/>
  <c r="I1881"/>
  <c r="K1881"/>
  <c r="H1713"/>
  <c r="I1713"/>
  <c r="K1713"/>
  <c r="H1357"/>
  <c r="I1357"/>
  <c r="K1357"/>
  <c r="H2186"/>
  <c r="I2186"/>
  <c r="K2186"/>
  <c r="H2019"/>
  <c r="I2019"/>
  <c r="K2019"/>
  <c r="H1843"/>
  <c r="I1843"/>
  <c r="K1843"/>
  <c r="H1675"/>
  <c r="I1675"/>
  <c r="K1675"/>
  <c r="H1274"/>
  <c r="I1274"/>
  <c r="K1274"/>
  <c r="H2180"/>
  <c r="I2180"/>
  <c r="K2180"/>
  <c r="H2013"/>
  <c r="I2013"/>
  <c r="K2013"/>
  <c r="H1845"/>
  <c r="I1845"/>
  <c r="K1845"/>
  <c r="H1618"/>
  <c r="I1618"/>
  <c r="K1618"/>
  <c r="I2981"/>
  <c r="K2981"/>
  <c r="I2238"/>
  <c r="K2238"/>
  <c r="H2399"/>
  <c r="I2399"/>
  <c r="K2399"/>
  <c r="H2303"/>
  <c r="I2303"/>
  <c r="K2303"/>
  <c r="H2190"/>
  <c r="I2190"/>
  <c r="K2190"/>
  <c r="H1983"/>
  <c r="I1983"/>
  <c r="K1983"/>
  <c r="H1766"/>
  <c r="I1766"/>
  <c r="K1766"/>
  <c r="H1420"/>
  <c r="I1420"/>
  <c r="K1420"/>
  <c r="H2724"/>
  <c r="I2724"/>
  <c r="K2724"/>
  <c r="H2628"/>
  <c r="I2628"/>
  <c r="K2628"/>
  <c r="H2532"/>
  <c r="I2532"/>
  <c r="K2532"/>
  <c r="H2436"/>
  <c r="I2436"/>
  <c r="K2436"/>
  <c r="H2340"/>
  <c r="I2340"/>
  <c r="K2340"/>
  <c r="H2244"/>
  <c r="I2244"/>
  <c r="K2244"/>
  <c r="H2068"/>
  <c r="I2068"/>
  <c r="K2068"/>
  <c r="H1860"/>
  <c r="I1860"/>
  <c r="K1860"/>
  <c r="H1321"/>
  <c r="I1321"/>
  <c r="K1321"/>
  <c r="H2689"/>
  <c r="I2689"/>
  <c r="K2689"/>
  <c r="H2561"/>
  <c r="I2561"/>
  <c r="K2561"/>
  <c r="H2433"/>
  <c r="I2433"/>
  <c r="K2433"/>
  <c r="H2281"/>
  <c r="I2281"/>
  <c r="K2281"/>
  <c r="H1998"/>
  <c r="I1998"/>
  <c r="K1998"/>
  <c r="H1595"/>
  <c r="I1595"/>
  <c r="K1595"/>
  <c r="H2192"/>
  <c r="I2192"/>
  <c r="K2192"/>
  <c r="H2025"/>
  <c r="I2025"/>
  <c r="K2025"/>
  <c r="H1849"/>
  <c r="I1849"/>
  <c r="K1849"/>
  <c r="H1681"/>
  <c r="I1681"/>
  <c r="K1681"/>
  <c r="H1203"/>
  <c r="I1203"/>
  <c r="K1203"/>
  <c r="H2154"/>
  <c r="I2154"/>
  <c r="K2154"/>
  <c r="H1987"/>
  <c r="I1987"/>
  <c r="K1987"/>
  <c r="H1811"/>
  <c r="I1811"/>
  <c r="K1811"/>
  <c r="H1628"/>
  <c r="I1628"/>
  <c r="K1628"/>
  <c r="H1156"/>
  <c r="I1156"/>
  <c r="K1156"/>
  <c r="H2156"/>
  <c r="I2156"/>
  <c r="K2156"/>
  <c r="H1981"/>
  <c r="I1981"/>
  <c r="K1981"/>
  <c r="H1813"/>
  <c r="I1813"/>
  <c r="K1813"/>
  <c r="H1289"/>
  <c r="I1289"/>
  <c r="K1289"/>
  <c r="I2877"/>
  <c r="K2877"/>
  <c r="I2794"/>
  <c r="K2794"/>
  <c r="I2627"/>
  <c r="K2627"/>
  <c r="I1259"/>
  <c r="K1259"/>
  <c r="I2733"/>
  <c r="K2733"/>
  <c r="I2349"/>
  <c r="K2349"/>
  <c r="I2253"/>
  <c r="K2253"/>
  <c r="H2487"/>
  <c r="I2487"/>
  <c r="K2487"/>
  <c r="H2391"/>
  <c r="I2391"/>
  <c r="K2391"/>
  <c r="H2295"/>
  <c r="I2295"/>
  <c r="K2295"/>
  <c r="H2174"/>
  <c r="I2174"/>
  <c r="K2174"/>
  <c r="H1967"/>
  <c r="I1967"/>
  <c r="K1967"/>
  <c r="H1752"/>
  <c r="I1752"/>
  <c r="K1752"/>
  <c r="H1373"/>
  <c r="I1373"/>
  <c r="K1373"/>
  <c r="H2716"/>
  <c r="I2716"/>
  <c r="K2716"/>
  <c r="H2620"/>
  <c r="I2620"/>
  <c r="K2620"/>
  <c r="H2524"/>
  <c r="I2524"/>
  <c r="K2524"/>
  <c r="H2428"/>
  <c r="I2428"/>
  <c r="K2428"/>
  <c r="H2332"/>
  <c r="I2332"/>
  <c r="K2332"/>
  <c r="H2236"/>
  <c r="I2236"/>
  <c r="K2236"/>
  <c r="H2052"/>
  <c r="I2052"/>
  <c r="K2052"/>
  <c r="H1844"/>
  <c r="I1844"/>
  <c r="K1844"/>
  <c r="H1034"/>
  <c r="I1034"/>
  <c r="K1034"/>
  <c r="H2681"/>
  <c r="I2681"/>
  <c r="K2681"/>
  <c r="H2553"/>
  <c r="I2553"/>
  <c r="K2553"/>
  <c r="H2425"/>
  <c r="I2425"/>
  <c r="K2425"/>
  <c r="H2273"/>
  <c r="I2273"/>
  <c r="K2273"/>
  <c r="H1982"/>
  <c r="I1982"/>
  <c r="K1982"/>
  <c r="H1581"/>
  <c r="I1581"/>
  <c r="K1581"/>
  <c r="H2176"/>
  <c r="I2176"/>
  <c r="K2176"/>
  <c r="H2009"/>
  <c r="I2009"/>
  <c r="K2009"/>
  <c r="H1841"/>
  <c r="I1841"/>
  <c r="K1841"/>
  <c r="H1665"/>
  <c r="I1665"/>
  <c r="K1665"/>
  <c r="H1149"/>
  <c r="I1149"/>
  <c r="K1149"/>
  <c r="H2146"/>
  <c r="I2146"/>
  <c r="K2146"/>
  <c r="H1979"/>
  <c r="I1979"/>
  <c r="K1979"/>
  <c r="H1803"/>
  <c r="I1803"/>
  <c r="K1803"/>
  <c r="H1615"/>
  <c r="I1615"/>
  <c r="K1615"/>
  <c r="H1114"/>
  <c r="I1114"/>
  <c r="K1114"/>
  <c r="H2140"/>
  <c r="I2140"/>
  <c r="K2140"/>
  <c r="H1973"/>
  <c r="I1973"/>
  <c r="K1973"/>
  <c r="H1797"/>
  <c r="I1797"/>
  <c r="K1797"/>
  <c r="H1226"/>
  <c r="I1226"/>
  <c r="K1226"/>
  <c r="H2158"/>
  <c r="I2158"/>
  <c r="K2158"/>
  <c r="H1951"/>
  <c r="I1951"/>
  <c r="K1951"/>
  <c r="H1716"/>
  <c r="I1716"/>
  <c r="K1716"/>
  <c r="H1348"/>
  <c r="I1348"/>
  <c r="K1348"/>
  <c r="H2708"/>
  <c r="I2708"/>
  <c r="K2708"/>
  <c r="H2612"/>
  <c r="I2612"/>
  <c r="K2612"/>
  <c r="H2516"/>
  <c r="I2516"/>
  <c r="K2516"/>
  <c r="H2420"/>
  <c r="I2420"/>
  <c r="K2420"/>
  <c r="H2324"/>
  <c r="I2324"/>
  <c r="K2324"/>
  <c r="H2228"/>
  <c r="I2228"/>
  <c r="K2228"/>
  <c r="H2036"/>
  <c r="I2036"/>
  <c r="K2036"/>
  <c r="H1828"/>
  <c r="I1828"/>
  <c r="K1828"/>
  <c r="H1003"/>
  <c r="I1003"/>
  <c r="K1003"/>
  <c r="H2673"/>
  <c r="I2673"/>
  <c r="K2673"/>
  <c r="H2545"/>
  <c r="I2545"/>
  <c r="K2545"/>
  <c r="H2417"/>
  <c r="I2417"/>
  <c r="K2417"/>
  <c r="H2257"/>
  <c r="I2257"/>
  <c r="K2257"/>
  <c r="H1966"/>
  <c r="I1966"/>
  <c r="K1966"/>
  <c r="H1547"/>
  <c r="I1547"/>
  <c r="K1547"/>
  <c r="H2168"/>
  <c r="I2168"/>
  <c r="K2168"/>
  <c r="H2001"/>
  <c r="I2001"/>
  <c r="K2001"/>
  <c r="H1833"/>
  <c r="I1833"/>
  <c r="K1833"/>
  <c r="H1657"/>
  <c r="I1657"/>
  <c r="K1657"/>
  <c r="H1106"/>
  <c r="I1106"/>
  <c r="K1106"/>
  <c r="H2130"/>
  <c r="I2130"/>
  <c r="K2130"/>
  <c r="H1963"/>
  <c r="I1963"/>
  <c r="K1963"/>
  <c r="H1795"/>
  <c r="I1795"/>
  <c r="K1795"/>
  <c r="H1598"/>
  <c r="I1598"/>
  <c r="K1598"/>
  <c r="H1081"/>
  <c r="I1081"/>
  <c r="K1081"/>
  <c r="H2132"/>
  <c r="I2132"/>
  <c r="K2132"/>
  <c r="H1965"/>
  <c r="I1965"/>
  <c r="K1965"/>
  <c r="H1789"/>
  <c r="I1789"/>
  <c r="K1789"/>
  <c r="H1180"/>
  <c r="I1180"/>
  <c r="K1180"/>
  <c r="H1876"/>
  <c r="I1876"/>
  <c r="K1876"/>
  <c r="H1744"/>
  <c r="I1744"/>
  <c r="K1744"/>
  <c r="H1513"/>
  <c r="I1513"/>
  <c r="K1513"/>
  <c r="H2761"/>
  <c r="I2761"/>
  <c r="K2761"/>
  <c r="H2697"/>
  <c r="I2697"/>
  <c r="K2697"/>
  <c r="H2633"/>
  <c r="I2633"/>
  <c r="K2633"/>
  <c r="H2569"/>
  <c r="I2569"/>
  <c r="K2569"/>
  <c r="H2505"/>
  <c r="I2505"/>
  <c r="K2505"/>
  <c r="H2441"/>
  <c r="I2441"/>
  <c r="K2441"/>
  <c r="H2377"/>
  <c r="I2377"/>
  <c r="K2377"/>
  <c r="H2289"/>
  <c r="I2289"/>
  <c r="K2289"/>
  <c r="H2189"/>
  <c r="I2189"/>
  <c r="K2189"/>
  <c r="H2030"/>
  <c r="I2030"/>
  <c r="K2030"/>
  <c r="H1854"/>
  <c r="I1854"/>
  <c r="K1854"/>
  <c r="H1607"/>
  <c r="I1607"/>
  <c r="K1607"/>
  <c r="H1173"/>
  <c r="I1173"/>
  <c r="K1173"/>
  <c r="H2200"/>
  <c r="I2200"/>
  <c r="K2200"/>
  <c r="H2120"/>
  <c r="I2120"/>
  <c r="K2120"/>
  <c r="H2033"/>
  <c r="I2033"/>
  <c r="K2033"/>
  <c r="H1945"/>
  <c r="I1945"/>
  <c r="K1945"/>
  <c r="H1857"/>
  <c r="I1857"/>
  <c r="K1857"/>
  <c r="H1777"/>
  <c r="I1777"/>
  <c r="K1777"/>
  <c r="H1689"/>
  <c r="I1689"/>
  <c r="K1689"/>
  <c r="H1589"/>
  <c r="I1589"/>
  <c r="K1589"/>
  <c r="H1276"/>
  <c r="I1276"/>
  <c r="K1276"/>
  <c r="H788"/>
  <c r="I788"/>
  <c r="K788"/>
  <c r="H2170"/>
  <c r="I2170"/>
  <c r="K2170"/>
  <c r="H2083"/>
  <c r="I2083"/>
  <c r="K2083"/>
  <c r="H1995"/>
  <c r="I1995"/>
  <c r="K1995"/>
  <c r="H1907"/>
  <c r="I1907"/>
  <c r="K1907"/>
  <c r="H1827"/>
  <c r="I1827"/>
  <c r="K1827"/>
  <c r="H1739"/>
  <c r="I1739"/>
  <c r="K1739"/>
  <c r="H1651"/>
  <c r="I1651"/>
  <c r="K1651"/>
  <c r="H1465"/>
  <c r="I1465"/>
  <c r="K1465"/>
  <c r="H1164"/>
  <c r="I1164"/>
  <c r="K1164"/>
  <c r="H836"/>
  <c r="I836"/>
  <c r="K836"/>
  <c r="H2164"/>
  <c r="I2164"/>
  <c r="K2164"/>
  <c r="H2077"/>
  <c r="I2077"/>
  <c r="K2077"/>
  <c r="H1989"/>
  <c r="I1989"/>
  <c r="K1989"/>
  <c r="H1909"/>
  <c r="I1909"/>
  <c r="K1909"/>
  <c r="H1821"/>
  <c r="I1821"/>
  <c r="K1821"/>
  <c r="H1733"/>
  <c r="I1733"/>
  <c r="K1733"/>
  <c r="H1631"/>
  <c r="I1631"/>
  <c r="K1631"/>
  <c r="H852"/>
  <c r="I852"/>
  <c r="K852"/>
  <c r="H1162"/>
  <c r="I1162"/>
  <c r="K1162"/>
  <c r="H1508"/>
  <c r="I1508"/>
  <c r="K1508"/>
  <c r="H1994"/>
  <c r="I1994"/>
  <c r="K1994"/>
  <c r="H886"/>
  <c r="I886"/>
  <c r="K886"/>
  <c r="H1693"/>
  <c r="I1693"/>
  <c r="K1693"/>
  <c r="H1308"/>
  <c r="I1308"/>
  <c r="K1308"/>
  <c r="H1978"/>
  <c r="I1978"/>
  <c r="K1978"/>
  <c r="H1735"/>
  <c r="I1735"/>
  <c r="K1735"/>
  <c r="H1727"/>
  <c r="I1727"/>
  <c r="K1727"/>
  <c r="H1758"/>
  <c r="I1758"/>
  <c r="K1758"/>
  <c r="H1531"/>
  <c r="I1531"/>
  <c r="K1531"/>
  <c r="H208"/>
  <c r="I208"/>
  <c r="K208"/>
  <c r="H2705"/>
  <c r="I2705"/>
  <c r="K2705"/>
  <c r="H2641"/>
  <c r="I2641"/>
  <c r="K2641"/>
  <c r="H2577"/>
  <c r="I2577"/>
  <c r="K2577"/>
  <c r="H2513"/>
  <c r="I2513"/>
  <c r="K2513"/>
  <c r="H2449"/>
  <c r="I2449"/>
  <c r="K2449"/>
  <c r="H2385"/>
  <c r="I2385"/>
  <c r="K2385"/>
  <c r="H2297"/>
  <c r="I2297"/>
  <c r="K2297"/>
  <c r="H2221"/>
  <c r="I2221"/>
  <c r="K2221"/>
  <c r="H2046"/>
  <c r="I2046"/>
  <c r="K2046"/>
  <c r="H1870"/>
  <c r="I1870"/>
  <c r="K1870"/>
  <c r="H1672"/>
  <c r="I1672"/>
  <c r="K1672"/>
  <c r="H1196"/>
  <c r="I1196"/>
  <c r="K1196"/>
  <c r="H2216"/>
  <c r="I2216"/>
  <c r="K2216"/>
  <c r="H2128"/>
  <c r="I2128"/>
  <c r="K2128"/>
  <c r="H2041"/>
  <c r="I2041"/>
  <c r="K2041"/>
  <c r="H1953"/>
  <c r="I1953"/>
  <c r="K1953"/>
  <c r="H1873"/>
  <c r="I1873"/>
  <c r="K1873"/>
  <c r="H1785"/>
  <c r="I1785"/>
  <c r="K1785"/>
  <c r="H1697"/>
  <c r="I1697"/>
  <c r="K1697"/>
  <c r="H1599"/>
  <c r="I1599"/>
  <c r="K1599"/>
  <c r="H1322"/>
  <c r="I1322"/>
  <c r="K1322"/>
  <c r="H823"/>
  <c r="I823"/>
  <c r="K823"/>
  <c r="H2178"/>
  <c r="I2178"/>
  <c r="K2178"/>
  <c r="H2091"/>
  <c r="I2091"/>
  <c r="K2091"/>
  <c r="H2003"/>
  <c r="I2003"/>
  <c r="K2003"/>
  <c r="H1923"/>
  <c r="I1923"/>
  <c r="K1923"/>
  <c r="H1835"/>
  <c r="I1835"/>
  <c r="K1835"/>
  <c r="H1747"/>
  <c r="I1747"/>
  <c r="K1747"/>
  <c r="H1667"/>
  <c r="I1667"/>
  <c r="K1667"/>
  <c r="H1509"/>
  <c r="I1509"/>
  <c r="K1509"/>
  <c r="H1265"/>
  <c r="I1265"/>
  <c r="K1265"/>
  <c r="H856"/>
  <c r="I856"/>
  <c r="K856"/>
  <c r="H2172"/>
  <c r="I2172"/>
  <c r="K2172"/>
  <c r="H2085"/>
  <c r="I2085"/>
  <c r="K2085"/>
  <c r="H2005"/>
  <c r="I2005"/>
  <c r="K2005"/>
  <c r="H1917"/>
  <c r="I1917"/>
  <c r="K1917"/>
  <c r="H1829"/>
  <c r="I1829"/>
  <c r="K1829"/>
  <c r="H1749"/>
  <c r="I1749"/>
  <c r="K1749"/>
  <c r="H1653"/>
  <c r="I1653"/>
  <c r="K1653"/>
  <c r="H869"/>
  <c r="I869"/>
  <c r="K869"/>
  <c r="H1794"/>
  <c r="I1794"/>
  <c r="K1794"/>
  <c r="H1614"/>
  <c r="I1614"/>
  <c r="K1614"/>
  <c r="H772"/>
  <c r="I772"/>
  <c r="K772"/>
  <c r="H1786"/>
  <c r="I1786"/>
  <c r="K1786"/>
  <c r="H1586"/>
  <c r="I1586"/>
  <c r="K1586"/>
  <c r="H627"/>
  <c r="I627"/>
  <c r="K627"/>
  <c r="H1698"/>
  <c r="I1698"/>
  <c r="K1698"/>
  <c r="H1563"/>
  <c r="I1563"/>
  <c r="K1563"/>
  <c r="H2177"/>
  <c r="I2177"/>
  <c r="K2177"/>
  <c r="H1690"/>
  <c r="I1690"/>
  <c r="K1690"/>
  <c r="H1556"/>
  <c r="I1556"/>
  <c r="K1556"/>
  <c r="H2169"/>
  <c r="I2169"/>
  <c r="K2169"/>
  <c r="H1579"/>
  <c r="I1579"/>
  <c r="K1579"/>
  <c r="H1701"/>
  <c r="I1701"/>
  <c r="K1701"/>
  <c r="H1529"/>
  <c r="I1529"/>
  <c r="K1529"/>
  <c r="H2082"/>
  <c r="I2082"/>
  <c r="K2082"/>
  <c r="H1548"/>
  <c r="I1548"/>
  <c r="K1548"/>
  <c r="H2337"/>
  <c r="I2337"/>
  <c r="K2337"/>
  <c r="H2241"/>
  <c r="I2241"/>
  <c r="K2241"/>
  <c r="H2078"/>
  <c r="I2078"/>
  <c r="K2078"/>
  <c r="H1886"/>
  <c r="H1629"/>
  <c r="I1629"/>
  <c r="K1629"/>
  <c r="H1147"/>
  <c r="I1147"/>
  <c r="K1147"/>
  <c r="H2184"/>
  <c r="I2184"/>
  <c r="K2184"/>
  <c r="H2089"/>
  <c r="I2089"/>
  <c r="K2089"/>
  <c r="H1993"/>
  <c r="I1993"/>
  <c r="K1993"/>
  <c r="H1897"/>
  <c r="I1897"/>
  <c r="K1897"/>
  <c r="H1801"/>
  <c r="I1801"/>
  <c r="K1801"/>
  <c r="H1705"/>
  <c r="I1705"/>
  <c r="K1705"/>
  <c r="H1594"/>
  <c r="I1594"/>
  <c r="K1594"/>
  <c r="H1213"/>
  <c r="I1213"/>
  <c r="K1213"/>
  <c r="H645"/>
  <c r="I645"/>
  <c r="K645"/>
  <c r="H2138"/>
  <c r="I2138"/>
  <c r="K2138"/>
  <c r="H2043"/>
  <c r="I2043"/>
  <c r="K2043"/>
  <c r="H1947"/>
  <c r="I1947"/>
  <c r="K1947"/>
  <c r="H1851"/>
  <c r="I1851"/>
  <c r="K1851"/>
  <c r="H1755"/>
  <c r="I1755"/>
  <c r="K1755"/>
  <c r="H1659"/>
  <c r="I1659"/>
  <c r="K1659"/>
  <c r="H1437"/>
  <c r="I1437"/>
  <c r="K1437"/>
  <c r="H1146"/>
  <c r="I1146"/>
  <c r="K1146"/>
  <c r="H2220"/>
  <c r="I2220"/>
  <c r="K2220"/>
  <c r="H2124"/>
  <c r="I2124"/>
  <c r="K2124"/>
  <c r="H2029"/>
  <c r="I2029"/>
  <c r="K2029"/>
  <c r="H1933"/>
  <c r="I1933"/>
  <c r="K1933"/>
  <c r="H1837"/>
  <c r="H1741"/>
  <c r="I1741"/>
  <c r="K1741"/>
  <c r="H1644"/>
  <c r="I1644"/>
  <c r="K1644"/>
  <c r="H1299"/>
  <c r="I1299"/>
  <c r="K1299"/>
  <c r="H2090"/>
  <c r="I2090"/>
  <c r="K2090"/>
  <c r="H1706"/>
  <c r="I1706"/>
  <c r="K1706"/>
  <c r="H846"/>
  <c r="I846"/>
  <c r="K846"/>
  <c r="H2305"/>
  <c r="I2305"/>
  <c r="K2305"/>
  <c r="H2205"/>
  <c r="I2205"/>
  <c r="K2205"/>
  <c r="H2014"/>
  <c r="I2014"/>
  <c r="K2014"/>
  <c r="H1814"/>
  <c r="I1814"/>
  <c r="K1814"/>
  <c r="H1565"/>
  <c r="I1565"/>
  <c r="K1565"/>
  <c r="H870"/>
  <c r="I870"/>
  <c r="K870"/>
  <c r="H2152"/>
  <c r="I2152"/>
  <c r="K2152"/>
  <c r="H2057"/>
  <c r="I2057"/>
  <c r="K2057"/>
  <c r="H1961"/>
  <c r="I1961"/>
  <c r="K1961"/>
  <c r="H1865"/>
  <c r="I1865"/>
  <c r="K1865"/>
  <c r="H1769"/>
  <c r="I1769"/>
  <c r="K1769"/>
  <c r="H1673"/>
  <c r="I1673"/>
  <c r="K1673"/>
  <c r="H1476"/>
  <c r="I1476"/>
  <c r="K1476"/>
  <c r="H1049"/>
  <c r="I1049"/>
  <c r="K1049"/>
  <c r="H2202"/>
  <c r="I2202"/>
  <c r="K2202"/>
  <c r="H2107"/>
  <c r="I2107"/>
  <c r="K2107"/>
  <c r="H2011"/>
  <c r="I2011"/>
  <c r="K2011"/>
  <c r="H1915"/>
  <c r="H1819"/>
  <c r="I1819"/>
  <c r="K1819"/>
  <c r="H1723"/>
  <c r="I1723"/>
  <c r="K1723"/>
  <c r="H1602"/>
  <c r="I1602"/>
  <c r="K1602"/>
  <c r="H1356"/>
  <c r="I1356"/>
  <c r="K1356"/>
  <c r="H1035"/>
  <c r="I1035"/>
  <c r="K1035"/>
  <c r="H2188"/>
  <c r="I2188"/>
  <c r="K2188"/>
  <c r="H2093"/>
  <c r="I2093"/>
  <c r="K2093"/>
  <c r="H1997"/>
  <c r="I1997"/>
  <c r="K1997"/>
  <c r="H1901"/>
  <c r="I1901"/>
  <c r="K1901"/>
  <c r="H1805"/>
  <c r="I1805"/>
  <c r="K1805"/>
  <c r="H1709"/>
  <c r="I1709"/>
  <c r="K1709"/>
  <c r="H1605"/>
  <c r="I1605"/>
  <c r="K1605"/>
  <c r="H904"/>
  <c r="I904"/>
  <c r="K904"/>
  <c r="H1986"/>
  <c r="I1986"/>
  <c r="K1986"/>
  <c r="H1568"/>
  <c r="I1568"/>
  <c r="K1568"/>
  <c r="H2361"/>
  <c r="I2361"/>
  <c r="K2361"/>
  <c r="H2265"/>
  <c r="I2265"/>
  <c r="K2265"/>
  <c r="H2125"/>
  <c r="I2125"/>
  <c r="K2125"/>
  <c r="H1934"/>
  <c r="I1934"/>
  <c r="K1934"/>
  <c r="H1700"/>
  <c r="I1700"/>
  <c r="K1700"/>
  <c r="H1220"/>
  <c r="I1220"/>
  <c r="K1220"/>
  <c r="H2208"/>
  <c r="I2208"/>
  <c r="K2208"/>
  <c r="H2112"/>
  <c r="I2112"/>
  <c r="K2112"/>
  <c r="H2017"/>
  <c r="H1921"/>
  <c r="I1921"/>
  <c r="K1921"/>
  <c r="H1825"/>
  <c r="I1825"/>
  <c r="K1825"/>
  <c r="H1729"/>
  <c r="I1729"/>
  <c r="K1729"/>
  <c r="H1637"/>
  <c r="I1637"/>
  <c r="K1637"/>
  <c r="H1331"/>
  <c r="I1331"/>
  <c r="K1331"/>
  <c r="H806"/>
  <c r="I806"/>
  <c r="K806"/>
  <c r="H2162"/>
  <c r="I2162"/>
  <c r="K2162"/>
  <c r="H2067"/>
  <c r="I2067"/>
  <c r="K2067"/>
  <c r="H1971"/>
  <c r="I1971"/>
  <c r="K1971"/>
  <c r="H1875"/>
  <c r="I1875"/>
  <c r="K1875"/>
  <c r="H1779"/>
  <c r="I1779"/>
  <c r="K1779"/>
  <c r="H1683"/>
  <c r="I1683"/>
  <c r="K1683"/>
  <c r="H1517"/>
  <c r="I1517"/>
  <c r="K1517"/>
  <c r="H1237"/>
  <c r="I1237"/>
  <c r="K1237"/>
  <c r="H668"/>
  <c r="I668"/>
  <c r="K668"/>
  <c r="H2148"/>
  <c r="I2148"/>
  <c r="K2148"/>
  <c r="H2053"/>
  <c r="I2053"/>
  <c r="K2053"/>
  <c r="H1957"/>
  <c r="I1957"/>
  <c r="K1957"/>
  <c r="H1861"/>
  <c r="I1861"/>
  <c r="K1861"/>
  <c r="H1765"/>
  <c r="I1765"/>
  <c r="K1765"/>
  <c r="H1669"/>
  <c r="I1669"/>
  <c r="K1669"/>
  <c r="H1522"/>
  <c r="I1522"/>
  <c r="K1522"/>
  <c r="H2185"/>
  <c r="I2185"/>
  <c r="K2185"/>
  <c r="H1802"/>
  <c r="I1802"/>
  <c r="K1802"/>
  <c r="H1743"/>
  <c r="I1743"/>
  <c r="K1743"/>
  <c r="H829"/>
  <c r="I829"/>
  <c r="K829"/>
  <c r="H1194"/>
  <c r="I1194"/>
  <c r="K1194"/>
  <c r="H723"/>
  <c r="I723"/>
  <c r="K723"/>
  <c r="I2643"/>
  <c r="K2643"/>
  <c r="I1405"/>
  <c r="K1405"/>
  <c r="I2741"/>
  <c r="K2741"/>
  <c r="I2645"/>
  <c r="K2645"/>
  <c r="I2357"/>
  <c r="K2357"/>
  <c r="I2261"/>
  <c r="K2261"/>
  <c r="I1910"/>
  <c r="K1910"/>
  <c r="I1780"/>
  <c r="K1780"/>
  <c r="I757"/>
  <c r="K757"/>
  <c r="I2725"/>
  <c r="K2725"/>
  <c r="I2575"/>
  <c r="K2575"/>
  <c r="I2479"/>
  <c r="K2479"/>
  <c r="I1883"/>
  <c r="K1883"/>
  <c r="I2717"/>
  <c r="K2717"/>
  <c r="I2567"/>
  <c r="K2567"/>
  <c r="I2017"/>
  <c r="K2017"/>
  <c r="H2161"/>
  <c r="I2161"/>
  <c r="K2161"/>
  <c r="H2066"/>
  <c r="I2066"/>
  <c r="K2066"/>
  <c r="H1970"/>
  <c r="I1970"/>
  <c r="K1970"/>
  <c r="H1874"/>
  <c r="I1874"/>
  <c r="K1874"/>
  <c r="H1778"/>
  <c r="I1778"/>
  <c r="K1778"/>
  <c r="H1682"/>
  <c r="I1682"/>
  <c r="K1682"/>
  <c r="H1514"/>
  <c r="I1514"/>
  <c r="K1514"/>
  <c r="H812"/>
  <c r="I812"/>
  <c r="K812"/>
  <c r="H1719"/>
  <c r="I1719"/>
  <c r="K1719"/>
  <c r="H661"/>
  <c r="I661"/>
  <c r="K661"/>
  <c r="I2709"/>
  <c r="K2709"/>
  <c r="I2559"/>
  <c r="K2559"/>
  <c r="I1702"/>
  <c r="K1702"/>
  <c r="I2737"/>
  <c r="K2737"/>
  <c r="I1913"/>
  <c r="K1913"/>
  <c r="I1757"/>
  <c r="K1757"/>
  <c r="H2153"/>
  <c r="I2153"/>
  <c r="K2153"/>
  <c r="H2058"/>
  <c r="I2058"/>
  <c r="K2058"/>
  <c r="H1962"/>
  <c r="I1962"/>
  <c r="K1962"/>
  <c r="H1866"/>
  <c r="I1866"/>
  <c r="K1866"/>
  <c r="H1770"/>
  <c r="I1770"/>
  <c r="K1770"/>
  <c r="H1674"/>
  <c r="I1674"/>
  <c r="K1674"/>
  <c r="H1498"/>
  <c r="I1498"/>
  <c r="K1498"/>
  <c r="H693"/>
  <c r="I693"/>
  <c r="K693"/>
  <c r="H1695"/>
  <c r="I1695"/>
  <c r="K1695"/>
  <c r="H588"/>
  <c r="I588"/>
  <c r="K588"/>
  <c r="I2455"/>
  <c r="K2455"/>
  <c r="I1688"/>
  <c r="K1688"/>
  <c r="I2729"/>
  <c r="K2729"/>
  <c r="I2037"/>
  <c r="K2037"/>
  <c r="H1499"/>
  <c r="I1499"/>
  <c r="K1499"/>
  <c r="H1145"/>
  <c r="I1145"/>
  <c r="K1145"/>
  <c r="H554"/>
  <c r="I554"/>
  <c r="K554"/>
  <c r="H2145"/>
  <c r="I2145"/>
  <c r="K2145"/>
  <c r="H2050"/>
  <c r="I2050"/>
  <c r="K2050"/>
  <c r="H1954"/>
  <c r="I1954"/>
  <c r="K1954"/>
  <c r="H1858"/>
  <c r="I1858"/>
  <c r="K1858"/>
  <c r="H1762"/>
  <c r="I1762"/>
  <c r="K1762"/>
  <c r="H1666"/>
  <c r="I1666"/>
  <c r="K1666"/>
  <c r="H1397"/>
  <c r="I1397"/>
  <c r="K1397"/>
  <c r="H547"/>
  <c r="I547"/>
  <c r="K547"/>
  <c r="H1671"/>
  <c r="I1671"/>
  <c r="K1671"/>
  <c r="H1292"/>
  <c r="I1292"/>
  <c r="K1292"/>
  <c r="I2405"/>
  <c r="K2405"/>
  <c r="I2492"/>
  <c r="K2492"/>
  <c r="I2179"/>
  <c r="K2179"/>
  <c r="I1886"/>
  <c r="K1886"/>
  <c r="H1481"/>
  <c r="I1481"/>
  <c r="K1481"/>
  <c r="H1090"/>
  <c r="I1090"/>
  <c r="K1090"/>
  <c r="H420"/>
  <c r="I420"/>
  <c r="K420"/>
  <c r="H2137"/>
  <c r="I2137"/>
  <c r="K2137"/>
  <c r="H2042"/>
  <c r="I2042"/>
  <c r="K2042"/>
  <c r="H1946"/>
  <c r="I1946"/>
  <c r="K1946"/>
  <c r="H1850"/>
  <c r="I1850"/>
  <c r="K1850"/>
  <c r="H1754"/>
  <c r="I1754"/>
  <c r="K1754"/>
  <c r="H1658"/>
  <c r="I1658"/>
  <c r="K1658"/>
  <c r="H1325"/>
  <c r="I1325"/>
  <c r="K1325"/>
  <c r="H89"/>
  <c r="I89"/>
  <c r="K89"/>
  <c r="H1663"/>
  <c r="I1663"/>
  <c r="K1663"/>
  <c r="H1201"/>
  <c r="I1201"/>
  <c r="K1201"/>
  <c r="I2397"/>
  <c r="K2397"/>
  <c r="I2484"/>
  <c r="K2484"/>
  <c r="I1091"/>
  <c r="K1091"/>
  <c r="I1985"/>
  <c r="K1985"/>
  <c r="I1793"/>
  <c r="K1793"/>
  <c r="H1453"/>
  <c r="I1453"/>
  <c r="K1453"/>
  <c r="H1067"/>
  <c r="I1067"/>
  <c r="K1067"/>
  <c r="H326"/>
  <c r="I326"/>
  <c r="K326"/>
  <c r="H2129"/>
  <c r="I2129"/>
  <c r="K2129"/>
  <c r="H2034"/>
  <c r="I2034"/>
  <c r="K2034"/>
  <c r="H1938"/>
  <c r="I1938"/>
  <c r="K1938"/>
  <c r="H1842"/>
  <c r="I1842"/>
  <c r="K1842"/>
  <c r="H1746"/>
  <c r="I1746"/>
  <c r="K1746"/>
  <c r="H1650"/>
  <c r="I1650"/>
  <c r="K1650"/>
  <c r="H1316"/>
  <c r="I1316"/>
  <c r="K1316"/>
  <c r="H1823"/>
  <c r="I1823"/>
  <c r="K1823"/>
  <c r="H1505"/>
  <c r="I1505"/>
  <c r="K1505"/>
  <c r="H967"/>
  <c r="I967"/>
  <c r="K967"/>
  <c r="I2389"/>
  <c r="K2389"/>
  <c r="I1977"/>
  <c r="K1977"/>
  <c r="I2204"/>
  <c r="K2204"/>
  <c r="I2109"/>
  <c r="K2109"/>
  <c r="H1418"/>
  <c r="I1418"/>
  <c r="K1418"/>
  <c r="H1043"/>
  <c r="I1043"/>
  <c r="K1043"/>
  <c r="H2217"/>
  <c r="I2217"/>
  <c r="K2217"/>
  <c r="H2121"/>
  <c r="I2121"/>
  <c r="K2121"/>
  <c r="H2026"/>
  <c r="I2026"/>
  <c r="K2026"/>
  <c r="H1930"/>
  <c r="I1930"/>
  <c r="K1930"/>
  <c r="H1834"/>
  <c r="I1834"/>
  <c r="K1834"/>
  <c r="H1738"/>
  <c r="I1738"/>
  <c r="K1738"/>
  <c r="H1647"/>
  <c r="I1647"/>
  <c r="K1647"/>
  <c r="H1306"/>
  <c r="I1306"/>
  <c r="K1306"/>
  <c r="H1791"/>
  <c r="I1791"/>
  <c r="K1791"/>
  <c r="H1333"/>
  <c r="I1333"/>
  <c r="K1333"/>
  <c r="H1421"/>
  <c r="I1421"/>
  <c r="K1421"/>
  <c r="I2669"/>
  <c r="K2669"/>
  <c r="I2381"/>
  <c r="K2381"/>
  <c r="I2519"/>
  <c r="K2519"/>
  <c r="I2327"/>
  <c r="K2327"/>
  <c r="I1855"/>
  <c r="K1855"/>
  <c r="I2660"/>
  <c r="K2660"/>
  <c r="I2468"/>
  <c r="K2468"/>
  <c r="I1940"/>
  <c r="K1940"/>
  <c r="I2160"/>
  <c r="K2160"/>
  <c r="H1380"/>
  <c r="I1380"/>
  <c r="K1380"/>
  <c r="H1033"/>
  <c r="I1033"/>
  <c r="K1033"/>
  <c r="H2209"/>
  <c r="I2209"/>
  <c r="K2209"/>
  <c r="H2113"/>
  <c r="I2113"/>
  <c r="K2113"/>
  <c r="H2018"/>
  <c r="I2018"/>
  <c r="K2018"/>
  <c r="H1922"/>
  <c r="I1922"/>
  <c r="K1922"/>
  <c r="H1826"/>
  <c r="I1826"/>
  <c r="K1826"/>
  <c r="H1730"/>
  <c r="I1730"/>
  <c r="K1730"/>
  <c r="H1639"/>
  <c r="I1639"/>
  <c r="K1639"/>
  <c r="H1243"/>
  <c r="I1243"/>
  <c r="K1243"/>
  <c r="H1767"/>
  <c r="I1767"/>
  <c r="K1767"/>
  <c r="H1323"/>
  <c r="I1323"/>
  <c r="K1323"/>
  <c r="H1410"/>
  <c r="I1410"/>
  <c r="K1410"/>
  <c r="I2661"/>
  <c r="K2661"/>
  <c r="I2373"/>
  <c r="K2373"/>
  <c r="I1942"/>
  <c r="K1942"/>
  <c r="I2511"/>
  <c r="K2511"/>
  <c r="I2319"/>
  <c r="K2319"/>
  <c r="I1839"/>
  <c r="K1839"/>
  <c r="I2460"/>
  <c r="K2460"/>
  <c r="H1372"/>
  <c r="I1372"/>
  <c r="K1372"/>
  <c r="H1010"/>
  <c r="I1010"/>
  <c r="K1010"/>
  <c r="H2201"/>
  <c r="I2201"/>
  <c r="K2201"/>
  <c r="H2106"/>
  <c r="I2106"/>
  <c r="K2106"/>
  <c r="H2010"/>
  <c r="I2010"/>
  <c r="K2010"/>
  <c r="H1914"/>
  <c r="I1914"/>
  <c r="K1914"/>
  <c r="H1818"/>
  <c r="I1818"/>
  <c r="K1818"/>
  <c r="H1722"/>
  <c r="I1722"/>
  <c r="K1722"/>
  <c r="H1622"/>
  <c r="I1622"/>
  <c r="K1622"/>
  <c r="H1225"/>
  <c r="I1225"/>
  <c r="K1225"/>
  <c r="H1759"/>
  <c r="I1759"/>
  <c r="K1759"/>
  <c r="H1297"/>
  <c r="I1297"/>
  <c r="K1297"/>
  <c r="H1387"/>
  <c r="I1387"/>
  <c r="K1387"/>
  <c r="I2653"/>
  <c r="K2653"/>
  <c r="I2365"/>
  <c r="K2365"/>
  <c r="I2503"/>
  <c r="K2503"/>
  <c r="I1816"/>
  <c r="K1816"/>
  <c r="I978"/>
  <c r="K978"/>
  <c r="I1893"/>
  <c r="K1893"/>
  <c r="H1354"/>
  <c r="I1354"/>
  <c r="K1354"/>
  <c r="H986"/>
  <c r="I986"/>
  <c r="K986"/>
  <c r="H2193"/>
  <c r="I2193"/>
  <c r="K2193"/>
  <c r="H2098"/>
  <c r="I2098"/>
  <c r="K2098"/>
  <c r="H2002"/>
  <c r="I2002"/>
  <c r="K2002"/>
  <c r="H1906"/>
  <c r="I1906"/>
  <c r="K1906"/>
  <c r="H1810"/>
  <c r="I1810"/>
  <c r="K1810"/>
  <c r="H1714"/>
  <c r="I1714"/>
  <c r="K1714"/>
  <c r="H1613"/>
  <c r="I1613"/>
  <c r="K1613"/>
  <c r="H1197"/>
  <c r="I1197"/>
  <c r="K1197"/>
  <c r="H1751"/>
  <c r="I1751"/>
  <c r="K1751"/>
  <c r="H957"/>
  <c r="I957"/>
  <c r="K957"/>
  <c r="H1370"/>
  <c r="I1370"/>
  <c r="K1370"/>
  <c r="H1815"/>
  <c r="I1815"/>
  <c r="K1815"/>
  <c r="H1596"/>
  <c r="I1596"/>
  <c r="K1596"/>
  <c r="H1229"/>
  <c r="I1229"/>
  <c r="K1229"/>
  <c r="H1388"/>
  <c r="I1388"/>
  <c r="K1388"/>
  <c r="H570"/>
  <c r="I570"/>
  <c r="K570"/>
  <c r="H1587"/>
  <c r="I1587"/>
  <c r="K1587"/>
  <c r="H1369"/>
  <c r="I1369"/>
  <c r="K1369"/>
  <c r="H1525"/>
  <c r="I1525"/>
  <c r="K1525"/>
  <c r="H1324"/>
  <c r="I1324"/>
  <c r="K1324"/>
  <c r="H1361"/>
  <c r="I1361"/>
  <c r="K1361"/>
  <c r="H1468"/>
  <c r="I1468"/>
  <c r="K1468"/>
  <c r="H1193"/>
  <c r="I1193"/>
  <c r="K1193"/>
  <c r="H1001"/>
  <c r="I1001"/>
  <c r="K1001"/>
  <c r="H994"/>
  <c r="I994"/>
  <c r="K994"/>
  <c r="H920"/>
  <c r="I920"/>
  <c r="K920"/>
  <c r="H1011"/>
  <c r="I1011"/>
  <c r="K1011"/>
  <c r="H1148"/>
  <c r="I1148"/>
  <c r="K1148"/>
  <c r="H779"/>
  <c r="I779"/>
  <c r="K779"/>
  <c r="H910"/>
  <c r="I910"/>
  <c r="K910"/>
  <c r="H1009"/>
  <c r="I1009"/>
  <c r="K1009"/>
  <c r="H561"/>
  <c r="I561"/>
  <c r="K561"/>
  <c r="H1655"/>
  <c r="I1655"/>
  <c r="K1655"/>
  <c r="H1260"/>
  <c r="I1260"/>
  <c r="K1260"/>
  <c r="H117"/>
  <c r="I117"/>
  <c r="K117"/>
  <c r="H887"/>
  <c r="I887"/>
  <c r="K887"/>
  <c r="H964"/>
  <c r="I964"/>
  <c r="K964"/>
  <c r="H1085"/>
  <c r="I1085"/>
  <c r="K1085"/>
  <c r="H1634"/>
  <c r="I1634"/>
  <c r="K1634"/>
  <c r="H1169"/>
  <c r="I1169"/>
  <c r="K1169"/>
  <c r="H1592"/>
  <c r="I1592"/>
  <c r="K1592"/>
  <c r="H513"/>
  <c r="I513"/>
  <c r="K513"/>
  <c r="H471"/>
  <c r="I471"/>
  <c r="K471"/>
  <c r="H872"/>
  <c r="I872"/>
  <c r="K872"/>
  <c r="H1630"/>
  <c r="I1630"/>
  <c r="K1630"/>
  <c r="H1041"/>
  <c r="I1041"/>
  <c r="K1041"/>
  <c r="H1585"/>
  <c r="I1585"/>
  <c r="K1585"/>
  <c r="H1619"/>
  <c r="I1619"/>
  <c r="K1619"/>
  <c r="H439"/>
  <c r="I439"/>
  <c r="K439"/>
  <c r="H838"/>
  <c r="I838"/>
  <c r="K838"/>
  <c r="H1621"/>
  <c r="I1621"/>
  <c r="K1621"/>
  <c r="H1019"/>
  <c r="I1019"/>
  <c r="K1019"/>
  <c r="H1538"/>
  <c r="I1538"/>
  <c r="K1538"/>
  <c r="H1541"/>
  <c r="I1541"/>
  <c r="K1541"/>
  <c r="H1648"/>
  <c r="I1648"/>
  <c r="K1648"/>
  <c r="H1077"/>
  <c r="I1077"/>
  <c r="K1077"/>
  <c r="H1506"/>
  <c r="I1506"/>
  <c r="K1506"/>
  <c r="H1640"/>
  <c r="I1640"/>
  <c r="K1640"/>
  <c r="H605"/>
  <c r="I605"/>
  <c r="K605"/>
  <c r="H1341"/>
  <c r="I1341"/>
  <c r="K1341"/>
  <c r="H1478"/>
  <c r="I1478"/>
  <c r="K1478"/>
  <c r="H1312"/>
  <c r="I1312"/>
  <c r="K1312"/>
  <c r="H1280"/>
  <c r="I1280"/>
  <c r="K1280"/>
  <c r="H273"/>
  <c r="I273"/>
  <c r="K273"/>
  <c r="H1491"/>
  <c r="I1491"/>
  <c r="K1491"/>
  <c r="H659"/>
  <c r="I659"/>
  <c r="K659"/>
  <c r="H1228"/>
  <c r="I1228"/>
  <c r="K1228"/>
  <c r="H1616"/>
  <c r="I1616"/>
  <c r="K1616"/>
  <c r="H1377"/>
  <c r="I1377"/>
  <c r="K1377"/>
  <c r="H625"/>
  <c r="I625"/>
  <c r="K625"/>
  <c r="H1309"/>
  <c r="I1309"/>
  <c r="K1309"/>
  <c r="H1627"/>
  <c r="I1627"/>
  <c r="K1627"/>
  <c r="H1154"/>
  <c r="I1154"/>
  <c r="K1154"/>
  <c r="H1545"/>
  <c r="I1545"/>
  <c r="K1545"/>
  <c r="H1037"/>
  <c r="I1037"/>
  <c r="K1037"/>
  <c r="H533"/>
  <c r="I533"/>
  <c r="K533"/>
  <c r="H1218"/>
  <c r="I1218"/>
  <c r="K1218"/>
  <c r="H1537"/>
  <c r="I1537"/>
  <c r="K1537"/>
  <c r="H1002"/>
  <c r="I1002"/>
  <c r="K1002"/>
  <c r="H1307"/>
  <c r="I1307"/>
  <c r="K1307"/>
  <c r="H1349"/>
  <c r="I1349"/>
  <c r="K1349"/>
  <c r="H452"/>
  <c r="I452"/>
  <c r="K452"/>
  <c r="H1212"/>
  <c r="I1212"/>
  <c r="K1212"/>
  <c r="H1524"/>
  <c r="I1524"/>
  <c r="K1524"/>
  <c r="H995"/>
  <c r="I995"/>
  <c r="K995"/>
  <c r="H1301"/>
  <c r="I1301"/>
  <c r="K1301"/>
  <c r="H1125"/>
  <c r="I1125"/>
  <c r="K1125"/>
  <c r="H1457"/>
  <c r="I1457"/>
  <c r="K1457"/>
  <c r="H1195"/>
  <c r="I1195"/>
  <c r="K1195"/>
  <c r="H477"/>
  <c r="I477"/>
  <c r="K477"/>
  <c r="H1501"/>
  <c r="I1501"/>
  <c r="K1501"/>
  <c r="H1188"/>
  <c r="I1188"/>
  <c r="K1188"/>
  <c r="H839"/>
  <c r="I839"/>
  <c r="K839"/>
  <c r="H1580"/>
  <c r="I1580"/>
  <c r="K1580"/>
  <c r="H1290"/>
  <c r="I1290"/>
  <c r="K1290"/>
  <c r="H506"/>
  <c r="I506"/>
  <c r="K506"/>
  <c r="H821"/>
  <c r="I821"/>
  <c r="K821"/>
  <c r="H1470"/>
  <c r="I1470"/>
  <c r="K1470"/>
  <c r="H6389"/>
  <c r="I6389"/>
  <c r="K6389"/>
  <c r="H1451"/>
  <c r="I1451"/>
  <c r="K1451"/>
  <c r="H1178"/>
  <c r="I1178"/>
  <c r="K1178"/>
  <c r="H310"/>
  <c r="I310"/>
  <c r="K310"/>
  <c r="H1484"/>
  <c r="I1484"/>
  <c r="K1484"/>
  <c r="H1177"/>
  <c r="I1177"/>
  <c r="K1177"/>
  <c r="H816"/>
  <c r="I816"/>
  <c r="K816"/>
  <c r="H1573"/>
  <c r="I1573"/>
  <c r="K1573"/>
  <c r="H1284"/>
  <c r="I1284"/>
  <c r="K1284"/>
  <c r="H398"/>
  <c r="I398"/>
  <c r="K398"/>
  <c r="H804"/>
  <c r="I804"/>
  <c r="K804"/>
  <c r="H1462"/>
  <c r="I1462"/>
  <c r="K1462"/>
  <c r="H1625"/>
  <c r="I1625"/>
  <c r="K1625"/>
  <c r="H1434"/>
  <c r="I1434"/>
  <c r="K1434"/>
  <c r="H1082"/>
  <c r="I1082"/>
  <c r="K1082"/>
  <c r="H1643"/>
  <c r="I1643"/>
  <c r="K1643"/>
  <c r="H1450"/>
  <c r="I1450"/>
  <c r="K1450"/>
  <c r="H1171"/>
  <c r="I1171"/>
  <c r="K1171"/>
  <c r="H709"/>
  <c r="I709"/>
  <c r="K709"/>
  <c r="H1562"/>
  <c r="I1562"/>
  <c r="K1562"/>
  <c r="H1250"/>
  <c r="I1250"/>
  <c r="K1250"/>
  <c r="H1411"/>
  <c r="I1411"/>
  <c r="K1411"/>
  <c r="H1443"/>
  <c r="I1443"/>
  <c r="K1443"/>
  <c r="H1390"/>
  <c r="I1390"/>
  <c r="K1390"/>
  <c r="H1601"/>
  <c r="I1601"/>
  <c r="K1601"/>
  <c r="H1417"/>
  <c r="I1417"/>
  <c r="K1417"/>
  <c r="H1018"/>
  <c r="I1018"/>
  <c r="K1018"/>
  <c r="H1635"/>
  <c r="I1635"/>
  <c r="K1635"/>
  <c r="H1427"/>
  <c r="I1427"/>
  <c r="K1427"/>
  <c r="H1165"/>
  <c r="I1165"/>
  <c r="K1165"/>
  <c r="H563"/>
  <c r="I563"/>
  <c r="K563"/>
  <c r="H1549"/>
  <c r="I1549"/>
  <c r="K1549"/>
  <c r="H1227"/>
  <c r="I1227"/>
  <c r="K1227"/>
  <c r="H1381"/>
  <c r="I1381"/>
  <c r="K1381"/>
  <c r="H1362"/>
  <c r="I1362"/>
  <c r="K1362"/>
  <c r="H1294"/>
  <c r="I1294"/>
  <c r="K1294"/>
  <c r="H1286"/>
  <c r="I1286"/>
  <c r="K1286"/>
  <c r="H1532"/>
  <c r="I1532"/>
  <c r="K1532"/>
  <c r="H1122"/>
  <c r="I1122"/>
  <c r="K1122"/>
  <c r="H1364"/>
  <c r="I1364"/>
  <c r="K1364"/>
  <c r="H1281"/>
  <c r="I1281"/>
  <c r="K1281"/>
  <c r="H1278"/>
  <c r="I1278"/>
  <c r="K1278"/>
  <c r="H1578"/>
  <c r="I1578"/>
  <c r="K1578"/>
  <c r="H1258"/>
  <c r="I1258"/>
  <c r="K1258"/>
  <c r="H944"/>
  <c r="I944"/>
  <c r="K944"/>
  <c r="H1584"/>
  <c r="I1584"/>
  <c r="K1584"/>
  <c r="H1404"/>
  <c r="I1404"/>
  <c r="K1404"/>
  <c r="H1123"/>
  <c r="I1123"/>
  <c r="K1123"/>
  <c r="H403"/>
  <c r="I403"/>
  <c r="K403"/>
  <c r="H1489"/>
  <c r="I1489"/>
  <c r="K1489"/>
  <c r="H1115"/>
  <c r="I1115"/>
  <c r="K1115"/>
  <c r="H1202"/>
  <c r="I1202"/>
  <c r="K1202"/>
  <c r="H1204"/>
  <c r="I1204"/>
  <c r="K1204"/>
  <c r="H1030"/>
  <c r="I1030"/>
  <c r="K1030"/>
  <c r="H1555"/>
  <c r="I1555"/>
  <c r="K1555"/>
  <c r="H1235"/>
  <c r="I1235"/>
  <c r="K1235"/>
  <c r="H933"/>
  <c r="I933"/>
  <c r="K933"/>
  <c r="H1554"/>
  <c r="I1554"/>
  <c r="K1554"/>
  <c r="H1393"/>
  <c r="I1393"/>
  <c r="K1393"/>
  <c r="H1059"/>
  <c r="I1059"/>
  <c r="K1059"/>
  <c r="H65"/>
  <c r="I65"/>
  <c r="K65"/>
  <c r="H1449"/>
  <c r="I1449"/>
  <c r="K1449"/>
  <c r="H1051"/>
  <c r="I1051"/>
  <c r="K1051"/>
  <c r="H1101"/>
  <c r="I1101"/>
  <c r="K1101"/>
  <c r="H1140"/>
  <c r="I1140"/>
  <c r="K1140"/>
  <c r="H1328"/>
  <c r="I1328"/>
  <c r="K1328"/>
  <c r="I1837"/>
  <c r="K1837"/>
  <c r="H1435"/>
  <c r="I1435"/>
  <c r="K1435"/>
  <c r="H1121"/>
  <c r="I1121"/>
  <c r="K1121"/>
  <c r="H1807"/>
  <c r="I1807"/>
  <c r="K1807"/>
  <c r="H1711"/>
  <c r="I1711"/>
  <c r="K1711"/>
  <c r="H1561"/>
  <c r="I1561"/>
  <c r="K1561"/>
  <c r="H1242"/>
  <c r="I1242"/>
  <c r="K1242"/>
  <c r="H577"/>
  <c r="I577"/>
  <c r="K577"/>
  <c r="H1641"/>
  <c r="I1641"/>
  <c r="K1641"/>
  <c r="H1521"/>
  <c r="I1521"/>
  <c r="K1521"/>
  <c r="H1275"/>
  <c r="I1275"/>
  <c r="K1275"/>
  <c r="H1161"/>
  <c r="I1161"/>
  <c r="K1161"/>
  <c r="H876"/>
  <c r="I876"/>
  <c r="K876"/>
  <c r="H1611"/>
  <c r="I1611"/>
  <c r="K1611"/>
  <c r="H1467"/>
  <c r="I1467"/>
  <c r="K1467"/>
  <c r="H1353"/>
  <c r="I1353"/>
  <c r="K1353"/>
  <c r="H1137"/>
  <c r="I1137"/>
  <c r="K1137"/>
  <c r="H805"/>
  <c r="I805"/>
  <c r="K805"/>
  <c r="H1632"/>
  <c r="I1632"/>
  <c r="K1632"/>
  <c r="H1515"/>
  <c r="I1515"/>
  <c r="K1515"/>
  <c r="H1273"/>
  <c r="I1273"/>
  <c r="K1273"/>
  <c r="H987"/>
  <c r="I987"/>
  <c r="K987"/>
  <c r="H1330"/>
  <c r="I1330"/>
  <c r="K1330"/>
  <c r="H571"/>
  <c r="I571"/>
  <c r="K571"/>
  <c r="H1013"/>
  <c r="I1013"/>
  <c r="K1013"/>
  <c r="H1190"/>
  <c r="I1190"/>
  <c r="K1190"/>
  <c r="I499"/>
  <c r="K499"/>
  <c r="I2212"/>
  <c r="K2212"/>
  <c r="I2116"/>
  <c r="K2116"/>
  <c r="I1925"/>
  <c r="K1925"/>
  <c r="H1425"/>
  <c r="I1425"/>
  <c r="K1425"/>
  <c r="H1099"/>
  <c r="I1099"/>
  <c r="K1099"/>
  <c r="H1799"/>
  <c r="I1799"/>
  <c r="K1799"/>
  <c r="H1703"/>
  <c r="I1703"/>
  <c r="K1703"/>
  <c r="H1540"/>
  <c r="I1540"/>
  <c r="K1540"/>
  <c r="H1179"/>
  <c r="I1179"/>
  <c r="K1179"/>
  <c r="H540"/>
  <c r="I540"/>
  <c r="K540"/>
  <c r="H1633"/>
  <c r="I1633"/>
  <c r="K1633"/>
  <c r="H1497"/>
  <c r="I1497"/>
  <c r="K1497"/>
  <c r="H1269"/>
  <c r="I1269"/>
  <c r="K1269"/>
  <c r="H1089"/>
  <c r="I1089"/>
  <c r="K1089"/>
  <c r="H853"/>
  <c r="I853"/>
  <c r="K853"/>
  <c r="H1603"/>
  <c r="I1603"/>
  <c r="K1603"/>
  <c r="H1461"/>
  <c r="I1461"/>
  <c r="K1461"/>
  <c r="H1245"/>
  <c r="I1245"/>
  <c r="K1245"/>
  <c r="H1130"/>
  <c r="I1130"/>
  <c r="K1130"/>
  <c r="H745"/>
  <c r="I745"/>
  <c r="K745"/>
  <c r="H1624"/>
  <c r="I1624"/>
  <c r="K1624"/>
  <c r="H1500"/>
  <c r="I1500"/>
  <c r="K1500"/>
  <c r="H1261"/>
  <c r="I1261"/>
  <c r="K1261"/>
  <c r="H951"/>
  <c r="I951"/>
  <c r="K951"/>
  <c r="H1253"/>
  <c r="I1253"/>
  <c r="K1253"/>
  <c r="H454"/>
  <c r="I454"/>
  <c r="K454"/>
  <c r="H755"/>
  <c r="I755"/>
  <c r="K755"/>
  <c r="H1046"/>
  <c r="I1046"/>
  <c r="K1046"/>
  <c r="I1057"/>
  <c r="K1057"/>
  <c r="H1389"/>
  <c r="I1389"/>
  <c r="K1389"/>
  <c r="H985"/>
  <c r="I985"/>
  <c r="K985"/>
  <c r="H1783"/>
  <c r="I1783"/>
  <c r="K1783"/>
  <c r="H1687"/>
  <c r="I1687"/>
  <c r="K1687"/>
  <c r="H1452"/>
  <c r="I1452"/>
  <c r="K1452"/>
  <c r="H1141"/>
  <c r="I1141"/>
  <c r="K1141"/>
  <c r="H26"/>
  <c r="I26"/>
  <c r="K26"/>
  <c r="H1617"/>
  <c r="I1617"/>
  <c r="K1617"/>
  <c r="H1485"/>
  <c r="I1485"/>
  <c r="K1485"/>
  <c r="H1252"/>
  <c r="I1252"/>
  <c r="K1252"/>
  <c r="H1075"/>
  <c r="I1075"/>
  <c r="K1075"/>
  <c r="H641"/>
  <c r="I641"/>
  <c r="K641"/>
  <c r="H1577"/>
  <c r="I1577"/>
  <c r="K1577"/>
  <c r="H1444"/>
  <c r="I1444"/>
  <c r="K1444"/>
  <c r="H1211"/>
  <c r="I1211"/>
  <c r="K1211"/>
  <c r="H1073"/>
  <c r="I1073"/>
  <c r="K1073"/>
  <c r="H618"/>
  <c r="I618"/>
  <c r="K618"/>
  <c r="H1608"/>
  <c r="I1608"/>
  <c r="K1608"/>
  <c r="H1483"/>
  <c r="I1483"/>
  <c r="K1483"/>
  <c r="H1244"/>
  <c r="I1244"/>
  <c r="K1244"/>
  <c r="H689"/>
  <c r="I689"/>
  <c r="K689"/>
  <c r="H1155"/>
  <c r="I1155"/>
  <c r="K1155"/>
  <c r="H1396"/>
  <c r="I1396"/>
  <c r="K1396"/>
  <c r="H523"/>
  <c r="I523"/>
  <c r="K523"/>
  <c r="H908"/>
  <c r="I908"/>
  <c r="K908"/>
  <c r="I1915"/>
  <c r="K1915"/>
  <c r="H1626"/>
  <c r="I1626"/>
  <c r="K1626"/>
  <c r="H1371"/>
  <c r="I1371"/>
  <c r="K1371"/>
  <c r="H903"/>
  <c r="I903"/>
  <c r="K903"/>
  <c r="H1775"/>
  <c r="I1775"/>
  <c r="K1775"/>
  <c r="H1679"/>
  <c r="I1679"/>
  <c r="K1679"/>
  <c r="H1442"/>
  <c r="I1442"/>
  <c r="K1442"/>
  <c r="H1098"/>
  <c r="I1098"/>
  <c r="K1098"/>
  <c r="H716"/>
  <c r="I716"/>
  <c r="K716"/>
  <c r="H1609"/>
  <c r="I1609"/>
  <c r="K1609"/>
  <c r="H1474"/>
  <c r="I1474"/>
  <c r="K1474"/>
  <c r="H1241"/>
  <c r="I1241"/>
  <c r="K1241"/>
  <c r="H1025"/>
  <c r="I1025"/>
  <c r="K1025"/>
  <c r="H604"/>
  <c r="I604"/>
  <c r="K604"/>
  <c r="H1570"/>
  <c r="I1570"/>
  <c r="K1570"/>
  <c r="H1433"/>
  <c r="I1433"/>
  <c r="K1433"/>
  <c r="H1205"/>
  <c r="I1205"/>
  <c r="K1205"/>
  <c r="H1066"/>
  <c r="I1066"/>
  <c r="K1066"/>
  <c r="H581"/>
  <c r="I581"/>
  <c r="K581"/>
  <c r="H1600"/>
  <c r="I1600"/>
  <c r="K1600"/>
  <c r="H1466"/>
  <c r="I1466"/>
  <c r="K1466"/>
  <c r="H1233"/>
  <c r="I1233"/>
  <c r="K1233"/>
  <c r="H597"/>
  <c r="I597"/>
  <c r="K597"/>
  <c r="H1138"/>
  <c r="I1138"/>
  <c r="K1138"/>
  <c r="H1379"/>
  <c r="I1379"/>
  <c r="K1379"/>
  <c r="H1566"/>
  <c r="I1566"/>
  <c r="K1566"/>
  <c r="H642"/>
  <c r="I642"/>
  <c r="K642"/>
  <c r="H1061"/>
  <c r="I1061"/>
  <c r="K1061"/>
  <c r="H482"/>
  <c r="I482"/>
  <c r="K482"/>
  <c r="H1454"/>
  <c r="I1454"/>
  <c r="K1454"/>
  <c r="H1270"/>
  <c r="I1270"/>
  <c r="K1270"/>
  <c r="H831"/>
  <c r="I831"/>
  <c r="K831"/>
  <c r="H1056"/>
  <c r="I1056"/>
  <c r="K1056"/>
  <c r="H1313"/>
  <c r="I1313"/>
  <c r="K1313"/>
  <c r="H1069"/>
  <c r="I1069"/>
  <c r="K1069"/>
  <c r="H557"/>
  <c r="I557"/>
  <c r="K557"/>
  <c r="H1345"/>
  <c r="I1345"/>
  <c r="K1345"/>
  <c r="H1045"/>
  <c r="I1045"/>
  <c r="K1045"/>
  <c r="H1582"/>
  <c r="I1582"/>
  <c r="K1582"/>
  <c r="H1422"/>
  <c r="I1422"/>
  <c r="K1422"/>
  <c r="H1222"/>
  <c r="I1222"/>
  <c r="K1222"/>
  <c r="H797"/>
  <c r="I797"/>
  <c r="K797"/>
  <c r="H941"/>
  <c r="I941"/>
  <c r="K941"/>
  <c r="H469"/>
  <c r="I469"/>
  <c r="K469"/>
  <c r="H1300"/>
  <c r="I1300"/>
  <c r="K1300"/>
  <c r="H1053"/>
  <c r="I1053"/>
  <c r="K1053"/>
  <c r="H489"/>
  <c r="I489"/>
  <c r="K489"/>
  <c r="H1285"/>
  <c r="I1285"/>
  <c r="K1285"/>
  <c r="H1029"/>
  <c r="I1029"/>
  <c r="K1029"/>
  <c r="H1574"/>
  <c r="I1574"/>
  <c r="K1574"/>
  <c r="H1414"/>
  <c r="I1414"/>
  <c r="K1414"/>
  <c r="H1198"/>
  <c r="I1198"/>
  <c r="K1198"/>
  <c r="H676"/>
  <c r="I676"/>
  <c r="K676"/>
  <c r="H1492"/>
  <c r="I1492"/>
  <c r="K1492"/>
  <c r="H1249"/>
  <c r="I1249"/>
  <c r="K1249"/>
  <c r="H1005"/>
  <c r="I1005"/>
  <c r="K1005"/>
  <c r="H185"/>
  <c r="I185"/>
  <c r="K185"/>
  <c r="H1234"/>
  <c r="I1234"/>
  <c r="K1234"/>
  <c r="H919"/>
  <c r="I919"/>
  <c r="K919"/>
  <c r="H1558"/>
  <c r="I1558"/>
  <c r="K1558"/>
  <c r="H1382"/>
  <c r="I1382"/>
  <c r="K1382"/>
  <c r="H1182"/>
  <c r="I1182"/>
  <c r="K1182"/>
  <c r="H1536"/>
  <c r="I1536"/>
  <c r="K1536"/>
  <c r="H6348"/>
  <c r="I6348"/>
  <c r="K6348"/>
  <c r="H1458"/>
  <c r="I1458"/>
  <c r="K1458"/>
  <c r="H1236"/>
  <c r="I1236"/>
  <c r="K1236"/>
  <c r="H973"/>
  <c r="I973"/>
  <c r="K973"/>
  <c r="H1507"/>
  <c r="I1507"/>
  <c r="K1507"/>
  <c r="H1221"/>
  <c r="I1221"/>
  <c r="K1221"/>
  <c r="H902"/>
  <c r="I902"/>
  <c r="K902"/>
  <c r="H1550"/>
  <c r="I1550"/>
  <c r="K1550"/>
  <c r="H1374"/>
  <c r="I1374"/>
  <c r="K1374"/>
  <c r="H1174"/>
  <c r="I1174"/>
  <c r="K1174"/>
  <c r="H1520"/>
  <c r="I1520"/>
  <c r="K1520"/>
  <c r="H6347"/>
  <c r="I6347"/>
  <c r="K6347"/>
  <c r="H1445"/>
  <c r="I1445"/>
  <c r="K1445"/>
  <c r="H1219"/>
  <c r="I1219"/>
  <c r="K1219"/>
  <c r="H966"/>
  <c r="I966"/>
  <c r="K966"/>
  <c r="H1490"/>
  <c r="I1490"/>
  <c r="K1490"/>
  <c r="H1217"/>
  <c r="I1217"/>
  <c r="K1217"/>
  <c r="H808"/>
  <c r="I808"/>
  <c r="K808"/>
  <c r="H1518"/>
  <c r="I1518"/>
  <c r="K1518"/>
  <c r="H1366"/>
  <c r="I1366"/>
  <c r="K1366"/>
  <c r="H1126"/>
  <c r="I1126"/>
  <c r="K1126"/>
  <c r="H1504"/>
  <c r="I1504"/>
  <c r="K1504"/>
  <c r="H6358"/>
  <c r="I6358"/>
  <c r="K6358"/>
  <c r="H791"/>
  <c r="I791"/>
  <c r="K791"/>
  <c r="H1510"/>
  <c r="I1510"/>
  <c r="K1510"/>
  <c r="H1326"/>
  <c r="I1326"/>
  <c r="K1326"/>
  <c r="H1078"/>
  <c r="I1078"/>
  <c r="K1078"/>
  <c r="H1488"/>
  <c r="I1488"/>
  <c r="K1488"/>
  <c r="H6374"/>
  <c r="I6374"/>
  <c r="K6374"/>
  <c r="H917"/>
  <c r="I917"/>
  <c r="K917"/>
  <c r="H1394"/>
  <c r="I1394"/>
  <c r="K1394"/>
  <c r="H1185"/>
  <c r="I1185"/>
  <c r="K1185"/>
  <c r="H855"/>
  <c r="I855"/>
  <c r="K855"/>
  <c r="H1426"/>
  <c r="I1426"/>
  <c r="K1426"/>
  <c r="H1187"/>
  <c r="I1187"/>
  <c r="K1187"/>
  <c r="H769"/>
  <c r="I769"/>
  <c r="K769"/>
  <c r="H1486"/>
  <c r="I1486"/>
  <c r="K1486"/>
  <c r="H1318"/>
  <c r="I1318"/>
  <c r="K1318"/>
  <c r="H1062"/>
  <c r="I1062"/>
  <c r="K1062"/>
  <c r="H1344"/>
  <c r="I1344"/>
  <c r="K1344"/>
  <c r="H6357"/>
  <c r="I6357"/>
  <c r="K6357"/>
  <c r="H6373"/>
  <c r="I6373"/>
  <c r="K6373"/>
  <c r="H6388"/>
  <c r="I6388"/>
  <c r="K6388"/>
  <c r="H6346"/>
  <c r="I6346"/>
  <c r="K6346"/>
  <c r="H6365"/>
  <c r="I6365"/>
  <c r="K6365"/>
  <c r="H6372"/>
  <c r="I6372"/>
  <c r="K6372"/>
  <c r="H6387"/>
  <c r="I6387"/>
  <c r="K6387"/>
  <c r="H6345"/>
  <c r="I6345"/>
  <c r="K6345"/>
  <c r="H6367"/>
  <c r="I6367"/>
  <c r="K6367"/>
  <c r="H6371"/>
  <c r="I6371"/>
  <c r="K6371"/>
  <c r="H6386"/>
  <c r="I6386"/>
  <c r="K6386"/>
  <c r="H1358"/>
  <c r="I1358"/>
  <c r="K1358"/>
  <c r="H1262"/>
  <c r="I1262"/>
  <c r="K1262"/>
  <c r="H1166"/>
  <c r="I1166"/>
  <c r="K1166"/>
  <c r="H1014"/>
  <c r="I1014"/>
  <c r="K1014"/>
  <c r="H628"/>
  <c r="I628"/>
  <c r="K628"/>
  <c r="H1472"/>
  <c r="I1472"/>
  <c r="K1472"/>
  <c r="H1264"/>
  <c r="I1264"/>
  <c r="K1264"/>
  <c r="H6356"/>
  <c r="I6356"/>
  <c r="K6356"/>
  <c r="H6344"/>
  <c r="I6344"/>
  <c r="K6344"/>
  <c r="H6366"/>
  <c r="I6366"/>
  <c r="K6366"/>
  <c r="H6370"/>
  <c r="I6370"/>
  <c r="K6370"/>
  <c r="H6385"/>
  <c r="I6385"/>
  <c r="K6385"/>
  <c r="H1210"/>
  <c r="I1210"/>
  <c r="K1210"/>
  <c r="H940"/>
  <c r="I940"/>
  <c r="K940"/>
  <c r="H181"/>
  <c r="I181"/>
  <c r="K181"/>
  <c r="H1347"/>
  <c r="I1347"/>
  <c r="K1347"/>
  <c r="H1189"/>
  <c r="I1189"/>
  <c r="K1189"/>
  <c r="H1021"/>
  <c r="I1021"/>
  <c r="K1021"/>
  <c r="H762"/>
  <c r="I762"/>
  <c r="K762"/>
  <c r="H1477"/>
  <c r="I1477"/>
  <c r="K1477"/>
  <c r="H1332"/>
  <c r="I1332"/>
  <c r="K1332"/>
  <c r="H1170"/>
  <c r="I1170"/>
  <c r="K1170"/>
  <c r="H997"/>
  <c r="I997"/>
  <c r="K997"/>
  <c r="H578"/>
  <c r="I578"/>
  <c r="K578"/>
  <c r="H1542"/>
  <c r="I1542"/>
  <c r="K1542"/>
  <c r="H1446"/>
  <c r="I1446"/>
  <c r="K1446"/>
  <c r="H1350"/>
  <c r="I1350"/>
  <c r="K1350"/>
  <c r="H1254"/>
  <c r="I1254"/>
  <c r="K1254"/>
  <c r="H1158"/>
  <c r="I1158"/>
  <c r="K1158"/>
  <c r="H998"/>
  <c r="I998"/>
  <c r="K998"/>
  <c r="H601"/>
  <c r="I601"/>
  <c r="K601"/>
  <c r="H1456"/>
  <c r="I1456"/>
  <c r="K1456"/>
  <c r="H1248"/>
  <c r="I1248"/>
  <c r="K1248"/>
  <c r="H6355"/>
  <c r="I6355"/>
  <c r="K6355"/>
  <c r="H6343"/>
  <c r="I6343"/>
  <c r="K6343"/>
  <c r="H6381"/>
  <c r="I6381"/>
  <c r="K6381"/>
  <c r="H6369"/>
  <c r="I6369"/>
  <c r="K6369"/>
  <c r="H6384"/>
  <c r="I6384"/>
  <c r="K6384"/>
  <c r="H721"/>
  <c r="I721"/>
  <c r="K721"/>
  <c r="H1473"/>
  <c r="I1473"/>
  <c r="K1473"/>
  <c r="H1315"/>
  <c r="I1315"/>
  <c r="K1315"/>
  <c r="H1157"/>
  <c r="I1157"/>
  <c r="K1157"/>
  <c r="H981"/>
  <c r="I981"/>
  <c r="K981"/>
  <c r="H564"/>
  <c r="I564"/>
  <c r="K564"/>
  <c r="H1534"/>
  <c r="I1534"/>
  <c r="K1534"/>
  <c r="H1438"/>
  <c r="I1438"/>
  <c r="K1438"/>
  <c r="H1342"/>
  <c r="I1342"/>
  <c r="K1342"/>
  <c r="H1246"/>
  <c r="I1246"/>
  <c r="K1246"/>
  <c r="H1150"/>
  <c r="I1150"/>
  <c r="K1150"/>
  <c r="H982"/>
  <c r="I982"/>
  <c r="K982"/>
  <c r="H587"/>
  <c r="I587"/>
  <c r="K587"/>
  <c r="H1440"/>
  <c r="I1440"/>
  <c r="K1440"/>
  <c r="H1232"/>
  <c r="I1232"/>
  <c r="K1232"/>
  <c r="H6354"/>
  <c r="I6354"/>
  <c r="K6354"/>
  <c r="H6364"/>
  <c r="I6364"/>
  <c r="K6364"/>
  <c r="H6380"/>
  <c r="I6380"/>
  <c r="K6380"/>
  <c r="H6368"/>
  <c r="I6368"/>
  <c r="K6368"/>
  <c r="H6383"/>
  <c r="I6383"/>
  <c r="K6383"/>
  <c r="H1129"/>
  <c r="I1129"/>
  <c r="K1129"/>
  <c r="H792"/>
  <c r="I792"/>
  <c r="K792"/>
  <c r="H1475"/>
  <c r="I1475"/>
  <c r="K1475"/>
  <c r="H1317"/>
  <c r="I1317"/>
  <c r="K1317"/>
  <c r="H1172"/>
  <c r="I1172"/>
  <c r="K1172"/>
  <c r="H989"/>
  <c r="I989"/>
  <c r="K989"/>
  <c r="H612"/>
  <c r="I612"/>
  <c r="K612"/>
  <c r="H1460"/>
  <c r="I1460"/>
  <c r="K1460"/>
  <c r="H1298"/>
  <c r="I1298"/>
  <c r="K1298"/>
  <c r="H1153"/>
  <c r="I1153"/>
  <c r="K1153"/>
  <c r="H936"/>
  <c r="I936"/>
  <c r="K936"/>
  <c r="H537"/>
  <c r="I537"/>
  <c r="K537"/>
  <c r="H1526"/>
  <c r="I1526"/>
  <c r="K1526"/>
  <c r="H1430"/>
  <c r="I1430"/>
  <c r="K1430"/>
  <c r="H1334"/>
  <c r="I1334"/>
  <c r="K1334"/>
  <c r="H1238"/>
  <c r="I1238"/>
  <c r="K1238"/>
  <c r="H1142"/>
  <c r="I1142"/>
  <c r="K1142"/>
  <c r="H959"/>
  <c r="I959"/>
  <c r="K959"/>
  <c r="H553"/>
  <c r="I553"/>
  <c r="K553"/>
  <c r="H1424"/>
  <c r="I1424"/>
  <c r="K1424"/>
  <c r="H1216"/>
  <c r="I1216"/>
  <c r="K1216"/>
  <c r="H6353"/>
  <c r="I6353"/>
  <c r="K6353"/>
  <c r="H6363"/>
  <c r="I6363"/>
  <c r="K6363"/>
  <c r="H6379"/>
  <c r="I6379"/>
  <c r="K6379"/>
  <c r="H6382"/>
  <c r="I6382"/>
  <c r="K6382"/>
  <c r="H1230"/>
  <c r="I1230"/>
  <c r="K1230"/>
  <c r="H1134"/>
  <c r="I1134"/>
  <c r="K1134"/>
  <c r="H925"/>
  <c r="I925"/>
  <c r="K925"/>
  <c r="H405"/>
  <c r="I405"/>
  <c r="K405"/>
  <c r="H1408"/>
  <c r="I1408"/>
  <c r="K1408"/>
  <c r="H1184"/>
  <c r="I1184"/>
  <c r="K1184"/>
  <c r="H6352"/>
  <c r="I6352"/>
  <c r="K6352"/>
  <c r="H6362"/>
  <c r="I6362"/>
  <c r="K6362"/>
  <c r="H6378"/>
  <c r="I6378"/>
  <c r="K6378"/>
  <c r="H351"/>
  <c r="I351"/>
  <c r="K351"/>
  <c r="H1392"/>
  <c r="I1392"/>
  <c r="K1392"/>
  <c r="H1152"/>
  <c r="I1152"/>
  <c r="K1152"/>
  <c r="H6351"/>
  <c r="I6351"/>
  <c r="K6351"/>
  <c r="H6361"/>
  <c r="I6361"/>
  <c r="K6361"/>
  <c r="H6377"/>
  <c r="I6377"/>
  <c r="K6377"/>
  <c r="H1065"/>
  <c r="I1065"/>
  <c r="K1065"/>
  <c r="H652"/>
  <c r="I652"/>
  <c r="K652"/>
  <c r="H1441"/>
  <c r="I1441"/>
  <c r="K1441"/>
  <c r="H1283"/>
  <c r="I1283"/>
  <c r="K1283"/>
  <c r="H1133"/>
  <c r="I1133"/>
  <c r="K1133"/>
  <c r="H949"/>
  <c r="I949"/>
  <c r="K949"/>
  <c r="H530"/>
  <c r="I530"/>
  <c r="K530"/>
  <c r="H1413"/>
  <c r="I1413"/>
  <c r="K1413"/>
  <c r="H1268"/>
  <c r="I1268"/>
  <c r="K1268"/>
  <c r="H1109"/>
  <c r="I1109"/>
  <c r="K1109"/>
  <c r="H885"/>
  <c r="I885"/>
  <c r="K885"/>
  <c r="H141"/>
  <c r="I141"/>
  <c r="K141"/>
  <c r="H1502"/>
  <c r="I1502"/>
  <c r="K1502"/>
  <c r="H1406"/>
  <c r="I1406"/>
  <c r="K1406"/>
  <c r="H1310"/>
  <c r="I1310"/>
  <c r="K1310"/>
  <c r="H1214"/>
  <c r="I1214"/>
  <c r="K1214"/>
  <c r="H1110"/>
  <c r="I1110"/>
  <c r="K1110"/>
  <c r="H878"/>
  <c r="I878"/>
  <c r="K878"/>
  <c r="H203"/>
  <c r="I203"/>
  <c r="K203"/>
  <c r="H1376"/>
  <c r="I1376"/>
  <c r="K1376"/>
  <c r="H1136"/>
  <c r="I1136"/>
  <c r="K1136"/>
  <c r="H6350"/>
  <c r="I6350"/>
  <c r="K6350"/>
  <c r="H6360"/>
  <c r="I6360"/>
  <c r="K6360"/>
  <c r="H6376"/>
  <c r="I6376"/>
  <c r="K6376"/>
  <c r="H1267"/>
  <c r="I1267"/>
  <c r="K1267"/>
  <c r="H1058"/>
  <c r="I1058"/>
  <c r="K1058"/>
  <c r="H634"/>
  <c r="I634"/>
  <c r="K634"/>
  <c r="H1428"/>
  <c r="I1428"/>
  <c r="K1428"/>
  <c r="H1266"/>
  <c r="I1266"/>
  <c r="K1266"/>
  <c r="H1117"/>
  <c r="I1117"/>
  <c r="K1117"/>
  <c r="H932"/>
  <c r="I932"/>
  <c r="K932"/>
  <c r="H516"/>
  <c r="I516"/>
  <c r="K516"/>
  <c r="H1409"/>
  <c r="I1409"/>
  <c r="K1409"/>
  <c r="H1251"/>
  <c r="I1251"/>
  <c r="K1251"/>
  <c r="H1093"/>
  <c r="I1093"/>
  <c r="K1093"/>
  <c r="H868"/>
  <c r="I868"/>
  <c r="K868"/>
  <c r="H1590"/>
  <c r="I1590"/>
  <c r="K1590"/>
  <c r="H1494"/>
  <c r="I1494"/>
  <c r="K1494"/>
  <c r="H1398"/>
  <c r="I1398"/>
  <c r="K1398"/>
  <c r="H1302"/>
  <c r="I1302"/>
  <c r="K1302"/>
  <c r="H1206"/>
  <c r="I1206"/>
  <c r="K1206"/>
  <c r="H1094"/>
  <c r="I1094"/>
  <c r="K1094"/>
  <c r="H848"/>
  <c r="I848"/>
  <c r="K848"/>
  <c r="H1552"/>
  <c r="I1552"/>
  <c r="K1552"/>
  <c r="H1360"/>
  <c r="I1360"/>
  <c r="K1360"/>
  <c r="H1072"/>
  <c r="I1072"/>
  <c r="K1072"/>
  <c r="H6349"/>
  <c r="I6349"/>
  <c r="K6349"/>
  <c r="H6359"/>
  <c r="I6359"/>
  <c r="K6359"/>
  <c r="H6375"/>
  <c r="I6375"/>
  <c r="K6375"/>
  <c r="H6390"/>
  <c r="I6390"/>
  <c r="K6390"/>
  <c r="H749"/>
  <c r="I749"/>
  <c r="K749"/>
  <c r="H708"/>
  <c r="I708"/>
  <c r="K708"/>
  <c r="H1543"/>
  <c r="I1543"/>
  <c r="K1543"/>
  <c r="H1383"/>
  <c r="I1383"/>
  <c r="K1383"/>
  <c r="H1351"/>
  <c r="I1351"/>
  <c r="K1351"/>
  <c r="H1159"/>
  <c r="I1159"/>
  <c r="K1159"/>
  <c r="H965"/>
  <c r="I965"/>
  <c r="K965"/>
  <c r="H999"/>
  <c r="I999"/>
  <c r="K999"/>
  <c r="H828"/>
  <c r="I828"/>
  <c r="K828"/>
  <c r="H6318"/>
  <c r="I6318"/>
  <c r="K6318"/>
  <c r="H6322"/>
  <c r="I6322"/>
  <c r="K6322"/>
  <c r="H6338"/>
  <c r="I6338"/>
  <c r="K6338"/>
  <c r="H924"/>
  <c r="I924"/>
  <c r="K924"/>
  <c r="H1511"/>
  <c r="I1511"/>
  <c r="K1511"/>
  <c r="H1127"/>
  <c r="I1127"/>
  <c r="K1127"/>
  <c r="H422"/>
  <c r="I422"/>
  <c r="K422"/>
  <c r="H6317"/>
  <c r="I6317"/>
  <c r="K6317"/>
  <c r="H6321"/>
  <c r="I6321"/>
  <c r="K6321"/>
  <c r="H6337"/>
  <c r="I6337"/>
  <c r="K6337"/>
  <c r="H1120"/>
  <c r="I1120"/>
  <c r="K1120"/>
  <c r="H877"/>
  <c r="I877"/>
  <c r="K877"/>
  <c r="H1479"/>
  <c r="I1479"/>
  <c r="K1479"/>
  <c r="H1095"/>
  <c r="I1095"/>
  <c r="K1095"/>
  <c r="H374"/>
  <c r="I374"/>
  <c r="K374"/>
  <c r="H6316"/>
  <c r="I6316"/>
  <c r="K6316"/>
  <c r="H6336"/>
  <c r="I6336"/>
  <c r="K6336"/>
  <c r="H1296"/>
  <c r="I1296"/>
  <c r="K1296"/>
  <c r="H1104"/>
  <c r="I1104"/>
  <c r="K1104"/>
  <c r="H830"/>
  <c r="I830"/>
  <c r="K830"/>
  <c r="H1447"/>
  <c r="I1447"/>
  <c r="K1447"/>
  <c r="H1063"/>
  <c r="I1063"/>
  <c r="K1063"/>
  <c r="H883"/>
  <c r="I883"/>
  <c r="K883"/>
  <c r="H6331"/>
  <c r="I6331"/>
  <c r="K6331"/>
  <c r="H6335"/>
  <c r="I6335"/>
  <c r="K6335"/>
  <c r="H1088"/>
  <c r="I1088"/>
  <c r="K1088"/>
  <c r="H783"/>
  <c r="I783"/>
  <c r="K783"/>
  <c r="H1415"/>
  <c r="I1415"/>
  <c r="K1415"/>
  <c r="H1031"/>
  <c r="I1031"/>
  <c r="K1031"/>
  <c r="H954"/>
  <c r="I954"/>
  <c r="K954"/>
  <c r="H6330"/>
  <c r="I6330"/>
  <c r="K6330"/>
  <c r="H6334"/>
  <c r="I6334"/>
  <c r="K6334"/>
  <c r="H6329"/>
  <c r="I6329"/>
  <c r="K6329"/>
  <c r="H6333"/>
  <c r="I6333"/>
  <c r="K6333"/>
  <c r="H6328"/>
  <c r="I6328"/>
  <c r="K6328"/>
  <c r="H6332"/>
  <c r="I6332"/>
  <c r="K6332"/>
  <c r="H1040"/>
  <c r="I1040"/>
  <c r="K1040"/>
  <c r="H531"/>
  <c r="I531"/>
  <c r="K531"/>
  <c r="H1319"/>
  <c r="I1319"/>
  <c r="K1319"/>
  <c r="H918"/>
  <c r="I918"/>
  <c r="K918"/>
  <c r="H6313"/>
  <c r="I6313"/>
  <c r="K6313"/>
  <c r="H6327"/>
  <c r="I6327"/>
  <c r="K6327"/>
  <c r="H1024"/>
  <c r="I1024"/>
  <c r="K1024"/>
  <c r="H490"/>
  <c r="I490"/>
  <c r="K490"/>
  <c r="H1287"/>
  <c r="I1287"/>
  <c r="K1287"/>
  <c r="H871"/>
  <c r="I871"/>
  <c r="K871"/>
  <c r="H6315"/>
  <c r="I6315"/>
  <c r="K6315"/>
  <c r="H6326"/>
  <c r="I6326"/>
  <c r="K6326"/>
  <c r="H6342"/>
  <c r="I6342"/>
  <c r="K6342"/>
  <c r="H1200"/>
  <c r="I1200"/>
  <c r="K1200"/>
  <c r="H1008"/>
  <c r="I1008"/>
  <c r="K1008"/>
  <c r="H415"/>
  <c r="I415"/>
  <c r="K415"/>
  <c r="H1255"/>
  <c r="I1255"/>
  <c r="K1255"/>
  <c r="H820"/>
  <c r="I820"/>
  <c r="K820"/>
  <c r="H6314"/>
  <c r="I6314"/>
  <c r="K6314"/>
  <c r="H6325"/>
  <c r="I6325"/>
  <c r="K6325"/>
  <c r="H6341"/>
  <c r="I6341"/>
  <c r="K6341"/>
  <c r="H992"/>
  <c r="I992"/>
  <c r="K992"/>
  <c r="H193"/>
  <c r="I193"/>
  <c r="K193"/>
  <c r="H1223"/>
  <c r="I1223"/>
  <c r="K1223"/>
  <c r="H644"/>
  <c r="I644"/>
  <c r="K644"/>
  <c r="H6320"/>
  <c r="I6320"/>
  <c r="K6320"/>
  <c r="H6324"/>
  <c r="I6324"/>
  <c r="K6324"/>
  <c r="H6340"/>
  <c r="I6340"/>
  <c r="K6340"/>
  <c r="H1168"/>
  <c r="I1168"/>
  <c r="K1168"/>
  <c r="H976"/>
  <c r="I976"/>
  <c r="K976"/>
  <c r="H1575"/>
  <c r="I1575"/>
  <c r="K1575"/>
  <c r="H1191"/>
  <c r="I1191"/>
  <c r="K1191"/>
  <c r="H960"/>
  <c r="I960"/>
  <c r="K960"/>
  <c r="H6319"/>
  <c r="I6319"/>
  <c r="K6319"/>
  <c r="H6323"/>
  <c r="I6323"/>
  <c r="K6323"/>
  <c r="H6339"/>
  <c r="I6339"/>
  <c r="K6339"/>
  <c r="H381"/>
  <c r="I381"/>
  <c r="K381"/>
  <c r="H889"/>
  <c r="I889"/>
  <c r="K889"/>
  <c r="H679"/>
  <c r="I679"/>
  <c r="K679"/>
  <c r="H733"/>
  <c r="I733"/>
  <c r="K733"/>
  <c r="H1092"/>
  <c r="I1092"/>
  <c r="K1092"/>
  <c r="H732"/>
  <c r="I732"/>
  <c r="K732"/>
  <c r="H765"/>
  <c r="I765"/>
  <c r="K765"/>
  <c r="H730"/>
  <c r="I730"/>
  <c r="K730"/>
  <c r="H613"/>
  <c r="I613"/>
  <c r="K613"/>
  <c r="H685"/>
  <c r="I685"/>
  <c r="K685"/>
  <c r="H1012"/>
  <c r="I1012"/>
  <c r="K1012"/>
  <c r="H541"/>
  <c r="I541"/>
  <c r="K541"/>
  <c r="H573"/>
  <c r="I573"/>
  <c r="K573"/>
  <c r="H538"/>
  <c r="I538"/>
  <c r="K538"/>
  <c r="H720"/>
  <c r="I720"/>
  <c r="K720"/>
  <c r="H1102"/>
  <c r="I1102"/>
  <c r="K1102"/>
  <c r="H1070"/>
  <c r="I1070"/>
  <c r="K1070"/>
  <c r="H1038"/>
  <c r="I1038"/>
  <c r="K1038"/>
  <c r="H1006"/>
  <c r="I1006"/>
  <c r="K1006"/>
  <c r="H974"/>
  <c r="I974"/>
  <c r="K974"/>
  <c r="H912"/>
  <c r="I912"/>
  <c r="K912"/>
  <c r="H861"/>
  <c r="I861"/>
  <c r="K861"/>
  <c r="H814"/>
  <c r="I814"/>
  <c r="K814"/>
  <c r="H669"/>
  <c r="I669"/>
  <c r="K669"/>
  <c r="H621"/>
  <c r="I621"/>
  <c r="K621"/>
  <c r="H580"/>
  <c r="I580"/>
  <c r="K580"/>
  <c r="H391"/>
  <c r="I391"/>
  <c r="K391"/>
  <c r="H1560"/>
  <c r="I1560"/>
  <c r="K1560"/>
  <c r="H1528"/>
  <c r="I1528"/>
  <c r="K1528"/>
  <c r="H1496"/>
  <c r="I1496"/>
  <c r="K1496"/>
  <c r="H1464"/>
  <c r="I1464"/>
  <c r="K1464"/>
  <c r="H1432"/>
  <c r="I1432"/>
  <c r="K1432"/>
  <c r="H1400"/>
  <c r="I1400"/>
  <c r="K1400"/>
  <c r="H1368"/>
  <c r="I1368"/>
  <c r="K1368"/>
  <c r="H1336"/>
  <c r="I1336"/>
  <c r="K1336"/>
  <c r="H1304"/>
  <c r="I1304"/>
  <c r="K1304"/>
  <c r="H1272"/>
  <c r="I1272"/>
  <c r="K1272"/>
  <c r="H1240"/>
  <c r="I1240"/>
  <c r="K1240"/>
  <c r="H1208"/>
  <c r="I1208"/>
  <c r="K1208"/>
  <c r="H1176"/>
  <c r="I1176"/>
  <c r="K1176"/>
  <c r="H1144"/>
  <c r="I1144"/>
  <c r="K1144"/>
  <c r="H1112"/>
  <c r="I1112"/>
  <c r="K1112"/>
  <c r="H1080"/>
  <c r="I1080"/>
  <c r="K1080"/>
  <c r="H1048"/>
  <c r="I1048"/>
  <c r="K1048"/>
  <c r="H1016"/>
  <c r="I1016"/>
  <c r="K1016"/>
  <c r="H984"/>
  <c r="I984"/>
  <c r="K984"/>
  <c r="H928"/>
  <c r="I928"/>
  <c r="K928"/>
  <c r="H860"/>
  <c r="I860"/>
  <c r="K860"/>
  <c r="H763"/>
  <c r="I763"/>
  <c r="K763"/>
  <c r="H674"/>
  <c r="I674"/>
  <c r="K674"/>
  <c r="H476"/>
  <c r="I476"/>
  <c r="K476"/>
  <c r="H1591"/>
  <c r="I1591"/>
  <c r="K1591"/>
  <c r="H1527"/>
  <c r="I1527"/>
  <c r="K1527"/>
  <c r="H1463"/>
  <c r="I1463"/>
  <c r="K1463"/>
  <c r="H1399"/>
  <c r="I1399"/>
  <c r="K1399"/>
  <c r="H1335"/>
  <c r="I1335"/>
  <c r="K1335"/>
  <c r="H1271"/>
  <c r="I1271"/>
  <c r="K1271"/>
  <c r="H1207"/>
  <c r="I1207"/>
  <c r="K1207"/>
  <c r="H1143"/>
  <c r="I1143"/>
  <c r="K1143"/>
  <c r="H1079"/>
  <c r="I1079"/>
  <c r="K1079"/>
  <c r="H1015"/>
  <c r="I1015"/>
  <c r="K1015"/>
  <c r="H948"/>
  <c r="I948"/>
  <c r="K948"/>
  <c r="H837"/>
  <c r="I837"/>
  <c r="K837"/>
  <c r="H699"/>
  <c r="I699"/>
  <c r="K699"/>
  <c r="H610"/>
  <c r="I610"/>
  <c r="K610"/>
  <c r="H1060"/>
  <c r="I1060"/>
  <c r="K1060"/>
  <c r="H909"/>
  <c r="I909"/>
  <c r="K909"/>
  <c r="H691"/>
  <c r="I691"/>
  <c r="K691"/>
  <c r="H937"/>
  <c r="I937"/>
  <c r="K937"/>
  <c r="H650"/>
  <c r="I650"/>
  <c r="K650"/>
  <c r="H939"/>
  <c r="I939"/>
  <c r="K939"/>
  <c r="H649"/>
  <c r="I649"/>
  <c r="K649"/>
  <c r="H890"/>
  <c r="I890"/>
  <c r="K890"/>
  <c r="H148"/>
  <c r="I148"/>
  <c r="K148"/>
  <c r="H440"/>
  <c r="I440"/>
  <c r="K440"/>
  <c r="H510"/>
  <c r="I510"/>
  <c r="K510"/>
  <c r="H140"/>
  <c r="I140"/>
  <c r="K140"/>
  <c r="H1118"/>
  <c r="I1118"/>
  <c r="K1118"/>
  <c r="H1086"/>
  <c r="I1086"/>
  <c r="K1086"/>
  <c r="H1054"/>
  <c r="I1054"/>
  <c r="K1054"/>
  <c r="H1022"/>
  <c r="I1022"/>
  <c r="K1022"/>
  <c r="H990"/>
  <c r="I990"/>
  <c r="K990"/>
  <c r="H942"/>
  <c r="I942"/>
  <c r="K942"/>
  <c r="H895"/>
  <c r="I895"/>
  <c r="K895"/>
  <c r="H844"/>
  <c r="I844"/>
  <c r="K844"/>
  <c r="H784"/>
  <c r="I784"/>
  <c r="K784"/>
  <c r="H635"/>
  <c r="I635"/>
  <c r="K635"/>
  <c r="H594"/>
  <c r="I594"/>
  <c r="K594"/>
  <c r="H546"/>
  <c r="I546"/>
  <c r="K546"/>
  <c r="H241"/>
  <c r="I241"/>
  <c r="K241"/>
  <c r="H1544"/>
  <c r="I1544"/>
  <c r="K1544"/>
  <c r="H1512"/>
  <c r="I1512"/>
  <c r="K1512"/>
  <c r="H1480"/>
  <c r="I1480"/>
  <c r="K1480"/>
  <c r="H1448"/>
  <c r="I1448"/>
  <c r="K1448"/>
  <c r="H1416"/>
  <c r="I1416"/>
  <c r="K1416"/>
  <c r="H1384"/>
  <c r="I1384"/>
  <c r="K1384"/>
  <c r="H1352"/>
  <c r="I1352"/>
  <c r="K1352"/>
  <c r="H1320"/>
  <c r="I1320"/>
  <c r="K1320"/>
  <c r="H1288"/>
  <c r="I1288"/>
  <c r="K1288"/>
  <c r="H1256"/>
  <c r="I1256"/>
  <c r="K1256"/>
  <c r="H1224"/>
  <c r="I1224"/>
  <c r="K1224"/>
  <c r="H1192"/>
  <c r="I1192"/>
  <c r="K1192"/>
  <c r="H1160"/>
  <c r="I1160"/>
  <c r="K1160"/>
  <c r="H1128"/>
  <c r="I1128"/>
  <c r="K1128"/>
  <c r="H1096"/>
  <c r="I1096"/>
  <c r="K1096"/>
  <c r="H1064"/>
  <c r="I1064"/>
  <c r="K1064"/>
  <c r="H1032"/>
  <c r="I1032"/>
  <c r="K1032"/>
  <c r="H1000"/>
  <c r="I1000"/>
  <c r="K1000"/>
  <c r="H958"/>
  <c r="I958"/>
  <c r="K958"/>
  <c r="H911"/>
  <c r="I911"/>
  <c r="K911"/>
  <c r="H800"/>
  <c r="I800"/>
  <c r="K800"/>
  <c r="H722"/>
  <c r="I722"/>
  <c r="K722"/>
  <c r="H517"/>
  <c r="I517"/>
  <c r="K517"/>
  <c r="H367"/>
  <c r="I367"/>
  <c r="K367"/>
  <c r="H1559"/>
  <c r="I1559"/>
  <c r="K1559"/>
  <c r="H1495"/>
  <c r="I1495"/>
  <c r="K1495"/>
  <c r="H1431"/>
  <c r="I1431"/>
  <c r="K1431"/>
  <c r="H1367"/>
  <c r="I1367"/>
  <c r="K1367"/>
  <c r="H1303"/>
  <c r="I1303"/>
  <c r="K1303"/>
  <c r="H1239"/>
  <c r="I1239"/>
  <c r="K1239"/>
  <c r="H1175"/>
  <c r="I1175"/>
  <c r="K1175"/>
  <c r="H1111"/>
  <c r="I1111"/>
  <c r="K1111"/>
  <c r="H1047"/>
  <c r="I1047"/>
  <c r="K1047"/>
  <c r="H983"/>
  <c r="I983"/>
  <c r="K983"/>
  <c r="H888"/>
  <c r="I888"/>
  <c r="K888"/>
  <c r="H790"/>
  <c r="I790"/>
  <c r="K790"/>
  <c r="H658"/>
  <c r="I658"/>
  <c r="K658"/>
  <c r="H1124"/>
  <c r="I1124"/>
  <c r="K1124"/>
  <c r="H988"/>
  <c r="I988"/>
  <c r="K988"/>
  <c r="H773"/>
  <c r="I773"/>
  <c r="K773"/>
  <c r="H500"/>
  <c r="I500"/>
  <c r="K500"/>
  <c r="H817"/>
  <c r="I817"/>
  <c r="K817"/>
  <c r="H492"/>
  <c r="I492"/>
  <c r="K492"/>
  <c r="H827"/>
  <c r="I827"/>
  <c r="K827"/>
  <c r="H445"/>
  <c r="I445"/>
  <c r="K445"/>
  <c r="H741"/>
  <c r="I741"/>
  <c r="K741"/>
  <c r="H6080"/>
  <c r="I6080"/>
  <c r="K6080"/>
  <c r="H894"/>
  <c r="I894"/>
  <c r="K894"/>
  <c r="H847"/>
  <c r="I847"/>
  <c r="K847"/>
  <c r="H796"/>
  <c r="I796"/>
  <c r="K796"/>
  <c r="H756"/>
  <c r="I756"/>
  <c r="K756"/>
  <c r="H715"/>
  <c r="I715"/>
  <c r="K715"/>
  <c r="H565"/>
  <c r="I565"/>
  <c r="K565"/>
  <c r="H497"/>
  <c r="I497"/>
  <c r="K497"/>
  <c r="H467"/>
  <c r="I467"/>
  <c r="K467"/>
  <c r="H324"/>
  <c r="I324"/>
  <c r="K324"/>
  <c r="H1583"/>
  <c r="I1583"/>
  <c r="K1583"/>
  <c r="H1551"/>
  <c r="I1551"/>
  <c r="K1551"/>
  <c r="H1519"/>
  <c r="I1519"/>
  <c r="K1519"/>
  <c r="H1487"/>
  <c r="I1487"/>
  <c r="K1487"/>
  <c r="H1455"/>
  <c r="I1455"/>
  <c r="K1455"/>
  <c r="H1423"/>
  <c r="I1423"/>
  <c r="K1423"/>
  <c r="H1391"/>
  <c r="I1391"/>
  <c r="K1391"/>
  <c r="H1359"/>
  <c r="I1359"/>
  <c r="K1359"/>
  <c r="H1327"/>
  <c r="I1327"/>
  <c r="K1327"/>
  <c r="H1295"/>
  <c r="I1295"/>
  <c r="K1295"/>
  <c r="H1263"/>
  <c r="I1263"/>
  <c r="K1263"/>
  <c r="H1231"/>
  <c r="I1231"/>
  <c r="K1231"/>
  <c r="H1199"/>
  <c r="I1199"/>
  <c r="K1199"/>
  <c r="H1167"/>
  <c r="I1167"/>
  <c r="K1167"/>
  <c r="H1135"/>
  <c r="I1135"/>
  <c r="K1135"/>
  <c r="H1103"/>
  <c r="I1103"/>
  <c r="K1103"/>
  <c r="H1071"/>
  <c r="I1071"/>
  <c r="K1071"/>
  <c r="H1039"/>
  <c r="I1039"/>
  <c r="K1039"/>
  <c r="H1007"/>
  <c r="I1007"/>
  <c r="K1007"/>
  <c r="H975"/>
  <c r="I975"/>
  <c r="K975"/>
  <c r="H935"/>
  <c r="I935"/>
  <c r="K935"/>
  <c r="H884"/>
  <c r="I884"/>
  <c r="K884"/>
  <c r="H824"/>
  <c r="I824"/>
  <c r="K824"/>
  <c r="H740"/>
  <c r="I740"/>
  <c r="K740"/>
  <c r="H692"/>
  <c r="I692"/>
  <c r="K692"/>
  <c r="H651"/>
  <c r="I651"/>
  <c r="K651"/>
  <c r="H437"/>
  <c r="I437"/>
  <c r="K437"/>
  <c r="H1100"/>
  <c r="I1100"/>
  <c r="K1100"/>
  <c r="H1036"/>
  <c r="I1036"/>
  <c r="K1036"/>
  <c r="H980"/>
  <c r="I980"/>
  <c r="K980"/>
  <c r="H896"/>
  <c r="I896"/>
  <c r="K896"/>
  <c r="H780"/>
  <c r="I780"/>
  <c r="K780"/>
  <c r="H698"/>
  <c r="I698"/>
  <c r="K698"/>
  <c r="H507"/>
  <c r="I507"/>
  <c r="K507"/>
  <c r="H961"/>
  <c r="I961"/>
  <c r="K961"/>
  <c r="H825"/>
  <c r="I825"/>
  <c r="K825"/>
  <c r="H697"/>
  <c r="I697"/>
  <c r="K697"/>
  <c r="H509"/>
  <c r="I509"/>
  <c r="K509"/>
  <c r="H955"/>
  <c r="I955"/>
  <c r="K955"/>
  <c r="H835"/>
  <c r="I835"/>
  <c r="K835"/>
  <c r="H683"/>
  <c r="I683"/>
  <c r="K683"/>
  <c r="H474"/>
  <c r="I474"/>
  <c r="K474"/>
  <c r="H930"/>
  <c r="I930"/>
  <c r="K930"/>
  <c r="H810"/>
  <c r="I810"/>
  <c r="K810"/>
  <c r="H545"/>
  <c r="I545"/>
  <c r="K545"/>
  <c r="H736"/>
  <c r="I736"/>
  <c r="K736"/>
  <c r="H309"/>
  <c r="I309"/>
  <c r="K309"/>
  <c r="H369"/>
  <c r="I369"/>
  <c r="K369"/>
  <c r="H33"/>
  <c r="I33"/>
  <c r="K33"/>
  <c r="H864"/>
  <c r="I864"/>
  <c r="K864"/>
  <c r="H813"/>
  <c r="I813"/>
  <c r="K813"/>
  <c r="H770"/>
  <c r="I770"/>
  <c r="K770"/>
  <c r="H729"/>
  <c r="I729"/>
  <c r="K729"/>
  <c r="H681"/>
  <c r="I681"/>
  <c r="K681"/>
  <c r="H524"/>
  <c r="I524"/>
  <c r="K524"/>
  <c r="H483"/>
  <c r="I483"/>
  <c r="K483"/>
  <c r="H388"/>
  <c r="I388"/>
  <c r="K388"/>
  <c r="H98"/>
  <c r="I98"/>
  <c r="K98"/>
  <c r="H1567"/>
  <c r="I1567"/>
  <c r="K1567"/>
  <c r="H1535"/>
  <c r="I1535"/>
  <c r="K1535"/>
  <c r="H1503"/>
  <c r="I1503"/>
  <c r="K1503"/>
  <c r="H1471"/>
  <c r="I1471"/>
  <c r="K1471"/>
  <c r="H1439"/>
  <c r="I1439"/>
  <c r="K1439"/>
  <c r="H1407"/>
  <c r="I1407"/>
  <c r="K1407"/>
  <c r="H1375"/>
  <c r="I1375"/>
  <c r="K1375"/>
  <c r="H1343"/>
  <c r="I1343"/>
  <c r="K1343"/>
  <c r="H1311"/>
  <c r="I1311"/>
  <c r="K1311"/>
  <c r="H1279"/>
  <c r="I1279"/>
  <c r="K1279"/>
  <c r="H1247"/>
  <c r="I1247"/>
  <c r="K1247"/>
  <c r="H1215"/>
  <c r="I1215"/>
  <c r="K1215"/>
  <c r="H1183"/>
  <c r="I1183"/>
  <c r="K1183"/>
  <c r="H1151"/>
  <c r="I1151"/>
  <c r="K1151"/>
  <c r="H1119"/>
  <c r="I1119"/>
  <c r="K1119"/>
  <c r="H1087"/>
  <c r="I1087"/>
  <c r="K1087"/>
  <c r="H1055"/>
  <c r="I1055"/>
  <c r="K1055"/>
  <c r="H1023"/>
  <c r="I1023"/>
  <c r="K1023"/>
  <c r="H991"/>
  <c r="I991"/>
  <c r="K991"/>
  <c r="H952"/>
  <c r="I952"/>
  <c r="K952"/>
  <c r="H901"/>
  <c r="I901"/>
  <c r="K901"/>
  <c r="H854"/>
  <c r="I854"/>
  <c r="K854"/>
  <c r="H807"/>
  <c r="I807"/>
  <c r="K807"/>
  <c r="H706"/>
  <c r="I706"/>
  <c r="K706"/>
  <c r="H665"/>
  <c r="I665"/>
  <c r="K665"/>
  <c r="H617"/>
  <c r="I617"/>
  <c r="K617"/>
  <c r="H1132"/>
  <c r="I1132"/>
  <c r="K1132"/>
  <c r="H1068"/>
  <c r="I1068"/>
  <c r="K1068"/>
  <c r="H1004"/>
  <c r="I1004"/>
  <c r="K1004"/>
  <c r="H956"/>
  <c r="I956"/>
  <c r="K956"/>
  <c r="H862"/>
  <c r="I862"/>
  <c r="K862"/>
  <c r="H739"/>
  <c r="I739"/>
  <c r="K739"/>
  <c r="H548"/>
  <c r="I548"/>
  <c r="K548"/>
  <c r="H435"/>
  <c r="I435"/>
  <c r="K435"/>
  <c r="H929"/>
  <c r="I929"/>
  <c r="K929"/>
  <c r="H778"/>
  <c r="I778"/>
  <c r="K778"/>
  <c r="H603"/>
  <c r="I603"/>
  <c r="K603"/>
  <c r="H387"/>
  <c r="I387"/>
  <c r="K387"/>
  <c r="H891"/>
  <c r="I891"/>
  <c r="K891"/>
  <c r="H777"/>
  <c r="I777"/>
  <c r="K777"/>
  <c r="H585"/>
  <c r="I585"/>
  <c r="K585"/>
  <c r="H317"/>
  <c r="I317"/>
  <c r="K317"/>
  <c r="H866"/>
  <c r="I866"/>
  <c r="K866"/>
  <c r="H737"/>
  <c r="I737"/>
  <c r="K737"/>
  <c r="H718"/>
  <c r="I718"/>
  <c r="K718"/>
  <c r="H512"/>
  <c r="I512"/>
  <c r="K512"/>
  <c r="H408"/>
  <c r="I408"/>
  <c r="K408"/>
  <c r="H90"/>
  <c r="I90"/>
  <c r="K90"/>
  <c r="H496"/>
  <c r="I496"/>
  <c r="K496"/>
  <c r="H409"/>
  <c r="I409"/>
  <c r="K409"/>
  <c r="H734"/>
  <c r="I734"/>
  <c r="K734"/>
  <c r="H719"/>
  <c r="I719"/>
  <c r="K719"/>
  <c r="H330"/>
  <c r="I330"/>
  <c r="K330"/>
  <c r="H606"/>
  <c r="I606"/>
  <c r="K606"/>
  <c r="H423"/>
  <c r="I423"/>
  <c r="K423"/>
  <c r="H220"/>
  <c r="I220"/>
  <c r="K220"/>
  <c r="H501"/>
  <c r="I501"/>
  <c r="K501"/>
  <c r="H255"/>
  <c r="I255"/>
  <c r="K255"/>
  <c r="H1116"/>
  <c r="I1116"/>
  <c r="K1116"/>
  <c r="H1084"/>
  <c r="I1084"/>
  <c r="K1084"/>
  <c r="H1052"/>
  <c r="I1052"/>
  <c r="K1052"/>
  <c r="H1028"/>
  <c r="I1028"/>
  <c r="K1028"/>
  <c r="H943"/>
  <c r="I943"/>
  <c r="K943"/>
  <c r="H892"/>
  <c r="I892"/>
  <c r="K892"/>
  <c r="H845"/>
  <c r="I845"/>
  <c r="K845"/>
  <c r="H815"/>
  <c r="I815"/>
  <c r="K815"/>
  <c r="H753"/>
  <c r="I753"/>
  <c r="K753"/>
  <c r="H725"/>
  <c r="I725"/>
  <c r="K725"/>
  <c r="H514"/>
  <c r="I514"/>
  <c r="K514"/>
  <c r="H493"/>
  <c r="I493"/>
  <c r="K493"/>
  <c r="H211"/>
  <c r="I211"/>
  <c r="K211"/>
  <c r="H953"/>
  <c r="I953"/>
  <c r="K953"/>
  <c r="H921"/>
  <c r="I921"/>
  <c r="K921"/>
  <c r="H865"/>
  <c r="I865"/>
  <c r="K865"/>
  <c r="H731"/>
  <c r="I731"/>
  <c r="K731"/>
  <c r="H637"/>
  <c r="I637"/>
  <c r="K637"/>
  <c r="H569"/>
  <c r="I569"/>
  <c r="K569"/>
  <c r="H438"/>
  <c r="I438"/>
  <c r="K438"/>
  <c r="H266"/>
  <c r="I266"/>
  <c r="K266"/>
  <c r="H931"/>
  <c r="I931"/>
  <c r="K931"/>
  <c r="H803"/>
  <c r="I803"/>
  <c r="K803"/>
  <c r="H717"/>
  <c r="I717"/>
  <c r="K717"/>
  <c r="H636"/>
  <c r="I636"/>
  <c r="K636"/>
  <c r="H525"/>
  <c r="I525"/>
  <c r="K525"/>
  <c r="H428"/>
  <c r="I428"/>
  <c r="K428"/>
  <c r="H162"/>
  <c r="I162"/>
  <c r="K162"/>
  <c r="H922"/>
  <c r="I922"/>
  <c r="K922"/>
  <c r="H842"/>
  <c r="I842"/>
  <c r="K842"/>
  <c r="H786"/>
  <c r="I786"/>
  <c r="K786"/>
  <c r="H690"/>
  <c r="I690"/>
  <c r="K690"/>
  <c r="H532"/>
  <c r="I532"/>
  <c r="K532"/>
  <c r="H766"/>
  <c r="I766"/>
  <c r="K766"/>
  <c r="H670"/>
  <c r="I670"/>
  <c r="K670"/>
  <c r="H502"/>
  <c r="I502"/>
  <c r="K502"/>
  <c r="H608"/>
  <c r="I608"/>
  <c r="K608"/>
  <c r="H412"/>
  <c r="I412"/>
  <c r="K412"/>
  <c r="H575"/>
  <c r="I575"/>
  <c r="K575"/>
  <c r="H363"/>
  <c r="I363"/>
  <c r="K363"/>
  <c r="H44"/>
  <c r="I44"/>
  <c r="K44"/>
  <c r="H36"/>
  <c r="I36"/>
  <c r="K36"/>
  <c r="H313"/>
  <c r="I313"/>
  <c r="K313"/>
  <c r="H210"/>
  <c r="I210"/>
  <c r="K210"/>
  <c r="H451"/>
  <c r="I451"/>
  <c r="K451"/>
  <c r="H82"/>
  <c r="I82"/>
  <c r="K82"/>
  <c r="H1108"/>
  <c r="I1108"/>
  <c r="K1108"/>
  <c r="H1076"/>
  <c r="I1076"/>
  <c r="K1076"/>
  <c r="H1044"/>
  <c r="I1044"/>
  <c r="K1044"/>
  <c r="H1020"/>
  <c r="I1020"/>
  <c r="K1020"/>
  <c r="H996"/>
  <c r="I996"/>
  <c r="K996"/>
  <c r="H972"/>
  <c r="I972"/>
  <c r="K972"/>
  <c r="H926"/>
  <c r="I926"/>
  <c r="K926"/>
  <c r="H879"/>
  <c r="I879"/>
  <c r="K879"/>
  <c r="H832"/>
  <c r="I832"/>
  <c r="K832"/>
  <c r="H798"/>
  <c r="I798"/>
  <c r="K798"/>
  <c r="H746"/>
  <c r="I746"/>
  <c r="K746"/>
  <c r="H705"/>
  <c r="I705"/>
  <c r="K705"/>
  <c r="H657"/>
  <c r="I657"/>
  <c r="K657"/>
  <c r="H462"/>
  <c r="I462"/>
  <c r="K462"/>
  <c r="H969"/>
  <c r="I969"/>
  <c r="K969"/>
  <c r="H945"/>
  <c r="I945"/>
  <c r="K945"/>
  <c r="H913"/>
  <c r="I913"/>
  <c r="K913"/>
  <c r="H841"/>
  <c r="I841"/>
  <c r="K841"/>
  <c r="H793"/>
  <c r="I793"/>
  <c r="K793"/>
  <c r="H714"/>
  <c r="I714"/>
  <c r="K714"/>
  <c r="H522"/>
  <c r="I522"/>
  <c r="K522"/>
  <c r="H421"/>
  <c r="I421"/>
  <c r="K421"/>
  <c r="H963"/>
  <c r="I963"/>
  <c r="K963"/>
  <c r="H915"/>
  <c r="I915"/>
  <c r="K915"/>
  <c r="H859"/>
  <c r="I859"/>
  <c r="K859"/>
  <c r="H781"/>
  <c r="I781"/>
  <c r="K781"/>
  <c r="H700"/>
  <c r="I700"/>
  <c r="K700"/>
  <c r="H589"/>
  <c r="I589"/>
  <c r="K589"/>
  <c r="H491"/>
  <c r="I491"/>
  <c r="K491"/>
  <c r="H358"/>
  <c r="I358"/>
  <c r="K358"/>
  <c r="H962"/>
  <c r="I962"/>
  <c r="K962"/>
  <c r="H898"/>
  <c r="I898"/>
  <c r="K898"/>
  <c r="H834"/>
  <c r="I834"/>
  <c r="K834"/>
  <c r="H771"/>
  <c r="I771"/>
  <c r="K771"/>
  <c r="H677"/>
  <c r="I677"/>
  <c r="K677"/>
  <c r="H485"/>
  <c r="I485"/>
  <c r="K485"/>
  <c r="H742"/>
  <c r="I742"/>
  <c r="K742"/>
  <c r="H646"/>
  <c r="I646"/>
  <c r="K646"/>
  <c r="H300"/>
  <c r="I300"/>
  <c r="K300"/>
  <c r="H592"/>
  <c r="I592"/>
  <c r="K592"/>
  <c r="H121"/>
  <c r="I121"/>
  <c r="K121"/>
  <c r="H487"/>
  <c r="I487"/>
  <c r="K487"/>
  <c r="H248"/>
  <c r="I248"/>
  <c r="K248"/>
  <c r="H382"/>
  <c r="I382"/>
  <c r="K382"/>
  <c r="H39"/>
  <c r="I39"/>
  <c r="K39"/>
  <c r="H267"/>
  <c r="I267"/>
  <c r="K267"/>
  <c r="H158"/>
  <c r="I158"/>
  <c r="K158"/>
  <c r="H905"/>
  <c r="I905"/>
  <c r="K905"/>
  <c r="H881"/>
  <c r="I881"/>
  <c r="K881"/>
  <c r="H857"/>
  <c r="I857"/>
  <c r="K857"/>
  <c r="H809"/>
  <c r="I809"/>
  <c r="K809"/>
  <c r="H785"/>
  <c r="I785"/>
  <c r="K785"/>
  <c r="H761"/>
  <c r="I761"/>
  <c r="K761"/>
  <c r="H684"/>
  <c r="I684"/>
  <c r="K684"/>
  <c r="H633"/>
  <c r="I633"/>
  <c r="K633"/>
  <c r="H586"/>
  <c r="I586"/>
  <c r="K586"/>
  <c r="H556"/>
  <c r="I556"/>
  <c r="K556"/>
  <c r="H475"/>
  <c r="I475"/>
  <c r="K475"/>
  <c r="H404"/>
  <c r="I404"/>
  <c r="K404"/>
  <c r="H347"/>
  <c r="I347"/>
  <c r="K347"/>
  <c r="H196"/>
  <c r="I196"/>
  <c r="K196"/>
  <c r="H907"/>
  <c r="I907"/>
  <c r="K907"/>
  <c r="H875"/>
  <c r="I875"/>
  <c r="K875"/>
  <c r="H851"/>
  <c r="I851"/>
  <c r="K851"/>
  <c r="H819"/>
  <c r="I819"/>
  <c r="K819"/>
  <c r="H795"/>
  <c r="I795"/>
  <c r="K795"/>
  <c r="H764"/>
  <c r="I764"/>
  <c r="K764"/>
  <c r="H666"/>
  <c r="I666"/>
  <c r="K666"/>
  <c r="H619"/>
  <c r="I619"/>
  <c r="K619"/>
  <c r="H572"/>
  <c r="I572"/>
  <c r="K572"/>
  <c r="H521"/>
  <c r="I521"/>
  <c r="K521"/>
  <c r="H468"/>
  <c r="I468"/>
  <c r="K468"/>
  <c r="H303"/>
  <c r="I303"/>
  <c r="K303"/>
  <c r="H71"/>
  <c r="I71"/>
  <c r="K71"/>
  <c r="H946"/>
  <c r="I946"/>
  <c r="K946"/>
  <c r="H914"/>
  <c r="I914"/>
  <c r="K914"/>
  <c r="H882"/>
  <c r="I882"/>
  <c r="K882"/>
  <c r="H858"/>
  <c r="I858"/>
  <c r="K858"/>
  <c r="H802"/>
  <c r="I802"/>
  <c r="K802"/>
  <c r="H754"/>
  <c r="I754"/>
  <c r="K754"/>
  <c r="H724"/>
  <c r="I724"/>
  <c r="K724"/>
  <c r="H673"/>
  <c r="I673"/>
  <c r="K673"/>
  <c r="H609"/>
  <c r="I609"/>
  <c r="K609"/>
  <c r="H515"/>
  <c r="I515"/>
  <c r="K515"/>
  <c r="H407"/>
  <c r="I407"/>
  <c r="K407"/>
  <c r="H694"/>
  <c r="I694"/>
  <c r="K694"/>
  <c r="H638"/>
  <c r="I638"/>
  <c r="K638"/>
  <c r="H574"/>
  <c r="I574"/>
  <c r="K574"/>
  <c r="H430"/>
  <c r="I430"/>
  <c r="K430"/>
  <c r="H289"/>
  <c r="I289"/>
  <c r="K289"/>
  <c r="H680"/>
  <c r="I680"/>
  <c r="K680"/>
  <c r="H429"/>
  <c r="I429"/>
  <c r="K429"/>
  <c r="H775"/>
  <c r="I775"/>
  <c r="K775"/>
  <c r="H631"/>
  <c r="I631"/>
  <c r="K631"/>
  <c r="H551"/>
  <c r="I551"/>
  <c r="K551"/>
  <c r="H389"/>
  <c r="I389"/>
  <c r="K389"/>
  <c r="H159"/>
  <c r="I159"/>
  <c r="K159"/>
  <c r="H68"/>
  <c r="I68"/>
  <c r="K68"/>
  <c r="H332"/>
  <c r="I332"/>
  <c r="K332"/>
  <c r="H331"/>
  <c r="I331"/>
  <c r="K331"/>
  <c r="H308"/>
  <c r="I308"/>
  <c r="K308"/>
  <c r="H264"/>
  <c r="I264"/>
  <c r="K264"/>
  <c r="H306"/>
  <c r="I306"/>
  <c r="K306"/>
  <c r="H197"/>
  <c r="I197"/>
  <c r="K197"/>
  <c r="H64"/>
  <c r="I64"/>
  <c r="K64"/>
  <c r="H156"/>
  <c r="I156"/>
  <c r="K156"/>
  <c r="H83"/>
  <c r="I83"/>
  <c r="K83"/>
  <c r="H897"/>
  <c r="I897"/>
  <c r="K897"/>
  <c r="H873"/>
  <c r="I873"/>
  <c r="K873"/>
  <c r="H849"/>
  <c r="I849"/>
  <c r="K849"/>
  <c r="H833"/>
  <c r="I833"/>
  <c r="K833"/>
  <c r="H801"/>
  <c r="I801"/>
  <c r="K801"/>
  <c r="H748"/>
  <c r="I748"/>
  <c r="K748"/>
  <c r="H701"/>
  <c r="I701"/>
  <c r="K701"/>
  <c r="H667"/>
  <c r="I667"/>
  <c r="K667"/>
  <c r="H620"/>
  <c r="I620"/>
  <c r="K620"/>
  <c r="H539"/>
  <c r="I539"/>
  <c r="K539"/>
  <c r="H505"/>
  <c r="I505"/>
  <c r="K505"/>
  <c r="H455"/>
  <c r="I455"/>
  <c r="K455"/>
  <c r="H333"/>
  <c r="I333"/>
  <c r="K333"/>
  <c r="H108"/>
  <c r="I108"/>
  <c r="K108"/>
  <c r="H947"/>
  <c r="I947"/>
  <c r="K947"/>
  <c r="H923"/>
  <c r="I923"/>
  <c r="K923"/>
  <c r="H899"/>
  <c r="I899"/>
  <c r="K899"/>
  <c r="H867"/>
  <c r="I867"/>
  <c r="K867"/>
  <c r="H843"/>
  <c r="I843"/>
  <c r="K843"/>
  <c r="H811"/>
  <c r="I811"/>
  <c r="K811"/>
  <c r="H787"/>
  <c r="I787"/>
  <c r="K787"/>
  <c r="H747"/>
  <c r="I747"/>
  <c r="K747"/>
  <c r="H713"/>
  <c r="I713"/>
  <c r="K713"/>
  <c r="H653"/>
  <c r="I653"/>
  <c r="K653"/>
  <c r="H602"/>
  <c r="I602"/>
  <c r="K602"/>
  <c r="H555"/>
  <c r="I555"/>
  <c r="K555"/>
  <c r="H508"/>
  <c r="I508"/>
  <c r="K508"/>
  <c r="H461"/>
  <c r="I461"/>
  <c r="K461"/>
  <c r="H411"/>
  <c r="I411"/>
  <c r="K411"/>
  <c r="H262"/>
  <c r="I262"/>
  <c r="K262"/>
  <c r="H970"/>
  <c r="I970"/>
  <c r="K970"/>
  <c r="H938"/>
  <c r="I938"/>
  <c r="K938"/>
  <c r="H906"/>
  <c r="I906"/>
  <c r="K906"/>
  <c r="H874"/>
  <c r="I874"/>
  <c r="K874"/>
  <c r="H850"/>
  <c r="I850"/>
  <c r="K850"/>
  <c r="H826"/>
  <c r="I826"/>
  <c r="K826"/>
  <c r="H794"/>
  <c r="I794"/>
  <c r="K794"/>
  <c r="H707"/>
  <c r="I707"/>
  <c r="K707"/>
  <c r="H660"/>
  <c r="I660"/>
  <c r="K660"/>
  <c r="H562"/>
  <c r="I562"/>
  <c r="K562"/>
  <c r="H498"/>
  <c r="I498"/>
  <c r="K498"/>
  <c r="H390"/>
  <c r="I390"/>
  <c r="K390"/>
  <c r="H774"/>
  <c r="I774"/>
  <c r="K774"/>
  <c r="H678"/>
  <c r="I678"/>
  <c r="K678"/>
  <c r="H614"/>
  <c r="I614"/>
  <c r="K614"/>
  <c r="H558"/>
  <c r="I558"/>
  <c r="K558"/>
  <c r="H396"/>
  <c r="I396"/>
  <c r="K396"/>
  <c r="H25"/>
  <c r="I25"/>
  <c r="K25"/>
  <c r="H656"/>
  <c r="I656"/>
  <c r="K656"/>
  <c r="H568"/>
  <c r="I568"/>
  <c r="K568"/>
  <c r="H727"/>
  <c r="I727"/>
  <c r="K727"/>
  <c r="H615"/>
  <c r="I615"/>
  <c r="K615"/>
  <c r="H503"/>
  <c r="I503"/>
  <c r="K503"/>
  <c r="H323"/>
  <c r="I323"/>
  <c r="K323"/>
  <c r="H10"/>
  <c r="I10"/>
  <c r="K10"/>
  <c r="H456"/>
  <c r="I456"/>
  <c r="K456"/>
  <c r="H249"/>
  <c r="I249"/>
  <c r="K249"/>
  <c r="H265"/>
  <c r="I265"/>
  <c r="K265"/>
  <c r="H205"/>
  <c r="I205"/>
  <c r="K205"/>
  <c r="H143"/>
  <c r="I143"/>
  <c r="K143"/>
  <c r="H42"/>
  <c r="I42"/>
  <c r="K42"/>
  <c r="H244"/>
  <c r="I244"/>
  <c r="K244"/>
  <c r="K5"/>
</calcChain>
</file>

<file path=xl/sharedStrings.xml><?xml version="1.0" encoding="utf-8"?>
<sst xmlns="http://schemas.openxmlformats.org/spreadsheetml/2006/main" count="26371" uniqueCount="13117">
  <si>
    <t>Precio</t>
  </si>
  <si>
    <t>Dto Extra</t>
  </si>
  <si>
    <t>Aumento</t>
  </si>
  <si>
    <t>IVA</t>
  </si>
  <si>
    <t>Margen</t>
  </si>
  <si>
    <t>Costo</t>
  </si>
  <si>
    <t>Venta</t>
  </si>
  <si>
    <t>Cant.</t>
  </si>
  <si>
    <t>SubTotal</t>
  </si>
  <si>
    <t>Coef./vta</t>
  </si>
  <si>
    <t>Total</t>
  </si>
  <si>
    <t>Lista de Precios</t>
  </si>
  <si>
    <t>COTIZADOR</t>
  </si>
  <si>
    <t>CANILLA DUKE</t>
  </si>
  <si>
    <t>Rubro</t>
  </si>
  <si>
    <t>Cotizador General</t>
  </si>
  <si>
    <t>A01 AWADUCT SIST</t>
  </si>
  <si>
    <t>A03 SALADILLO HIDRO3 SIST</t>
  </si>
  <si>
    <t>X06 INFRAESTRUCTURA</t>
  </si>
  <si>
    <t>84171</t>
  </si>
  <si>
    <t>84172</t>
  </si>
  <si>
    <t>84173</t>
  </si>
  <si>
    <t>84174</t>
  </si>
  <si>
    <t>84175</t>
  </si>
  <si>
    <t>84176</t>
  </si>
  <si>
    <t>84177</t>
  </si>
  <si>
    <t>84178</t>
  </si>
  <si>
    <t>84179</t>
  </si>
  <si>
    <t>84180</t>
  </si>
  <si>
    <t>84181</t>
  </si>
  <si>
    <t>84182</t>
  </si>
  <si>
    <t>84183</t>
  </si>
  <si>
    <t>84184</t>
  </si>
  <si>
    <t>84185</t>
  </si>
  <si>
    <t>84190</t>
  </si>
  <si>
    <t>84191</t>
  </si>
  <si>
    <t>7089</t>
  </si>
  <si>
    <t>7090</t>
  </si>
  <si>
    <t>7091</t>
  </si>
  <si>
    <t>7092</t>
  </si>
  <si>
    <t>0103/16-CCC</t>
  </si>
  <si>
    <t>0109/16-CCC</t>
  </si>
  <si>
    <t>0112/16-CCC</t>
  </si>
  <si>
    <t>0203/16-CCC</t>
  </si>
  <si>
    <t>0207/16-CCC</t>
  </si>
  <si>
    <t>0295/16-CCC</t>
  </si>
  <si>
    <t>0103/17-CR</t>
  </si>
  <si>
    <t>0109/17-CR</t>
  </si>
  <si>
    <t>0207/17-CR</t>
  </si>
  <si>
    <t>0295/17-CR</t>
  </si>
  <si>
    <t>0103/D7-CR</t>
  </si>
  <si>
    <t>0109/D7-CR</t>
  </si>
  <si>
    <t>0112/D7-CR</t>
  </si>
  <si>
    <t>0203/D7-CR</t>
  </si>
  <si>
    <t>0295/D7-CR</t>
  </si>
  <si>
    <t>0103/G5-CR</t>
  </si>
  <si>
    <t>0109/G5-CR</t>
  </si>
  <si>
    <t>0112/G5-CR</t>
  </si>
  <si>
    <t>0207/G5-CR</t>
  </si>
  <si>
    <t>0295/G5-CR</t>
  </si>
  <si>
    <t>0414/G5-CR</t>
  </si>
  <si>
    <t>0103/N2-CR</t>
  </si>
  <si>
    <t>0203/N2-CR</t>
  </si>
  <si>
    <t>0207/N2-CR</t>
  </si>
  <si>
    <t>0295/N2-CR</t>
  </si>
  <si>
    <t>0106/B5-CR</t>
  </si>
  <si>
    <t>0181.01/B5-CR</t>
  </si>
  <si>
    <t>0181.02/B5-CR</t>
  </si>
  <si>
    <t>0181/B5-CR</t>
  </si>
  <si>
    <t>0189/B5-CR</t>
  </si>
  <si>
    <t>0310/B5-CR</t>
  </si>
  <si>
    <t>0312/B5-CR</t>
  </si>
  <si>
    <t>6001</t>
  </si>
  <si>
    <t>6002</t>
  </si>
  <si>
    <t>6004</t>
  </si>
  <si>
    <t>6005</t>
  </si>
  <si>
    <t>6010</t>
  </si>
  <si>
    <t>0103/B1P-CR</t>
  </si>
  <si>
    <t>0109/B1P-CR</t>
  </si>
  <si>
    <t>0112/B1P-CR</t>
  </si>
  <si>
    <t>0113/B1P-CR</t>
  </si>
  <si>
    <t>0207/B1P-CR</t>
  </si>
  <si>
    <t>0295/B1P-CR</t>
  </si>
  <si>
    <t>0401/B1P-CR</t>
  </si>
  <si>
    <t>0900.03/B1P-CR</t>
  </si>
  <si>
    <t>0103/B2P-CR</t>
  </si>
  <si>
    <t>0109/B2P-CR</t>
  </si>
  <si>
    <t>0207/B2P-CR</t>
  </si>
  <si>
    <t>0295/B2P-CR</t>
  </si>
  <si>
    <t>0900.03/B2P-CR</t>
  </si>
  <si>
    <t>0103/B6-CR</t>
  </si>
  <si>
    <t>0109/B6-CR</t>
  </si>
  <si>
    <t>0112/B6-CR</t>
  </si>
  <si>
    <t>0207/B6-CR</t>
  </si>
  <si>
    <t>0295/B6-CR</t>
  </si>
  <si>
    <t>0401/B6-CR</t>
  </si>
  <si>
    <t>0403/B6-CR</t>
  </si>
  <si>
    <t>0900.03/B6-CR</t>
  </si>
  <si>
    <t>0103/C7-CR</t>
  </si>
  <si>
    <t>0109/C7-CR</t>
  </si>
  <si>
    <t>0112/C7-CR</t>
  </si>
  <si>
    <t>0207/C7-CR</t>
  </si>
  <si>
    <t>0295/C7-CR</t>
  </si>
  <si>
    <t>8880</t>
  </si>
  <si>
    <t>8881</t>
  </si>
  <si>
    <t>6365</t>
  </si>
  <si>
    <t>6366</t>
  </si>
  <si>
    <t>6367</t>
  </si>
  <si>
    <t>6368</t>
  </si>
  <si>
    <t>6390</t>
  </si>
  <si>
    <t>0411.04/D8-CR</t>
  </si>
  <si>
    <t>0411.04/D8-NG</t>
  </si>
  <si>
    <t>0411.04/D8E-CR</t>
  </si>
  <si>
    <t>0411/87-CR</t>
  </si>
  <si>
    <t>0411/H1-CR</t>
  </si>
  <si>
    <t>0411/H1-RG</t>
  </si>
  <si>
    <t>0412/96-CR</t>
  </si>
  <si>
    <t>0416/62L-CR</t>
  </si>
  <si>
    <t>0416/64-CR</t>
  </si>
  <si>
    <t>0424/99-CR</t>
  </si>
  <si>
    <t>0428/39-CR</t>
  </si>
  <si>
    <t>34111</t>
  </si>
  <si>
    <t>35110</t>
  </si>
  <si>
    <t>0403/B1P-CR</t>
  </si>
  <si>
    <t>0403/B2P-CR</t>
  </si>
  <si>
    <t>0406/B1-CR</t>
  </si>
  <si>
    <t>0409.02/B1P-CR</t>
  </si>
  <si>
    <t>0409.02/B6-CR</t>
  </si>
  <si>
    <t>0409/B1P-CR</t>
  </si>
  <si>
    <t>0409/B6-CR</t>
  </si>
  <si>
    <t>0411.01/B1-CR</t>
  </si>
  <si>
    <t>0411.01/B2-CR</t>
  </si>
  <si>
    <t>0411.02/B1-CR</t>
  </si>
  <si>
    <t>0411.02/B2-CR</t>
  </si>
  <si>
    <t>0411.03/B1-CR</t>
  </si>
  <si>
    <t>0411.04/24-CR</t>
  </si>
  <si>
    <t>0413/B1P-CR</t>
  </si>
  <si>
    <t>0413/B2P-CR</t>
  </si>
  <si>
    <t>0413/B6-CR</t>
  </si>
  <si>
    <t>0423/B1-CR</t>
  </si>
  <si>
    <t>92108</t>
  </si>
  <si>
    <t>92551</t>
  </si>
  <si>
    <t>93021</t>
  </si>
  <si>
    <t>9110</t>
  </si>
  <si>
    <t>12803</t>
  </si>
  <si>
    <t>12804</t>
  </si>
  <si>
    <t>0349-CR</t>
  </si>
  <si>
    <t>0368.01</t>
  </si>
  <si>
    <t>0368.02</t>
  </si>
  <si>
    <t>0368.04-CR</t>
  </si>
  <si>
    <t>0378.01</t>
  </si>
  <si>
    <t>0378.02-CR</t>
  </si>
  <si>
    <t>92051</t>
  </si>
  <si>
    <t>92109</t>
  </si>
  <si>
    <t>93050</t>
  </si>
  <si>
    <t>93051</t>
  </si>
  <si>
    <t>93052</t>
  </si>
  <si>
    <t>93053</t>
  </si>
  <si>
    <t>0339-CR</t>
  </si>
  <si>
    <t>0340-CR</t>
  </si>
  <si>
    <t>0341-CR</t>
  </si>
  <si>
    <t>0342-CR</t>
  </si>
  <si>
    <t>0343-CR</t>
  </si>
  <si>
    <t>0344-CR</t>
  </si>
  <si>
    <t>0345-CR</t>
  </si>
  <si>
    <t>0347A-CR</t>
  </si>
  <si>
    <t>0361.03A-CR</t>
  </si>
  <si>
    <t>0363.02P-CR</t>
  </si>
  <si>
    <t>0363.02T-CR</t>
  </si>
  <si>
    <t>0363.04P-CR</t>
  </si>
  <si>
    <t>0363.04T-CR</t>
  </si>
  <si>
    <t>0363.05T-CR</t>
  </si>
  <si>
    <t>0363C-T-CR</t>
  </si>
  <si>
    <t>0363C.03-T-CR</t>
  </si>
  <si>
    <t>0364-CR</t>
  </si>
  <si>
    <t>0366.01-AI</t>
  </si>
  <si>
    <t>0366.FVBASE</t>
  </si>
  <si>
    <t>0374.02-AI</t>
  </si>
  <si>
    <t>0375.02-AI</t>
  </si>
  <si>
    <t>0428-CR</t>
  </si>
  <si>
    <t>97903</t>
  </si>
  <si>
    <t>97904</t>
  </si>
  <si>
    <t>97905</t>
  </si>
  <si>
    <t>97906</t>
  </si>
  <si>
    <t>97901</t>
  </si>
  <si>
    <t>97902</t>
  </si>
  <si>
    <t>97922</t>
  </si>
  <si>
    <t>6099</t>
  </si>
  <si>
    <t>6100</t>
  </si>
  <si>
    <t>6207</t>
  </si>
  <si>
    <t>6208</t>
  </si>
  <si>
    <t>6210</t>
  </si>
  <si>
    <t>6256</t>
  </si>
  <si>
    <t>6356</t>
  </si>
  <si>
    <t>6357</t>
  </si>
  <si>
    <t>6359</t>
  </si>
  <si>
    <t>6385</t>
  </si>
  <si>
    <t>6386</t>
  </si>
  <si>
    <t>6387</t>
  </si>
  <si>
    <t>6388</t>
  </si>
  <si>
    <t>0207/D7-CR</t>
  </si>
  <si>
    <t>0428/D7-CR</t>
  </si>
  <si>
    <t>0409/16-CCC</t>
  </si>
  <si>
    <t>0416/16-CCC</t>
  </si>
  <si>
    <t>0401/17-CR</t>
  </si>
  <si>
    <t>0403.03/17-CR</t>
  </si>
  <si>
    <t>0403/17-CR</t>
  </si>
  <si>
    <t>0416/17-CR</t>
  </si>
  <si>
    <t>0403/C7-CR</t>
  </si>
  <si>
    <t>0410/C7-CR</t>
  </si>
  <si>
    <t>0413/C7-CR</t>
  </si>
  <si>
    <t>0411.04/B5-CR</t>
  </si>
  <si>
    <t>0423/B5-CR</t>
  </si>
  <si>
    <t>6022</t>
  </si>
  <si>
    <t>6024</t>
  </si>
  <si>
    <t>0411.04/39E-CR</t>
  </si>
  <si>
    <t>6011</t>
  </si>
  <si>
    <t>6014</t>
  </si>
  <si>
    <t>6109</t>
  </si>
  <si>
    <t>6114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</si>
  <si>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</si>
  <si>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</si>
  <si>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</si>
  <si>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</si>
  <si>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</si>
  <si>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</si>
  <si>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</si>
  <si>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</si>
  <si>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</si>
  <si>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</si>
  <si>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</si>
  <si>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6273</t>
  </si>
  <si>
    <t>6274</t>
  </si>
  <si>
    <t>6275</t>
  </si>
  <si>
    <t>6276</t>
  </si>
  <si>
    <t>6277</t>
  </si>
  <si>
    <t>6278</t>
  </si>
  <si>
    <t>6279</t>
  </si>
  <si>
    <t>6281</t>
  </si>
  <si>
    <t>6282</t>
  </si>
  <si>
    <t>6283</t>
  </si>
  <si>
    <t>6284</t>
  </si>
  <si>
    <t>6285</t>
  </si>
  <si>
    <t>6286</t>
  </si>
  <si>
    <t>6287</t>
  </si>
  <si>
    <t>6288</t>
  </si>
  <si>
    <t>6290</t>
  </si>
  <si>
    <t>6294</t>
  </si>
  <si>
    <t>6297</t>
  </si>
  <si>
    <t>6301</t>
  </si>
  <si>
    <t>6327</t>
  </si>
  <si>
    <t>6329</t>
  </si>
  <si>
    <t>6330</t>
  </si>
  <si>
    <t>6331</t>
  </si>
  <si>
    <t>6332</t>
  </si>
  <si>
    <t>6333</t>
  </si>
  <si>
    <t>6334</t>
  </si>
  <si>
    <t>6336</t>
  </si>
  <si>
    <t>6339</t>
  </si>
  <si>
    <t>6344</t>
  </si>
  <si>
    <t>6345</t>
  </si>
  <si>
    <t>6349</t>
  </si>
  <si>
    <t>6393</t>
  </si>
  <si>
    <t>6835</t>
  </si>
  <si>
    <t>6836</t>
  </si>
  <si>
    <t>6844</t>
  </si>
  <si>
    <t>6845</t>
  </si>
  <si>
    <t>6878</t>
  </si>
  <si>
    <t>94180</t>
  </si>
  <si>
    <t>94181</t>
  </si>
  <si>
    <t>94182</t>
  </si>
  <si>
    <t>94183</t>
  </si>
  <si>
    <t>94184</t>
  </si>
  <si>
    <t>797</t>
  </si>
  <si>
    <t>798</t>
  </si>
  <si>
    <t>81770</t>
  </si>
  <si>
    <t>81810</t>
  </si>
  <si>
    <t>81812</t>
  </si>
  <si>
    <t>81821</t>
  </si>
  <si>
    <t>81822</t>
  </si>
  <si>
    <t>81829</t>
  </si>
  <si>
    <t>81830</t>
  </si>
  <si>
    <t>81831</t>
  </si>
  <si>
    <t>81832</t>
  </si>
  <si>
    <t>81866</t>
  </si>
  <si>
    <t>81867</t>
  </si>
  <si>
    <t>81868</t>
  </si>
  <si>
    <t>81869</t>
  </si>
  <si>
    <t>81870</t>
  </si>
  <si>
    <t>81876</t>
  </si>
  <si>
    <t>81893</t>
  </si>
  <si>
    <t>81894</t>
  </si>
  <si>
    <t>81910</t>
  </si>
  <si>
    <t>81920</t>
  </si>
  <si>
    <t>81923</t>
  </si>
  <si>
    <t>81929</t>
  </si>
  <si>
    <t>81931</t>
  </si>
  <si>
    <t>81933</t>
  </si>
  <si>
    <t>81934</t>
  </si>
  <si>
    <t>81935</t>
  </si>
  <si>
    <t>81936</t>
  </si>
  <si>
    <t>82089</t>
  </si>
  <si>
    <t>82090</t>
  </si>
  <si>
    <t>82091</t>
  </si>
  <si>
    <t>82092</t>
  </si>
  <si>
    <t>82094</t>
  </si>
  <si>
    <t>82095</t>
  </si>
  <si>
    <t>82096</t>
  </si>
  <si>
    <t>82097</t>
  </si>
  <si>
    <t>82098</t>
  </si>
  <si>
    <t>82105</t>
  </si>
  <si>
    <t>82107</t>
  </si>
  <si>
    <t>4331</t>
  </si>
  <si>
    <t>4332</t>
  </si>
  <si>
    <t>4333</t>
  </si>
  <si>
    <t>4334</t>
  </si>
  <si>
    <t>4335</t>
  </si>
  <si>
    <t>81582</t>
  </si>
  <si>
    <t>81534</t>
  </si>
  <si>
    <t>81554</t>
  </si>
  <si>
    <t>81567</t>
  </si>
  <si>
    <t>81571</t>
  </si>
  <si>
    <t>81572</t>
  </si>
  <si>
    <t>81574</t>
  </si>
  <si>
    <t>81576</t>
  </si>
  <si>
    <t>81577</t>
  </si>
  <si>
    <t>81578</t>
  </si>
  <si>
    <t>5227</t>
  </si>
  <si>
    <t>1968</t>
  </si>
  <si>
    <t>6346</t>
  </si>
  <si>
    <t>6809</t>
  </si>
  <si>
    <t>6888</t>
  </si>
  <si>
    <t>6889</t>
  </si>
  <si>
    <t>30076</t>
  </si>
  <si>
    <t>30077</t>
  </si>
  <si>
    <t>5114</t>
  </si>
  <si>
    <t>5115</t>
  </si>
  <si>
    <t>5116</t>
  </si>
  <si>
    <t>5118</t>
  </si>
  <si>
    <t>5124</t>
  </si>
  <si>
    <t>5125</t>
  </si>
  <si>
    <t>5126</t>
  </si>
  <si>
    <t>5128</t>
  </si>
  <si>
    <t>94130</t>
  </si>
  <si>
    <t>94131</t>
  </si>
  <si>
    <t>94132</t>
  </si>
  <si>
    <t>94133</t>
  </si>
  <si>
    <t>12790</t>
  </si>
  <si>
    <t>94149</t>
  </si>
  <si>
    <t>96070</t>
  </si>
  <si>
    <t>1967</t>
  </si>
  <si>
    <t>6032</t>
  </si>
  <si>
    <t>6033</t>
  </si>
  <si>
    <t>6034</t>
  </si>
  <si>
    <t>6035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</si>
  <si>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</si>
  <si>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</si>
  <si>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</si>
  <si>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</si>
  <si>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</si>
  <si>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</si>
  <si>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</si>
  <si>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</si>
  <si>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</si>
  <si>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2011</t>
  </si>
  <si>
    <t>2012</t>
  </si>
  <si>
    <t>2013</t>
  </si>
  <si>
    <t>2014</t>
  </si>
  <si>
    <t>2015</t>
  </si>
  <si>
    <t>2016</t>
  </si>
  <si>
    <t>2017</t>
  </si>
  <si>
    <t>2018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</si>
  <si>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</si>
  <si>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</si>
  <si>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</si>
  <si>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</si>
  <si>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</si>
  <si>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</si>
  <si>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</si>
  <si>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</si>
  <si>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</si>
  <si>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</si>
  <si>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</si>
  <si>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</si>
  <si>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</si>
  <si>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</si>
  <si>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</si>
  <si>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</si>
  <si>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</si>
  <si>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</si>
  <si>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</si>
  <si>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</si>
  <si>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</si>
  <si>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</si>
  <si>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</si>
  <si>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</si>
  <si>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</si>
  <si>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</si>
  <si>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</si>
  <si>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2051</t>
  </si>
  <si>
    <t>2052</t>
  </si>
  <si>
    <t>2053</t>
  </si>
  <si>
    <t>2054</t>
  </si>
  <si>
    <t>2055</t>
  </si>
  <si>
    <t>2056</t>
  </si>
  <si>
    <t>2057</t>
  </si>
  <si>
    <t>2061</t>
  </si>
  <si>
    <t>2062</t>
  </si>
  <si>
    <t>2063</t>
  </si>
  <si>
    <t>2064</t>
  </si>
  <si>
    <t>2065</t>
  </si>
  <si>
    <t>2066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</si>
  <si>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</si>
  <si>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</si>
  <si>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</si>
  <si>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</si>
  <si>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</si>
  <si>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</si>
  <si>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</si>
  <si>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</si>
  <si>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</si>
  <si>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2081</t>
  </si>
  <si>
    <t>2082</t>
  </si>
  <si>
    <t>2083</t>
  </si>
  <si>
    <t>2084</t>
  </si>
  <si>
    <t>2085</t>
  </si>
  <si>
    <t>2086</t>
  </si>
  <si>
    <t>2091</t>
  </si>
  <si>
    <t>2092</t>
  </si>
  <si>
    <t>2093</t>
  </si>
  <si>
    <t>2094</t>
  </si>
  <si>
    <t>2095</t>
  </si>
  <si>
    <t>2096</t>
  </si>
  <si>
    <t>2101</t>
  </si>
  <si>
    <t>2102</t>
  </si>
  <si>
    <t>2103</t>
  </si>
  <si>
    <t>2104</t>
  </si>
  <si>
    <t>2105</t>
  </si>
  <si>
    <t>2106</t>
  </si>
  <si>
    <t>2111</t>
  </si>
  <si>
    <t>2112</t>
  </si>
  <si>
    <t>2113</t>
  </si>
  <si>
    <t>2114</t>
  </si>
  <si>
    <t>2115</t>
  </si>
  <si>
    <t>2116</t>
  </si>
  <si>
    <t>2120</t>
  </si>
  <si>
    <t>2121</t>
  </si>
  <si>
    <t>2122</t>
  </si>
  <si>
    <t>2123</t>
  </si>
  <si>
    <t>2131</t>
  </si>
  <si>
    <t>2132</t>
  </si>
  <si>
    <t>2141</t>
  </si>
  <si>
    <t>2142</t>
  </si>
  <si>
    <t>2143</t>
  </si>
  <si>
    <t>2151</t>
  </si>
  <si>
    <t>2152</t>
  </si>
  <si>
    <t>2153</t>
  </si>
  <si>
    <t>2154</t>
  </si>
  <si>
    <t>2161</t>
  </si>
  <si>
    <t>2162</t>
  </si>
  <si>
    <t>2163</t>
  </si>
  <si>
    <t>2164</t>
  </si>
  <si>
    <t>2165</t>
  </si>
  <si>
    <t>2167</t>
  </si>
  <si>
    <t>2168</t>
  </si>
  <si>
    <t>2169</t>
  </si>
  <si>
    <t>2171</t>
  </si>
  <si>
    <t>2172</t>
  </si>
  <si>
    <t>2173</t>
  </si>
  <si>
    <t>2174</t>
  </si>
  <si>
    <t>2175</t>
  </si>
  <si>
    <t>2176</t>
  </si>
  <si>
    <t>2181</t>
  </si>
  <si>
    <t>2182</t>
  </si>
  <si>
    <t>2183</t>
  </si>
  <si>
    <t>2184</t>
  </si>
  <si>
    <t>2185</t>
  </si>
  <si>
    <t>2186</t>
  </si>
  <si>
    <t>2187</t>
  </si>
  <si>
    <t>2191</t>
  </si>
  <si>
    <t>2192</t>
  </si>
  <si>
    <t>2193</t>
  </si>
  <si>
    <t>2194</t>
  </si>
  <si>
    <t>2195</t>
  </si>
  <si>
    <t>2196</t>
  </si>
  <si>
    <t>2200</t>
  </si>
  <si>
    <t>2201</t>
  </si>
  <si>
    <t>2202</t>
  </si>
  <si>
    <t>2203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</si>
  <si>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</si>
  <si>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</si>
  <si>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</si>
  <si>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</si>
  <si>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</si>
  <si>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</si>
  <si>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</si>
  <si>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</si>
  <si>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</si>
  <si>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</si>
  <si>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2216</t>
  </si>
  <si>
    <t>2217</t>
  </si>
  <si>
    <t>2218</t>
  </si>
  <si>
    <t>2219</t>
  </si>
  <si>
    <t>2220</t>
  </si>
  <si>
    <t>2221</t>
  </si>
  <si>
    <t>2230</t>
  </si>
  <si>
    <t>2231</t>
  </si>
  <si>
    <t>2232</t>
  </si>
  <si>
    <t>2237</t>
  </si>
  <si>
    <t>2238</t>
  </si>
  <si>
    <t>2239</t>
  </si>
  <si>
    <t>2240</t>
  </si>
  <si>
    <t>2241</t>
  </si>
  <si>
    <t>2251</t>
  </si>
  <si>
    <t>2252</t>
  </si>
  <si>
    <t>2271</t>
  </si>
  <si>
    <t>2272</t>
  </si>
  <si>
    <t>2278</t>
  </si>
  <si>
    <t>2281</t>
  </si>
  <si>
    <t>2282</t>
  </si>
  <si>
    <t>2283</t>
  </si>
  <si>
    <t>2321</t>
  </si>
  <si>
    <t>2331</t>
  </si>
  <si>
    <t>2332</t>
  </si>
  <si>
    <t>2411</t>
  </si>
  <si>
    <t>2412</t>
  </si>
  <si>
    <t>2413</t>
  </si>
  <si>
    <t>2421</t>
  </si>
  <si>
    <t>2422</t>
  </si>
  <si>
    <t>2423</t>
  </si>
  <si>
    <t>2431</t>
  </si>
  <si>
    <t>2432</t>
  </si>
  <si>
    <t>2433</t>
  </si>
  <si>
    <t>2434</t>
  </si>
  <si>
    <t>2435</t>
  </si>
  <si>
    <t>2436</t>
  </si>
  <si>
    <t>2441</t>
  </si>
  <si>
    <t>2442</t>
  </si>
  <si>
    <t>2451</t>
  </si>
  <si>
    <t>2452</t>
  </si>
  <si>
    <t>2453</t>
  </si>
  <si>
    <t>2454</t>
  </si>
  <si>
    <t>2455</t>
  </si>
  <si>
    <t>2456</t>
  </si>
  <si>
    <t>5971</t>
  </si>
  <si>
    <t>5972</t>
  </si>
  <si>
    <t>5973</t>
  </si>
  <si>
    <t>5974</t>
  </si>
  <si>
    <t>5975</t>
  </si>
  <si>
    <t>5976</t>
  </si>
  <si>
    <t>6016</t>
  </si>
  <si>
    <t>6017</t>
  </si>
  <si>
    <t>6018</t>
  </si>
  <si>
    <t>6066</t>
  </si>
  <si>
    <t>6067</t>
  </si>
  <si>
    <t>30110</t>
  </si>
  <si>
    <t>30140</t>
  </si>
  <si>
    <t>30150</t>
  </si>
  <si>
    <t>30160</t>
  </si>
  <si>
    <t>30163</t>
  </si>
  <si>
    <t>30210</t>
  </si>
  <si>
    <t>30240</t>
  </si>
  <si>
    <t>30250</t>
  </si>
  <si>
    <t>30260</t>
  </si>
  <si>
    <t>30310</t>
  </si>
  <si>
    <t>30340</t>
  </si>
  <si>
    <t>30350</t>
  </si>
  <si>
    <t>30360</t>
  </si>
  <si>
    <t>30440</t>
  </si>
  <si>
    <t>30450</t>
  </si>
  <si>
    <t>30463</t>
  </si>
  <si>
    <t>30540</t>
  </si>
  <si>
    <t>30550</t>
  </si>
  <si>
    <t>31160</t>
  </si>
  <si>
    <t>32110</t>
  </si>
  <si>
    <t>36111</t>
  </si>
  <si>
    <t>7271</t>
  </si>
  <si>
    <t>7272</t>
  </si>
  <si>
    <t>7273</t>
  </si>
  <si>
    <t>7274</t>
  </si>
  <si>
    <t>7275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</si>
  <si>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</si>
  <si>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</si>
  <si>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</si>
  <si>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</si>
  <si>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</si>
  <si>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</si>
  <si>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</si>
  <si>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</si>
  <si>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</si>
  <si>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92017</t>
  </si>
  <si>
    <t>92040</t>
  </si>
  <si>
    <t>92041</t>
  </si>
  <si>
    <t>92042</t>
  </si>
  <si>
    <t>92045</t>
  </si>
  <si>
    <t>92046</t>
  </si>
  <si>
    <t>92047</t>
  </si>
  <si>
    <t>92055</t>
  </si>
  <si>
    <t>92075</t>
  </si>
  <si>
    <t>92093</t>
  </si>
  <si>
    <t>92094</t>
  </si>
  <si>
    <t>92095</t>
  </si>
  <si>
    <t>92100</t>
  </si>
  <si>
    <t>92103</t>
  </si>
  <si>
    <t>92105</t>
  </si>
  <si>
    <t>92107</t>
  </si>
  <si>
    <t>92112</t>
  </si>
  <si>
    <t>92113</t>
  </si>
  <si>
    <t>92240</t>
  </si>
  <si>
    <t>92241</t>
  </si>
  <si>
    <t>92242</t>
  </si>
  <si>
    <t>92243</t>
  </si>
  <si>
    <t>92245</t>
  </si>
  <si>
    <t>92246</t>
  </si>
  <si>
    <t>92247</t>
  </si>
  <si>
    <t>92248</t>
  </si>
  <si>
    <t>92252</t>
  </si>
  <si>
    <t>92254</t>
  </si>
  <si>
    <t>92255</t>
  </si>
  <si>
    <t>92265</t>
  </si>
  <si>
    <t>92503</t>
  </si>
  <si>
    <t>92504</t>
  </si>
  <si>
    <t>92506</t>
  </si>
  <si>
    <t>92507</t>
  </si>
  <si>
    <t>92508</t>
  </si>
  <si>
    <t>92517</t>
  </si>
  <si>
    <t>92541</t>
  </si>
  <si>
    <t>92542</t>
  </si>
  <si>
    <t>92743</t>
  </si>
  <si>
    <t>96001</t>
  </si>
  <si>
    <t>96002</t>
  </si>
  <si>
    <t>96501</t>
  </si>
  <si>
    <t>6250</t>
  </si>
  <si>
    <t>92536</t>
  </si>
  <si>
    <t>92560</t>
  </si>
  <si>
    <t>92562</t>
  </si>
  <si>
    <t>92564</t>
  </si>
  <si>
    <t>94570</t>
  </si>
  <si>
    <t>5222</t>
  </si>
  <si>
    <t>7154</t>
  </si>
  <si>
    <t>7155</t>
  </si>
  <si>
    <t>7156</t>
  </si>
  <si>
    <t>7158</t>
  </si>
  <si>
    <t>7159</t>
  </si>
  <si>
    <t>7160</t>
  </si>
  <si>
    <t>7162</t>
  </si>
  <si>
    <t>7163</t>
  </si>
  <si>
    <t>7166</t>
  </si>
  <si>
    <t>7168</t>
  </si>
  <si>
    <t>7169</t>
  </si>
  <si>
    <t>7221</t>
  </si>
  <si>
    <t>7222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</si>
  <si>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</si>
  <si>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</si>
  <si>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</si>
  <si>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</si>
  <si>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</si>
  <si>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</si>
  <si>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</si>
  <si>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</si>
  <si>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</si>
  <si>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</si>
  <si>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6271</t>
  </si>
  <si>
    <t>6335</t>
  </si>
  <si>
    <t>84070</t>
  </si>
  <si>
    <t>84071</t>
  </si>
  <si>
    <t>84072</t>
  </si>
  <si>
    <t>84400</t>
  </si>
  <si>
    <t>84401</t>
  </si>
  <si>
    <t>84402</t>
  </si>
  <si>
    <t>84403</t>
  </si>
  <si>
    <t>84404</t>
  </si>
  <si>
    <t>84405</t>
  </si>
  <si>
    <t>84406</t>
  </si>
  <si>
    <t>84407</t>
  </si>
  <si>
    <t>84408</t>
  </si>
  <si>
    <t>84409</t>
  </si>
  <si>
    <t>84413</t>
  </si>
  <si>
    <t>84000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</si>
  <si>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</si>
  <si>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</si>
  <si>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</si>
  <si>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</si>
  <si>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</si>
  <si>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</si>
  <si>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</si>
  <si>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</si>
  <si>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84350</t>
  </si>
  <si>
    <t>84351</t>
  </si>
  <si>
    <t>84352</t>
  </si>
  <si>
    <t>84353</t>
  </si>
  <si>
    <t>84354</t>
  </si>
  <si>
    <t>84355</t>
  </si>
  <si>
    <t>84356</t>
  </si>
  <si>
    <t>84360</t>
  </si>
  <si>
    <t>84390</t>
  </si>
  <si>
    <t>84391</t>
  </si>
  <si>
    <t>84392</t>
  </si>
  <si>
    <t>84393</t>
  </si>
  <si>
    <t>84394</t>
  </si>
  <si>
    <t>84395</t>
  </si>
  <si>
    <t>84397</t>
  </si>
  <si>
    <t>85001</t>
  </si>
  <si>
    <t>85002</t>
  </si>
  <si>
    <t>85003</t>
  </si>
  <si>
    <t>85004</t>
  </si>
  <si>
    <t>85005</t>
  </si>
  <si>
    <t>85006</t>
  </si>
  <si>
    <t>84081</t>
  </si>
  <si>
    <t>84357</t>
  </si>
  <si>
    <t>84358</t>
  </si>
  <si>
    <t>92257</t>
  </si>
  <si>
    <t>3921</t>
  </si>
  <si>
    <t>3922</t>
  </si>
  <si>
    <t>3923</t>
  </si>
  <si>
    <t>3924</t>
  </si>
  <si>
    <t>3925</t>
  </si>
  <si>
    <t>3926</t>
  </si>
  <si>
    <t>3927</t>
  </si>
  <si>
    <t>3953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</si>
  <si>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</si>
  <si>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</si>
  <si>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</si>
  <si>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</si>
  <si>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</si>
  <si>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</si>
  <si>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</si>
  <si>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</si>
  <si>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</si>
  <si>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4009</t>
  </si>
  <si>
    <t>4010</t>
  </si>
  <si>
    <t>4039</t>
  </si>
  <si>
    <t>4049</t>
  </si>
  <si>
    <t>4050</t>
  </si>
  <si>
    <t>3417</t>
  </si>
  <si>
    <t>3418</t>
  </si>
  <si>
    <t>8213</t>
  </si>
  <si>
    <t>8214</t>
  </si>
  <si>
    <t>92601</t>
  </si>
  <si>
    <t>92604</t>
  </si>
  <si>
    <t>92605</t>
  </si>
  <si>
    <t>92608</t>
  </si>
  <si>
    <t>92610</t>
  </si>
  <si>
    <t>92614</t>
  </si>
  <si>
    <t>92615</t>
  </si>
  <si>
    <t>92616</t>
  </si>
  <si>
    <t>92618</t>
  </si>
  <si>
    <t>92620</t>
  </si>
  <si>
    <t>92621</t>
  </si>
  <si>
    <t>92622</t>
  </si>
  <si>
    <t>92623</t>
  </si>
  <si>
    <t>92624</t>
  </si>
  <si>
    <t>92625</t>
  </si>
  <si>
    <t>92626</t>
  </si>
  <si>
    <t>92632</t>
  </si>
  <si>
    <t>92650</t>
  </si>
  <si>
    <t>92651</t>
  </si>
  <si>
    <t>92652</t>
  </si>
  <si>
    <t>92653</t>
  </si>
  <si>
    <t>92654</t>
  </si>
  <si>
    <t>92663</t>
  </si>
  <si>
    <t>92665</t>
  </si>
  <si>
    <t>92670</t>
  </si>
  <si>
    <t>92671</t>
  </si>
  <si>
    <t>92675</t>
  </si>
  <si>
    <t>92680</t>
  </si>
  <si>
    <t>92681</t>
  </si>
  <si>
    <t>92682</t>
  </si>
  <si>
    <t>92683</t>
  </si>
  <si>
    <t>92684</t>
  </si>
  <si>
    <t>92689</t>
  </si>
  <si>
    <t>92690</t>
  </si>
  <si>
    <t>92692</t>
  </si>
  <si>
    <t>92695</t>
  </si>
  <si>
    <t>92699</t>
  </si>
  <si>
    <t>93621</t>
  </si>
  <si>
    <t>93622</t>
  </si>
  <si>
    <t>94602</t>
  </si>
  <si>
    <t>94605</t>
  </si>
  <si>
    <t>94606</t>
  </si>
  <si>
    <t>94607</t>
  </si>
  <si>
    <t>96601</t>
  </si>
  <si>
    <t>96602</t>
  </si>
  <si>
    <t>96604</t>
  </si>
  <si>
    <t>96606</t>
  </si>
  <si>
    <t>96609</t>
  </si>
  <si>
    <t>96611</t>
  </si>
  <si>
    <t>96612</t>
  </si>
  <si>
    <t>96615</t>
  </si>
  <si>
    <t>96654</t>
  </si>
  <si>
    <t>96702</t>
  </si>
  <si>
    <t>96710</t>
  </si>
  <si>
    <t>96720</t>
  </si>
  <si>
    <t>96730</t>
  </si>
  <si>
    <t>96732</t>
  </si>
  <si>
    <t>96750</t>
  </si>
  <si>
    <t>96760</t>
  </si>
  <si>
    <t>96762</t>
  </si>
  <si>
    <t>96764</t>
  </si>
  <si>
    <t>96766</t>
  </si>
  <si>
    <t>37040</t>
  </si>
  <si>
    <t>37050</t>
  </si>
  <si>
    <t>37063</t>
  </si>
  <si>
    <t>37110</t>
  </si>
  <si>
    <t>91613</t>
  </si>
  <si>
    <t>91616</t>
  </si>
  <si>
    <t>91617</t>
  </si>
  <si>
    <t>91631</t>
  </si>
  <si>
    <t>91634</t>
  </si>
  <si>
    <t>91635</t>
  </si>
  <si>
    <t>95601</t>
  </si>
  <si>
    <t>95602</t>
  </si>
  <si>
    <t>95609</t>
  </si>
  <si>
    <t>97501</t>
  </si>
  <si>
    <t>97502</t>
  </si>
  <si>
    <t>97503</t>
  </si>
  <si>
    <t>5154</t>
  </si>
  <si>
    <t>5155</t>
  </si>
  <si>
    <t>5156</t>
  </si>
  <si>
    <t>5158</t>
  </si>
  <si>
    <t>16900</t>
  </si>
  <si>
    <t>16901</t>
  </si>
  <si>
    <t>16902</t>
  </si>
  <si>
    <t>12598</t>
  </si>
  <si>
    <t>12599</t>
  </si>
  <si>
    <t>12591</t>
  </si>
  <si>
    <t>12593</t>
  </si>
  <si>
    <t>12594</t>
  </si>
  <si>
    <t>12595</t>
  </si>
  <si>
    <t>12596</t>
  </si>
  <si>
    <t>12597</t>
  </si>
  <si>
    <t>12711</t>
  </si>
  <si>
    <t>12712</t>
  </si>
  <si>
    <t>12713</t>
  </si>
  <si>
    <t>12714</t>
  </si>
  <si>
    <t>12715</t>
  </si>
  <si>
    <t>12720</t>
  </si>
  <si>
    <t>92073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</si>
  <si>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</si>
  <si>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</si>
  <si>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</si>
  <si>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</si>
  <si>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</si>
  <si>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</si>
  <si>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</si>
  <si>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</si>
  <si>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84299</t>
  </si>
  <si>
    <t>84369</t>
  </si>
  <si>
    <t>84370</t>
  </si>
  <si>
    <t>84371</t>
  </si>
  <si>
    <t>84372</t>
  </si>
  <si>
    <t>84373</t>
  </si>
  <si>
    <t>84374</t>
  </si>
  <si>
    <t>84375</t>
  </si>
  <si>
    <t>84376</t>
  </si>
  <si>
    <t>84377</t>
  </si>
  <si>
    <t>88376</t>
  </si>
  <si>
    <t>88377</t>
  </si>
  <si>
    <t>88378</t>
  </si>
  <si>
    <t>88379</t>
  </si>
  <si>
    <t>88380</t>
  </si>
  <si>
    <t>88381</t>
  </si>
  <si>
    <t>88382</t>
  </si>
  <si>
    <t>98840</t>
  </si>
  <si>
    <t>98842</t>
  </si>
  <si>
    <t>98843</t>
  </si>
  <si>
    <t>98844</t>
  </si>
  <si>
    <t>98845</t>
  </si>
  <si>
    <t>98943</t>
  </si>
  <si>
    <t>98944</t>
  </si>
  <si>
    <t>5216</t>
  </si>
  <si>
    <t>5217</t>
  </si>
  <si>
    <t>5218</t>
  </si>
  <si>
    <t>81861</t>
  </si>
  <si>
    <t>81862</t>
  </si>
  <si>
    <t>81863</t>
  </si>
  <si>
    <t>81864</t>
  </si>
  <si>
    <t>81865</t>
  </si>
  <si>
    <t>12881</t>
  </si>
  <si>
    <t>12882</t>
  </si>
  <si>
    <t>88100</t>
  </si>
  <si>
    <t>94051</t>
  </si>
  <si>
    <t>94052</t>
  </si>
  <si>
    <t>94053</t>
  </si>
  <si>
    <t>94054</t>
  </si>
  <si>
    <t>94055</t>
  </si>
  <si>
    <t>94056</t>
  </si>
  <si>
    <t>94193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</si>
  <si>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</si>
  <si>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</si>
  <si>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</si>
  <si>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</si>
  <si>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</si>
  <si>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</si>
  <si>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</si>
  <si>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</si>
  <si>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</si>
  <si>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</si>
  <si>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</si>
  <si>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</si>
  <si>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</si>
  <si>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</si>
  <si>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</si>
  <si>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</si>
  <si>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</si>
  <si>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</si>
  <si>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</si>
  <si>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1320</t>
  </si>
  <si>
    <t>1321</t>
  </si>
  <si>
    <t>1322</t>
  </si>
  <si>
    <t>1323</t>
  </si>
  <si>
    <t>1328</t>
  </si>
  <si>
    <t>1329</t>
  </si>
  <si>
    <t>1330</t>
  </si>
  <si>
    <t>1340</t>
  </si>
  <si>
    <t>1341</t>
  </si>
  <si>
    <t>1331</t>
  </si>
  <si>
    <t>1332</t>
  </si>
  <si>
    <t>1333</t>
  </si>
  <si>
    <t>3931</t>
  </si>
  <si>
    <t>3932</t>
  </si>
  <si>
    <t>3933</t>
  </si>
  <si>
    <t>3934</t>
  </si>
  <si>
    <t>3935</t>
  </si>
  <si>
    <t>3936</t>
  </si>
  <si>
    <t>3937</t>
  </si>
  <si>
    <t>3938</t>
  </si>
  <si>
    <t>6425</t>
  </si>
  <si>
    <t>6427</t>
  </si>
  <si>
    <t>6429</t>
  </si>
  <si>
    <t>6431</t>
  </si>
  <si>
    <t>6433</t>
  </si>
  <si>
    <t>6437</t>
  </si>
  <si>
    <t>6438</t>
  </si>
  <si>
    <t>6439</t>
  </si>
  <si>
    <t>3904</t>
  </si>
  <si>
    <t>3905</t>
  </si>
  <si>
    <t>3928</t>
  </si>
  <si>
    <t>3929</t>
  </si>
  <si>
    <t>3930</t>
  </si>
  <si>
    <t>3951</t>
  </si>
  <si>
    <t>3957</t>
  </si>
  <si>
    <t>3962</t>
  </si>
  <si>
    <t>3966</t>
  </si>
  <si>
    <t>3979</t>
  </si>
  <si>
    <t>7081</t>
  </si>
  <si>
    <t>200020</t>
  </si>
  <si>
    <t>200025</t>
  </si>
  <si>
    <t>200032</t>
  </si>
  <si>
    <t>200040</t>
  </si>
  <si>
    <t>200050</t>
  </si>
  <si>
    <t>200063</t>
  </si>
  <si>
    <t>201620</t>
  </si>
  <si>
    <t>201625</t>
  </si>
  <si>
    <t>201632</t>
  </si>
  <si>
    <t>201640</t>
  </si>
  <si>
    <t>201650</t>
  </si>
  <si>
    <t>201663</t>
  </si>
  <si>
    <t>201020</t>
  </si>
  <si>
    <t>201025</t>
  </si>
  <si>
    <t>201032</t>
  </si>
  <si>
    <t>201040</t>
  </si>
  <si>
    <t>201050</t>
  </si>
  <si>
    <t>201063</t>
  </si>
  <si>
    <t>201220</t>
  </si>
  <si>
    <t>201225</t>
  </si>
  <si>
    <t>201232</t>
  </si>
  <si>
    <t>201240</t>
  </si>
  <si>
    <t>201250</t>
  </si>
  <si>
    <t>201263</t>
  </si>
  <si>
    <t>201326</t>
  </si>
  <si>
    <t>201333</t>
  </si>
  <si>
    <t>201341</t>
  </si>
  <si>
    <t>201351</t>
  </si>
  <si>
    <t>201364</t>
  </si>
  <si>
    <t>202020</t>
  </si>
  <si>
    <t>202025</t>
  </si>
  <si>
    <t>202032</t>
  </si>
  <si>
    <t>202040</t>
  </si>
  <si>
    <t>202050</t>
  </si>
  <si>
    <t>202063</t>
  </si>
  <si>
    <t>202126</t>
  </si>
  <si>
    <t>202133</t>
  </si>
  <si>
    <t>202134</t>
  </si>
  <si>
    <t>202141</t>
  </si>
  <si>
    <t>202142</t>
  </si>
  <si>
    <t>202151</t>
  </si>
  <si>
    <t>202152</t>
  </si>
  <si>
    <t>202164</t>
  </si>
  <si>
    <t>202165</t>
  </si>
  <si>
    <t>203126</t>
  </si>
  <si>
    <t>203133</t>
  </si>
  <si>
    <t>203134</t>
  </si>
  <si>
    <t>203141</t>
  </si>
  <si>
    <t>203142</t>
  </si>
  <si>
    <t>203151</t>
  </si>
  <si>
    <t>203152</t>
  </si>
  <si>
    <t>203164</t>
  </si>
  <si>
    <t>203165</t>
  </si>
  <si>
    <t>207120</t>
  </si>
  <si>
    <t>207125</t>
  </si>
  <si>
    <t>207132</t>
  </si>
  <si>
    <t>81610</t>
  </si>
  <si>
    <t>204026</t>
  </si>
  <si>
    <t>204033</t>
  </si>
  <si>
    <t>204041</t>
  </si>
  <si>
    <t>204042</t>
  </si>
  <si>
    <t>204051</t>
  </si>
  <si>
    <t>204052</t>
  </si>
  <si>
    <t>204064</t>
  </si>
  <si>
    <t>204065</t>
  </si>
  <si>
    <t>203220</t>
  </si>
  <si>
    <t>203225</t>
  </si>
  <si>
    <t>203232</t>
  </si>
  <si>
    <t>203240</t>
  </si>
  <si>
    <t>203250</t>
  </si>
  <si>
    <t>203263</t>
  </si>
  <si>
    <t>203326</t>
  </si>
  <si>
    <t>203420</t>
  </si>
  <si>
    <t>203425</t>
  </si>
  <si>
    <t>203432</t>
  </si>
  <si>
    <t>203440</t>
  </si>
  <si>
    <t>203450</t>
  </si>
  <si>
    <t>203463</t>
  </si>
  <si>
    <t>203526</t>
  </si>
  <si>
    <t>203020</t>
  </si>
  <si>
    <t>203025</t>
  </si>
  <si>
    <t>203032</t>
  </si>
  <si>
    <t>203040</t>
  </si>
  <si>
    <t>203050</t>
  </si>
  <si>
    <t>203063</t>
  </si>
  <si>
    <t>24280</t>
  </si>
  <si>
    <t>24281</t>
  </si>
  <si>
    <t>208020</t>
  </si>
  <si>
    <t>208025</t>
  </si>
  <si>
    <t>208032</t>
  </si>
  <si>
    <t>208040</t>
  </si>
  <si>
    <t>208050</t>
  </si>
  <si>
    <t>208063</t>
  </si>
  <si>
    <t>205020</t>
  </si>
  <si>
    <t>205025</t>
  </si>
  <si>
    <t>205032</t>
  </si>
  <si>
    <t>205040</t>
  </si>
  <si>
    <t>205050</t>
  </si>
  <si>
    <t>205063</t>
  </si>
  <si>
    <t>206020</t>
  </si>
  <si>
    <t>206025</t>
  </si>
  <si>
    <t>206032</t>
  </si>
  <si>
    <t>206040</t>
  </si>
  <si>
    <t>206050</t>
  </si>
  <si>
    <t>206063</t>
  </si>
  <si>
    <t>24020</t>
  </si>
  <si>
    <t>24025</t>
  </si>
  <si>
    <t>24032</t>
  </si>
  <si>
    <t>24040</t>
  </si>
  <si>
    <t>24050</t>
  </si>
  <si>
    <t>24063</t>
  </si>
  <si>
    <t>7014</t>
  </si>
  <si>
    <t>24120</t>
  </si>
  <si>
    <t>24125</t>
  </si>
  <si>
    <t>24132</t>
  </si>
  <si>
    <t>24140</t>
  </si>
  <si>
    <t>24150</t>
  </si>
  <si>
    <t>24163</t>
  </si>
  <si>
    <t>24240</t>
  </si>
  <si>
    <t>24263</t>
  </si>
  <si>
    <t>24270</t>
  </si>
  <si>
    <t>24271</t>
  </si>
  <si>
    <t>22063</t>
  </si>
  <si>
    <t>209020</t>
  </si>
  <si>
    <t>209025</t>
  </si>
  <si>
    <t>209032</t>
  </si>
  <si>
    <t>84046</t>
  </si>
  <si>
    <t>84047</t>
  </si>
  <si>
    <t>84048</t>
  </si>
  <si>
    <t>7139</t>
  </si>
  <si>
    <t>7140</t>
  </si>
  <si>
    <t>7141</t>
  </si>
  <si>
    <t>32113</t>
  </si>
  <si>
    <t>32161</t>
  </si>
  <si>
    <t>32340</t>
  </si>
  <si>
    <t>32350</t>
  </si>
  <si>
    <t>32363</t>
  </si>
  <si>
    <t>421130</t>
  </si>
  <si>
    <t>421200</t>
  </si>
  <si>
    <t>12699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</si>
  <si>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</si>
  <si>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</si>
  <si>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</si>
  <si>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</si>
  <si>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</si>
  <si>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</si>
  <si>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</si>
  <si>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</si>
  <si>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</si>
  <si>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</si>
  <si>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84049</t>
  </si>
  <si>
    <t>85021</t>
  </si>
  <si>
    <t>85022</t>
  </si>
  <si>
    <t>85023</t>
  </si>
  <si>
    <t>85024</t>
  </si>
  <si>
    <t>85025</t>
  </si>
  <si>
    <t>85026</t>
  </si>
  <si>
    <t>85370</t>
  </si>
  <si>
    <t>85371</t>
  </si>
  <si>
    <t>85372</t>
  </si>
  <si>
    <t>85373</t>
  </si>
  <si>
    <t>85374</t>
  </si>
  <si>
    <t>85375</t>
  </si>
  <si>
    <t>85376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</si>
  <si>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</si>
  <si>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</si>
  <si>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</si>
  <si>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</si>
  <si>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</si>
  <si>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</si>
  <si>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</si>
  <si>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</si>
  <si>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</si>
  <si>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32111</t>
  </si>
  <si>
    <t>32160</t>
  </si>
  <si>
    <t>32240</t>
  </si>
  <si>
    <t>32250</t>
  </si>
  <si>
    <t>32263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</si>
  <si>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</si>
  <si>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</si>
  <si>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</si>
  <si>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</si>
  <si>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</si>
  <si>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</si>
  <si>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</si>
  <si>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</si>
  <si>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</si>
  <si>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7134</t>
  </si>
  <si>
    <t>7135</t>
  </si>
  <si>
    <t>7138</t>
  </si>
  <si>
    <t>7136</t>
  </si>
  <si>
    <t>85311</t>
  </si>
  <si>
    <t>85312</t>
  </si>
  <si>
    <t>85313</t>
  </si>
  <si>
    <t>85314</t>
  </si>
  <si>
    <t>85315</t>
  </si>
  <si>
    <t>85316</t>
  </si>
  <si>
    <t>85317</t>
  </si>
  <si>
    <t>85328</t>
  </si>
  <si>
    <t>5134</t>
  </si>
  <si>
    <t>5135</t>
  </si>
  <si>
    <t>5136</t>
  </si>
  <si>
    <t>5138</t>
  </si>
  <si>
    <t>92028</t>
  </si>
  <si>
    <t>92029</t>
  </si>
  <si>
    <t>92032</t>
  </si>
  <si>
    <t>92261</t>
  </si>
  <si>
    <t>92262</t>
  </si>
  <si>
    <t>92263</t>
  </si>
  <si>
    <t>92264</t>
  </si>
  <si>
    <t>92532</t>
  </si>
  <si>
    <t>96011</t>
  </si>
  <si>
    <t>96511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</si>
  <si>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</si>
  <si>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</si>
  <si>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</si>
  <si>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</si>
  <si>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</si>
  <si>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</si>
  <si>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</si>
  <si>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</si>
  <si>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</si>
  <si>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</si>
  <si>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</si>
  <si>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</si>
  <si>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</si>
  <si>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</si>
  <si>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</si>
  <si>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</si>
  <si>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</si>
  <si>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</si>
  <si>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</si>
  <si>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</si>
  <si>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</si>
  <si>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</si>
  <si>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</si>
  <si>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88325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</si>
  <si>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</si>
  <si>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</si>
  <si>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</si>
  <si>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</si>
  <si>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</si>
  <si>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</si>
  <si>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</si>
  <si>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</si>
  <si>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</si>
  <si>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98854</t>
  </si>
  <si>
    <t>98846</t>
  </si>
  <si>
    <t>98847</t>
  </si>
  <si>
    <t>98849</t>
  </si>
  <si>
    <t>98850</t>
  </si>
  <si>
    <t>98851</t>
  </si>
  <si>
    <t>98880</t>
  </si>
  <si>
    <t>98881</t>
  </si>
  <si>
    <t>98882</t>
  </si>
  <si>
    <t>98901</t>
  </si>
  <si>
    <t>98902</t>
  </si>
  <si>
    <t>38110</t>
  </si>
  <si>
    <t>39110</t>
  </si>
  <si>
    <t>92090</t>
  </si>
  <si>
    <t>92187</t>
  </si>
  <si>
    <t>92188</t>
  </si>
  <si>
    <t>92189</t>
  </si>
  <si>
    <t>92502</t>
  </si>
  <si>
    <t>6481</t>
  </si>
  <si>
    <t>6482</t>
  </si>
  <si>
    <t>6483</t>
  </si>
  <si>
    <t>6484</t>
  </si>
  <si>
    <t>6485</t>
  </si>
  <si>
    <t>7314</t>
  </si>
  <si>
    <t>7315</t>
  </si>
  <si>
    <t>7316</t>
  </si>
  <si>
    <t>84440</t>
  </si>
  <si>
    <t>84441</t>
  </si>
  <si>
    <t>84442</t>
  </si>
  <si>
    <t>84443</t>
  </si>
  <si>
    <t>84454</t>
  </si>
  <si>
    <t>84455</t>
  </si>
  <si>
    <t>84456</t>
  </si>
  <si>
    <t>26001</t>
  </si>
  <si>
    <t>26002</t>
  </si>
  <si>
    <t>26003</t>
  </si>
  <si>
    <t>26011</t>
  </si>
  <si>
    <t>26012</t>
  </si>
  <si>
    <t>26021</t>
  </si>
  <si>
    <t>26022</t>
  </si>
  <si>
    <t>26023</t>
  </si>
  <si>
    <t>26101</t>
  </si>
  <si>
    <t>26102</t>
  </si>
  <si>
    <t>26103</t>
  </si>
  <si>
    <t>26111</t>
  </si>
  <si>
    <t>26112</t>
  </si>
  <si>
    <t>26221</t>
  </si>
  <si>
    <t>26333</t>
  </si>
  <si>
    <t>26422</t>
  </si>
  <si>
    <t>26423</t>
  </si>
  <si>
    <t>26424</t>
  </si>
  <si>
    <t>3820</t>
  </si>
  <si>
    <t>3821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</si>
  <si>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</si>
  <si>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</si>
  <si>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</si>
  <si>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</si>
  <si>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</si>
  <si>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</si>
  <si>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</si>
  <si>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</si>
  <si>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</si>
  <si>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4061</t>
  </si>
  <si>
    <t>26522</t>
  </si>
  <si>
    <t>26523</t>
  </si>
  <si>
    <t>26524</t>
  </si>
  <si>
    <t>26526</t>
  </si>
  <si>
    <t>26527</t>
  </si>
  <si>
    <t>26626</t>
  </si>
  <si>
    <t>26627</t>
  </si>
  <si>
    <t>7114</t>
  </si>
  <si>
    <t>7115</t>
  </si>
  <si>
    <t>7116</t>
  </si>
  <si>
    <t>7118</t>
  </si>
  <si>
    <t>7119</t>
  </si>
  <si>
    <t>7120</t>
  </si>
  <si>
    <t>7129</t>
  </si>
  <si>
    <t>12521</t>
  </si>
  <si>
    <t>12522</t>
  </si>
  <si>
    <t>12523</t>
  </si>
  <si>
    <t>12527</t>
  </si>
  <si>
    <t>12528</t>
  </si>
  <si>
    <t>12529</t>
  </si>
  <si>
    <t>6298</t>
  </si>
  <si>
    <t>6299</t>
  </si>
  <si>
    <t>6300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</si>
  <si>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</si>
  <si>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</si>
  <si>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</si>
  <si>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</si>
  <si>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</si>
  <si>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</si>
  <si>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</si>
  <si>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</si>
  <si>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</si>
  <si>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</si>
  <si>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</si>
  <si>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</si>
  <si>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6350</t>
  </si>
  <si>
    <t>6414</t>
  </si>
  <si>
    <t>6837</t>
  </si>
  <si>
    <t>6838</t>
  </si>
  <si>
    <t>6847</t>
  </si>
  <si>
    <t>6848</t>
  </si>
  <si>
    <t>6849</t>
  </si>
  <si>
    <t>6858</t>
  </si>
  <si>
    <t>6291</t>
  </si>
  <si>
    <t>6338</t>
  </si>
  <si>
    <t>6347</t>
  </si>
  <si>
    <t>6348</t>
  </si>
  <si>
    <t>7225</t>
  </si>
  <si>
    <t>28500</t>
  </si>
  <si>
    <t>28501</t>
  </si>
  <si>
    <t>28509</t>
  </si>
  <si>
    <t>28510</t>
  </si>
  <si>
    <t>28511</t>
  </si>
  <si>
    <t>28512</t>
  </si>
  <si>
    <t>28513</t>
  </si>
  <si>
    <t>28523</t>
  </si>
  <si>
    <t>28524</t>
  </si>
  <si>
    <t>28525</t>
  </si>
  <si>
    <t>28527</t>
  </si>
  <si>
    <t>28528</t>
  </si>
  <si>
    <t>28529</t>
  </si>
  <si>
    <t>28623</t>
  </si>
  <si>
    <t>28627</t>
  </si>
  <si>
    <t>28628</t>
  </si>
  <si>
    <t>28723</t>
  </si>
  <si>
    <t>28724</t>
  </si>
  <si>
    <t>28725</t>
  </si>
  <si>
    <t>28727</t>
  </si>
  <si>
    <t>28728</t>
  </si>
  <si>
    <t>28827</t>
  </si>
  <si>
    <t>92077</t>
  </si>
  <si>
    <t>94097</t>
  </si>
  <si>
    <t>94215</t>
  </si>
  <si>
    <t>94216</t>
  </si>
  <si>
    <t>94217</t>
  </si>
  <si>
    <t>94218</t>
  </si>
  <si>
    <t>94153</t>
  </si>
  <si>
    <t>94160</t>
  </si>
  <si>
    <t>94166</t>
  </si>
  <si>
    <t>94168</t>
  </si>
  <si>
    <t>7201</t>
  </si>
  <si>
    <t>7202</t>
  </si>
  <si>
    <t>7203</t>
  </si>
  <si>
    <t>7204</t>
  </si>
  <si>
    <t>7206</t>
  </si>
  <si>
    <t>7205</t>
  </si>
  <si>
    <t>9103</t>
  </si>
  <si>
    <t>9116</t>
  </si>
  <si>
    <t>9117</t>
  </si>
  <si>
    <t>5201</t>
  </si>
  <si>
    <t>5202</t>
  </si>
  <si>
    <t>5203</t>
  </si>
  <si>
    <t>5204</t>
  </si>
  <si>
    <t>413130</t>
  </si>
  <si>
    <t>418130</t>
  </si>
  <si>
    <t>418200</t>
  </si>
  <si>
    <t>419200</t>
  </si>
  <si>
    <t>9106</t>
  </si>
  <si>
    <t>3601</t>
  </si>
  <si>
    <t>3602</t>
  </si>
  <si>
    <t>3603</t>
  </si>
  <si>
    <t>3604</t>
  </si>
  <si>
    <t>3605</t>
  </si>
  <si>
    <t>3606</t>
  </si>
  <si>
    <t>3621</t>
  </si>
  <si>
    <t>3622</t>
  </si>
  <si>
    <t>3623</t>
  </si>
  <si>
    <t>3624</t>
  </si>
  <si>
    <t>3625</t>
  </si>
  <si>
    <t>3626</t>
  </si>
  <si>
    <t>3627</t>
  </si>
  <si>
    <t>3631</t>
  </si>
  <si>
    <t>3632</t>
  </si>
  <si>
    <t>3633</t>
  </si>
  <si>
    <t>3634</t>
  </si>
  <si>
    <t>3635</t>
  </si>
  <si>
    <t>3636</t>
  </si>
  <si>
    <t>3651</t>
  </si>
  <si>
    <t>3652</t>
  </si>
  <si>
    <t>3653</t>
  </si>
  <si>
    <t>3654</t>
  </si>
  <si>
    <t>3655</t>
  </si>
  <si>
    <t>3656</t>
  </si>
  <si>
    <t>3701</t>
  </si>
  <si>
    <t>3702</t>
  </si>
  <si>
    <t>3611</t>
  </si>
  <si>
    <t>3612</t>
  </si>
  <si>
    <t>3613</t>
  </si>
  <si>
    <t>3614</t>
  </si>
  <si>
    <t>3615</t>
  </si>
  <si>
    <t>3616</t>
  </si>
  <si>
    <t>3617</t>
  </si>
  <si>
    <t>3641</t>
  </si>
  <si>
    <t>3642</t>
  </si>
  <si>
    <t>3643</t>
  </si>
  <si>
    <t>3644</t>
  </si>
  <si>
    <t>3645</t>
  </si>
  <si>
    <t>3646</t>
  </si>
  <si>
    <t>3661</t>
  </si>
  <si>
    <t>3662</t>
  </si>
  <si>
    <t>3663</t>
  </si>
  <si>
    <t>3664</t>
  </si>
  <si>
    <t>3665</t>
  </si>
  <si>
    <t>3666</t>
  </si>
  <si>
    <t>8208</t>
  </si>
  <si>
    <t>8220</t>
  </si>
  <si>
    <t>9107</t>
  </si>
  <si>
    <t>9114</t>
  </si>
  <si>
    <t>6380</t>
  </si>
  <si>
    <t>6411</t>
  </si>
  <si>
    <t>6412</t>
  </si>
  <si>
    <t>6413</t>
  </si>
  <si>
    <t>8101</t>
  </si>
  <si>
    <t>8102</t>
  </si>
  <si>
    <t>8103</t>
  </si>
  <si>
    <t>8104</t>
  </si>
  <si>
    <t>8105</t>
  </si>
  <si>
    <t>8106</t>
  </si>
  <si>
    <t>8107</t>
  </si>
  <si>
    <t>8320</t>
  </si>
  <si>
    <t>8321</t>
  </si>
  <si>
    <t>8322</t>
  </si>
  <si>
    <t>8323</t>
  </si>
  <si>
    <t>8324</t>
  </si>
  <si>
    <t>8325</t>
  </si>
  <si>
    <t>8326</t>
  </si>
  <si>
    <t>8327</t>
  </si>
  <si>
    <t>8331</t>
  </si>
  <si>
    <t>8332</t>
  </si>
  <si>
    <t>8333</t>
  </si>
  <si>
    <t>8334</t>
  </si>
  <si>
    <t>8335</t>
  </si>
  <si>
    <t>8336</t>
  </si>
  <si>
    <t>98837</t>
  </si>
  <si>
    <t>6293</t>
  </si>
  <si>
    <t>6295</t>
  </si>
  <si>
    <t>6296</t>
  </si>
  <si>
    <t>6949</t>
  </si>
  <si>
    <t>16239</t>
  </si>
  <si>
    <t>16240</t>
  </si>
  <si>
    <t>16241</t>
  </si>
  <si>
    <t>16242</t>
  </si>
  <si>
    <t>94250</t>
  </si>
  <si>
    <t>94251</t>
  </si>
  <si>
    <t>94252</t>
  </si>
  <si>
    <t>94253</t>
  </si>
  <si>
    <t>94254</t>
  </si>
  <si>
    <t>94255</t>
  </si>
  <si>
    <t>94256</t>
  </si>
  <si>
    <t>94257</t>
  </si>
  <si>
    <t>94258</t>
  </si>
  <si>
    <t>94259</t>
  </si>
  <si>
    <t>6574</t>
  </si>
  <si>
    <t>6575</t>
  </si>
  <si>
    <t>6576</t>
  </si>
  <si>
    <t>6577</t>
  </si>
  <si>
    <t>6578</t>
  </si>
  <si>
    <t>6579</t>
  </si>
  <si>
    <t>94167</t>
  </si>
  <si>
    <t>94169</t>
  </si>
  <si>
    <t>94170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</si>
  <si>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</si>
  <si>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</si>
  <si>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</si>
  <si>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</si>
  <si>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</si>
  <si>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</si>
  <si>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</si>
  <si>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</si>
  <si>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94567</t>
  </si>
  <si>
    <t>6193</t>
  </si>
  <si>
    <t>6194</t>
  </si>
  <si>
    <t>3710</t>
  </si>
  <si>
    <t>3711</t>
  </si>
  <si>
    <t>3389</t>
  </si>
  <si>
    <t>3390</t>
  </si>
  <si>
    <t>3391</t>
  </si>
  <si>
    <t>3392</t>
  </si>
  <si>
    <t>3393</t>
  </si>
  <si>
    <t>3394</t>
  </si>
  <si>
    <t>3395</t>
  </si>
  <si>
    <t>3396</t>
  </si>
  <si>
    <t>3398</t>
  </si>
  <si>
    <t>3399</t>
  </si>
  <si>
    <t>401335</t>
  </si>
  <si>
    <t>401345</t>
  </si>
  <si>
    <t>401350</t>
  </si>
  <si>
    <t>407350</t>
  </si>
  <si>
    <t>407370</t>
  </si>
  <si>
    <t>407390</t>
  </si>
  <si>
    <t>404150</t>
  </si>
  <si>
    <t>404170</t>
  </si>
  <si>
    <t>404190</t>
  </si>
  <si>
    <t>405150</t>
  </si>
  <si>
    <t>405170</t>
  </si>
  <si>
    <t>405190</t>
  </si>
  <si>
    <t>84151</t>
  </si>
  <si>
    <t>84311</t>
  </si>
  <si>
    <t>84312</t>
  </si>
  <si>
    <t>84313</t>
  </si>
  <si>
    <t>84314</t>
  </si>
  <si>
    <t>84315</t>
  </si>
  <si>
    <t>84316</t>
  </si>
  <si>
    <t>84331</t>
  </si>
  <si>
    <t>84332</t>
  </si>
  <si>
    <t>84333</t>
  </si>
  <si>
    <t>84334</t>
  </si>
  <si>
    <t>84335</t>
  </si>
  <si>
    <t>84336</t>
  </si>
  <si>
    <t>94210</t>
  </si>
  <si>
    <t>86301</t>
  </si>
  <si>
    <t>86302</t>
  </si>
  <si>
    <t>86303</t>
  </si>
  <si>
    <t>86309</t>
  </si>
  <si>
    <t>86320</t>
  </si>
  <si>
    <t>86415</t>
  </si>
  <si>
    <t>86416</t>
  </si>
  <si>
    <t>86417</t>
  </si>
  <si>
    <t>3965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</si>
  <si>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</si>
  <si>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</si>
  <si>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</si>
  <si>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</si>
  <si>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</si>
  <si>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</si>
  <si>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</si>
  <si>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</si>
  <si>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</si>
  <si>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</si>
  <si>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</si>
  <si>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</si>
  <si>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</si>
  <si>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92013</t>
  </si>
  <si>
    <t>92014</t>
  </si>
  <si>
    <t>92015</t>
  </si>
  <si>
    <t>92016</t>
  </si>
  <si>
    <t>92213</t>
  </si>
  <si>
    <t>92214</t>
  </si>
  <si>
    <t>92215</t>
  </si>
  <si>
    <t>92216</t>
  </si>
  <si>
    <t>92267</t>
  </si>
  <si>
    <t>92513</t>
  </si>
  <si>
    <t>92514</t>
  </si>
  <si>
    <t>92515</t>
  </si>
  <si>
    <t>92516</t>
  </si>
  <si>
    <t>96008</t>
  </si>
  <si>
    <t>96009</t>
  </si>
  <si>
    <t>96509</t>
  </si>
  <si>
    <t>12647</t>
  </si>
  <si>
    <t>12648</t>
  </si>
  <si>
    <t>12649</t>
  </si>
  <si>
    <t>12650</t>
  </si>
  <si>
    <t>12655</t>
  </si>
  <si>
    <t>12656</t>
  </si>
  <si>
    <t>12657</t>
  </si>
  <si>
    <t>411350</t>
  </si>
  <si>
    <t>411360</t>
  </si>
  <si>
    <t>411361</t>
  </si>
  <si>
    <t>412130</t>
  </si>
  <si>
    <t>417200</t>
  </si>
  <si>
    <t>3437</t>
  </si>
  <si>
    <t>3438</t>
  </si>
  <si>
    <t>3439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</si>
  <si>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</si>
  <si>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</si>
  <si>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</si>
  <si>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</si>
  <si>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</si>
  <si>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</si>
  <si>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</si>
  <si>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</si>
  <si>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</si>
  <si>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3457</t>
  </si>
  <si>
    <t>3458</t>
  </si>
  <si>
    <t>3459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</si>
  <si>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</si>
  <si>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</si>
  <si>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</si>
  <si>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</si>
  <si>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</si>
  <si>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</si>
  <si>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</si>
  <si>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</si>
  <si>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</si>
  <si>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</si>
  <si>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</si>
  <si>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</si>
  <si>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</si>
  <si>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</si>
  <si>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</si>
  <si>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</si>
  <si>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</si>
  <si>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</si>
  <si>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</si>
  <si>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</si>
  <si>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</si>
  <si>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</si>
  <si>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</si>
  <si>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</si>
  <si>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</si>
  <si>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</si>
  <si>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</si>
  <si>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</si>
  <si>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</si>
  <si>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</si>
  <si>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</si>
  <si>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</si>
  <si>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</si>
  <si>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</si>
  <si>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</si>
  <si>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</si>
  <si>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</si>
  <si>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</si>
  <si>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</si>
  <si>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</si>
  <si>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</si>
  <si>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</si>
  <si>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</si>
  <si>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</si>
  <si>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</si>
  <si>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94000</t>
  </si>
  <si>
    <t>94010</t>
  </si>
  <si>
    <t>94011</t>
  </si>
  <si>
    <t>94012</t>
  </si>
  <si>
    <t>94013</t>
  </si>
  <si>
    <t>94014</t>
  </si>
  <si>
    <t>94015</t>
  </si>
  <si>
    <t>94124</t>
  </si>
  <si>
    <t>6157</t>
  </si>
  <si>
    <t>6158</t>
  </si>
  <si>
    <t>6161</t>
  </si>
  <si>
    <t>6162</t>
  </si>
  <si>
    <t>400025</t>
  </si>
  <si>
    <t>6337</t>
  </si>
  <si>
    <t>92011</t>
  </si>
  <si>
    <t>92062</t>
  </si>
  <si>
    <t>92027</t>
  </si>
  <si>
    <t>92030</t>
  </si>
  <si>
    <t>92031</t>
  </si>
  <si>
    <t>92044</t>
  </si>
  <si>
    <t>92053</t>
  </si>
  <si>
    <t>92054</t>
  </si>
  <si>
    <t>92069</t>
  </si>
  <si>
    <t>92092</t>
  </si>
  <si>
    <t>92096</t>
  </si>
  <si>
    <t>92115</t>
  </si>
  <si>
    <t>92127</t>
  </si>
  <si>
    <t>92169</t>
  </si>
  <si>
    <t>92527</t>
  </si>
  <si>
    <t>92531</t>
  </si>
  <si>
    <t>92569</t>
  </si>
  <si>
    <t>96023</t>
  </si>
  <si>
    <t>96024</t>
  </si>
  <si>
    <t>96031</t>
  </si>
  <si>
    <t>96075</t>
  </si>
  <si>
    <t>92110</t>
  </si>
  <si>
    <t>92111</t>
  </si>
  <si>
    <t>4931</t>
  </si>
  <si>
    <t>4932</t>
  </si>
  <si>
    <t>4933</t>
  </si>
  <si>
    <t>4934</t>
  </si>
  <si>
    <t>4941</t>
  </si>
  <si>
    <t>4942</t>
  </si>
  <si>
    <t>4943</t>
  </si>
  <si>
    <t>4944</t>
  </si>
  <si>
    <t>94102</t>
  </si>
  <si>
    <t>94103</t>
  </si>
  <si>
    <t>94104</t>
  </si>
  <si>
    <t>94105</t>
  </si>
  <si>
    <t>94106</t>
  </si>
  <si>
    <t>94220</t>
  </si>
  <si>
    <t>94221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</si>
  <si>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</si>
  <si>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</si>
  <si>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</si>
  <si>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</si>
  <si>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</si>
  <si>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</si>
  <si>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</si>
  <si>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</si>
  <si>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</si>
  <si>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4831</t>
  </si>
  <si>
    <t>4832</t>
  </si>
  <si>
    <t>4841</t>
  </si>
  <si>
    <t>4842</t>
  </si>
  <si>
    <t>4851</t>
  </si>
  <si>
    <t>4852</t>
  </si>
  <si>
    <t>4853</t>
  </si>
  <si>
    <t>4854</t>
  </si>
  <si>
    <t>4890</t>
  </si>
  <si>
    <t>4894</t>
  </si>
  <si>
    <t>4920</t>
  </si>
  <si>
    <t>4921</t>
  </si>
  <si>
    <t>4929</t>
  </si>
  <si>
    <t>4991</t>
  </si>
  <si>
    <t>4992</t>
  </si>
  <si>
    <t>4998</t>
  </si>
  <si>
    <t>4999</t>
  </si>
  <si>
    <t>92070</t>
  </si>
  <si>
    <t>92071</t>
  </si>
  <si>
    <t>92072</t>
  </si>
  <si>
    <t>92250</t>
  </si>
  <si>
    <t>92251</t>
  </si>
  <si>
    <t>92253</t>
  </si>
  <si>
    <t>92268</t>
  </si>
  <si>
    <t>92269</t>
  </si>
  <si>
    <t>92270</t>
  </si>
  <si>
    <t>92271</t>
  </si>
  <si>
    <t>92283</t>
  </si>
  <si>
    <t>92285</t>
  </si>
  <si>
    <t>92286</t>
  </si>
  <si>
    <t>92287</t>
  </si>
  <si>
    <t>92289</t>
  </si>
  <si>
    <t>93055</t>
  </si>
  <si>
    <t>94036</t>
  </si>
  <si>
    <t>30005</t>
  </si>
  <si>
    <t>30006</t>
  </si>
  <si>
    <t>30007</t>
  </si>
  <si>
    <t>30008</t>
  </si>
  <si>
    <t>30009</t>
  </si>
  <si>
    <t>30011</t>
  </si>
  <si>
    <t>30012</t>
  </si>
  <si>
    <t>30013</t>
  </si>
  <si>
    <t>30020</t>
  </si>
  <si>
    <t>30021</t>
  </si>
  <si>
    <t>5001</t>
  </si>
  <si>
    <t>5002</t>
  </si>
  <si>
    <t>5003</t>
  </si>
  <si>
    <t>94002</t>
  </si>
  <si>
    <t>94003</t>
  </si>
  <si>
    <t>94004</t>
  </si>
  <si>
    <t>94005</t>
  </si>
  <si>
    <t>94207</t>
  </si>
  <si>
    <t>94208</t>
  </si>
  <si>
    <t>5011</t>
  </si>
  <si>
    <t>5012</t>
  </si>
  <si>
    <t>5013</t>
  </si>
  <si>
    <t>5004</t>
  </si>
  <si>
    <t>5005</t>
  </si>
  <si>
    <t>5006</t>
  </si>
  <si>
    <t>5007</t>
  </si>
  <si>
    <t>5008</t>
  </si>
  <si>
    <t>5009</t>
  </si>
  <si>
    <t>5014</t>
  </si>
  <si>
    <t>5015</t>
  </si>
  <si>
    <t>5016</t>
  </si>
  <si>
    <t>5017</t>
  </si>
  <si>
    <t>5018</t>
  </si>
  <si>
    <t>5019</t>
  </si>
  <si>
    <t>5021</t>
  </si>
  <si>
    <t>5022</t>
  </si>
  <si>
    <t>5023</t>
  </si>
  <si>
    <t>5025</t>
  </si>
  <si>
    <t>5026</t>
  </si>
  <si>
    <t>5027</t>
  </si>
  <si>
    <t>94203</t>
  </si>
  <si>
    <t>94204</t>
  </si>
  <si>
    <t>5331</t>
  </si>
  <si>
    <t>5332</t>
  </si>
  <si>
    <t>5333</t>
  </si>
  <si>
    <t>5334</t>
  </si>
  <si>
    <t>5335</t>
  </si>
  <si>
    <t>6077</t>
  </si>
  <si>
    <t>6185</t>
  </si>
  <si>
    <t>5030</t>
  </si>
  <si>
    <t>5031</t>
  </si>
  <si>
    <t>5032</t>
  </si>
  <si>
    <t>5033</t>
  </si>
  <si>
    <t>5034</t>
  </si>
  <si>
    <t>5035</t>
  </si>
  <si>
    <t>5036</t>
  </si>
  <si>
    <t>5037</t>
  </si>
  <si>
    <t>5041</t>
  </si>
  <si>
    <t>5042</t>
  </si>
  <si>
    <t>5043</t>
  </si>
  <si>
    <t>5045</t>
  </si>
  <si>
    <t>5046</t>
  </si>
  <si>
    <t>5047</t>
  </si>
  <si>
    <t>5067</t>
  </si>
  <si>
    <t>5948</t>
  </si>
  <si>
    <t>94006</t>
  </si>
  <si>
    <t>94007</t>
  </si>
  <si>
    <t>94008</t>
  </si>
  <si>
    <t>94009</t>
  </si>
  <si>
    <t>94125</t>
  </si>
  <si>
    <t>94126</t>
  </si>
  <si>
    <t>94127</t>
  </si>
  <si>
    <t>5320</t>
  </si>
  <si>
    <t>5321</t>
  </si>
  <si>
    <t>5322</t>
  </si>
  <si>
    <t>5323</t>
  </si>
  <si>
    <t>94078</t>
  </si>
  <si>
    <t>94058</t>
  </si>
  <si>
    <t>94059</t>
  </si>
  <si>
    <t>94114</t>
  </si>
  <si>
    <t>5077</t>
  </si>
  <si>
    <t>5078</t>
  </si>
  <si>
    <t>5079</t>
  </si>
  <si>
    <t>5080</t>
  </si>
  <si>
    <t>5081</t>
  </si>
  <si>
    <t>5082</t>
  </si>
  <si>
    <t>5083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</si>
  <si>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</si>
  <si>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</si>
  <si>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</si>
  <si>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</si>
  <si>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</si>
  <si>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</si>
  <si>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</si>
  <si>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</si>
  <si>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</si>
  <si>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</si>
  <si>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</si>
  <si>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</si>
  <si>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5100</t>
  </si>
  <si>
    <t>5101</t>
  </si>
  <si>
    <t>5102</t>
  </si>
  <si>
    <t>7240</t>
  </si>
  <si>
    <t>50001</t>
  </si>
  <si>
    <t>50003</t>
  </si>
  <si>
    <t>50007</t>
  </si>
  <si>
    <t>50009</t>
  </si>
  <si>
    <t>50010</t>
  </si>
  <si>
    <t>50011</t>
  </si>
  <si>
    <t>50012</t>
  </si>
  <si>
    <t>50021</t>
  </si>
  <si>
    <t>50031</t>
  </si>
  <si>
    <t>50033</t>
  </si>
  <si>
    <t>50034</t>
  </si>
  <si>
    <t>50036</t>
  </si>
  <si>
    <t>50041</t>
  </si>
  <si>
    <t>50051</t>
  </si>
  <si>
    <t>50052</t>
  </si>
  <si>
    <t>50071</t>
  </si>
  <si>
    <t>50081</t>
  </si>
  <si>
    <t>50091</t>
  </si>
  <si>
    <t>50931</t>
  </si>
  <si>
    <t>50935</t>
  </si>
  <si>
    <t>50101</t>
  </si>
  <si>
    <t>50102</t>
  </si>
  <si>
    <t>50107</t>
  </si>
  <si>
    <t>50108</t>
  </si>
  <si>
    <t>50111</t>
  </si>
  <si>
    <t>50112</t>
  </si>
  <si>
    <t>50115</t>
  </si>
  <si>
    <t>50117</t>
  </si>
  <si>
    <t>50118</t>
  </si>
  <si>
    <t>50121</t>
  </si>
  <si>
    <t>50122</t>
  </si>
  <si>
    <t>50129</t>
  </si>
  <si>
    <t>50131</t>
  </si>
  <si>
    <t>50132</t>
  </si>
  <si>
    <t>50133</t>
  </si>
  <si>
    <t>50141</t>
  </si>
  <si>
    <t>50142</t>
  </si>
  <si>
    <t>50143</t>
  </si>
  <si>
    <t>50144</t>
  </si>
  <si>
    <t>50145</t>
  </si>
  <si>
    <t>50159</t>
  </si>
  <si>
    <t>50162</t>
  </si>
  <si>
    <t>50167</t>
  </si>
  <si>
    <t>50168</t>
  </si>
  <si>
    <t>50169</t>
  </si>
  <si>
    <t>50170</t>
  </si>
  <si>
    <t>50177</t>
  </si>
  <si>
    <t>50178</t>
  </si>
  <si>
    <t>50179</t>
  </si>
  <si>
    <t>50921</t>
  </si>
  <si>
    <t>50181</t>
  </si>
  <si>
    <t>50182</t>
  </si>
  <si>
    <t>50183</t>
  </si>
  <si>
    <t>50184</t>
  </si>
  <si>
    <t>50185</t>
  </si>
  <si>
    <t>50186</t>
  </si>
  <si>
    <t>50191</t>
  </si>
  <si>
    <t>50192</t>
  </si>
  <si>
    <t>50193</t>
  </si>
  <si>
    <t>50194</t>
  </si>
  <si>
    <t>50195</t>
  </si>
  <si>
    <t>50901</t>
  </si>
  <si>
    <t>50904</t>
  </si>
  <si>
    <t>50911</t>
  </si>
  <si>
    <t>50941</t>
  </si>
  <si>
    <t>50942</t>
  </si>
  <si>
    <t>50943</t>
  </si>
  <si>
    <t>50951</t>
  </si>
  <si>
    <t>50952</t>
  </si>
  <si>
    <t>50953</t>
  </si>
  <si>
    <t>50954</t>
  </si>
  <si>
    <t>50961</t>
  </si>
  <si>
    <t>50971</t>
  </si>
  <si>
    <t>50992</t>
  </si>
  <si>
    <t>50993</t>
  </si>
  <si>
    <t>50994</t>
  </si>
  <si>
    <t>50212</t>
  </si>
  <si>
    <t>50215</t>
  </si>
  <si>
    <t>50222</t>
  </si>
  <si>
    <t>50232</t>
  </si>
  <si>
    <t>50234</t>
  </si>
  <si>
    <t>50241</t>
  </si>
  <si>
    <t>50243</t>
  </si>
  <si>
    <t>50246</t>
  </si>
  <si>
    <t>50300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</si>
  <si>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</si>
  <si>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</si>
  <si>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</si>
  <si>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</si>
  <si>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</si>
  <si>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</si>
  <si>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</si>
  <si>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</si>
  <si>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50400</t>
  </si>
  <si>
    <t>50402</t>
  </si>
  <si>
    <t>50403</t>
  </si>
  <si>
    <t>50404</t>
  </si>
  <si>
    <t>50405</t>
  </si>
  <si>
    <t>50406</t>
  </si>
  <si>
    <t>50407</t>
  </si>
  <si>
    <t>50408</t>
  </si>
  <si>
    <t>50411</t>
  </si>
  <si>
    <t>50421</t>
  </si>
  <si>
    <t>50431</t>
  </si>
  <si>
    <t>50441</t>
  </si>
  <si>
    <t>50452</t>
  </si>
  <si>
    <t>50453</t>
  </si>
  <si>
    <t>50454</t>
  </si>
  <si>
    <t>50455</t>
  </si>
  <si>
    <t>50461</t>
  </si>
  <si>
    <t>50462</t>
  </si>
  <si>
    <t>50471</t>
  </si>
  <si>
    <t>50472</t>
  </si>
  <si>
    <t>50475</t>
  </si>
  <si>
    <t>50476</t>
  </si>
  <si>
    <t>50477</t>
  </si>
  <si>
    <t>50478</t>
  </si>
  <si>
    <t>50481</t>
  </si>
  <si>
    <t>50482</t>
  </si>
  <si>
    <t>50483</t>
  </si>
  <si>
    <t>50484</t>
  </si>
  <si>
    <t>50489</t>
  </si>
  <si>
    <t>50490</t>
  </si>
  <si>
    <t>50491</t>
  </si>
  <si>
    <t>50492</t>
  </si>
  <si>
    <t>50970</t>
  </si>
  <si>
    <t>50497</t>
  </si>
  <si>
    <t>50498</t>
  </si>
  <si>
    <t>50499</t>
  </si>
  <si>
    <t>50501</t>
  </si>
  <si>
    <t>50502</t>
  </si>
  <si>
    <t>50503</t>
  </si>
  <si>
    <t>50511</t>
  </si>
  <si>
    <t>50521</t>
  </si>
  <si>
    <t>50531</t>
  </si>
  <si>
    <t>50532</t>
  </si>
  <si>
    <t>50533</t>
  </si>
  <si>
    <t>50541</t>
  </si>
  <si>
    <t>50542</t>
  </si>
  <si>
    <t>50551</t>
  </si>
  <si>
    <t>50601</t>
  </si>
  <si>
    <t>50602</t>
  </si>
  <si>
    <t>50611</t>
  </si>
  <si>
    <t>50701</t>
  </si>
  <si>
    <t>50702</t>
  </si>
  <si>
    <t>50703</t>
  </si>
  <si>
    <t>50704</t>
  </si>
  <si>
    <t>50750</t>
  </si>
  <si>
    <t>50751</t>
  </si>
  <si>
    <t>50711</t>
  </si>
  <si>
    <t>50712</t>
  </si>
  <si>
    <t>50713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</si>
  <si>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</si>
  <si>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</si>
  <si>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</si>
  <si>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</si>
  <si>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</si>
  <si>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</si>
  <si>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</si>
  <si>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</si>
  <si>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</si>
  <si>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50902</t>
  </si>
  <si>
    <t>50903</t>
  </si>
  <si>
    <t>50913</t>
  </si>
  <si>
    <t>50915</t>
  </si>
  <si>
    <t>50916</t>
  </si>
  <si>
    <t>50917</t>
  </si>
  <si>
    <t>50918</t>
  </si>
  <si>
    <t>50919</t>
  </si>
  <si>
    <t>50924</t>
  </si>
  <si>
    <t>50925</t>
  </si>
  <si>
    <t>50930</t>
  </si>
  <si>
    <t>50940</t>
  </si>
  <si>
    <t>50401</t>
  </si>
  <si>
    <t>51001</t>
  </si>
  <si>
    <t>51002</t>
  </si>
  <si>
    <t>51011</t>
  </si>
  <si>
    <t>51012</t>
  </si>
  <si>
    <t>51022</t>
  </si>
  <si>
    <t>51023</t>
  </si>
  <si>
    <t>51024</t>
  </si>
  <si>
    <t>51025</t>
  </si>
  <si>
    <t>51026</t>
  </si>
  <si>
    <t>51027</t>
  </si>
  <si>
    <t>51031</t>
  </si>
  <si>
    <t>51032</t>
  </si>
  <si>
    <t>51033</t>
  </si>
  <si>
    <t>51034</t>
  </si>
  <si>
    <t>51035</t>
  </si>
  <si>
    <t>51036</t>
  </si>
  <si>
    <t>51037</t>
  </si>
  <si>
    <t>51039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</si>
  <si>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</si>
  <si>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</si>
  <si>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</si>
  <si>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</si>
  <si>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</si>
  <si>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</si>
  <si>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</si>
  <si>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</si>
  <si>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</si>
  <si>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</si>
  <si>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</si>
  <si>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</si>
  <si>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</si>
  <si>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</si>
  <si>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</si>
  <si>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</si>
  <si>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</si>
  <si>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93607</t>
  </si>
  <si>
    <t>93608</t>
  </si>
  <si>
    <t>7512</t>
  </si>
  <si>
    <t>7513</t>
  </si>
  <si>
    <t>7531</t>
  </si>
  <si>
    <t>7541</t>
  </si>
  <si>
    <t>7542</t>
  </si>
  <si>
    <t>16232</t>
  </si>
  <si>
    <t>16233</t>
  </si>
  <si>
    <t>16234</t>
  </si>
  <si>
    <t>16235</t>
  </si>
  <si>
    <t>16236</t>
  </si>
  <si>
    <t>16237</t>
  </si>
  <si>
    <t>16238</t>
  </si>
  <si>
    <t>52501</t>
  </si>
  <si>
    <t>52502</t>
  </si>
  <si>
    <t>52510</t>
  </si>
  <si>
    <t>52511</t>
  </si>
  <si>
    <t>52520</t>
  </si>
  <si>
    <t>32112</t>
  </si>
  <si>
    <t>32140</t>
  </si>
  <si>
    <t>32150</t>
  </si>
  <si>
    <t>32163</t>
  </si>
  <si>
    <t>98830</t>
  </si>
  <si>
    <t>98831</t>
  </si>
  <si>
    <t>52075</t>
  </si>
  <si>
    <t>33111</t>
  </si>
  <si>
    <t>33140</t>
  </si>
  <si>
    <t>33150</t>
  </si>
  <si>
    <t>33161</t>
  </si>
  <si>
    <t>33163</t>
  </si>
  <si>
    <t>34112</t>
  </si>
  <si>
    <t>34140</t>
  </si>
  <si>
    <t>34150</t>
  </si>
  <si>
    <t>34163</t>
  </si>
  <si>
    <t>35115</t>
  </si>
  <si>
    <t>35116</t>
  </si>
  <si>
    <t>35117</t>
  </si>
  <si>
    <t>35150</t>
  </si>
  <si>
    <t>35161</t>
  </si>
  <si>
    <t>35163</t>
  </si>
  <si>
    <t>36113</t>
  </si>
  <si>
    <t>52003</t>
  </si>
  <si>
    <t>52006</t>
  </si>
  <si>
    <t>52008</t>
  </si>
  <si>
    <t>52009</t>
  </si>
  <si>
    <t>52010</t>
  </si>
  <si>
    <t>52031</t>
  </si>
  <si>
    <t>52032</t>
  </si>
  <si>
    <t>52033</t>
  </si>
  <si>
    <t>52034</t>
  </si>
  <si>
    <t>52041</t>
  </si>
  <si>
    <t>52042</t>
  </si>
  <si>
    <t>52043</t>
  </si>
  <si>
    <t>52113</t>
  </si>
  <si>
    <t>52021</t>
  </si>
  <si>
    <t>52023</t>
  </si>
  <si>
    <t>52025</t>
  </si>
  <si>
    <t>52026</t>
  </si>
  <si>
    <t>52028</t>
  </si>
  <si>
    <t>52122</t>
  </si>
  <si>
    <t>52123</t>
  </si>
  <si>
    <t>52124</t>
  </si>
  <si>
    <t>52125</t>
  </si>
  <si>
    <t>52127</t>
  </si>
  <si>
    <t>52128</t>
  </si>
  <si>
    <t>52132</t>
  </si>
  <si>
    <t>52140</t>
  </si>
  <si>
    <t>52145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</si>
  <si>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</si>
  <si>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</si>
  <si>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</si>
  <si>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</si>
  <si>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</si>
  <si>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</si>
  <si>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</si>
  <si>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</si>
  <si>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52054</t>
  </si>
  <si>
    <t>52015</t>
  </si>
  <si>
    <t>52184</t>
  </si>
  <si>
    <t>52185</t>
  </si>
  <si>
    <t>52186</t>
  </si>
  <si>
    <t>52187</t>
  </si>
  <si>
    <t>52188</t>
  </si>
  <si>
    <t>52061</t>
  </si>
  <si>
    <t>52071</t>
  </si>
  <si>
    <t>52072</t>
  </si>
  <si>
    <t>52073</t>
  </si>
  <si>
    <t>52074</t>
  </si>
  <si>
    <t>52079</t>
  </si>
  <si>
    <t>52081</t>
  </si>
  <si>
    <t>52082</t>
  </si>
  <si>
    <t>52084</t>
  </si>
  <si>
    <t>52085</t>
  </si>
  <si>
    <t>52088</t>
  </si>
  <si>
    <t>52089</t>
  </si>
  <si>
    <t>52681</t>
  </si>
  <si>
    <t>52091</t>
  </si>
  <si>
    <t>52092</t>
  </si>
  <si>
    <t>52100</t>
  </si>
  <si>
    <t>52101</t>
  </si>
  <si>
    <t>52103</t>
  </si>
  <si>
    <t>52104</t>
  </si>
  <si>
    <t>52110</t>
  </si>
  <si>
    <t>52111</t>
  </si>
  <si>
    <t>52112</t>
  </si>
  <si>
    <t>98834</t>
  </si>
  <si>
    <t>98835</t>
  </si>
  <si>
    <t>98836</t>
  </si>
  <si>
    <t>52099</t>
  </si>
  <si>
    <t>52018</t>
  </si>
  <si>
    <t>52011</t>
  </si>
  <si>
    <t>52013</t>
  </si>
  <si>
    <t>52014</t>
  </si>
  <si>
    <t>52120</t>
  </si>
  <si>
    <t>52130</t>
  </si>
  <si>
    <t>52133</t>
  </si>
  <si>
    <t>52134</t>
  </si>
  <si>
    <t>52135</t>
  </si>
  <si>
    <t>52053</t>
  </si>
  <si>
    <t>52150</t>
  </si>
  <si>
    <t>52093</t>
  </si>
  <si>
    <t>32114</t>
  </si>
  <si>
    <t>32162</t>
  </si>
  <si>
    <t>32440</t>
  </si>
  <si>
    <t>32450</t>
  </si>
  <si>
    <t>32463</t>
  </si>
  <si>
    <t>32540</t>
  </si>
  <si>
    <t>32550</t>
  </si>
  <si>
    <t>35050</t>
  </si>
  <si>
    <t>35063</t>
  </si>
  <si>
    <t>35111</t>
  </si>
  <si>
    <t>35112</t>
  </si>
  <si>
    <t>35113</t>
  </si>
  <si>
    <t>35160</t>
  </si>
  <si>
    <t>36112</t>
  </si>
  <si>
    <t>37111</t>
  </si>
  <si>
    <t>39111</t>
  </si>
  <si>
    <t>39112</t>
  </si>
  <si>
    <t>52200</t>
  </si>
  <si>
    <t>52205</t>
  </si>
  <si>
    <t>52017</t>
  </si>
  <si>
    <t>52019</t>
  </si>
  <si>
    <t>52600</t>
  </si>
  <si>
    <t>52602</t>
  </si>
  <si>
    <t>52603</t>
  </si>
  <si>
    <t>52612</t>
  </si>
  <si>
    <t>52614</t>
  </si>
  <si>
    <t>52621</t>
  </si>
  <si>
    <t>52622</t>
  </si>
  <si>
    <t>52623</t>
  </si>
  <si>
    <t>52632</t>
  </si>
  <si>
    <t>52634</t>
  </si>
  <si>
    <t>52644</t>
  </si>
  <si>
    <t>31006</t>
  </si>
  <si>
    <t>31007</t>
  </si>
  <si>
    <t>96007</t>
  </si>
  <si>
    <t>52400</t>
  </si>
  <si>
    <t>52402</t>
  </si>
  <si>
    <t>92018</t>
  </si>
  <si>
    <t>92019</t>
  </si>
  <si>
    <t>92020</t>
  </si>
  <si>
    <t>92021</t>
  </si>
  <si>
    <t>92022</t>
  </si>
  <si>
    <t>92023</t>
  </si>
  <si>
    <t>92024</t>
  </si>
  <si>
    <t>92026</t>
  </si>
  <si>
    <t>92056</t>
  </si>
  <si>
    <t>92057</t>
  </si>
  <si>
    <t>92058</t>
  </si>
  <si>
    <t>92089</t>
  </si>
  <si>
    <t>92097</t>
  </si>
  <si>
    <t>92117</t>
  </si>
  <si>
    <t>92119</t>
  </si>
  <si>
    <t>92223</t>
  </si>
  <si>
    <t>92224</t>
  </si>
  <si>
    <t>92266</t>
  </si>
  <si>
    <t>92272</t>
  </si>
  <si>
    <t>92493</t>
  </si>
  <si>
    <t>92494</t>
  </si>
  <si>
    <t>92495</t>
  </si>
  <si>
    <t>92518</t>
  </si>
  <si>
    <t>92522</t>
  </si>
  <si>
    <t>92523</t>
  </si>
  <si>
    <t>92524</t>
  </si>
  <si>
    <t>92550</t>
  </si>
  <si>
    <t>96003</t>
  </si>
  <si>
    <t>96004</t>
  </si>
  <si>
    <t>96005</t>
  </si>
  <si>
    <t>96006</t>
  </si>
  <si>
    <t>96015</t>
  </si>
  <si>
    <t>96016</t>
  </si>
  <si>
    <t>96503</t>
  </si>
  <si>
    <t>96504</t>
  </si>
  <si>
    <t>96505</t>
  </si>
  <si>
    <t>16210</t>
  </si>
  <si>
    <t>16211</t>
  </si>
  <si>
    <t>16212</t>
  </si>
  <si>
    <t>16213</t>
  </si>
  <si>
    <t>16217</t>
  </si>
  <si>
    <t>16218</t>
  </si>
  <si>
    <t>16229</t>
  </si>
  <si>
    <t>6057</t>
  </si>
  <si>
    <t>6058</t>
  </si>
  <si>
    <t>6059</t>
  </si>
  <si>
    <t>6102</t>
  </si>
  <si>
    <t>6104</t>
  </si>
  <si>
    <t>6106</t>
  </si>
  <si>
    <t>6108</t>
  </si>
  <si>
    <t>6110</t>
  </si>
  <si>
    <t>16250</t>
  </si>
  <si>
    <t>16251</t>
  </si>
  <si>
    <t>16252</t>
  </si>
  <si>
    <t>16260</t>
  </si>
  <si>
    <t>16261</t>
  </si>
  <si>
    <t>16262</t>
  </si>
  <si>
    <t>16270</t>
  </si>
  <si>
    <t>16271</t>
  </si>
  <si>
    <t>16272</t>
  </si>
  <si>
    <t>16280</t>
  </si>
  <si>
    <t>16281</t>
  </si>
  <si>
    <t>16282</t>
  </si>
  <si>
    <t>16290</t>
  </si>
  <si>
    <t>16291</t>
  </si>
  <si>
    <t>16292</t>
  </si>
  <si>
    <t>16224</t>
  </si>
  <si>
    <t>16225</t>
  </si>
  <si>
    <t>16226</t>
  </si>
  <si>
    <t>16227</t>
  </si>
  <si>
    <t>16228</t>
  </si>
  <si>
    <t>38160</t>
  </si>
  <si>
    <t>39160</t>
  </si>
  <si>
    <t>52180</t>
  </si>
  <si>
    <t>92025</t>
  </si>
  <si>
    <t>93014</t>
  </si>
  <si>
    <t>7261</t>
  </si>
  <si>
    <t>7262</t>
  </si>
  <si>
    <t>5186</t>
  </si>
  <si>
    <t>5187</t>
  </si>
  <si>
    <t>5188</t>
  </si>
  <si>
    <t>5196</t>
  </si>
  <si>
    <t>5197</t>
  </si>
  <si>
    <t>5198</t>
  </si>
  <si>
    <t>92078</t>
  </si>
  <si>
    <t>92079</t>
  </si>
  <si>
    <t>5351</t>
  </si>
  <si>
    <t>5352</t>
  </si>
  <si>
    <t>5353</t>
  </si>
  <si>
    <t>98823</t>
  </si>
  <si>
    <t>98824</t>
  </si>
  <si>
    <t>98825</t>
  </si>
  <si>
    <t>98827</t>
  </si>
  <si>
    <t>98923</t>
  </si>
  <si>
    <t>98924</t>
  </si>
  <si>
    <t>5361</t>
  </si>
  <si>
    <t>5362</t>
  </si>
  <si>
    <t>5363</t>
  </si>
  <si>
    <t>5371</t>
  </si>
  <si>
    <t>5372</t>
  </si>
  <si>
    <t>5373</t>
  </si>
  <si>
    <t>5381</t>
  </si>
  <si>
    <t>5382</t>
  </si>
  <si>
    <t>5383</t>
  </si>
  <si>
    <t>5384</t>
  </si>
  <si>
    <t>5385</t>
  </si>
  <si>
    <t>5386</t>
  </si>
  <si>
    <t>5387</t>
  </si>
  <si>
    <t>5388</t>
  </si>
  <si>
    <t>5391</t>
  </si>
  <si>
    <t>5392</t>
  </si>
  <si>
    <t>5393</t>
  </si>
  <si>
    <t>5394</t>
  </si>
  <si>
    <t>5395</t>
  </si>
  <si>
    <t>5397</t>
  </si>
  <si>
    <t>5398</t>
  </si>
  <si>
    <t>5400</t>
  </si>
  <si>
    <t>92049</t>
  </si>
  <si>
    <t>92050</t>
  </si>
  <si>
    <t>92063</t>
  </si>
  <si>
    <t>5401</t>
  </si>
  <si>
    <t>5402</t>
  </si>
  <si>
    <t>5403</t>
  </si>
  <si>
    <t>5404</t>
  </si>
  <si>
    <t>5405</t>
  </si>
  <si>
    <t>7216</t>
  </si>
  <si>
    <t>7218</t>
  </si>
  <si>
    <t>5411</t>
  </si>
  <si>
    <t>5412</t>
  </si>
  <si>
    <t>5413</t>
  </si>
  <si>
    <t>5414</t>
  </si>
  <si>
    <t>5415</t>
  </si>
  <si>
    <t>5416</t>
  </si>
  <si>
    <t>88010</t>
  </si>
  <si>
    <t>88011</t>
  </si>
  <si>
    <t>88012</t>
  </si>
  <si>
    <t>88013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</si>
  <si>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</si>
  <si>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</si>
  <si>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</si>
  <si>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</si>
  <si>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</si>
  <si>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</si>
  <si>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</si>
  <si>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</si>
  <si>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</si>
  <si>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</si>
  <si>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</si>
  <si>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</si>
  <si>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5511</t>
  </si>
  <si>
    <t>5512</t>
  </si>
  <si>
    <t>5513</t>
  </si>
  <si>
    <t>5431</t>
  </si>
  <si>
    <t>5432</t>
  </si>
  <si>
    <t>5433</t>
  </si>
  <si>
    <t>5434</t>
  </si>
  <si>
    <t>5435</t>
  </si>
  <si>
    <t>5436</t>
  </si>
  <si>
    <t>5437</t>
  </si>
  <si>
    <t>7142</t>
  </si>
  <si>
    <t>7143</t>
  </si>
  <si>
    <t>7144</t>
  </si>
  <si>
    <t>7147</t>
  </si>
  <si>
    <t>7149</t>
  </si>
  <si>
    <t>7150</t>
  </si>
  <si>
    <t>5441</t>
  </si>
  <si>
    <t>5442</t>
  </si>
  <si>
    <t>5443</t>
  </si>
  <si>
    <t>5444</t>
  </si>
  <si>
    <t>5445</t>
  </si>
  <si>
    <t>5446</t>
  </si>
  <si>
    <t>37201</t>
  </si>
  <si>
    <t>37202</t>
  </si>
  <si>
    <t>37203</t>
  </si>
  <si>
    <t>37207</t>
  </si>
  <si>
    <t>37208</t>
  </si>
  <si>
    <t>37209</t>
  </si>
  <si>
    <t>37211</t>
  </si>
  <si>
    <t>37112</t>
  </si>
  <si>
    <t>37113</t>
  </si>
  <si>
    <t>37150</t>
  </si>
  <si>
    <t>37163</t>
  </si>
  <si>
    <t>5461</t>
  </si>
  <si>
    <t>5462</t>
  </si>
  <si>
    <t>5463</t>
  </si>
  <si>
    <t>5464</t>
  </si>
  <si>
    <t>5465</t>
  </si>
  <si>
    <t>5466</t>
  </si>
  <si>
    <t>5467</t>
  </si>
  <si>
    <t>5451</t>
  </si>
  <si>
    <t>5452</t>
  </si>
  <si>
    <t>5453</t>
  </si>
  <si>
    <t>5454</t>
  </si>
  <si>
    <t>5455</t>
  </si>
  <si>
    <t>5456</t>
  </si>
  <si>
    <t>5457</t>
  </si>
  <si>
    <t>3851</t>
  </si>
  <si>
    <t>5471</t>
  </si>
  <si>
    <t>5472</t>
  </si>
  <si>
    <t>5473</t>
  </si>
  <si>
    <t>5474</t>
  </si>
  <si>
    <t>5475</t>
  </si>
  <si>
    <t>5476</t>
  </si>
  <si>
    <t>5477</t>
  </si>
  <si>
    <t>31110</t>
  </si>
  <si>
    <t>31111</t>
  </si>
  <si>
    <t>5481</t>
  </si>
  <si>
    <t>5482</t>
  </si>
  <si>
    <t>5483</t>
  </si>
  <si>
    <t>5484</t>
  </si>
  <si>
    <t>5485</t>
  </si>
  <si>
    <t>5486</t>
  </si>
  <si>
    <t>5487</t>
  </si>
  <si>
    <t>5488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</si>
  <si>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</si>
  <si>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</si>
  <si>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</si>
  <si>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</si>
  <si>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</si>
  <si>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</si>
  <si>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</si>
  <si>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</si>
  <si>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</si>
  <si>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5491</t>
  </si>
  <si>
    <t>5492</t>
  </si>
  <si>
    <t>5493</t>
  </si>
  <si>
    <t>5494</t>
  </si>
  <si>
    <t>5495</t>
  </si>
  <si>
    <t>5230</t>
  </si>
  <si>
    <t>5232</t>
  </si>
  <si>
    <t>5234</t>
  </si>
  <si>
    <t>5236</t>
  </si>
  <si>
    <t>6070</t>
  </si>
  <si>
    <t>6074</t>
  </si>
  <si>
    <t>6075</t>
  </si>
  <si>
    <t>6078</t>
  </si>
  <si>
    <t>6082</t>
  </si>
  <si>
    <t>6087</t>
  </si>
  <si>
    <t>6088</t>
  </si>
  <si>
    <t>5530</t>
  </si>
  <si>
    <t>5531</t>
  </si>
  <si>
    <t>5532</t>
  </si>
  <si>
    <t>5533</t>
  </si>
  <si>
    <t>94026</t>
  </si>
  <si>
    <t>94027</t>
  </si>
  <si>
    <t>94028</t>
  </si>
  <si>
    <t>94029</t>
  </si>
  <si>
    <t>94163</t>
  </si>
  <si>
    <t>94164</t>
  </si>
  <si>
    <t>94165</t>
  </si>
  <si>
    <t>5541</t>
  </si>
  <si>
    <t>5542</t>
  </si>
  <si>
    <t>5543</t>
  </si>
  <si>
    <t>5544</t>
  </si>
  <si>
    <t>5545</t>
  </si>
  <si>
    <t>5546</t>
  </si>
  <si>
    <t>5547</t>
  </si>
  <si>
    <t>5642</t>
  </si>
  <si>
    <t>5643</t>
  </si>
  <si>
    <t>5644</t>
  </si>
  <si>
    <t>5645</t>
  </si>
  <si>
    <t>5646</t>
  </si>
  <si>
    <t>5648</t>
  </si>
  <si>
    <t>94110</t>
  </si>
  <si>
    <t>94111</t>
  </si>
  <si>
    <t>5650</t>
  </si>
  <si>
    <t>5658</t>
  </si>
  <si>
    <t>6163</t>
  </si>
  <si>
    <t>6164</t>
  </si>
  <si>
    <t>86295</t>
  </si>
  <si>
    <t>86296</t>
  </si>
  <si>
    <t>86297</t>
  </si>
  <si>
    <t>86298</t>
  </si>
  <si>
    <t>86413</t>
  </si>
  <si>
    <t>93610</t>
  </si>
  <si>
    <t>93611</t>
  </si>
  <si>
    <t>93612</t>
  </si>
  <si>
    <t>93613</t>
  </si>
  <si>
    <t>93616</t>
  </si>
  <si>
    <t>93617</t>
  </si>
  <si>
    <t>1324</t>
  </si>
  <si>
    <t>1325</t>
  </si>
  <si>
    <t>1326</t>
  </si>
  <si>
    <t>1327</t>
  </si>
  <si>
    <t>1342</t>
  </si>
  <si>
    <t>1343</t>
  </si>
  <si>
    <t>1344</t>
  </si>
  <si>
    <t>1346</t>
  </si>
  <si>
    <t>1347</t>
  </si>
  <si>
    <t>1361</t>
  </si>
  <si>
    <t>1362</t>
  </si>
  <si>
    <t>1363</t>
  </si>
  <si>
    <t>1364</t>
  </si>
  <si>
    <t>1365</t>
  </si>
  <si>
    <t>1366</t>
  </si>
  <si>
    <t>1382</t>
  </si>
  <si>
    <t>1391</t>
  </si>
  <si>
    <t>1392</t>
  </si>
  <si>
    <t>81501</t>
  </si>
  <si>
    <t>81502</t>
  </si>
  <si>
    <t>81503</t>
  </si>
  <si>
    <t>81504</t>
  </si>
  <si>
    <t>81505</t>
  </si>
  <si>
    <t>81507</t>
  </si>
  <si>
    <t>81508</t>
  </si>
  <si>
    <t>1224</t>
  </si>
  <si>
    <t>1225</t>
  </si>
  <si>
    <t>1226</t>
  </si>
  <si>
    <t>1242</t>
  </si>
  <si>
    <t>1243</t>
  </si>
  <si>
    <t>1244</t>
  </si>
  <si>
    <t>1245</t>
  </si>
  <si>
    <t>1246</t>
  </si>
  <si>
    <t>1261</t>
  </si>
  <si>
    <t>1262</t>
  </si>
  <si>
    <t>1263</t>
  </si>
  <si>
    <t>1264</t>
  </si>
  <si>
    <t>1265</t>
  </si>
  <si>
    <t>1266</t>
  </si>
  <si>
    <t>1291</t>
  </si>
  <si>
    <t>1292</t>
  </si>
  <si>
    <t>1293</t>
  </si>
  <si>
    <t>8211</t>
  </si>
  <si>
    <t>9109</t>
  </si>
  <si>
    <t>94040</t>
  </si>
  <si>
    <t>94041</t>
  </si>
  <si>
    <t>94042</t>
  </si>
  <si>
    <t>94043</t>
  </si>
  <si>
    <t>94137</t>
  </si>
  <si>
    <t>92012</t>
  </si>
  <si>
    <t>92033</t>
  </si>
  <si>
    <t>92210</t>
  </si>
  <si>
    <t>93601</t>
  </si>
  <si>
    <t>93602</t>
  </si>
  <si>
    <t>93603</t>
  </si>
  <si>
    <t>93604</t>
  </si>
  <si>
    <t>93605</t>
  </si>
  <si>
    <t>93606</t>
  </si>
  <si>
    <t>93609</t>
  </si>
  <si>
    <t>97105</t>
  </si>
  <si>
    <t>97106</t>
  </si>
  <si>
    <t>97107</t>
  </si>
  <si>
    <t>97108</t>
  </si>
  <si>
    <t>97117</t>
  </si>
  <si>
    <t>97120</t>
  </si>
  <si>
    <t>97121</t>
  </si>
  <si>
    <t>97127</t>
  </si>
  <si>
    <t>97128</t>
  </si>
  <si>
    <t>97129</t>
  </si>
  <si>
    <t>97130</t>
  </si>
  <si>
    <t>97150</t>
  </si>
  <si>
    <t>97151</t>
  </si>
  <si>
    <t>97205</t>
  </si>
  <si>
    <t>97206</t>
  </si>
  <si>
    <t>97207</t>
  </si>
  <si>
    <t>97208</t>
  </si>
  <si>
    <t>97227</t>
  </si>
  <si>
    <t>97228</t>
  </si>
  <si>
    <t>97229</t>
  </si>
  <si>
    <t>97230</t>
  </si>
  <si>
    <t>4957</t>
  </si>
  <si>
    <t>4959</t>
  </si>
  <si>
    <t>5857</t>
  </si>
  <si>
    <t>5858</t>
  </si>
  <si>
    <t>5859</t>
  </si>
  <si>
    <t>5904</t>
  </si>
  <si>
    <t>5908</t>
  </si>
  <si>
    <t>5909</t>
  </si>
  <si>
    <t>5917</t>
  </si>
  <si>
    <t>5927</t>
  </si>
  <si>
    <t>5938</t>
  </si>
  <si>
    <t>5946</t>
  </si>
  <si>
    <t>5956</t>
  </si>
  <si>
    <t>5966</t>
  </si>
  <si>
    <t>5967</t>
  </si>
  <si>
    <t>5977</t>
  </si>
  <si>
    <t>5978</t>
  </si>
  <si>
    <t>5979</t>
  </si>
  <si>
    <t>5988</t>
  </si>
  <si>
    <t>5998</t>
  </si>
  <si>
    <t>6173</t>
  </si>
  <si>
    <t>6176</t>
  </si>
  <si>
    <t>6950</t>
  </si>
  <si>
    <t>6951</t>
  </si>
  <si>
    <t>6954</t>
  </si>
  <si>
    <t>6955</t>
  </si>
  <si>
    <t>84050</t>
  </si>
  <si>
    <t>84051</t>
  </si>
  <si>
    <t>84052</t>
  </si>
  <si>
    <t>84054</t>
  </si>
  <si>
    <t>84056</t>
  </si>
  <si>
    <t>84057</t>
  </si>
  <si>
    <t>94522</t>
  </si>
  <si>
    <t>94523</t>
  </si>
  <si>
    <t>94022</t>
  </si>
  <si>
    <t>94023</t>
  </si>
  <si>
    <t>94032</t>
  </si>
  <si>
    <t>94033</t>
  </si>
  <si>
    <t>94531</t>
  </si>
  <si>
    <t>94533</t>
  </si>
  <si>
    <t>94535</t>
  </si>
  <si>
    <t>94537</t>
  </si>
  <si>
    <t>5207</t>
  </si>
  <si>
    <t>5208</t>
  </si>
  <si>
    <t>94150</t>
  </si>
  <si>
    <t>94151</t>
  </si>
  <si>
    <t>6003</t>
  </si>
  <si>
    <t>6006</t>
  </si>
  <si>
    <t>6009</t>
  </si>
  <si>
    <t>773</t>
  </si>
  <si>
    <t>777</t>
  </si>
  <si>
    <t>783</t>
  </si>
  <si>
    <t>787</t>
  </si>
  <si>
    <t>92191</t>
  </si>
  <si>
    <t>92193</t>
  </si>
  <si>
    <t>92195</t>
  </si>
  <si>
    <t>92196</t>
  </si>
  <si>
    <t>92197</t>
  </si>
  <si>
    <t>92198</t>
  </si>
  <si>
    <t>92199</t>
  </si>
  <si>
    <t>94123</t>
  </si>
  <si>
    <t>97725</t>
  </si>
  <si>
    <t>97727</t>
  </si>
  <si>
    <t>98857</t>
  </si>
  <si>
    <t>98858</t>
  </si>
  <si>
    <t>98859</t>
  </si>
  <si>
    <t>98860</t>
  </si>
  <si>
    <t>98862</t>
  </si>
  <si>
    <t>98873</t>
  </si>
  <si>
    <t>98874</t>
  </si>
  <si>
    <t>98875</t>
  </si>
  <si>
    <t>98876</t>
  </si>
  <si>
    <t>98877</t>
  </si>
  <si>
    <t>6142</t>
  </si>
  <si>
    <t>6144</t>
  </si>
  <si>
    <t>6146</t>
  </si>
  <si>
    <t>6148</t>
  </si>
  <si>
    <t>6150</t>
  </si>
  <si>
    <t>92401</t>
  </si>
  <si>
    <t>92402</t>
  </si>
  <si>
    <t>92403</t>
  </si>
  <si>
    <t>92404</t>
  </si>
  <si>
    <t>92405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</si>
  <si>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</si>
  <si>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</si>
  <si>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</si>
  <si>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</si>
  <si>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</si>
  <si>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</si>
  <si>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</si>
  <si>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</si>
  <si>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</si>
  <si>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8204</t>
  </si>
  <si>
    <t>8205</t>
  </si>
  <si>
    <t>404130</t>
  </si>
  <si>
    <t>404200</t>
  </si>
  <si>
    <t>405130</t>
  </si>
  <si>
    <t>405200</t>
  </si>
  <si>
    <t>406130</t>
  </si>
  <si>
    <t>406200</t>
  </si>
  <si>
    <t>414130</t>
  </si>
  <si>
    <t>420130</t>
  </si>
  <si>
    <t>420200</t>
  </si>
  <si>
    <t>7179</t>
  </si>
  <si>
    <t>7180</t>
  </si>
  <si>
    <t>7287</t>
  </si>
  <si>
    <t>9104</t>
  </si>
  <si>
    <t>6215</t>
  </si>
  <si>
    <t>6216</t>
  </si>
  <si>
    <t>38040</t>
  </si>
  <si>
    <t>38050</t>
  </si>
  <si>
    <t>38063</t>
  </si>
  <si>
    <t>38111</t>
  </si>
  <si>
    <t>38161</t>
  </si>
  <si>
    <t>87500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</si>
  <si>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</si>
  <si>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</si>
  <si>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</si>
  <si>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</si>
  <si>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</si>
  <si>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</si>
  <si>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</si>
  <si>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</si>
  <si>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</si>
  <si>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87520</t>
  </si>
  <si>
    <t>92034</t>
  </si>
  <si>
    <t>92035</t>
  </si>
  <si>
    <t>92036</t>
  </si>
  <si>
    <t>92037</t>
  </si>
  <si>
    <t>96010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</si>
  <si>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</si>
  <si>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</si>
  <si>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</si>
  <si>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</si>
  <si>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</si>
  <si>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</si>
  <si>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</si>
  <si>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</si>
  <si>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</si>
  <si>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</si>
  <si>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92064</t>
  </si>
  <si>
    <t>9105</t>
  </si>
  <si>
    <t>92039</t>
  </si>
  <si>
    <t>92052</t>
  </si>
  <si>
    <t>92059</t>
  </si>
  <si>
    <t>92060</t>
  </si>
  <si>
    <t>92139</t>
  </si>
  <si>
    <t>92159</t>
  </si>
  <si>
    <t>92260</t>
  </si>
  <si>
    <t>92460</t>
  </si>
  <si>
    <t>92539</t>
  </si>
  <si>
    <t>92552</t>
  </si>
  <si>
    <t>92559</t>
  </si>
  <si>
    <t>93038</t>
  </si>
  <si>
    <t>96030</t>
  </si>
  <si>
    <t>92038</t>
  </si>
  <si>
    <t>92066</t>
  </si>
  <si>
    <t>92067</t>
  </si>
  <si>
    <t>92068</t>
  </si>
  <si>
    <t>92249</t>
  </si>
  <si>
    <t>92538</t>
  </si>
  <si>
    <t>96017</t>
  </si>
  <si>
    <t>5176</t>
  </si>
  <si>
    <t>5178</t>
  </si>
  <si>
    <t>7174</t>
  </si>
  <si>
    <t>7175</t>
  </si>
  <si>
    <t>7176</t>
  </si>
  <si>
    <t>7178</t>
  </si>
  <si>
    <t>39040</t>
  </si>
  <si>
    <t>39050</t>
  </si>
  <si>
    <t>39063</t>
  </si>
  <si>
    <t>39113</t>
  </si>
  <si>
    <t>39161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</si>
  <si>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</si>
  <si>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</si>
  <si>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</si>
  <si>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</si>
  <si>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</si>
  <si>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</si>
  <si>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</si>
  <si>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</si>
  <si>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</si>
  <si>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12570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</si>
  <si>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</si>
  <si>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</si>
  <si>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</si>
  <si>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</si>
  <si>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</si>
  <si>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</si>
  <si>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</si>
  <si>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</si>
  <si>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</si>
  <si>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</si>
  <si>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84215</t>
  </si>
  <si>
    <t>84361</t>
  </si>
  <si>
    <t>84362</t>
  </si>
  <si>
    <t>84363</t>
  </si>
  <si>
    <t>84364</t>
  </si>
  <si>
    <t>84365</t>
  </si>
  <si>
    <t>84366</t>
  </si>
  <si>
    <t>84378</t>
  </si>
  <si>
    <t>84380</t>
  </si>
  <si>
    <t>84382</t>
  </si>
  <si>
    <t>84383</t>
  </si>
  <si>
    <t>84384</t>
  </si>
  <si>
    <t>84386</t>
  </si>
  <si>
    <t>84387</t>
  </si>
  <si>
    <t>84388</t>
  </si>
  <si>
    <t>85011</t>
  </si>
  <si>
    <t>85012</t>
  </si>
  <si>
    <t>85013</t>
  </si>
  <si>
    <t>85014</t>
  </si>
  <si>
    <t>85015</t>
  </si>
  <si>
    <t>85016</t>
  </si>
  <si>
    <t>86004</t>
  </si>
  <si>
    <t>86005</t>
  </si>
  <si>
    <t>86015</t>
  </si>
  <si>
    <t>84422</t>
  </si>
  <si>
    <t>84423</t>
  </si>
  <si>
    <t>84424</t>
  </si>
  <si>
    <t>84425</t>
  </si>
  <si>
    <t>3589</t>
  </si>
  <si>
    <t>3599</t>
  </si>
  <si>
    <t>3941</t>
  </si>
  <si>
    <t>3942</t>
  </si>
  <si>
    <t>3943</t>
  </si>
  <si>
    <t>3944</t>
  </si>
  <si>
    <t>3945</t>
  </si>
  <si>
    <t>3946</t>
  </si>
  <si>
    <t>3947</t>
  </si>
  <si>
    <t>3948</t>
  </si>
  <si>
    <t>4310</t>
  </si>
  <si>
    <t>3949</t>
  </si>
  <si>
    <t>424130</t>
  </si>
  <si>
    <t>424200</t>
  </si>
  <si>
    <t>84367</t>
  </si>
  <si>
    <t>84368</t>
  </si>
  <si>
    <t>12701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</si>
  <si>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</si>
  <si>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</si>
  <si>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</si>
  <si>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</si>
  <si>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</si>
  <si>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</si>
  <si>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</si>
  <si>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</si>
  <si>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12722</t>
  </si>
  <si>
    <t>12723</t>
  </si>
  <si>
    <t>12724</t>
  </si>
  <si>
    <t>12721</t>
  </si>
  <si>
    <t>12731</t>
  </si>
  <si>
    <t>12732</t>
  </si>
  <si>
    <t>12742</t>
  </si>
  <si>
    <t>12743</t>
  </si>
  <si>
    <t>12753</t>
  </si>
  <si>
    <t>12754</t>
  </si>
  <si>
    <t>12764</t>
  </si>
  <si>
    <t>12765</t>
  </si>
  <si>
    <t>12775</t>
  </si>
  <si>
    <t>12776</t>
  </si>
  <si>
    <t>12779</t>
  </si>
  <si>
    <t>12786</t>
  </si>
  <si>
    <t>12787</t>
  </si>
  <si>
    <t>84201</t>
  </si>
  <si>
    <t>84202</t>
  </si>
  <si>
    <t>84203</t>
  </si>
  <si>
    <t>84204</t>
  </si>
  <si>
    <t>84205</t>
  </si>
  <si>
    <t>84206</t>
  </si>
  <si>
    <t>84207</t>
  </si>
  <si>
    <t>84208</t>
  </si>
  <si>
    <t>84209</t>
  </si>
  <si>
    <t>84210</t>
  </si>
  <si>
    <t>84211</t>
  </si>
  <si>
    <t>84212</t>
  </si>
  <si>
    <t>84213</t>
  </si>
  <si>
    <t>84214</t>
  </si>
  <si>
    <t>84255</t>
  </si>
  <si>
    <t>84257</t>
  </si>
  <si>
    <t>84258</t>
  </si>
  <si>
    <t>84259</t>
  </si>
  <si>
    <t>84260</t>
  </si>
  <si>
    <t>84261</t>
  </si>
  <si>
    <t>84262</t>
  </si>
  <si>
    <t>84263</t>
  </si>
  <si>
    <t>84264</t>
  </si>
  <si>
    <t>84265</t>
  </si>
  <si>
    <t>84266</t>
  </si>
  <si>
    <t>84267</t>
  </si>
  <si>
    <t>84268</t>
  </si>
  <si>
    <t>84269</t>
  </si>
  <si>
    <t>84270</t>
  </si>
  <si>
    <t>84271</t>
  </si>
  <si>
    <t>84272</t>
  </si>
  <si>
    <t>84273</t>
  </si>
  <si>
    <t>84274</t>
  </si>
  <si>
    <t>84275</t>
  </si>
  <si>
    <t>84276</t>
  </si>
  <si>
    <t>84277</t>
  </si>
  <si>
    <t>84278</t>
  </si>
  <si>
    <t>84280</t>
  </si>
  <si>
    <t>84287</t>
  </si>
  <si>
    <t>84293</t>
  </si>
  <si>
    <t>84381</t>
  </si>
  <si>
    <t>84232</t>
  </si>
  <si>
    <t>84233</t>
  </si>
  <si>
    <t>84234</t>
  </si>
  <si>
    <t>84256</t>
  </si>
  <si>
    <t>12991</t>
  </si>
  <si>
    <t>12992</t>
  </si>
  <si>
    <t>12994</t>
  </si>
  <si>
    <t>12995</t>
  </si>
  <si>
    <t>84235</t>
  </si>
  <si>
    <t>84236</t>
  </si>
  <si>
    <t>84237</t>
  </si>
  <si>
    <t>84238</t>
  </si>
  <si>
    <t>84239</t>
  </si>
  <si>
    <t>84240</t>
  </si>
  <si>
    <t>84241</t>
  </si>
  <si>
    <t>84242</t>
  </si>
  <si>
    <t>84243</t>
  </si>
  <si>
    <t>84244</t>
  </si>
  <si>
    <t>84291</t>
  </si>
  <si>
    <t>81670</t>
  </si>
  <si>
    <t>81671</t>
  </si>
  <si>
    <t>84220</t>
  </si>
  <si>
    <t>84221</t>
  </si>
  <si>
    <t>84222</t>
  </si>
  <si>
    <t>84223</t>
  </si>
  <si>
    <t>84224</t>
  </si>
  <si>
    <t>84225</t>
  </si>
  <si>
    <t>84226</t>
  </si>
  <si>
    <t>84227</t>
  </si>
  <si>
    <t>84228</t>
  </si>
  <si>
    <t>84229</t>
  </si>
  <si>
    <t>84290</t>
  </si>
  <si>
    <t>84248</t>
  </si>
  <si>
    <t>84249</t>
  </si>
  <si>
    <t>84250</t>
  </si>
  <si>
    <t>84251</t>
  </si>
  <si>
    <t>84252</t>
  </si>
  <si>
    <t>84253</t>
  </si>
  <si>
    <t>84286</t>
  </si>
  <si>
    <t>86101</t>
  </si>
  <si>
    <t>12993</t>
  </si>
  <si>
    <t>12996</t>
  </si>
  <si>
    <t>12997</t>
  </si>
  <si>
    <t>12998</t>
  </si>
  <si>
    <t>12999</t>
  </si>
  <si>
    <t>84385</t>
  </si>
  <si>
    <t>84389</t>
  </si>
  <si>
    <t>6069</t>
  </si>
  <si>
    <t>94115</t>
  </si>
  <si>
    <t>94116</t>
  </si>
  <si>
    <t>94117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</si>
  <si>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</si>
  <si>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</si>
  <si>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</si>
  <si>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</si>
  <si>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</si>
  <si>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</si>
  <si>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</si>
  <si>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</si>
  <si>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12810</t>
  </si>
  <si>
    <t>12819</t>
  </si>
  <si>
    <t>8841</t>
  </si>
  <si>
    <t>8842</t>
  </si>
  <si>
    <t>8860</t>
  </si>
  <si>
    <t>8861</t>
  </si>
  <si>
    <t>8864</t>
  </si>
  <si>
    <t>8865</t>
  </si>
  <si>
    <t>8866</t>
  </si>
  <si>
    <t>87030</t>
  </si>
  <si>
    <t>87031</t>
  </si>
  <si>
    <t>87032</t>
  </si>
  <si>
    <t>6053</t>
  </si>
  <si>
    <t>6054</t>
  </si>
  <si>
    <t>6055</t>
  </si>
  <si>
    <t>6056</t>
  </si>
  <si>
    <t>84504</t>
  </si>
  <si>
    <t>84506</t>
  </si>
  <si>
    <t>84508</t>
  </si>
  <si>
    <t>84509</t>
  </si>
  <si>
    <t>84510</t>
  </si>
  <si>
    <t>84514</t>
  </si>
  <si>
    <t>84515</t>
  </si>
  <si>
    <t>84516</t>
  </si>
  <si>
    <t>84517</t>
  </si>
  <si>
    <t>84518</t>
  </si>
  <si>
    <t>84519</t>
  </si>
  <si>
    <t>70006</t>
  </si>
  <si>
    <t>70007</t>
  </si>
  <si>
    <t>70008</t>
  </si>
  <si>
    <t>70012</t>
  </si>
  <si>
    <t>70015</t>
  </si>
  <si>
    <t>70016</t>
  </si>
  <si>
    <t>70017</t>
  </si>
  <si>
    <t>70018</t>
  </si>
  <si>
    <t>70019</t>
  </si>
  <si>
    <t>70020</t>
  </si>
  <si>
    <t>70022</t>
  </si>
  <si>
    <t>70023</t>
  </si>
  <si>
    <t>70024</t>
  </si>
  <si>
    <t>70025</t>
  </si>
  <si>
    <t>70027</t>
  </si>
  <si>
    <t>70030</t>
  </si>
  <si>
    <t>70031</t>
  </si>
  <si>
    <t>70032</t>
  </si>
  <si>
    <t>70033</t>
  </si>
  <si>
    <t>70034</t>
  </si>
  <si>
    <t>70035</t>
  </si>
  <si>
    <t>70061</t>
  </si>
  <si>
    <t>70062</t>
  </si>
  <si>
    <t>70071</t>
  </si>
  <si>
    <t>70072</t>
  </si>
  <si>
    <t>70073</t>
  </si>
  <si>
    <t>70074</t>
  </si>
  <si>
    <t>70075</t>
  </si>
  <si>
    <t>70079</t>
  </si>
  <si>
    <t>87020</t>
  </si>
  <si>
    <t>87021</t>
  </si>
  <si>
    <t>87022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</si>
  <si>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</si>
  <si>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</si>
  <si>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</si>
  <si>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</si>
  <si>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</si>
  <si>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</si>
  <si>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</si>
  <si>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</si>
  <si>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</si>
  <si>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</si>
  <si>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1101</t>
  </si>
  <si>
    <t>1102</t>
  </si>
  <si>
    <t>1103</t>
  </si>
  <si>
    <t>1104</t>
  </si>
  <si>
    <t>1105</t>
  </si>
  <si>
    <t>1106</t>
  </si>
  <si>
    <t>1107</t>
  </si>
  <si>
    <t>1108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</si>
  <si>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</si>
  <si>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</si>
  <si>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</si>
  <si>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</si>
  <si>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</si>
  <si>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</si>
  <si>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</si>
  <si>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</si>
  <si>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</si>
  <si>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</si>
  <si>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</si>
  <si>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</si>
  <si>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</si>
  <si>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</si>
  <si>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</si>
  <si>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</si>
  <si>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</si>
  <si>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</si>
  <si>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84110</t>
  </si>
  <si>
    <t>84111</t>
  </si>
  <si>
    <t>84112</t>
  </si>
  <si>
    <t>84113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</si>
  <si>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</si>
  <si>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</si>
  <si>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</si>
  <si>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</si>
  <si>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</si>
  <si>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</si>
  <si>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</si>
  <si>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</si>
  <si>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</si>
  <si>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</si>
  <si>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71001</t>
  </si>
  <si>
    <t>71002</t>
  </si>
  <si>
    <t>71003</t>
  </si>
  <si>
    <t>71005</t>
  </si>
  <si>
    <t>71006</t>
  </si>
  <si>
    <t>71007</t>
  </si>
  <si>
    <t>71008</t>
  </si>
  <si>
    <t>71010</t>
  </si>
  <si>
    <t>71011</t>
  </si>
  <si>
    <t>71012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</si>
  <si>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</si>
  <si>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</si>
  <si>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</si>
  <si>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</si>
  <si>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</si>
  <si>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</si>
  <si>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</si>
  <si>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</si>
  <si>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</si>
  <si>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</si>
  <si>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</si>
  <si>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</si>
  <si>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</si>
  <si>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</si>
  <si>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</si>
  <si>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</si>
  <si>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</si>
  <si>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</si>
  <si>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</si>
  <si>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</si>
  <si>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</si>
  <si>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</si>
  <si>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</si>
  <si>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</si>
  <si>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</si>
  <si>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</si>
  <si>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</si>
  <si>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</si>
  <si>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</si>
  <si>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</si>
  <si>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71045</t>
  </si>
  <si>
    <t>71046</t>
  </si>
  <si>
    <t>71047</t>
  </si>
  <si>
    <t>71050</t>
  </si>
  <si>
    <t>71051</t>
  </si>
  <si>
    <t>71055</t>
  </si>
  <si>
    <t>71060</t>
  </si>
  <si>
    <t>71065</t>
  </si>
  <si>
    <t>71070</t>
  </si>
  <si>
    <t>71080</t>
  </si>
  <si>
    <t>71086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</si>
  <si>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</si>
  <si>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</si>
  <si>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</si>
  <si>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</si>
  <si>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</si>
  <si>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</si>
  <si>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</si>
  <si>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</si>
  <si>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</si>
  <si>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</si>
  <si>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71112</t>
  </si>
  <si>
    <t>71110</t>
  </si>
  <si>
    <t>71111</t>
  </si>
  <si>
    <t>71202</t>
  </si>
  <si>
    <t>71203</t>
  </si>
  <si>
    <t>71207</t>
  </si>
  <si>
    <t>71209</t>
  </si>
  <si>
    <t>71210</t>
  </si>
  <si>
    <t>71211</t>
  </si>
  <si>
    <t>71212</t>
  </si>
  <si>
    <t>71216</t>
  </si>
  <si>
    <t>71218</t>
  </si>
  <si>
    <t>71224</t>
  </si>
  <si>
    <t>71231</t>
  </si>
  <si>
    <t>71238</t>
  </si>
  <si>
    <t>71239</t>
  </si>
  <si>
    <t>71240</t>
  </si>
  <si>
    <t>71247</t>
  </si>
  <si>
    <t>71253</t>
  </si>
  <si>
    <t>71413</t>
  </si>
  <si>
    <t>71440</t>
  </si>
  <si>
    <t>71441</t>
  </si>
  <si>
    <t>71450</t>
  </si>
  <si>
    <t>71475</t>
  </si>
  <si>
    <t>71488</t>
  </si>
  <si>
    <t>71500</t>
  </si>
  <si>
    <t>71550</t>
  </si>
  <si>
    <t>1201</t>
  </si>
  <si>
    <t>1202</t>
  </si>
  <si>
    <t>1203</t>
  </si>
  <si>
    <t>1204</t>
  </si>
  <si>
    <t>1205</t>
  </si>
  <si>
    <t>1206</t>
  </si>
  <si>
    <t>71400</t>
  </si>
  <si>
    <t>71402</t>
  </si>
  <si>
    <t>71403</t>
  </si>
  <si>
    <t>71701</t>
  </si>
  <si>
    <t>71702</t>
  </si>
  <si>
    <t>71703</t>
  </si>
  <si>
    <t>71704</t>
  </si>
  <si>
    <t>71713</t>
  </si>
  <si>
    <t>71714</t>
  </si>
  <si>
    <t>71715</t>
  </si>
  <si>
    <t>71731</t>
  </si>
  <si>
    <t>71732</t>
  </si>
  <si>
    <t>71733</t>
  </si>
  <si>
    <t>71734</t>
  </si>
  <si>
    <t>71741</t>
  </si>
  <si>
    <t>71742</t>
  </si>
  <si>
    <t>71743</t>
  </si>
  <si>
    <t>71744</t>
  </si>
  <si>
    <t>71751</t>
  </si>
  <si>
    <t>71752</t>
  </si>
  <si>
    <t>1141</t>
  </si>
  <si>
    <t>1142</t>
  </si>
  <si>
    <t>1143</t>
  </si>
  <si>
    <t>1144</t>
  </si>
  <si>
    <t>1145</t>
  </si>
  <si>
    <t>1146</t>
  </si>
  <si>
    <t>94162</t>
  </si>
  <si>
    <t>72001</t>
  </si>
  <si>
    <t>72002</t>
  </si>
  <si>
    <t>1171</t>
  </si>
  <si>
    <t>1172</t>
  </si>
  <si>
    <t>1173</t>
  </si>
  <si>
    <t>1174</t>
  </si>
  <si>
    <t>1175</t>
  </si>
  <si>
    <t>1176</t>
  </si>
  <si>
    <t>1177</t>
  </si>
  <si>
    <t>1021</t>
  </si>
  <si>
    <t>1022</t>
  </si>
  <si>
    <t>1023</t>
  </si>
  <si>
    <t>1024</t>
  </si>
  <si>
    <t>1025</t>
  </si>
  <si>
    <t>1026</t>
  </si>
  <si>
    <t>1061</t>
  </si>
  <si>
    <t>1062</t>
  </si>
  <si>
    <t>1063</t>
  </si>
  <si>
    <t>1064</t>
  </si>
  <si>
    <t>1065</t>
  </si>
  <si>
    <t>1066</t>
  </si>
  <si>
    <t>73001</t>
  </si>
  <si>
    <t>73004</t>
  </si>
  <si>
    <t>73005</t>
  </si>
  <si>
    <t>73008</t>
  </si>
  <si>
    <t>73009</t>
  </si>
  <si>
    <t>73009D</t>
  </si>
  <si>
    <t>73014</t>
  </si>
  <si>
    <t>73015</t>
  </si>
  <si>
    <t>73018</t>
  </si>
  <si>
    <t>73021</t>
  </si>
  <si>
    <t>73023</t>
  </si>
  <si>
    <t>73024</t>
  </si>
  <si>
    <t>73025</t>
  </si>
  <si>
    <t>73100</t>
  </si>
  <si>
    <t>73102</t>
  </si>
  <si>
    <t>73104</t>
  </si>
  <si>
    <t>73105</t>
  </si>
  <si>
    <t>73109</t>
  </si>
  <si>
    <t>73110</t>
  </si>
  <si>
    <t>73111</t>
  </si>
  <si>
    <t>73113</t>
  </si>
  <si>
    <t>73122</t>
  </si>
  <si>
    <t>73135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</si>
  <si>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</si>
  <si>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</si>
  <si>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</si>
  <si>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</si>
  <si>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</si>
  <si>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</si>
  <si>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</si>
  <si>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</si>
  <si>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</si>
  <si>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</si>
  <si>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</si>
  <si>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</si>
  <si>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</si>
  <si>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</si>
  <si>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</si>
  <si>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</si>
  <si>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</si>
  <si>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</si>
  <si>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</si>
  <si>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</si>
  <si>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</si>
  <si>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</si>
  <si>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73220</t>
  </si>
  <si>
    <t>73221</t>
  </si>
  <si>
    <t>73222</t>
  </si>
  <si>
    <t>73240</t>
  </si>
  <si>
    <t>73147</t>
  </si>
  <si>
    <t>73148</t>
  </si>
  <si>
    <t>73149</t>
  </si>
  <si>
    <t>73150</t>
  </si>
  <si>
    <t>73154</t>
  </si>
  <si>
    <t>73160</t>
  </si>
  <si>
    <t>73179</t>
  </si>
  <si>
    <t>8227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</si>
  <si>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</si>
  <si>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</si>
  <si>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</si>
  <si>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</si>
  <si>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</si>
  <si>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</si>
  <si>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</si>
  <si>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</si>
  <si>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</si>
  <si>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</si>
  <si>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</si>
  <si>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</si>
  <si>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</si>
  <si>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</si>
  <si>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</si>
  <si>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74061</t>
  </si>
  <si>
    <t>74062</t>
  </si>
  <si>
    <t>74064</t>
  </si>
  <si>
    <t>74068</t>
  </si>
  <si>
    <t>74069</t>
  </si>
  <si>
    <t>74070</t>
  </si>
  <si>
    <t>74420</t>
  </si>
  <si>
    <t>74421</t>
  </si>
  <si>
    <t>74422</t>
  </si>
  <si>
    <t>74423</t>
  </si>
  <si>
    <t>74424</t>
  </si>
  <si>
    <t>74425</t>
  </si>
  <si>
    <t>74426</t>
  </si>
  <si>
    <t>74427</t>
  </si>
  <si>
    <t>74428</t>
  </si>
  <si>
    <t>74429</t>
  </si>
  <si>
    <t>74440</t>
  </si>
  <si>
    <t>74443</t>
  </si>
  <si>
    <t>74444</t>
  </si>
  <si>
    <t>74445</t>
  </si>
  <si>
    <t>74446</t>
  </si>
  <si>
    <t>74447</t>
  </si>
  <si>
    <t>74448</t>
  </si>
  <si>
    <t>74449</t>
  </si>
  <si>
    <t>74450</t>
  </si>
  <si>
    <t>74451</t>
  </si>
  <si>
    <t>74452</t>
  </si>
  <si>
    <t>74453</t>
  </si>
  <si>
    <t>74454</t>
  </si>
  <si>
    <t>94030</t>
  </si>
  <si>
    <t>94031</t>
  </si>
  <si>
    <t>94034</t>
  </si>
  <si>
    <t>94035</t>
  </si>
  <si>
    <t>94044</t>
  </si>
  <si>
    <t>94226</t>
  </si>
  <si>
    <t>94227</t>
  </si>
  <si>
    <t>94228</t>
  </si>
  <si>
    <t>94229</t>
  </si>
  <si>
    <t>1546</t>
  </si>
  <si>
    <t>1548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</si>
  <si>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</si>
  <si>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</si>
  <si>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</si>
  <si>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</si>
  <si>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</si>
  <si>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</si>
  <si>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</si>
  <si>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</si>
  <si>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</si>
  <si>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</si>
  <si>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</si>
  <si>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</si>
  <si>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</si>
  <si>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</si>
  <si>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</si>
  <si>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</si>
  <si>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91019</t>
  </si>
  <si>
    <t>91020</t>
  </si>
  <si>
    <t>91021</t>
  </si>
  <si>
    <t>91022</t>
  </si>
  <si>
    <t>91023</t>
  </si>
  <si>
    <t>91024</t>
  </si>
  <si>
    <t>91025</t>
  </si>
  <si>
    <t>91026</t>
  </si>
  <si>
    <t>91028</t>
  </si>
  <si>
    <t>91029</t>
  </si>
  <si>
    <t>91030</t>
  </si>
  <si>
    <t>91031</t>
  </si>
  <si>
    <t>91032</t>
  </si>
  <si>
    <t>91033</t>
  </si>
  <si>
    <t>91034</t>
  </si>
  <si>
    <t>91035</t>
  </si>
  <si>
    <t>91036</t>
  </si>
  <si>
    <t>91037</t>
  </si>
  <si>
    <t>91040</t>
  </si>
  <si>
    <t>91050</t>
  </si>
  <si>
    <t>91051</t>
  </si>
  <si>
    <t>91060</t>
  </si>
  <si>
    <t>91071</t>
  </si>
  <si>
    <t>91073</t>
  </si>
  <si>
    <t>91075</t>
  </si>
  <si>
    <t>91076</t>
  </si>
  <si>
    <t>91504</t>
  </si>
  <si>
    <t>91507</t>
  </si>
  <si>
    <t>91508</t>
  </si>
  <si>
    <t>91513</t>
  </si>
  <si>
    <t>91516</t>
  </si>
  <si>
    <t>91517</t>
  </si>
  <si>
    <t>91522</t>
  </si>
  <si>
    <t>91526</t>
  </si>
  <si>
    <t>91531</t>
  </si>
  <si>
    <t>91534</t>
  </si>
  <si>
    <t>91535</t>
  </si>
  <si>
    <t>95001</t>
  </si>
  <si>
    <t>95002</t>
  </si>
  <si>
    <t>95003</t>
  </si>
  <si>
    <t>95007</t>
  </si>
  <si>
    <t>95008</t>
  </si>
  <si>
    <t>95009</t>
  </si>
  <si>
    <t>95502</t>
  </si>
  <si>
    <t>74500</t>
  </si>
  <si>
    <t>74501</t>
  </si>
  <si>
    <t>74502</t>
  </si>
  <si>
    <t>74503</t>
  </si>
  <si>
    <t>74504</t>
  </si>
  <si>
    <t>74511</t>
  </si>
  <si>
    <t>74512</t>
  </si>
  <si>
    <t>74514</t>
  </si>
  <si>
    <t>74515</t>
  </si>
  <si>
    <t>74516</t>
  </si>
  <si>
    <t>9102</t>
  </si>
  <si>
    <t>30010</t>
  </si>
  <si>
    <t>30040</t>
  </si>
  <si>
    <t>30050</t>
  </si>
  <si>
    <t>30063</t>
  </si>
  <si>
    <t>31010</t>
  </si>
  <si>
    <t>31040</t>
  </si>
  <si>
    <t>31050</t>
  </si>
  <si>
    <t>31063</t>
  </si>
  <si>
    <t>33040</t>
  </si>
  <si>
    <t>33050</t>
  </si>
  <si>
    <t>33063</t>
  </si>
  <si>
    <t>33110</t>
  </si>
  <si>
    <t>33160</t>
  </si>
  <si>
    <t>34040</t>
  </si>
  <si>
    <t>34050</t>
  </si>
  <si>
    <t>34063</t>
  </si>
  <si>
    <t>34101</t>
  </si>
  <si>
    <t>34102</t>
  </si>
  <si>
    <t>34103</t>
  </si>
  <si>
    <t>34104</t>
  </si>
  <si>
    <t>34106</t>
  </si>
  <si>
    <t>34110</t>
  </si>
  <si>
    <t>34160</t>
  </si>
  <si>
    <t>36110</t>
  </si>
  <si>
    <t>36160</t>
  </si>
  <si>
    <t>94016</t>
  </si>
  <si>
    <t>94019</t>
  </si>
  <si>
    <t>94021</t>
  </si>
  <si>
    <t>75001</t>
  </si>
  <si>
    <t>75002</t>
  </si>
  <si>
    <t>75003</t>
  </si>
  <si>
    <t>75004</t>
  </si>
  <si>
    <t>97831</t>
  </si>
  <si>
    <t>97832</t>
  </si>
  <si>
    <t>97851</t>
  </si>
  <si>
    <t>97852</t>
  </si>
  <si>
    <t>97881</t>
  </si>
  <si>
    <t>97882</t>
  </si>
  <si>
    <t>97836</t>
  </si>
  <si>
    <t>97837</t>
  </si>
  <si>
    <t>97856</t>
  </si>
  <si>
    <t>97857</t>
  </si>
  <si>
    <t>12547</t>
  </si>
  <si>
    <t>12549</t>
  </si>
  <si>
    <t>12550</t>
  </si>
  <si>
    <t>12680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</si>
  <si>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</si>
  <si>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</si>
  <si>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</si>
  <si>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</si>
  <si>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</si>
  <si>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</si>
  <si>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</si>
  <si>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</si>
  <si>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12690</t>
  </si>
  <si>
    <t>12692</t>
  </si>
  <si>
    <t>12693</t>
  </si>
  <si>
    <t>76001</t>
  </si>
  <si>
    <t>76002</t>
  </si>
  <si>
    <t>76003</t>
  </si>
  <si>
    <t>76004</t>
  </si>
  <si>
    <t>76006</t>
  </si>
  <si>
    <t>76008</t>
  </si>
  <si>
    <t>76009</t>
  </si>
  <si>
    <t>76010</t>
  </si>
  <si>
    <t>76011</t>
  </si>
  <si>
    <t>76050</t>
  </si>
  <si>
    <t>76060</t>
  </si>
  <si>
    <t>76061</t>
  </si>
  <si>
    <t>76062</t>
  </si>
  <si>
    <t>1445</t>
  </si>
  <si>
    <t>1446</t>
  </si>
  <si>
    <t>1447</t>
  </si>
  <si>
    <t>1449</t>
  </si>
  <si>
    <t>1451</t>
  </si>
  <si>
    <t>1464</t>
  </si>
  <si>
    <t>1465</t>
  </si>
  <si>
    <t>1466</t>
  </si>
  <si>
    <t>1467</t>
  </si>
  <si>
    <t>1469</t>
  </si>
  <si>
    <t>1471</t>
  </si>
  <si>
    <t>1474</t>
  </si>
  <si>
    <t>1475</t>
  </si>
  <si>
    <t>1476</t>
  </si>
  <si>
    <t>1481</t>
  </si>
  <si>
    <t>1482</t>
  </si>
  <si>
    <t>1483</t>
  </si>
  <si>
    <t>1484</t>
  </si>
  <si>
    <t>1485</t>
  </si>
  <si>
    <t>1486</t>
  </si>
  <si>
    <t>1487</t>
  </si>
  <si>
    <t>1489</t>
  </si>
  <si>
    <t>1491</t>
  </si>
  <si>
    <t>1492</t>
  </si>
  <si>
    <t>1494</t>
  </si>
  <si>
    <t>1496</t>
  </si>
  <si>
    <t>1499</t>
  </si>
  <si>
    <t>76101</t>
  </si>
  <si>
    <t>76102</t>
  </si>
  <si>
    <t>76103</t>
  </si>
  <si>
    <t>76104</t>
  </si>
  <si>
    <t>76106</t>
  </si>
  <si>
    <t>76107</t>
  </si>
  <si>
    <t>76108</t>
  </si>
  <si>
    <t>76109</t>
  </si>
  <si>
    <t>76110</t>
  </si>
  <si>
    <t>9690</t>
  </si>
  <si>
    <t>9692</t>
  </si>
  <si>
    <t>9693</t>
  </si>
  <si>
    <t>9694</t>
  </si>
  <si>
    <t>9695</t>
  </si>
  <si>
    <t>9696</t>
  </si>
  <si>
    <t>9697</t>
  </si>
  <si>
    <t>9698</t>
  </si>
  <si>
    <t>9699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</si>
  <si>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</si>
  <si>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</si>
  <si>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</si>
  <si>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</si>
  <si>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</si>
  <si>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</si>
  <si>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</si>
  <si>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</si>
  <si>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</si>
  <si>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9718</t>
  </si>
  <si>
    <t>12601</t>
  </si>
  <si>
    <t>12602</t>
  </si>
  <si>
    <t>12603</t>
  </si>
  <si>
    <t>12604</t>
  </si>
  <si>
    <t>12606</t>
  </si>
  <si>
    <t>12607</t>
  </si>
  <si>
    <t>12608</t>
  </si>
  <si>
    <t>12609</t>
  </si>
  <si>
    <t>12610</t>
  </si>
  <si>
    <t>12612</t>
  </si>
  <si>
    <t>12613</t>
  </si>
  <si>
    <t>12614</t>
  </si>
  <si>
    <t>1727</t>
  </si>
  <si>
    <t>1729</t>
  </si>
  <si>
    <t>1730</t>
  </si>
  <si>
    <t>1731</t>
  </si>
  <si>
    <t>1733</t>
  </si>
  <si>
    <t>1734</t>
  </si>
  <si>
    <t>3784</t>
  </si>
  <si>
    <t>3785</t>
  </si>
  <si>
    <t>1753</t>
  </si>
  <si>
    <t>1754</t>
  </si>
  <si>
    <t>1755</t>
  </si>
  <si>
    <t>1756</t>
  </si>
  <si>
    <t>1758</t>
  </si>
  <si>
    <t>1759</t>
  </si>
  <si>
    <t>1744</t>
  </si>
  <si>
    <t>1745</t>
  </si>
  <si>
    <t>1746</t>
  </si>
  <si>
    <t>1748</t>
  </si>
  <si>
    <t>5210</t>
  </si>
  <si>
    <t>5211</t>
  </si>
  <si>
    <t>97700</t>
  </si>
  <si>
    <t>97701</t>
  </si>
  <si>
    <t>97702</t>
  </si>
  <si>
    <t>97705</t>
  </si>
  <si>
    <t>97706</t>
  </si>
  <si>
    <t>97707</t>
  </si>
  <si>
    <t>97708</t>
  </si>
  <si>
    <t>97709</t>
  </si>
  <si>
    <t>97712</t>
  </si>
  <si>
    <t>97720</t>
  </si>
  <si>
    <t>97723</t>
  </si>
  <si>
    <t>1721</t>
  </si>
  <si>
    <t>1722</t>
  </si>
  <si>
    <t>1723</t>
  </si>
  <si>
    <t>1724</t>
  </si>
  <si>
    <t>1742</t>
  </si>
  <si>
    <t>79000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</si>
  <si>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</si>
  <si>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</si>
  <si>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</si>
  <si>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</si>
  <si>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</si>
  <si>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</si>
  <si>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</si>
  <si>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</si>
  <si>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</si>
  <si>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</si>
  <si>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</si>
  <si>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</si>
  <si>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</si>
  <si>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79015</t>
  </si>
  <si>
    <t>79016</t>
  </si>
  <si>
    <t>79017</t>
  </si>
  <si>
    <t>8206</t>
  </si>
  <si>
    <t>75502</t>
  </si>
  <si>
    <t>12639</t>
  </si>
  <si>
    <t>12551</t>
  </si>
  <si>
    <t>12552</t>
  </si>
  <si>
    <t>12553</t>
  </si>
  <si>
    <t>12661</t>
  </si>
  <si>
    <t>12662</t>
  </si>
  <si>
    <t>12663</t>
  </si>
  <si>
    <t>85100</t>
  </si>
  <si>
    <t>85101</t>
  </si>
  <si>
    <t>85102</t>
  </si>
  <si>
    <t>85103</t>
  </si>
  <si>
    <t>85104</t>
  </si>
  <si>
    <t>85110</t>
  </si>
  <si>
    <t>85111</t>
  </si>
  <si>
    <t>85112</t>
  </si>
  <si>
    <t>85113</t>
  </si>
  <si>
    <t>85130</t>
  </si>
  <si>
    <t>85131</t>
  </si>
  <si>
    <t>85132</t>
  </si>
  <si>
    <t>85133</t>
  </si>
  <si>
    <t>85134</t>
  </si>
  <si>
    <t>85240</t>
  </si>
  <si>
    <t>85241</t>
  </si>
  <si>
    <t>85242</t>
  </si>
  <si>
    <t>85243</t>
  </si>
  <si>
    <t>85244</t>
  </si>
  <si>
    <t>77877</t>
  </si>
  <si>
    <t>79400</t>
  </si>
  <si>
    <t>79498</t>
  </si>
  <si>
    <t>79499</t>
  </si>
  <si>
    <t>79500</t>
  </si>
  <si>
    <t>79502</t>
  </si>
  <si>
    <t>79512</t>
  </si>
  <si>
    <t>79513</t>
  </si>
  <si>
    <t>79515</t>
  </si>
  <si>
    <t>12622</t>
  </si>
  <si>
    <t>12623</t>
  </si>
  <si>
    <t>12624</t>
  </si>
  <si>
    <t>12625</t>
  </si>
  <si>
    <t>12626</t>
  </si>
  <si>
    <t>12627</t>
  </si>
  <si>
    <t>79602</t>
  </si>
  <si>
    <t>79603</t>
  </si>
  <si>
    <t>79604</t>
  </si>
  <si>
    <t>79605</t>
  </si>
  <si>
    <t>79606</t>
  </si>
  <si>
    <t>79701</t>
  </si>
  <si>
    <t>84030</t>
  </si>
  <si>
    <t>84031</t>
  </si>
  <si>
    <t>84032</t>
  </si>
  <si>
    <t>84033</t>
  </si>
  <si>
    <t>84034</t>
  </si>
  <si>
    <t>84035</t>
  </si>
  <si>
    <t>84036</t>
  </si>
  <si>
    <t>8990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</si>
  <si>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</si>
  <si>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</si>
  <si>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</si>
  <si>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</si>
  <si>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</si>
  <si>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</si>
  <si>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</si>
  <si>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</si>
  <si>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</si>
  <si>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</si>
  <si>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</si>
  <si>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</si>
  <si>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</si>
  <si>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</si>
  <si>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</si>
  <si>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9017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</si>
  <si>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</si>
  <si>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</si>
  <si>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</si>
  <si>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</si>
  <si>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</si>
  <si>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</si>
  <si>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</si>
  <si>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</si>
  <si>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</si>
  <si>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</si>
  <si>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</si>
  <si>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</si>
  <si>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</si>
  <si>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</si>
  <si>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</si>
  <si>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</si>
  <si>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</si>
  <si>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</si>
  <si>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</si>
  <si>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</si>
  <si>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</si>
  <si>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</si>
  <si>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</si>
  <si>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</si>
  <si>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</si>
  <si>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12554</t>
  </si>
  <si>
    <t>12555</t>
  </si>
  <si>
    <t>12556</t>
  </si>
  <si>
    <t>12615</t>
  </si>
  <si>
    <t>12616</t>
  </si>
  <si>
    <t>12617</t>
  </si>
  <si>
    <t>85338</t>
  </si>
  <si>
    <t>85348</t>
  </si>
  <si>
    <t>85360</t>
  </si>
  <si>
    <t>85361</t>
  </si>
  <si>
    <t>85362</t>
  </si>
  <si>
    <t>85363</t>
  </si>
  <si>
    <t>85364</t>
  </si>
  <si>
    <t>85365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</si>
  <si>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</si>
  <si>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</si>
  <si>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</si>
  <si>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</si>
  <si>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</si>
  <si>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</si>
  <si>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</si>
  <si>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</si>
  <si>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12559</t>
  </si>
  <si>
    <t>6833</t>
  </si>
  <si>
    <t>6834</t>
  </si>
  <si>
    <t>6841</t>
  </si>
  <si>
    <t>6856</t>
  </si>
  <si>
    <t>6201</t>
  </si>
  <si>
    <t>6202</t>
  </si>
  <si>
    <t>6203</t>
  </si>
  <si>
    <t>6204</t>
  </si>
  <si>
    <t>6205</t>
  </si>
  <si>
    <t>6206</t>
  </si>
  <si>
    <t>6371</t>
  </si>
  <si>
    <t>6372</t>
  </si>
  <si>
    <t>6373</t>
  </si>
  <si>
    <t>6374</t>
  </si>
  <si>
    <t>6375</t>
  </si>
  <si>
    <t>6376</t>
  </si>
  <si>
    <t>6811</t>
  </si>
  <si>
    <t>6812</t>
  </si>
  <si>
    <t>6813</t>
  </si>
  <si>
    <t>6814</t>
  </si>
  <si>
    <t>6815</t>
  </si>
  <si>
    <t>6816</t>
  </si>
  <si>
    <t>6828</t>
  </si>
  <si>
    <t>6829</t>
  </si>
  <si>
    <t>6830</t>
  </si>
  <si>
    <t>6831</t>
  </si>
  <si>
    <t>6832</t>
  </si>
  <si>
    <t>6994</t>
  </si>
  <si>
    <t>6995</t>
  </si>
  <si>
    <t>6292</t>
  </si>
  <si>
    <t>6340</t>
  </si>
  <si>
    <t>6341</t>
  </si>
  <si>
    <t>6342</t>
  </si>
  <si>
    <t>6343</t>
  </si>
  <si>
    <t>4287</t>
  </si>
  <si>
    <t>4319</t>
  </si>
  <si>
    <t>4320</t>
  </si>
  <si>
    <t>4393</t>
  </si>
  <si>
    <t>6701</t>
  </si>
  <si>
    <t>6702</t>
  </si>
  <si>
    <t>6703</t>
  </si>
  <si>
    <t>6704</t>
  </si>
  <si>
    <t>6705</t>
  </si>
  <si>
    <t>6706</t>
  </si>
  <si>
    <t>4371</t>
  </si>
  <si>
    <t>4372</t>
  </si>
  <si>
    <t>4373</t>
  </si>
  <si>
    <t>4374</t>
  </si>
  <si>
    <t>4375</t>
  </si>
  <si>
    <t>4376</t>
  </si>
  <si>
    <t>20220</t>
  </si>
  <si>
    <t>20225</t>
  </si>
  <si>
    <t>20232</t>
  </si>
  <si>
    <t>20240</t>
  </si>
  <si>
    <t>20250</t>
  </si>
  <si>
    <t>20263</t>
  </si>
  <si>
    <t>20320</t>
  </si>
  <si>
    <t>20325</t>
  </si>
  <si>
    <t>20332</t>
  </si>
  <si>
    <t>20340</t>
  </si>
  <si>
    <t>20350</t>
  </si>
  <si>
    <t>20363</t>
  </si>
  <si>
    <t>20520</t>
  </si>
  <si>
    <t>20525</t>
  </si>
  <si>
    <t>20532</t>
  </si>
  <si>
    <t>20720</t>
  </si>
  <si>
    <t>20725</t>
  </si>
  <si>
    <t>20732</t>
  </si>
  <si>
    <t>20740</t>
  </si>
  <si>
    <t>20750</t>
  </si>
  <si>
    <t>20763</t>
  </si>
  <si>
    <t>86313</t>
  </si>
  <si>
    <t>86400</t>
  </si>
  <si>
    <t>86401</t>
  </si>
  <si>
    <t>86403</t>
  </si>
  <si>
    <t>86409</t>
  </si>
  <si>
    <t>86430</t>
  </si>
  <si>
    <t>86431</t>
  </si>
  <si>
    <t>86432</t>
  </si>
  <si>
    <t>86433</t>
  </si>
  <si>
    <t>86440</t>
  </si>
  <si>
    <t>86441</t>
  </si>
  <si>
    <t>86442</t>
  </si>
  <si>
    <t>86443</t>
  </si>
  <si>
    <t>86444</t>
  </si>
  <si>
    <t>86445</t>
  </si>
  <si>
    <t>86460</t>
  </si>
  <si>
    <t>86461</t>
  </si>
  <si>
    <t>86462</t>
  </si>
  <si>
    <t>86470</t>
  </si>
  <si>
    <t>86471</t>
  </si>
  <si>
    <t>86472</t>
  </si>
  <si>
    <t>86473</t>
  </si>
  <si>
    <t>86474</t>
  </si>
  <si>
    <t>86475</t>
  </si>
  <si>
    <t>86570</t>
  </si>
  <si>
    <t>86571</t>
  </si>
  <si>
    <t>86572</t>
  </si>
  <si>
    <t>86573</t>
  </si>
  <si>
    <t>86574</t>
  </si>
  <si>
    <t>86575</t>
  </si>
  <si>
    <t>92275</t>
  </si>
  <si>
    <t>92277</t>
  </si>
  <si>
    <t>92279</t>
  </si>
  <si>
    <t>92577</t>
  </si>
  <si>
    <t>6596</t>
  </si>
  <si>
    <t>6597</t>
  </si>
  <si>
    <t>6598</t>
  </si>
  <si>
    <t>6599</t>
  </si>
  <si>
    <t>6600</t>
  </si>
  <si>
    <t>12781</t>
  </si>
  <si>
    <t>12782</t>
  </si>
  <si>
    <t>12823</t>
  </si>
  <si>
    <t>12824</t>
  </si>
  <si>
    <t>12825</t>
  </si>
  <si>
    <t>12826</t>
  </si>
  <si>
    <t>12827</t>
  </si>
  <si>
    <t>12831</t>
  </si>
  <si>
    <t>12832</t>
  </si>
  <si>
    <t>12833</t>
  </si>
  <si>
    <t>7219</t>
  </si>
  <si>
    <t>8904</t>
  </si>
  <si>
    <t>8905</t>
  </si>
  <si>
    <t>8906</t>
  </si>
  <si>
    <t>8907</t>
  </si>
  <si>
    <t>8908</t>
  </si>
  <si>
    <t>8909</t>
  </si>
  <si>
    <t>8910</t>
  </si>
  <si>
    <t>8890</t>
  </si>
  <si>
    <t>8891</t>
  </si>
  <si>
    <t>8892</t>
  </si>
  <si>
    <t>7285</t>
  </si>
  <si>
    <t>12621</t>
  </si>
  <si>
    <t>12631</t>
  </si>
  <si>
    <t>12632</t>
  </si>
  <si>
    <t>12642</t>
  </si>
  <si>
    <t>12643</t>
  </si>
  <si>
    <t>12653</t>
  </si>
  <si>
    <t>12654</t>
  </si>
  <si>
    <t>12664</t>
  </si>
  <si>
    <t>12665</t>
  </si>
  <si>
    <t>12675</t>
  </si>
  <si>
    <t>12676</t>
  </si>
  <si>
    <t>12678</t>
  </si>
  <si>
    <t>12679</t>
  </si>
  <si>
    <t>12691</t>
  </si>
  <si>
    <t>12888</t>
  </si>
  <si>
    <t>12889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</si>
  <si>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</si>
  <si>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</si>
  <si>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</si>
  <si>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</si>
  <si>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</si>
  <si>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</si>
  <si>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</si>
  <si>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</si>
  <si>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</si>
  <si>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</si>
  <si>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81222</t>
  </si>
  <si>
    <t>81223</t>
  </si>
  <si>
    <t>81224</t>
  </si>
  <si>
    <t>81225</t>
  </si>
  <si>
    <t>81226</t>
  </si>
  <si>
    <t>81227</t>
  </si>
  <si>
    <t>81262</t>
  </si>
  <si>
    <t>81263</t>
  </si>
  <si>
    <t>81264</t>
  </si>
  <si>
    <t>81265</t>
  </si>
  <si>
    <t>81266</t>
  </si>
  <si>
    <t>81267</t>
  </si>
  <si>
    <t>81732</t>
  </si>
  <si>
    <t>81733</t>
  </si>
  <si>
    <t>81734</t>
  </si>
  <si>
    <t>81735</t>
  </si>
  <si>
    <t>81736</t>
  </si>
  <si>
    <t>81737</t>
  </si>
  <si>
    <t>81972</t>
  </si>
  <si>
    <t>81973</t>
  </si>
  <si>
    <t>81974</t>
  </si>
  <si>
    <t>81975</t>
  </si>
  <si>
    <t>81976</t>
  </si>
  <si>
    <t>81977</t>
  </si>
  <si>
    <t>6971</t>
  </si>
  <si>
    <t>6972</t>
  </si>
  <si>
    <t>6973</t>
  </si>
  <si>
    <t>6974</t>
  </si>
  <si>
    <t>6975</t>
  </si>
  <si>
    <t>6976</t>
  </si>
  <si>
    <t>6977</t>
  </si>
  <si>
    <t>6980</t>
  </si>
  <si>
    <t>6982</t>
  </si>
  <si>
    <t>6983</t>
  </si>
  <si>
    <t>81232</t>
  </si>
  <si>
    <t>81233</t>
  </si>
  <si>
    <t>81234</t>
  </si>
  <si>
    <t>81235</t>
  </si>
  <si>
    <t>81236</t>
  </si>
  <si>
    <t>81237</t>
  </si>
  <si>
    <t>81272</t>
  </si>
  <si>
    <t>81273</t>
  </si>
  <si>
    <t>81274</t>
  </si>
  <si>
    <t>81275</t>
  </si>
  <si>
    <t>81276</t>
  </si>
  <si>
    <t>81277</t>
  </si>
  <si>
    <t>81742</t>
  </si>
  <si>
    <t>81743</t>
  </si>
  <si>
    <t>81744</t>
  </si>
  <si>
    <t>81745</t>
  </si>
  <si>
    <t>81746</t>
  </si>
  <si>
    <t>81747</t>
  </si>
  <si>
    <t>81982</t>
  </si>
  <si>
    <t>81983</t>
  </si>
  <si>
    <t>81984</t>
  </si>
  <si>
    <t>81985</t>
  </si>
  <si>
    <t>81986</t>
  </si>
  <si>
    <t>81987</t>
  </si>
  <si>
    <t>81850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</si>
  <si>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</si>
  <si>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</si>
  <si>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</si>
  <si>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</si>
  <si>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</si>
  <si>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</si>
  <si>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</si>
  <si>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</si>
  <si>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</si>
  <si>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</si>
  <si>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</si>
  <si>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92074</t>
  </si>
  <si>
    <t>92076</t>
  </si>
  <si>
    <t>92211</t>
  </si>
  <si>
    <t>6072</t>
  </si>
  <si>
    <t>6111</t>
  </si>
  <si>
    <t>6112</t>
  </si>
  <si>
    <t>6113</t>
  </si>
  <si>
    <t>6115</t>
  </si>
  <si>
    <t>6249</t>
  </si>
  <si>
    <t>12816</t>
  </si>
  <si>
    <t>12817</t>
  </si>
  <si>
    <t>12807</t>
  </si>
  <si>
    <t>12814</t>
  </si>
  <si>
    <t>86402</t>
  </si>
  <si>
    <t>86480</t>
  </si>
  <si>
    <t>86481</t>
  </si>
  <si>
    <t>86482</t>
  </si>
  <si>
    <t>86490</t>
  </si>
  <si>
    <t>7210</t>
  </si>
  <si>
    <t>7211</t>
  </si>
  <si>
    <t>7212</t>
  </si>
  <si>
    <t>7213</t>
  </si>
  <si>
    <t>7214</t>
  </si>
  <si>
    <t>7248</t>
  </si>
  <si>
    <t>31003</t>
  </si>
  <si>
    <t>31004</t>
  </si>
  <si>
    <t>31005</t>
  </si>
  <si>
    <t>31013</t>
  </si>
  <si>
    <t>31015</t>
  </si>
  <si>
    <t>31028</t>
  </si>
  <si>
    <t>7255</t>
  </si>
  <si>
    <t>32115</t>
  </si>
  <si>
    <t>32650</t>
  </si>
  <si>
    <t>31031</t>
  </si>
  <si>
    <t>31041</t>
  </si>
  <si>
    <t>31051</t>
  </si>
  <si>
    <t>30000</t>
  </si>
  <si>
    <t>16243</t>
  </si>
  <si>
    <t>16244</t>
  </si>
  <si>
    <t>86280</t>
  </si>
  <si>
    <t>86281</t>
  </si>
  <si>
    <t>86282</t>
  </si>
  <si>
    <t>86283</t>
  </si>
  <si>
    <t>86284</t>
  </si>
  <si>
    <t>86285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</si>
  <si>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</si>
  <si>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</si>
  <si>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</si>
  <si>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</si>
  <si>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</si>
  <si>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</si>
  <si>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</si>
  <si>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</si>
  <si>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</si>
  <si>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</si>
  <si>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</si>
  <si>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</si>
  <si>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</si>
  <si>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</si>
  <si>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</si>
  <si>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</si>
  <si>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</si>
  <si>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</si>
  <si>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86356</t>
  </si>
  <si>
    <t>86357</t>
  </si>
  <si>
    <t>86358</t>
  </si>
  <si>
    <t>86359</t>
  </si>
  <si>
    <t>86360</t>
  </si>
  <si>
    <t>86361</t>
  </si>
  <si>
    <t>9111</t>
  </si>
  <si>
    <t>9112</t>
  </si>
  <si>
    <t>9118</t>
  </si>
  <si>
    <t>12751</t>
  </si>
  <si>
    <t>12752</t>
  </si>
  <si>
    <t>12785</t>
  </si>
  <si>
    <t>12788</t>
  </si>
  <si>
    <t>12789</t>
  </si>
  <si>
    <t>12791</t>
  </si>
  <si>
    <t>12792</t>
  </si>
  <si>
    <t>12524</t>
  </si>
  <si>
    <t>12525</t>
  </si>
  <si>
    <t>12526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</si>
  <si>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</si>
  <si>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</si>
  <si>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</si>
  <si>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</si>
  <si>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</si>
  <si>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</si>
  <si>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</si>
  <si>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</si>
  <si>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</si>
  <si>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12544</t>
  </si>
  <si>
    <t>12545</t>
  </si>
  <si>
    <t>12546</t>
  </si>
  <si>
    <t>12581</t>
  </si>
  <si>
    <t>12582</t>
  </si>
  <si>
    <t>12628</t>
  </si>
  <si>
    <t>12630</t>
  </si>
  <si>
    <t>12539</t>
  </si>
  <si>
    <t>12540</t>
  </si>
  <si>
    <t>92098</t>
  </si>
  <si>
    <t>92258</t>
  </si>
  <si>
    <t>92259</t>
  </si>
  <si>
    <t>94098</t>
  </si>
  <si>
    <t>94099</t>
  </si>
  <si>
    <t>94128</t>
  </si>
  <si>
    <t>94129</t>
  </si>
  <si>
    <t>94134</t>
  </si>
  <si>
    <t>94135</t>
  </si>
  <si>
    <t>97135</t>
  </si>
  <si>
    <t>97136</t>
  </si>
  <si>
    <t>3952</t>
  </si>
  <si>
    <t>3955</t>
  </si>
  <si>
    <t>3958</t>
  </si>
  <si>
    <t>3961</t>
  </si>
  <si>
    <t>3964</t>
  </si>
  <si>
    <t>3967</t>
  </si>
  <si>
    <t>3978</t>
  </si>
  <si>
    <t>9101</t>
  </si>
  <si>
    <t>84186</t>
  </si>
  <si>
    <t>84187</t>
  </si>
  <si>
    <t>92061</t>
  </si>
  <si>
    <t>7157</t>
  </si>
  <si>
    <t>7170</t>
  </si>
  <si>
    <t>7182</t>
  </si>
  <si>
    <t>7189</t>
  </si>
  <si>
    <t>7190</t>
  </si>
  <si>
    <t>7191</t>
  </si>
  <si>
    <t>7199</t>
  </si>
  <si>
    <t>7200</t>
  </si>
  <si>
    <t>7235</t>
  </si>
  <si>
    <t>7239</t>
  </si>
  <si>
    <t>7253</t>
  </si>
  <si>
    <t>7124</t>
  </si>
  <si>
    <t>7125</t>
  </si>
  <si>
    <t>7126</t>
  </si>
  <si>
    <t>7128</t>
  </si>
  <si>
    <t>7251</t>
  </si>
  <si>
    <t>7184</t>
  </si>
  <si>
    <t>7185</t>
  </si>
  <si>
    <t>7186</t>
  </si>
  <si>
    <t>7187</t>
  </si>
  <si>
    <t>7188</t>
  </si>
  <si>
    <t>7194</t>
  </si>
  <si>
    <t>7195</t>
  </si>
  <si>
    <t>7196</t>
  </si>
  <si>
    <t>7197</t>
  </si>
  <si>
    <t>7198</t>
  </si>
  <si>
    <t>7145</t>
  </si>
  <si>
    <t>7146</t>
  </si>
  <si>
    <t>7148</t>
  </si>
  <si>
    <t>7151</t>
  </si>
  <si>
    <t>7152</t>
  </si>
  <si>
    <t>7153</t>
  </si>
  <si>
    <t>92080</t>
  </si>
  <si>
    <t>92081</t>
  </si>
  <si>
    <t>92082</t>
  </si>
  <si>
    <t>92083</t>
  </si>
  <si>
    <t>92084</t>
  </si>
  <si>
    <t>92085</t>
  </si>
  <si>
    <t>92087</t>
  </si>
  <si>
    <t>92101</t>
  </si>
  <si>
    <t>92256</t>
  </si>
  <si>
    <t>7230</t>
  </si>
  <si>
    <t>7232</t>
  </si>
  <si>
    <t>7234</t>
  </si>
  <si>
    <t>7236</t>
  </si>
  <si>
    <t>7207</t>
  </si>
  <si>
    <t>7208</t>
  </si>
  <si>
    <t>7209</t>
  </si>
  <si>
    <t>7296</t>
  </si>
  <si>
    <t>31001</t>
  </si>
  <si>
    <t>31002</t>
  </si>
  <si>
    <t>7220</t>
  </si>
  <si>
    <t>12541</t>
  </si>
  <si>
    <t>12542</t>
  </si>
  <si>
    <t>12543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</si>
  <si>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</si>
  <si>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</si>
  <si>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</si>
  <si>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</si>
  <si>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</si>
  <si>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</si>
  <si>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</si>
  <si>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</si>
  <si>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</si>
  <si>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9740</t>
  </si>
  <si>
    <t>92065</t>
  </si>
  <si>
    <t>92565</t>
  </si>
  <si>
    <t>96054</t>
  </si>
  <si>
    <t>5223</t>
  </si>
  <si>
    <t>7223</t>
  </si>
  <si>
    <t>401130</t>
  </si>
  <si>
    <t>401200</t>
  </si>
  <si>
    <t>403050</t>
  </si>
  <si>
    <t>403070</t>
  </si>
  <si>
    <t>403090</t>
  </si>
  <si>
    <t>403130</t>
  </si>
  <si>
    <t>403200</t>
  </si>
  <si>
    <t>403350</t>
  </si>
  <si>
    <t>403370</t>
  </si>
  <si>
    <t>403390</t>
  </si>
  <si>
    <t>403650</t>
  </si>
  <si>
    <t>403670</t>
  </si>
  <si>
    <t>403690</t>
  </si>
  <si>
    <t>407130</t>
  </si>
  <si>
    <t>408130</t>
  </si>
  <si>
    <t>408200</t>
  </si>
  <si>
    <t>409130</t>
  </si>
  <si>
    <t>409200</t>
  </si>
  <si>
    <t>410130</t>
  </si>
  <si>
    <t>411130</t>
  </si>
  <si>
    <t>94038</t>
  </si>
  <si>
    <t>94039</t>
  </si>
  <si>
    <t>7290</t>
  </si>
  <si>
    <t>94107</t>
  </si>
  <si>
    <t>94112</t>
  </si>
  <si>
    <t>94138</t>
  </si>
  <si>
    <t>94139</t>
  </si>
  <si>
    <t>94140</t>
  </si>
  <si>
    <t>94141</t>
  </si>
  <si>
    <t>94142</t>
  </si>
  <si>
    <t>94143</t>
  </si>
  <si>
    <t>94145</t>
  </si>
  <si>
    <t>94146</t>
  </si>
  <si>
    <t>94147</t>
  </si>
  <si>
    <t>94148</t>
  </si>
  <si>
    <t>94155</t>
  </si>
  <si>
    <t>94157</t>
  </si>
  <si>
    <t>94158</t>
  </si>
  <si>
    <t>94159</t>
  </si>
  <si>
    <t>94161</t>
  </si>
  <si>
    <t>415130</t>
  </si>
  <si>
    <t>416130</t>
  </si>
  <si>
    <t>422130</t>
  </si>
  <si>
    <t>422200</t>
  </si>
  <si>
    <t>423130</t>
  </si>
  <si>
    <t>423200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</si>
  <si>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</si>
  <si>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</si>
  <si>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</si>
  <si>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</si>
  <si>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</si>
  <si>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</si>
  <si>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</si>
  <si>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</si>
  <si>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</si>
  <si>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</si>
  <si>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</si>
  <si>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</si>
  <si>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</si>
  <si>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8203</t>
  </si>
  <si>
    <t>8209</t>
  </si>
  <si>
    <t>8210</t>
  </si>
  <si>
    <t>8212</t>
  </si>
  <si>
    <t>8221</t>
  </si>
  <si>
    <t>9115</t>
  </si>
  <si>
    <t>98801</t>
  </si>
  <si>
    <t>98802</t>
  </si>
  <si>
    <t>98803</t>
  </si>
  <si>
    <t>98810</t>
  </si>
  <si>
    <t>98811</t>
  </si>
  <si>
    <t>98812</t>
  </si>
  <si>
    <t>98819</t>
  </si>
  <si>
    <t>98820</t>
  </si>
  <si>
    <t>98821</t>
  </si>
  <si>
    <t>98822</t>
  </si>
  <si>
    <t>98911</t>
  </si>
  <si>
    <t>98912</t>
  </si>
  <si>
    <t>98921</t>
  </si>
  <si>
    <t>98922</t>
  </si>
  <si>
    <t>9108</t>
  </si>
  <si>
    <t>9113</t>
  </si>
  <si>
    <t>8218</t>
  </si>
  <si>
    <t>8219</t>
  </si>
  <si>
    <t>8222</t>
  </si>
  <si>
    <t>6912</t>
  </si>
  <si>
    <t>6913</t>
  </si>
  <si>
    <t>6914</t>
  </si>
  <si>
    <t>6915</t>
  </si>
  <si>
    <t>6916</t>
  </si>
  <si>
    <t>98838</t>
  </si>
  <si>
    <t>98855</t>
  </si>
  <si>
    <t>98856</t>
  </si>
  <si>
    <t>6029</t>
  </si>
  <si>
    <t>6030</t>
  </si>
  <si>
    <t>6036</t>
  </si>
  <si>
    <t>6037</t>
  </si>
  <si>
    <t>6039</t>
  </si>
  <si>
    <t>6261</t>
  </si>
  <si>
    <t>6451</t>
  </si>
  <si>
    <t>6452</t>
  </si>
  <si>
    <t>6602</t>
  </si>
  <si>
    <t>6603</t>
  </si>
  <si>
    <t>6604</t>
  </si>
  <si>
    <t>0103/M3-AC</t>
  </si>
  <si>
    <t>0103/M3-BC</t>
  </si>
  <si>
    <t>0103/M3-GC</t>
  </si>
  <si>
    <t>0103/M3-NC</t>
  </si>
  <si>
    <t>0103/M3-RC</t>
  </si>
  <si>
    <t>0207/M3-AC</t>
  </si>
  <si>
    <t>0207/M3-BC</t>
  </si>
  <si>
    <t>0207/M3-GC</t>
  </si>
  <si>
    <t>0207/M3-RC</t>
  </si>
  <si>
    <t>0295/M3-AC</t>
  </si>
  <si>
    <t>0295/M3-BC</t>
  </si>
  <si>
    <t>0295/M3-GC</t>
  </si>
  <si>
    <t>0295/M3-NC</t>
  </si>
  <si>
    <t>0295/M3-RC</t>
  </si>
  <si>
    <t>0900.03/M3-NC</t>
  </si>
  <si>
    <t>0103/L2-CR</t>
  </si>
  <si>
    <t>0203/L2-CR</t>
  </si>
  <si>
    <t>0207/L2-CR</t>
  </si>
  <si>
    <t>0295/L2-CR</t>
  </si>
  <si>
    <t>0103/C3-CR</t>
  </si>
  <si>
    <t>0109/C3-CR</t>
  </si>
  <si>
    <t>0203/C3-CR</t>
  </si>
  <si>
    <t>0207/C3-CR</t>
  </si>
  <si>
    <t>0295/C3-CR</t>
  </si>
  <si>
    <t>0103/H3-RG</t>
  </si>
  <si>
    <t>0295/H3-CR</t>
  </si>
  <si>
    <t>0109/H3L-CR</t>
  </si>
  <si>
    <t>0109/H3L-RG</t>
  </si>
  <si>
    <t>0207/H3L-CR</t>
  </si>
  <si>
    <t>0295/H3L-CR</t>
  </si>
  <si>
    <t>0103/H4-CR</t>
  </si>
  <si>
    <t>0203/H4-CR</t>
  </si>
  <si>
    <t>0207/H4-CR</t>
  </si>
  <si>
    <t>0295/H4-CR</t>
  </si>
  <si>
    <t>0295/H4-RG</t>
  </si>
  <si>
    <t>0103/39-CR</t>
  </si>
  <si>
    <t>0109/39-CR</t>
  </si>
  <si>
    <t>0112/39A-CR</t>
  </si>
  <si>
    <t>0203/39-CR</t>
  </si>
  <si>
    <t>0207/39-CR</t>
  </si>
  <si>
    <t>0295/39-CR</t>
  </si>
  <si>
    <t>0103/44N-CR</t>
  </si>
  <si>
    <t>0103/44N-FB</t>
  </si>
  <si>
    <t>0203/44N-CR</t>
  </si>
  <si>
    <t>0203/44N-FB</t>
  </si>
  <si>
    <t>0207/44N-CR</t>
  </si>
  <si>
    <t>0207/44N-FB</t>
  </si>
  <si>
    <t>0295/44N-CR</t>
  </si>
  <si>
    <t>0295/44N-FB</t>
  </si>
  <si>
    <t>0103/49-CR</t>
  </si>
  <si>
    <t>0109/49-CR</t>
  </si>
  <si>
    <t>0203/49-CR</t>
  </si>
  <si>
    <t>0207/49-CR</t>
  </si>
  <si>
    <t>0213/49-CR</t>
  </si>
  <si>
    <t>0295/49-CR</t>
  </si>
  <si>
    <t>0103/49L-CR</t>
  </si>
  <si>
    <t>0109/49L-CR</t>
  </si>
  <si>
    <t>0203/49L-CR</t>
  </si>
  <si>
    <t>0207/49L-CR</t>
  </si>
  <si>
    <t>0213/49L-CR</t>
  </si>
  <si>
    <t>0295/49L-CR</t>
  </si>
  <si>
    <t>0103/62-CR</t>
  </si>
  <si>
    <t>0109/62-CR</t>
  </si>
  <si>
    <t>0203/62-CR</t>
  </si>
  <si>
    <t>0207/62-CR</t>
  </si>
  <si>
    <t>0295/62-CR</t>
  </si>
  <si>
    <t>0103/62L-CR</t>
  </si>
  <si>
    <t>0109/62L-CR</t>
  </si>
  <si>
    <t>0203/62L-CR</t>
  </si>
  <si>
    <t>0207/62L-CR</t>
  </si>
  <si>
    <t>0295/62L-CR</t>
  </si>
  <si>
    <t>0103/64-CR</t>
  </si>
  <si>
    <t>0203/64-CR</t>
  </si>
  <si>
    <t>0207/64-CR</t>
  </si>
  <si>
    <t>0295/64-CR</t>
  </si>
  <si>
    <t>0103/64L-CR</t>
  </si>
  <si>
    <t>0203/64L-CR</t>
  </si>
  <si>
    <t>0207/64L-CR</t>
  </si>
  <si>
    <t>0103/83-CR</t>
  </si>
  <si>
    <t>0203/83-CR</t>
  </si>
  <si>
    <t>0207/83-CR</t>
  </si>
  <si>
    <t>0295/83-CR</t>
  </si>
  <si>
    <t>0103/83L-CCB</t>
  </si>
  <si>
    <t>0203/83L-CCB</t>
  </si>
  <si>
    <t>0207/83L-CCB</t>
  </si>
  <si>
    <t>0295/83L-CCB</t>
  </si>
  <si>
    <t>0103R/85-CR</t>
  </si>
  <si>
    <t>0109R/85-CR</t>
  </si>
  <si>
    <t>0203R/85-CR</t>
  </si>
  <si>
    <t>0207R/85-CR</t>
  </si>
  <si>
    <t>0213R/85-CR</t>
  </si>
  <si>
    <t>0216R/85-CR</t>
  </si>
  <si>
    <t>0295R/85-CR</t>
  </si>
  <si>
    <t>0103R/85L-CR</t>
  </si>
  <si>
    <t>0109R/85L-CR</t>
  </si>
  <si>
    <t>0203R/85L-CR</t>
  </si>
  <si>
    <t>0207R/85L-CR</t>
  </si>
  <si>
    <t>0213R/85L-CR</t>
  </si>
  <si>
    <t>0295R/85L-CR</t>
  </si>
  <si>
    <t>0103/87-CR</t>
  </si>
  <si>
    <t>0109/87-CR</t>
  </si>
  <si>
    <t>0203/87-CR</t>
  </si>
  <si>
    <t>0207/87-CR</t>
  </si>
  <si>
    <t>0213/87-CR</t>
  </si>
  <si>
    <t>0216/87-CR</t>
  </si>
  <si>
    <t>0295/87-CR</t>
  </si>
  <si>
    <t>0106.02/87-CR</t>
  </si>
  <si>
    <t>0108.02/87-CR</t>
  </si>
  <si>
    <t>0181.02/87-CR</t>
  </si>
  <si>
    <t>0181/87-CR</t>
  </si>
  <si>
    <t>0189/87-CR</t>
  </si>
  <si>
    <t>0206/87-CR</t>
  </si>
  <si>
    <t>0411.02/87-CR</t>
  </si>
  <si>
    <t>0130/N4-CR</t>
  </si>
  <si>
    <t>0130/N4-FB</t>
  </si>
  <si>
    <t>0181/N4-CR</t>
  </si>
  <si>
    <t>0181/N4-FB</t>
  </si>
  <si>
    <t>0189/N4-CR</t>
  </si>
  <si>
    <t>0189/N4-FB</t>
  </si>
  <si>
    <t>0119</t>
  </si>
  <si>
    <t>0119.02-CR</t>
  </si>
  <si>
    <t>0120</t>
  </si>
  <si>
    <t>0120.04-6-CR</t>
  </si>
  <si>
    <t>0120.06-CR</t>
  </si>
  <si>
    <t>0120/17-CR</t>
  </si>
  <si>
    <t>0120/B1-CR</t>
  </si>
  <si>
    <t>0125.PR0.0F-CR</t>
  </si>
  <si>
    <t>0125.PR0.2F-CR</t>
  </si>
  <si>
    <t>0125.PR0.3F-CR</t>
  </si>
  <si>
    <t>0126</t>
  </si>
  <si>
    <t>0126-B</t>
  </si>
  <si>
    <t>0126.04-B-CR</t>
  </si>
  <si>
    <t>0126.MC0-20-CR</t>
  </si>
  <si>
    <t>0126.MC0-25-CR</t>
  </si>
  <si>
    <t>0126.MC0-30-CR</t>
  </si>
  <si>
    <t>0126.MR0-20-CR</t>
  </si>
  <si>
    <t>0126.MR0-25-CR</t>
  </si>
  <si>
    <t>0126.MR0-30-CR</t>
  </si>
  <si>
    <t>0126.PC0-25-CR</t>
  </si>
  <si>
    <t>0126.PC0-30-CR</t>
  </si>
  <si>
    <t>0126.PR0-15-CR</t>
  </si>
  <si>
    <t>0126.PR0-20-CR</t>
  </si>
  <si>
    <t>0126.PR0-25-CR</t>
  </si>
  <si>
    <t>0126.PR0-30-CR</t>
  </si>
  <si>
    <t>0126/17-CR</t>
  </si>
  <si>
    <t>0128.17-CR</t>
  </si>
  <si>
    <t>0130.02-CR</t>
  </si>
  <si>
    <t>0140.07/87-CR</t>
  </si>
  <si>
    <t>0140/39-CR</t>
  </si>
  <si>
    <t>0140/C8-D-CR</t>
  </si>
  <si>
    <t>0140/H3-CR</t>
  </si>
  <si>
    <t>0140R/85-CR</t>
  </si>
  <si>
    <t>0142-CR</t>
  </si>
  <si>
    <t>0138.01-CR</t>
  </si>
  <si>
    <t>0138R.03-CR</t>
  </si>
  <si>
    <t>0626/88-CR</t>
  </si>
  <si>
    <t>0626R/85L-CR</t>
  </si>
  <si>
    <t>0680B.FVBASE</t>
  </si>
  <si>
    <t>0681B.FVBASE</t>
  </si>
  <si>
    <t>0682A/88.0-CR</t>
  </si>
  <si>
    <t>0682AR/85L.0-CR</t>
  </si>
  <si>
    <t>0216.FVBASE</t>
  </si>
  <si>
    <t>0217.01-CR</t>
  </si>
  <si>
    <t>0217.02-CR</t>
  </si>
  <si>
    <t>0219.FVBASE</t>
  </si>
  <si>
    <t>0245</t>
  </si>
  <si>
    <t>M150MN.1-AI</t>
  </si>
  <si>
    <t>0162/62-CR</t>
  </si>
  <si>
    <t>0164/62-CR</t>
  </si>
  <si>
    <t>0166/62-CR</t>
  </si>
  <si>
    <t>0167/62-CR</t>
  </si>
  <si>
    <t>0168/62-CR</t>
  </si>
  <si>
    <t>0169/62-CR</t>
  </si>
  <si>
    <t>0179.05/62-CR</t>
  </si>
  <si>
    <t>0162/64-CR</t>
  </si>
  <si>
    <t>0164/64-CR</t>
  </si>
  <si>
    <t>0166/64-CR</t>
  </si>
  <si>
    <t>0167/64-CR</t>
  </si>
  <si>
    <t>0168/64-CR</t>
  </si>
  <si>
    <t>0169/64-CR</t>
  </si>
  <si>
    <t>0179.05/64-CR</t>
  </si>
  <si>
    <t>0162/87-CR</t>
  </si>
  <si>
    <t>0164/87-CR</t>
  </si>
  <si>
    <t>0166/87-CR</t>
  </si>
  <si>
    <t>0167/87-CR</t>
  </si>
  <si>
    <t>0168/87-CR</t>
  </si>
  <si>
    <t>0169/87-CR</t>
  </si>
  <si>
    <t>0179.06/87-CR</t>
  </si>
  <si>
    <t>0162/49-CR</t>
  </si>
  <si>
    <t>0164/49-CR</t>
  </si>
  <si>
    <t>0166/49-CR</t>
  </si>
  <si>
    <t>0167/49-CR</t>
  </si>
  <si>
    <t>0168/49-CR</t>
  </si>
  <si>
    <t>0169/49-CR</t>
  </si>
  <si>
    <t>0162/83-CR</t>
  </si>
  <si>
    <t>0164/83-CR</t>
  </si>
  <si>
    <t>0166/83-CR</t>
  </si>
  <si>
    <t>0167/83-CR</t>
  </si>
  <si>
    <t>0168/83-CR</t>
  </si>
  <si>
    <t>0169/83-CR</t>
  </si>
  <si>
    <t>0163R/85-CR</t>
  </si>
  <si>
    <t>0164R/85-CR</t>
  </si>
  <si>
    <t>0166R/85-CR</t>
  </si>
  <si>
    <t>0167R/85-CR</t>
  </si>
  <si>
    <t>0168.01R/85M-CR</t>
  </si>
  <si>
    <t>0168.01R/85V-CR</t>
  </si>
  <si>
    <t>0168R/85M-CR</t>
  </si>
  <si>
    <t>0168R/85V-CR</t>
  </si>
  <si>
    <t>0169R/85-CR</t>
  </si>
  <si>
    <t>0163/H4-CR</t>
  </si>
  <si>
    <t>0164/H4-CR</t>
  </si>
  <si>
    <t>0166/H4-CR</t>
  </si>
  <si>
    <t>0167/H4-CR</t>
  </si>
  <si>
    <t>0168/H4-CR</t>
  </si>
  <si>
    <t>0169/H4-CR</t>
  </si>
  <si>
    <t>0169/H4-RG</t>
  </si>
  <si>
    <t>0338-CR</t>
  </si>
  <si>
    <t>0363.05P-CR</t>
  </si>
  <si>
    <t>0261-D10-19-20</t>
  </si>
  <si>
    <t>0261-D10-19-25</t>
  </si>
  <si>
    <t>0261-D10-19-30</t>
  </si>
  <si>
    <t>0261-D10-19-35</t>
  </si>
  <si>
    <t>0261-D10-19-40</t>
  </si>
  <si>
    <t>0261-D20-13-20</t>
  </si>
  <si>
    <t>0261-D20-13-25</t>
  </si>
  <si>
    <t>0261-D20-13-30</t>
  </si>
  <si>
    <t>0261-D20-13-35</t>
  </si>
  <si>
    <t>0261-D20-13-40</t>
  </si>
  <si>
    <t>0801.11.0-CR</t>
  </si>
  <si>
    <t>0810.01-13-B</t>
  </si>
  <si>
    <t>0810.01-13-C</t>
  </si>
  <si>
    <t>0810.01-19-B</t>
  </si>
  <si>
    <t>0810.01-19-C</t>
  </si>
  <si>
    <t>0810A</t>
  </si>
  <si>
    <t>0822-25-CR</t>
  </si>
  <si>
    <t>0822.01-13</t>
  </si>
  <si>
    <t>0822.01-19</t>
  </si>
  <si>
    <t>0822.02-13-CR</t>
  </si>
  <si>
    <t>0822.02-19-CR</t>
  </si>
  <si>
    <t>0436.03-13</t>
  </si>
  <si>
    <t>0436.03-19</t>
  </si>
  <si>
    <t>0436.03-25</t>
  </si>
  <si>
    <t>0436.04-13</t>
  </si>
  <si>
    <t>0436.10-13</t>
  </si>
  <si>
    <t>0436.10-19</t>
  </si>
  <si>
    <t>0436.10-25</t>
  </si>
  <si>
    <t>0437-13</t>
  </si>
  <si>
    <t>0438-13-CR</t>
  </si>
  <si>
    <t>0438-19-CR</t>
  </si>
  <si>
    <t>0652-13</t>
  </si>
  <si>
    <t>0653-13-CR</t>
  </si>
  <si>
    <t>0653-19-CR</t>
  </si>
  <si>
    <t>0655-100</t>
  </si>
  <si>
    <t>0655-32</t>
  </si>
  <si>
    <t>0655-38</t>
  </si>
  <si>
    <t>0655-50</t>
  </si>
  <si>
    <t>0655-63</t>
  </si>
  <si>
    <t>0655-75</t>
  </si>
  <si>
    <t>0658-13-B</t>
  </si>
  <si>
    <t>0658-19-B</t>
  </si>
  <si>
    <t>0658-25-B</t>
  </si>
  <si>
    <t>0452-13</t>
  </si>
  <si>
    <t>0452-19</t>
  </si>
  <si>
    <t>0454-13.19-C</t>
  </si>
  <si>
    <t>0454-13.25-C</t>
  </si>
  <si>
    <t>0454-13.32-C</t>
  </si>
  <si>
    <t>0454-13.38-C</t>
  </si>
  <si>
    <t>0454-13.50-C</t>
  </si>
  <si>
    <t>0470-13-B</t>
  </si>
  <si>
    <t>0470-13-C</t>
  </si>
  <si>
    <t>0470-19-B</t>
  </si>
  <si>
    <t>0470-19-C</t>
  </si>
  <si>
    <t>0471-13-B</t>
  </si>
  <si>
    <t>0471-19-B</t>
  </si>
  <si>
    <t>0474-13</t>
  </si>
  <si>
    <t>0474-19</t>
  </si>
  <si>
    <t>0475-13</t>
  </si>
  <si>
    <t>0475-19</t>
  </si>
  <si>
    <t>0479/B2P-13-CR</t>
  </si>
  <si>
    <t>0479/B2P-13DH-C</t>
  </si>
  <si>
    <t>0479/B2P-19-CR</t>
  </si>
  <si>
    <t>0480/87-19-CR</t>
  </si>
  <si>
    <t>0480/88-19-CR</t>
  </si>
  <si>
    <t>0480/H3-19-RG</t>
  </si>
  <si>
    <t>0480/H3L-19-CR</t>
  </si>
  <si>
    <t>0480R/85-19-CR</t>
  </si>
  <si>
    <t>0480R/85L-19-CR</t>
  </si>
  <si>
    <t>0485-13</t>
  </si>
  <si>
    <t>0485-19</t>
  </si>
  <si>
    <t>0489.03/B2P-20-</t>
  </si>
  <si>
    <t>0489.03/B2P-25-</t>
  </si>
  <si>
    <t>0489/B2P-13-CR</t>
  </si>
  <si>
    <t>0489/B2P-19-CR</t>
  </si>
  <si>
    <t>0496-19</t>
  </si>
  <si>
    <t>0496-25</t>
  </si>
  <si>
    <t>0496-32</t>
  </si>
  <si>
    <t>0496-38</t>
  </si>
  <si>
    <t>0496-50</t>
  </si>
  <si>
    <t>0600-100-B</t>
  </si>
  <si>
    <t>0600-32-B</t>
  </si>
  <si>
    <t>0600-38-B</t>
  </si>
  <si>
    <t>0600-50-B</t>
  </si>
  <si>
    <t>0600-63-B</t>
  </si>
  <si>
    <t>0600-75-B</t>
  </si>
  <si>
    <t>0605-13-B</t>
  </si>
  <si>
    <t>0605-19-B</t>
  </si>
  <si>
    <t>0605-25-B</t>
  </si>
  <si>
    <t>TEFLON-13-20</t>
  </si>
  <si>
    <t>TEFLON-19-20</t>
  </si>
  <si>
    <t>TEFLON-19-40</t>
  </si>
  <si>
    <t>0416.01.11.0-B</t>
  </si>
  <si>
    <t>0542-13-B</t>
  </si>
  <si>
    <t>0542-13-C</t>
  </si>
  <si>
    <t>0542-19-B</t>
  </si>
  <si>
    <t>0542-19-C</t>
  </si>
  <si>
    <t>DF-0103</t>
  </si>
  <si>
    <t>DF-0109</t>
  </si>
  <si>
    <t>DF-0368</t>
  </si>
  <si>
    <t>DF.0103-01.0</t>
  </si>
  <si>
    <t>DF.0103-02.0</t>
  </si>
  <si>
    <t>DF.0103-04.0A</t>
  </si>
  <si>
    <t>DF.0103-06.0</t>
  </si>
  <si>
    <t>DF.0103-15.0</t>
  </si>
  <si>
    <t>DF.0103-16.0</t>
  </si>
  <si>
    <t>DF.0103-18.0</t>
  </si>
  <si>
    <t>DF.0103-19.0</t>
  </si>
  <si>
    <t>DF.0103-20.0</t>
  </si>
  <si>
    <t>DF.0103-21.0</t>
  </si>
  <si>
    <t>DF.0103-22.0</t>
  </si>
  <si>
    <t>DF.0103-28.0</t>
  </si>
  <si>
    <t>DF.0106-01.0</t>
  </si>
  <si>
    <t>DF.0368-08.0</t>
  </si>
  <si>
    <t>DF.0454-16.0</t>
  </si>
  <si>
    <t>TF.310.20</t>
  </si>
  <si>
    <t>0201/40.7.0C-10</t>
  </si>
  <si>
    <t>0380.01-5-BT</t>
  </si>
  <si>
    <t>0380.01-7-BT</t>
  </si>
  <si>
    <t>0380.02-5-BT</t>
  </si>
  <si>
    <t>0380.02-7-BT</t>
  </si>
  <si>
    <t>0380.03-5-BT</t>
  </si>
  <si>
    <t>0380.03-7-BT</t>
  </si>
  <si>
    <t>0380.04-5-BT</t>
  </si>
  <si>
    <t>0380.04-7-BT</t>
  </si>
  <si>
    <t>0380.05-5-BT</t>
  </si>
  <si>
    <t>0380.05-7-BT</t>
  </si>
  <si>
    <t>0380.06-5-BT</t>
  </si>
  <si>
    <t>0380.06-7-BT</t>
  </si>
  <si>
    <t>0380.08-5-BT</t>
  </si>
  <si>
    <t>0380.08-7-BT</t>
  </si>
  <si>
    <t>0380.09-5-BT</t>
  </si>
  <si>
    <t>0380.09-8-BT</t>
  </si>
  <si>
    <t>0380.10-5-BT</t>
  </si>
  <si>
    <t>0380.10-8-BT</t>
  </si>
  <si>
    <t>0380.11-5-BT</t>
  </si>
  <si>
    <t>0380.11-7-BT</t>
  </si>
  <si>
    <t>0416/15.7.0-10-</t>
  </si>
  <si>
    <t>0210.0/87-CR</t>
  </si>
  <si>
    <t>0210.0/88-CR</t>
  </si>
  <si>
    <t>0210.0R/85-CR</t>
  </si>
  <si>
    <t>0210.0R/85L-CR</t>
  </si>
  <si>
    <t>0221</t>
  </si>
  <si>
    <t>0221.10/15-CR</t>
  </si>
  <si>
    <t>0221/15-CR</t>
  </si>
  <si>
    <t>0239</t>
  </si>
  <si>
    <t>0239.01</t>
  </si>
  <si>
    <t>0239.02-CR</t>
  </si>
  <si>
    <t>0242-CR</t>
  </si>
  <si>
    <t>0242.01-CR</t>
  </si>
  <si>
    <t>0242.02-CR</t>
  </si>
  <si>
    <t>0242.03-CR</t>
  </si>
  <si>
    <t>0246.01</t>
  </si>
  <si>
    <t>0246.01-B</t>
  </si>
  <si>
    <t>0246.06</t>
  </si>
  <si>
    <t>0246/A1.13.0-D</t>
  </si>
  <si>
    <t>0248.01-CR</t>
  </si>
  <si>
    <t>0248.10-AI</t>
  </si>
  <si>
    <t>0254.02-CR</t>
  </si>
  <si>
    <t>0351.01.6-AI</t>
  </si>
  <si>
    <t>0351.01.8-AI</t>
  </si>
  <si>
    <t>0351.02.6-AI</t>
  </si>
  <si>
    <t>0351.02.8-AI</t>
  </si>
  <si>
    <t>0355.01</t>
  </si>
  <si>
    <t>0355.02-D-CR</t>
  </si>
  <si>
    <t>0355.03</t>
  </si>
  <si>
    <t>0251</t>
  </si>
  <si>
    <t>0251.01</t>
  </si>
  <si>
    <t>0251.03-B2-NC</t>
  </si>
  <si>
    <t>0324/61-NC</t>
  </si>
  <si>
    <t>0358</t>
  </si>
  <si>
    <t>0269.05-CR</t>
  </si>
  <si>
    <t>0269.06-CR</t>
  </si>
  <si>
    <t>0275.03</t>
  </si>
  <si>
    <t>0545</t>
  </si>
  <si>
    <t>0545.2-D-CR</t>
  </si>
  <si>
    <t>0546</t>
  </si>
  <si>
    <t>0409/15.9-B</t>
  </si>
  <si>
    <t>0420</t>
  </si>
  <si>
    <t>0420/15-CR</t>
  </si>
  <si>
    <t>0420/17-CR</t>
  </si>
  <si>
    <t>0421</t>
  </si>
  <si>
    <t>0421/15-CR</t>
  </si>
  <si>
    <t>0430-13-B</t>
  </si>
  <si>
    <t>0430-13-C</t>
  </si>
  <si>
    <t>0430-19-B</t>
  </si>
  <si>
    <t>0432-13</t>
  </si>
  <si>
    <t>0434.01/15-B-CR</t>
  </si>
  <si>
    <t>0434.01/75-B</t>
  </si>
  <si>
    <t>0434/15</t>
  </si>
  <si>
    <t>0436-13-B</t>
  </si>
  <si>
    <t>0436-13-C</t>
  </si>
  <si>
    <t>0436-19-B</t>
  </si>
  <si>
    <t>0436-19-C</t>
  </si>
  <si>
    <t>0436.01-13</t>
  </si>
  <si>
    <t>0436/15</t>
  </si>
  <si>
    <t>0451.01-09</t>
  </si>
  <si>
    <t>0451.01-13</t>
  </si>
  <si>
    <t>0451.01-19</t>
  </si>
  <si>
    <t>0451.01-25</t>
  </si>
  <si>
    <t>0428/D7L-CR</t>
  </si>
  <si>
    <t>0425/15-CR</t>
  </si>
  <si>
    <t>0425/16-CCC</t>
  </si>
  <si>
    <t>0406/B5-CR</t>
  </si>
  <si>
    <t>0411.01/90-CR</t>
  </si>
  <si>
    <t>0411.03/90A-CR</t>
  </si>
  <si>
    <t>0163/15-CR</t>
  </si>
  <si>
    <t>0164/15-CR</t>
  </si>
  <si>
    <t>0166/15-B-CR</t>
  </si>
  <si>
    <t>0167/15-B-CR</t>
  </si>
  <si>
    <t>0168/15-B-CR</t>
  </si>
  <si>
    <t>0169/15-B-CR</t>
  </si>
  <si>
    <t>0179.06/15-CR</t>
  </si>
  <si>
    <t>0163/17-CR</t>
  </si>
  <si>
    <t>0164/17-CR</t>
  </si>
  <si>
    <t>0166/17-CR</t>
  </si>
  <si>
    <t>0167/17-CR</t>
  </si>
  <si>
    <t>0168/17-CR</t>
  </si>
  <si>
    <t>0169/17-CR</t>
  </si>
  <si>
    <t>0179.03/17-CR</t>
  </si>
  <si>
    <t>0179.05/17-CR</t>
  </si>
  <si>
    <t>0162/31-CR</t>
  </si>
  <si>
    <t>0164/31-CR</t>
  </si>
  <si>
    <t>0166/31-CR</t>
  </si>
  <si>
    <t>0167/31-CR</t>
  </si>
  <si>
    <t>0168/31-CR</t>
  </si>
  <si>
    <t>0169/31-CR</t>
  </si>
  <si>
    <t>0179.05/31-CR</t>
  </si>
  <si>
    <t>0163/B1-CR</t>
  </si>
  <si>
    <t>0164/B1-CR</t>
  </si>
  <si>
    <t>0166/B1-CR</t>
  </si>
  <si>
    <t>0167/B1-CR</t>
  </si>
  <si>
    <t>0168/B1-CR</t>
  </si>
  <si>
    <t>0169/B1-CR</t>
  </si>
  <si>
    <t>0179.03/B1-CR</t>
  </si>
  <si>
    <t>0179.04/B1-CR</t>
  </si>
  <si>
    <t>0179.05/B1-CR</t>
  </si>
  <si>
    <t>0162/B2-CR</t>
  </si>
  <si>
    <t>0164/B2-CR</t>
  </si>
  <si>
    <t>0166/B2-CR</t>
  </si>
  <si>
    <t>0167/B2-CR</t>
  </si>
  <si>
    <t>0168/B2-CR</t>
  </si>
  <si>
    <t>0169/B2-CR</t>
  </si>
  <si>
    <t>0179.05/B2-CR</t>
  </si>
  <si>
    <t>0162/C3-CR</t>
  </si>
  <si>
    <t>0164/C3-CR</t>
  </si>
  <si>
    <t>0166/C3-CR</t>
  </si>
  <si>
    <t>0167/C3-CR</t>
  </si>
  <si>
    <t>0168/C3-CR</t>
  </si>
  <si>
    <t>0169/C3-CR</t>
  </si>
  <si>
    <t>0179.05/C3-CR</t>
  </si>
  <si>
    <t>0163/N2-CR</t>
  </si>
  <si>
    <t>0164/N2-CR</t>
  </si>
  <si>
    <t>0166/N2-CR</t>
  </si>
  <si>
    <t>0167/N2-CR</t>
  </si>
  <si>
    <t>0168/N2-CR</t>
  </si>
  <si>
    <t>0169/N2-CR</t>
  </si>
  <si>
    <t>0179.03/N2-CR</t>
  </si>
  <si>
    <t>0106/39-CR</t>
  </si>
  <si>
    <t>0108/39-CR</t>
  </si>
  <si>
    <t>0181.02/39-CR</t>
  </si>
  <si>
    <t>0181/39-CR</t>
  </si>
  <si>
    <t>0189/39-CR</t>
  </si>
  <si>
    <t>0206/39-CR</t>
  </si>
  <si>
    <t>0310/39-CR</t>
  </si>
  <si>
    <t>0406.03/39-CR</t>
  </si>
  <si>
    <t>0406/39-CR</t>
  </si>
  <si>
    <t>0411.04/39-CR</t>
  </si>
  <si>
    <t>0106/D8-CR</t>
  </si>
  <si>
    <t>0106/D8-NG</t>
  </si>
  <si>
    <t>0181.02/D8-CR</t>
  </si>
  <si>
    <t>0181.02/D8-NG</t>
  </si>
  <si>
    <t>0181/D8-CR</t>
  </si>
  <si>
    <t>0181/D8-NG</t>
  </si>
  <si>
    <t>0189/D8-CR</t>
  </si>
  <si>
    <t>0189/D8-NG</t>
  </si>
  <si>
    <t>0310/D8-CR</t>
  </si>
  <si>
    <t>0310/D8-NG</t>
  </si>
  <si>
    <t>0106/L2-CR</t>
  </si>
  <si>
    <t>0106/L2-NG</t>
  </si>
  <si>
    <t>0181.02/L2-CR</t>
  </si>
  <si>
    <t>0181.02/L2-NG</t>
  </si>
  <si>
    <t>0181/L2-CR</t>
  </si>
  <si>
    <t>0181/L2-NG</t>
  </si>
  <si>
    <t>0189/L2-CR</t>
  </si>
  <si>
    <t>0189/L2-NG</t>
  </si>
  <si>
    <t>0206/L2-CR</t>
  </si>
  <si>
    <t>0206/L2-NG</t>
  </si>
  <si>
    <t>0310/L2-CR</t>
  </si>
  <si>
    <t>0310/L2-NG</t>
  </si>
  <si>
    <t>0106/M4-CR</t>
  </si>
  <si>
    <t>0108/M4-CR</t>
  </si>
  <si>
    <t>0181/M4-CR</t>
  </si>
  <si>
    <t>0189/M4-CR</t>
  </si>
  <si>
    <t>0310/M4-CR</t>
  </si>
  <si>
    <t>0411.01/M4-CR</t>
  </si>
  <si>
    <t>0423/M4-CR</t>
  </si>
  <si>
    <t>0106/D9-CR</t>
  </si>
  <si>
    <t>0181.02/D9-CR</t>
  </si>
  <si>
    <t>0181/D9-CR</t>
  </si>
  <si>
    <t>0189/D9-CR</t>
  </si>
  <si>
    <t>0310/D9-CR</t>
  </si>
  <si>
    <t>0106/85N-CR</t>
  </si>
  <si>
    <t>0181.02/85N-CR</t>
  </si>
  <si>
    <t>0181/85N-CR</t>
  </si>
  <si>
    <t>0189/85N-CR</t>
  </si>
  <si>
    <t>0206/85N-CR</t>
  </si>
  <si>
    <t>0106/B1-CR</t>
  </si>
  <si>
    <t>0108/B1-CR</t>
  </si>
  <si>
    <t>0181/B1-CR</t>
  </si>
  <si>
    <t>0189/B1-CR</t>
  </si>
  <si>
    <t>0310/B1-CR</t>
  </si>
  <si>
    <t>0106/C9-CR</t>
  </si>
  <si>
    <t>0181/C9-CR</t>
  </si>
  <si>
    <t>0189/C9-CR</t>
  </si>
  <si>
    <t>0310/C9-CR</t>
  </si>
  <si>
    <t>0411.04/87-BN</t>
  </si>
  <si>
    <t>0411.04/87-CR</t>
  </si>
  <si>
    <t>0412.01/87-CR</t>
  </si>
  <si>
    <t>0412/87-CR</t>
  </si>
  <si>
    <t>0412/H5-CR</t>
  </si>
  <si>
    <t>0313/85N-CR</t>
  </si>
  <si>
    <t>0162/39-CR</t>
  </si>
  <si>
    <t>0164/39-CR</t>
  </si>
  <si>
    <t>0166/39-CR</t>
  </si>
  <si>
    <t>0167/39-CR</t>
  </si>
  <si>
    <t>0168/39-CR</t>
  </si>
  <si>
    <t>0169/39-CR</t>
  </si>
  <si>
    <t>0179.06/39-CR</t>
  </si>
  <si>
    <t>0700.10/37-CR</t>
  </si>
  <si>
    <t>0702.10/37-CR</t>
  </si>
  <si>
    <t>0703.10/37-CR</t>
  </si>
  <si>
    <t>0704.10/37-CR</t>
  </si>
  <si>
    <t>0708.10/37-CR</t>
  </si>
  <si>
    <t>0712.10/37-CR</t>
  </si>
  <si>
    <t>0714.10/37-CR</t>
  </si>
  <si>
    <t>0715.10.2/37-CR</t>
  </si>
  <si>
    <t>0715.10/37-CR</t>
  </si>
  <si>
    <t>0716.10/37-CR</t>
  </si>
  <si>
    <t>0718.10/37-CR</t>
  </si>
  <si>
    <t>0720.10/37-CR</t>
  </si>
  <si>
    <t>0722.10/37-CR</t>
  </si>
  <si>
    <t>0732.10/37-CR</t>
  </si>
  <si>
    <t>0163/L2-CR</t>
  </si>
  <si>
    <t>0163/L2-NG</t>
  </si>
  <si>
    <t>0164/L2-CR</t>
  </si>
  <si>
    <t>0164/L2-NG</t>
  </si>
  <si>
    <t>0166/L2-CR</t>
  </si>
  <si>
    <t>0166/L2-NG</t>
  </si>
  <si>
    <t>0167/L2-CR</t>
  </si>
  <si>
    <t>0167/L2-NG</t>
  </si>
  <si>
    <t>0168/L2-CR</t>
  </si>
  <si>
    <t>0168/L2-NG</t>
  </si>
  <si>
    <t>0169/L2-CR</t>
  </si>
  <si>
    <t>0169/L2-NG</t>
  </si>
  <si>
    <t>0179.06/L2-CR</t>
  </si>
  <si>
    <t>0401/15-CR</t>
  </si>
  <si>
    <t>0403.03/15-CR</t>
  </si>
  <si>
    <t>0403/15-CR</t>
  </si>
  <si>
    <t>0409/15-CR</t>
  </si>
  <si>
    <t>0416/15-CR</t>
  </si>
  <si>
    <t>0103/15-CR</t>
  </si>
  <si>
    <t>0109/15-CR</t>
  </si>
  <si>
    <t>0112/15-CR</t>
  </si>
  <si>
    <t>0118/15-CR</t>
  </si>
  <si>
    <t>0207/15-CR</t>
  </si>
  <si>
    <t>0295/15-CR</t>
  </si>
  <si>
    <t>94187</t>
  </si>
  <si>
    <t>94188</t>
  </si>
  <si>
    <t>0341.8.0-D</t>
  </si>
  <si>
    <t>0405.8.0-D-CR</t>
  </si>
  <si>
    <t>0412.01.29-D</t>
  </si>
  <si>
    <t>0414.8.0-D-CR</t>
  </si>
  <si>
    <t>0420.22.0-D-CR</t>
  </si>
  <si>
    <t>0201/40.7-D</t>
  </si>
  <si>
    <t>0201/40.7.C-B</t>
  </si>
  <si>
    <t>0201/87.7.I-D</t>
  </si>
  <si>
    <t>0205/87.7-D</t>
  </si>
  <si>
    <t>0207/17.7.I-D</t>
  </si>
  <si>
    <t>0207/28.7.I.0-D</t>
  </si>
  <si>
    <t>0103/16.12-D-CR</t>
  </si>
  <si>
    <t>0103/16.12-D-OR</t>
  </si>
  <si>
    <t>0103/41.19-D</t>
  </si>
  <si>
    <t>0103/46.16-D-CR</t>
  </si>
  <si>
    <t>0103/46.16-D-OR</t>
  </si>
  <si>
    <t>0103/62.12-D-CR</t>
  </si>
  <si>
    <t>0103/62.12A-D-C</t>
  </si>
  <si>
    <t>0103/62.12A-D-O</t>
  </si>
  <si>
    <t>0103/64.12-D-CR</t>
  </si>
  <si>
    <t>0103/64.12-D-OR</t>
  </si>
  <si>
    <t>0103/64.12A-D-C</t>
  </si>
  <si>
    <t>0103/64.12A-D-O</t>
  </si>
  <si>
    <t>0103/64.16-D-CR</t>
  </si>
  <si>
    <t>0103/64.16-D-OR</t>
  </si>
  <si>
    <t>0103/84.16-D-CR</t>
  </si>
  <si>
    <t>0103/84.16-D-OR</t>
  </si>
  <si>
    <t>0106/39.23.0-D-</t>
  </si>
  <si>
    <t>0106/92.6-D</t>
  </si>
  <si>
    <t>0108/B3.24.0-D-</t>
  </si>
  <si>
    <t>0160/72.16-D-CR</t>
  </si>
  <si>
    <t>0181/39.15.0-D-</t>
  </si>
  <si>
    <t>0181/B1.15.0-D-</t>
  </si>
  <si>
    <t>0181/B3.15.0-D-</t>
  </si>
  <si>
    <t>0201/46.15-D-CR</t>
  </si>
  <si>
    <t>0206/39.24.0-D-</t>
  </si>
  <si>
    <t>0206/87.23.0-D-</t>
  </si>
  <si>
    <t>0206/87.24.0-D-</t>
  </si>
  <si>
    <t>0206/87.25-D</t>
  </si>
  <si>
    <t>0210/46.19-D-CR</t>
  </si>
  <si>
    <t>0210/46.19-D-OR</t>
  </si>
  <si>
    <t>0411.04.10-D</t>
  </si>
  <si>
    <t>0411/87.15-D-CR</t>
  </si>
  <si>
    <t>0294.47-D</t>
  </si>
  <si>
    <t>0100.24A-D50</t>
  </si>
  <si>
    <t>0100.40C-D50</t>
  </si>
  <si>
    <t>0100/49.32-D5</t>
  </si>
  <si>
    <t>0103/41.10-D</t>
  </si>
  <si>
    <t>0103/41.6-D</t>
  </si>
  <si>
    <t>0103/42.24-D10</t>
  </si>
  <si>
    <t>0103/49.5-D20</t>
  </si>
  <si>
    <t>0103/85.22-D</t>
  </si>
  <si>
    <t>0106.02.25-D</t>
  </si>
  <si>
    <t>0106.25-D10</t>
  </si>
  <si>
    <t>0112/15.25-D</t>
  </si>
  <si>
    <t>0119.18-D10</t>
  </si>
  <si>
    <t>0119.44-D</t>
  </si>
  <si>
    <t>0180/50.13A-D</t>
  </si>
  <si>
    <t>0181/92.17.R</t>
  </si>
  <si>
    <t>0181/92.8.R</t>
  </si>
  <si>
    <t>0181/93.17-D</t>
  </si>
  <si>
    <t>0181/93.8-D</t>
  </si>
  <si>
    <t>0182/92.17.R</t>
  </si>
  <si>
    <t>0188/68.3-D</t>
  </si>
  <si>
    <t>0188/75.7-D</t>
  </si>
  <si>
    <t>0201/40.6-D</t>
  </si>
  <si>
    <t>0201/42.22.R</t>
  </si>
  <si>
    <t>0207.2-D20</t>
  </si>
  <si>
    <t>0207/15.12-D</t>
  </si>
  <si>
    <t>0207/15.22-D</t>
  </si>
  <si>
    <t>0207/15.9-D</t>
  </si>
  <si>
    <t>0240.10-D</t>
  </si>
  <si>
    <t>0294.15-D10</t>
  </si>
  <si>
    <t>0294.43A-D20</t>
  </si>
  <si>
    <t>0295/15.4-D</t>
  </si>
  <si>
    <t>0295/15.5-D</t>
  </si>
  <si>
    <t>0362.8-D</t>
  </si>
  <si>
    <t>0365.A31-D</t>
  </si>
  <si>
    <t>0365.F3-D</t>
  </si>
  <si>
    <t>0365.S20A-D</t>
  </si>
  <si>
    <t>0365.S5-D</t>
  </si>
  <si>
    <t>0403/24.3-D</t>
  </si>
  <si>
    <t>0405.9-D</t>
  </si>
  <si>
    <t>0411.01.17-D</t>
  </si>
  <si>
    <t>0411.01.8-D</t>
  </si>
  <si>
    <t>0411.12-D</t>
  </si>
  <si>
    <t>0411.13-D</t>
  </si>
  <si>
    <t>0412.01.17-D</t>
  </si>
  <si>
    <t>0412.01.8-D</t>
  </si>
  <si>
    <t>0416.14.R</t>
  </si>
  <si>
    <t>0416/15.3-D5</t>
  </si>
  <si>
    <t>0430.17A-D10</t>
  </si>
  <si>
    <t>0430.18-D5</t>
  </si>
  <si>
    <t>0431.11A-D5</t>
  </si>
  <si>
    <t>0451.15-D5</t>
  </si>
  <si>
    <t>0451.16-D10</t>
  </si>
  <si>
    <t>0451.17-D5</t>
  </si>
  <si>
    <t>0451/15.16-D50</t>
  </si>
  <si>
    <t>0532.22-D5</t>
  </si>
  <si>
    <t>0801.7-D</t>
  </si>
  <si>
    <t>0803.7-D</t>
  </si>
  <si>
    <t>0361.01.30.0-D</t>
  </si>
  <si>
    <t>0361.30.0-D</t>
  </si>
  <si>
    <t>0368.30.0-D</t>
  </si>
  <si>
    <t>0213/85.4.0-D</t>
  </si>
  <si>
    <t>0411.01.10-D-CR</t>
  </si>
  <si>
    <t>0411.01.10A-D-C</t>
  </si>
  <si>
    <t>0411.01.26-D</t>
  </si>
  <si>
    <t>0411.10-D-CR</t>
  </si>
  <si>
    <t>0103/15.4-D</t>
  </si>
  <si>
    <t>0103/28.4.0-D-C</t>
  </si>
  <si>
    <t>0103/42.4.0-D-C</t>
  </si>
  <si>
    <t>0103/42.4.0-D-O</t>
  </si>
  <si>
    <t>0103/50.3-D</t>
  </si>
  <si>
    <t>0181/39.4.0-D-C</t>
  </si>
  <si>
    <t>0181/D6.7.0-D</t>
  </si>
  <si>
    <t>0201.3B-D5</t>
  </si>
  <si>
    <t>0201.3B.1.0-D-C</t>
  </si>
  <si>
    <t>0201/40.4.0-D-C</t>
  </si>
  <si>
    <t>0201/85.8-BT</t>
  </si>
  <si>
    <t>0201/87.7.0-D-C</t>
  </si>
  <si>
    <t>0203/39.5.0-D-C</t>
  </si>
  <si>
    <t>0207/20.3-B</t>
  </si>
  <si>
    <t>0207/49.4.0-D-C</t>
  </si>
  <si>
    <t>0207/59.4.0-D-C</t>
  </si>
  <si>
    <t>0207/B4.8.0-D</t>
  </si>
  <si>
    <t>0210/42.4.0-D-C</t>
  </si>
  <si>
    <t>0210/42.4.0-D-O</t>
  </si>
  <si>
    <t>0310/B1.4.0-D-C</t>
  </si>
  <si>
    <t>0361.4.0-D-CR</t>
  </si>
  <si>
    <t>0416/15.4.0.M-D</t>
  </si>
  <si>
    <t>0416/15.8-D-CR</t>
  </si>
  <si>
    <t>0416/18.7-D5</t>
  </si>
  <si>
    <t>0424/99-ST</t>
  </si>
  <si>
    <t>0428/39.14.0-D-</t>
  </si>
  <si>
    <t>0430.0.2.1-D-B</t>
  </si>
  <si>
    <t>0340.4.0-D</t>
  </si>
  <si>
    <t>0106/46.26-D-CR</t>
  </si>
  <si>
    <t>0106/87.16-D-CR</t>
  </si>
  <si>
    <t>0112/15.16-D-CR</t>
  </si>
  <si>
    <t>0166/15.4-D5</t>
  </si>
  <si>
    <t>0310/39.16-D-CR</t>
  </si>
  <si>
    <t>0310/B3.16-D-CR</t>
  </si>
  <si>
    <t>0360.16-B</t>
  </si>
  <si>
    <t>0361.01.16-B</t>
  </si>
  <si>
    <t>0372.25.0-B</t>
  </si>
  <si>
    <t>0103/28.19-D-CR</t>
  </si>
  <si>
    <t>0103/42.22-D-CR</t>
  </si>
  <si>
    <t>0103/42.22-D-OR</t>
  </si>
  <si>
    <t>0103/42.5-D-CR</t>
  </si>
  <si>
    <t>0103/42.5-D-OR</t>
  </si>
  <si>
    <t>0103/46.18.R-C</t>
  </si>
  <si>
    <t>0103/46.18.R-OR</t>
  </si>
  <si>
    <t>0103/57.5.0-D-C</t>
  </si>
  <si>
    <t>0103/57.5.0-D-O</t>
  </si>
  <si>
    <t>0103/59.16-R-CR</t>
  </si>
  <si>
    <t>0103/63.18.1-D1</t>
  </si>
  <si>
    <t>0103/82.9-D3</t>
  </si>
  <si>
    <t>0103/85.5-D-CR</t>
  </si>
  <si>
    <t>0103/N2.27-D10</t>
  </si>
  <si>
    <t>0115.19-D</t>
  </si>
  <si>
    <t>0119.34-D10</t>
  </si>
  <si>
    <t>0119.44.6-D10</t>
  </si>
  <si>
    <t>0120/42.4-D</t>
  </si>
  <si>
    <t>0201/46.5-D-CR</t>
  </si>
  <si>
    <t>0201/46.5-D-OR</t>
  </si>
  <si>
    <t>0201/57.5-D-OR</t>
  </si>
  <si>
    <t>0201/64.5-D-CR</t>
  </si>
  <si>
    <t>0201/64.6-D-CR</t>
  </si>
  <si>
    <t>0203/87.3.0-D-C</t>
  </si>
  <si>
    <t>0207/C3.18-D3</t>
  </si>
  <si>
    <t>0342.5-D-CR</t>
  </si>
  <si>
    <t>0489/16.3A-D</t>
  </si>
  <si>
    <t>0489/23.3-D</t>
  </si>
  <si>
    <t>0801.8A.0-D-NG</t>
  </si>
  <si>
    <t>0810.01.8.0-D-C</t>
  </si>
  <si>
    <t>0100.27.1-BT-N</t>
  </si>
  <si>
    <t>0103.12B.0-D-N</t>
  </si>
  <si>
    <t>0103.12B.0-DH-N</t>
  </si>
  <si>
    <t>0103/15.10.0-D</t>
  </si>
  <si>
    <t>0103/15.10.0-DH</t>
  </si>
  <si>
    <t>0103/15.12.0-BT</t>
  </si>
  <si>
    <t>0103/15.27.0-BT</t>
  </si>
  <si>
    <t>0103/15.27.0A-B</t>
  </si>
  <si>
    <t>0103/24.12.0-BT</t>
  </si>
  <si>
    <t>0103/24.27.0-BT</t>
  </si>
  <si>
    <t>0103/40.12.0-B</t>
  </si>
  <si>
    <t>0103/40.12.0-D</t>
  </si>
  <si>
    <t>0103/40.27.0A-B</t>
  </si>
  <si>
    <t>0103/42.12.0-BT</t>
  </si>
  <si>
    <t>0103/49.12.0-D</t>
  </si>
  <si>
    <t>0103/B4.12.0-D</t>
  </si>
  <si>
    <t>0103/H3.42.0A-B</t>
  </si>
  <si>
    <t>0112/15.40.0-BT</t>
  </si>
  <si>
    <t>0185/75.5.0-D</t>
  </si>
  <si>
    <t>0201/15.5.0-BT</t>
  </si>
  <si>
    <t>0201/24.2.0-BT</t>
  </si>
  <si>
    <t>0201/40.5.0A-BT</t>
  </si>
  <si>
    <t>0210.2.0-D-F</t>
  </si>
  <si>
    <t>0294.18B.0-D-N</t>
  </si>
  <si>
    <t>0294.18B.0-DH-N</t>
  </si>
  <si>
    <t>0294/15.18.0-B</t>
  </si>
  <si>
    <t>0294/15.18.0-D</t>
  </si>
  <si>
    <t>0294/15.18.0-DH</t>
  </si>
  <si>
    <t>0294/24.18.0-D</t>
  </si>
  <si>
    <t>0294/40.18.0-D</t>
  </si>
  <si>
    <t>0295/39.18.0-D</t>
  </si>
  <si>
    <t>0295/A1.5.0D-DH</t>
  </si>
  <si>
    <t>0295/B4.10.0-D-</t>
  </si>
  <si>
    <t>0341.2.0-D</t>
  </si>
  <si>
    <t>0342.2.0-D-CR</t>
  </si>
  <si>
    <t>0368.2.0-D</t>
  </si>
  <si>
    <t>0430.0.2.1-D-CR</t>
  </si>
  <si>
    <t>0430.0.2.3-D</t>
  </si>
  <si>
    <t>0430.0.3.1-D</t>
  </si>
  <si>
    <t>0430.0.3.1-D-CR</t>
  </si>
  <si>
    <t>0430.0.3.3-D-CR</t>
  </si>
  <si>
    <t>0430.6.0A-D-CR</t>
  </si>
  <si>
    <t>0430.7I.1-BT-N</t>
  </si>
  <si>
    <t>0433.0.2-D</t>
  </si>
  <si>
    <t>0461.0.1A-D</t>
  </si>
  <si>
    <t>0461.0.2-D</t>
  </si>
  <si>
    <t>0463.5.0-D</t>
  </si>
  <si>
    <t>0363.11.0-D</t>
  </si>
  <si>
    <t>0364.12-D</t>
  </si>
  <si>
    <t>0406.6.R</t>
  </si>
  <si>
    <t>0100/60.13G-D-C</t>
  </si>
  <si>
    <t>0103/15.13-D-CR</t>
  </si>
  <si>
    <t>0103/16.13-D-CR</t>
  </si>
  <si>
    <t>0103/17.13-D-CR</t>
  </si>
  <si>
    <t>0103/20.13-D-CR</t>
  </si>
  <si>
    <t>0103/24.13-D-CR</t>
  </si>
  <si>
    <t>0103/38.13-D-CR</t>
  </si>
  <si>
    <t>0103/42.13-D-OR</t>
  </si>
  <si>
    <t>0103/49.13-R-CR</t>
  </si>
  <si>
    <t>0103/62.13-D-CR</t>
  </si>
  <si>
    <t>0103/62.13.0-D-</t>
  </si>
  <si>
    <t>0103/64.13.0-D-</t>
  </si>
  <si>
    <t>0103/70.13-D-CR</t>
  </si>
  <si>
    <t>0103/83.13-D-QL</t>
  </si>
  <si>
    <t>0103/84.13-D-CR</t>
  </si>
  <si>
    <t>0103/E2.13-D-CR</t>
  </si>
  <si>
    <t>0201/46.13-D-CR</t>
  </si>
  <si>
    <t>0362.6-D</t>
  </si>
  <si>
    <t>0106/92.7.R-CR</t>
  </si>
  <si>
    <t>0181/87.7A-D-CR</t>
  </si>
  <si>
    <t>0181/B1.7-D-CR</t>
  </si>
  <si>
    <t>0189/93.7-D-CR</t>
  </si>
  <si>
    <t>0406.7-D-CR</t>
  </si>
  <si>
    <t>0406/92.7-D-CR</t>
  </si>
  <si>
    <t>0411.01.7A-D-CR</t>
  </si>
  <si>
    <t>0411.7.1-D-CR</t>
  </si>
  <si>
    <t>0106/95.25.0-D</t>
  </si>
  <si>
    <t>0181/B5.25.0-D</t>
  </si>
  <si>
    <t>0181/D8.25.0-BT</t>
  </si>
  <si>
    <t>0181/L2.25.0-BT</t>
  </si>
  <si>
    <t>0189/93.25.0-D</t>
  </si>
  <si>
    <t>0189/D8.25.0-BT</t>
  </si>
  <si>
    <t>0216/68.25.0-D</t>
  </si>
  <si>
    <t>0217.25.0-R</t>
  </si>
  <si>
    <t>0360.25.0-B</t>
  </si>
  <si>
    <t>0361.01.25.0-B</t>
  </si>
  <si>
    <t>0372.5.0-R</t>
  </si>
  <si>
    <t>0406.25.0-D</t>
  </si>
  <si>
    <t>0411.01.25.0-BT</t>
  </si>
  <si>
    <t>0411/B1.25.0-BT</t>
  </si>
  <si>
    <t>0411/B3.25.0-D</t>
  </si>
  <si>
    <t>0411/B3.25.0-DH</t>
  </si>
  <si>
    <t>0412/96.25.0-D</t>
  </si>
  <si>
    <t>0340.25.0-D</t>
  </si>
  <si>
    <t>0361.01.26-D</t>
  </si>
  <si>
    <t>0361.26-D</t>
  </si>
  <si>
    <t>0367.4.0-D-N</t>
  </si>
  <si>
    <t>0372.3.0-D</t>
  </si>
  <si>
    <t>0100.8-D</t>
  </si>
  <si>
    <t>0118.07.2E-D-CR</t>
  </si>
  <si>
    <t>0216.8-D</t>
  </si>
  <si>
    <t>0400.4-D-N</t>
  </si>
  <si>
    <t>0403/15.2-D-CR</t>
  </si>
  <si>
    <t>0112/15.5-D</t>
  </si>
  <si>
    <t>0128.05.2.1-D-C</t>
  </si>
  <si>
    <t>0412.01.23.0-D</t>
  </si>
  <si>
    <t>0310/39.19.0-R-</t>
  </si>
  <si>
    <t>0363.5A.0-D</t>
  </si>
  <si>
    <t>0405.3A-B2-N</t>
  </si>
  <si>
    <t>0181/92.8.0-D</t>
  </si>
  <si>
    <t>0181/93.8A.0-D</t>
  </si>
  <si>
    <t>0181/B1.8.0-D</t>
  </si>
  <si>
    <t>0189/B1.8.0-D</t>
  </si>
  <si>
    <t>0411.04.8.0-D</t>
  </si>
  <si>
    <t>0411/B1.8.0-D</t>
  </si>
  <si>
    <t>0411/B2.8.0A-D</t>
  </si>
  <si>
    <t>0411/B3.8.0-D</t>
  </si>
  <si>
    <t>0412.01.8.0-D</t>
  </si>
  <si>
    <t>0412/87.8.0-D</t>
  </si>
  <si>
    <t>0416.8.0-D</t>
  </si>
  <si>
    <t>0124/46.3.0-D</t>
  </si>
  <si>
    <t>0294.25C-D</t>
  </si>
  <si>
    <t>0294/15.25-D</t>
  </si>
  <si>
    <t>0520.5A-D</t>
  </si>
  <si>
    <t>0520.6A-D</t>
  </si>
  <si>
    <t>0520.6B.R</t>
  </si>
  <si>
    <t>0520.7.R</t>
  </si>
  <si>
    <t>0103/28.7.I-D</t>
  </si>
  <si>
    <t>0201/40.8-D</t>
  </si>
  <si>
    <t>0372.15-D</t>
  </si>
  <si>
    <t>0415.7-D5</t>
  </si>
  <si>
    <t>0103/16.18-D-CR</t>
  </si>
  <si>
    <t>0103/83.16-D-CR</t>
  </si>
  <si>
    <t>0112/15.7-D-CR</t>
  </si>
  <si>
    <t>0186/40.8-D-CR</t>
  </si>
  <si>
    <t>0186/75.7-D5-CR</t>
  </si>
  <si>
    <t>0201/16.18-D-CR</t>
  </si>
  <si>
    <t>0418/42.7.R-CR</t>
  </si>
  <si>
    <t>0118/15.20.0A-D</t>
  </si>
  <si>
    <t>0119.21.1.0-D-C</t>
  </si>
  <si>
    <t>0213/85.5.0-D-C</t>
  </si>
  <si>
    <t>0213/87.5.0-R-C</t>
  </si>
  <si>
    <t>0310/39.20.0-R-</t>
  </si>
  <si>
    <t>0310/B1.20.0-R-</t>
  </si>
  <si>
    <t>0367.24.0-B</t>
  </si>
  <si>
    <t>0206.5-D20</t>
  </si>
  <si>
    <t>0208.4-D</t>
  </si>
  <si>
    <t>0294.11-D10</t>
  </si>
  <si>
    <t>0294.13.4-D10</t>
  </si>
  <si>
    <t>0545.3-D</t>
  </si>
  <si>
    <t>0726.1/37-D</t>
  </si>
  <si>
    <t>0103/39.1.1-D</t>
  </si>
  <si>
    <t>0203/39.6.1-D</t>
  </si>
  <si>
    <t>0294.0/15.2A-D</t>
  </si>
  <si>
    <t>0294.0/45.21-D</t>
  </si>
  <si>
    <t>0104.3-D</t>
  </si>
  <si>
    <t>0104.4-D</t>
  </si>
  <si>
    <t>0181/39.20.0-D2</t>
  </si>
  <si>
    <t>0189/93.20.0-D</t>
  </si>
  <si>
    <t>0411.01.20.0-D</t>
  </si>
  <si>
    <t>0411.04.20.0-D</t>
  </si>
  <si>
    <t>0411/97.20.0-D</t>
  </si>
  <si>
    <t>0411/B2.20.0-D</t>
  </si>
  <si>
    <t>0126/B3.0-R-CR</t>
  </si>
  <si>
    <t>0240.9.R</t>
  </si>
  <si>
    <t>0295.2.R</t>
  </si>
  <si>
    <t>0295/85.13.4-D</t>
  </si>
  <si>
    <t>0364.01.4-D</t>
  </si>
  <si>
    <t>0365.S21-D</t>
  </si>
  <si>
    <t>0438.5-D10</t>
  </si>
  <si>
    <t>0438.8-D10</t>
  </si>
  <si>
    <t>0406.20-D</t>
  </si>
  <si>
    <t>0120.8.1-D5</t>
  </si>
  <si>
    <t>0189.10-D</t>
  </si>
  <si>
    <t>0207/15.4-D</t>
  </si>
  <si>
    <t>0294/15.12-D</t>
  </si>
  <si>
    <t>0372.20.0A-D</t>
  </si>
  <si>
    <t>0342.19-D</t>
  </si>
  <si>
    <t>0372.16-D</t>
  </si>
  <si>
    <t>0101/51.8-D5</t>
  </si>
  <si>
    <t>0101/60.8C-D20</t>
  </si>
  <si>
    <t>0101/60.8R-D20</t>
  </si>
  <si>
    <t>0103/24.8-D50</t>
  </si>
  <si>
    <t>0103/28.8-D</t>
  </si>
  <si>
    <t>0103/39.8A-D</t>
  </si>
  <si>
    <t>0103/39.8C-D5</t>
  </si>
  <si>
    <t>0103/H4.23.0-D</t>
  </si>
  <si>
    <t>0181/87.1.8-D</t>
  </si>
  <si>
    <t>0210.22.0-D</t>
  </si>
  <si>
    <t>0168.1-D</t>
  </si>
  <si>
    <t>0168/15.1A-R</t>
  </si>
  <si>
    <t>0168/39.1-R</t>
  </si>
  <si>
    <t>0168/57.1-R</t>
  </si>
  <si>
    <t>0168/84.1-D</t>
  </si>
  <si>
    <t>0168/85.1.2-R</t>
  </si>
  <si>
    <t>0168/87.0-D-CR</t>
  </si>
  <si>
    <t>0103.17-D10-CR</t>
  </si>
  <si>
    <t>0103/15.15-D-CR</t>
  </si>
  <si>
    <t>0103/16.15.1-D</t>
  </si>
  <si>
    <t>0103/16.16.1-D</t>
  </si>
  <si>
    <t>0103/16.17.1-D</t>
  </si>
  <si>
    <t>0103/17.15-D-CR</t>
  </si>
  <si>
    <t>0103/38.15-D5-C</t>
  </si>
  <si>
    <t>0103/42.15-D-CR</t>
  </si>
  <si>
    <t>0103/45.15-D-CR</t>
  </si>
  <si>
    <t>0103/45.15-D-OR</t>
  </si>
  <si>
    <t>0103/46.15-D-CR</t>
  </si>
  <si>
    <t>0103/46.15-D-OR</t>
  </si>
  <si>
    <t>0103/64.15.1-D</t>
  </si>
  <si>
    <t>0103/64.16.1-D</t>
  </si>
  <si>
    <t>0103/64.17.1-D</t>
  </si>
  <si>
    <t>0103/65.17-D-CR</t>
  </si>
  <si>
    <t>0103/84.15-D-CR</t>
  </si>
  <si>
    <t>0103/84.15-D-OR</t>
  </si>
  <si>
    <t>0411.01.15-D-CR</t>
  </si>
  <si>
    <t>0200.0/40.1.0-D</t>
  </si>
  <si>
    <t>0200.0/55.1-D</t>
  </si>
  <si>
    <t>0200.0F.2A.0-D</t>
  </si>
  <si>
    <t>0200.0F.2R-D</t>
  </si>
  <si>
    <t>0202/72.6.5.2-D</t>
  </si>
  <si>
    <t>0207/15.6.0-D</t>
  </si>
  <si>
    <t>0207/18.6.5.0-D</t>
  </si>
  <si>
    <t>0207/24.6.0-D</t>
  </si>
  <si>
    <t>0207/39.6.5.0-D</t>
  </si>
  <si>
    <t>0205/87.9-D</t>
  </si>
  <si>
    <t>0207/17.9-D</t>
  </si>
  <si>
    <t>0207/28.9-D</t>
  </si>
  <si>
    <t>0295.1.0-D-OR</t>
  </si>
  <si>
    <t>0295/15.1.0-D</t>
  </si>
  <si>
    <t>0295/85.60.0-D-</t>
  </si>
  <si>
    <t>0304.24.0-D</t>
  </si>
  <si>
    <t>0128.02.25.0-D-</t>
  </si>
  <si>
    <t>0310/93.25.0-B-</t>
  </si>
  <si>
    <t>0412.01.20.1-D-</t>
  </si>
  <si>
    <t>0106.02/92.14-D</t>
  </si>
  <si>
    <t>0106.02/94.14-D</t>
  </si>
  <si>
    <t>0106/87.14.0-D-</t>
  </si>
  <si>
    <t>0106/C9.14.0L-R</t>
  </si>
  <si>
    <t>0106/L2.14.0-R-</t>
  </si>
  <si>
    <t>0181/39.14.0-R-</t>
  </si>
  <si>
    <t>0181/87.14.0-D-</t>
  </si>
  <si>
    <t>0181/B5.14.0-R-</t>
  </si>
  <si>
    <t>0181/C9.14.0L-R</t>
  </si>
  <si>
    <t>0181/D3.14.0-R-</t>
  </si>
  <si>
    <t>0181/D8.14.0L-R</t>
  </si>
  <si>
    <t>0181/D9.14.0L-R</t>
  </si>
  <si>
    <t>0181/L2.14.0L-R</t>
  </si>
  <si>
    <t>0189/93.14.0-D-</t>
  </si>
  <si>
    <t>0206/39.14.0-R-</t>
  </si>
  <si>
    <t>0281.14.0-D-CR</t>
  </si>
  <si>
    <t>0365.B32A-D</t>
  </si>
  <si>
    <t>0406.14.0-D-CR</t>
  </si>
  <si>
    <t>0406/92.14.0-D-</t>
  </si>
  <si>
    <t>0406/94.14.0-D-</t>
  </si>
  <si>
    <t>0411.4/87.140-R</t>
  </si>
  <si>
    <t>0411/27.14.0-D-</t>
  </si>
  <si>
    <t>0411/87.14.0-D-</t>
  </si>
  <si>
    <t>0411/B1.14.0-D-</t>
  </si>
  <si>
    <t>0411/B3.14.0-D-</t>
  </si>
  <si>
    <t>0650.25.2-D5</t>
  </si>
  <si>
    <t>0650.38.2-D2</t>
  </si>
  <si>
    <t>0803.4-D</t>
  </si>
  <si>
    <t>0821.4C-D-CR</t>
  </si>
  <si>
    <t>0821.4C.0-B-CR</t>
  </si>
  <si>
    <t>0100/49.1-D5</t>
  </si>
  <si>
    <t>0100/49.7-D</t>
  </si>
  <si>
    <t>0103/15.11-D</t>
  </si>
  <si>
    <t>0103/15.6-D</t>
  </si>
  <si>
    <t>0103/40.6-B5</t>
  </si>
  <si>
    <t>0103/40.6-D5</t>
  </si>
  <si>
    <t>0103/41.11-D</t>
  </si>
  <si>
    <t>0103/41.5-D</t>
  </si>
  <si>
    <t>0103/49.11-D5</t>
  </si>
  <si>
    <t>0103/87.6-D</t>
  </si>
  <si>
    <t>0104.6-D</t>
  </si>
  <si>
    <t>0104.9-D</t>
  </si>
  <si>
    <t>0106.02/94.5-D1</t>
  </si>
  <si>
    <t>0106.23-D</t>
  </si>
  <si>
    <t>0119.35-D10</t>
  </si>
  <si>
    <t>0119.44.7-D10</t>
  </si>
  <si>
    <t>0180/50.6.R</t>
  </si>
  <si>
    <t>0181.6-D</t>
  </si>
  <si>
    <t>0181.7-D</t>
  </si>
  <si>
    <t>0181/87.5-D</t>
  </si>
  <si>
    <t>0181/92.21.R</t>
  </si>
  <si>
    <t>0188/75.11-D</t>
  </si>
  <si>
    <t>0201/46.3.R</t>
  </si>
  <si>
    <t>0201/68.11-D50</t>
  </si>
  <si>
    <t>0204/42.5-D</t>
  </si>
  <si>
    <t>0204/42.7-D</t>
  </si>
  <si>
    <t>0206/87.7-D</t>
  </si>
  <si>
    <t>0207/15.10-D</t>
  </si>
  <si>
    <t>0207/39.12-D</t>
  </si>
  <si>
    <t>0207/49.11-D10</t>
  </si>
  <si>
    <t>0210.12-D</t>
  </si>
  <si>
    <t>0210.25-D</t>
  </si>
  <si>
    <t>0246.15A-D10</t>
  </si>
  <si>
    <t>0294/49.18-D5</t>
  </si>
  <si>
    <t>0365.H549.R</t>
  </si>
  <si>
    <t>0365.H553.R</t>
  </si>
  <si>
    <t>0366.44-D</t>
  </si>
  <si>
    <t>0367.17.0-B</t>
  </si>
  <si>
    <t>0367.37-D</t>
  </si>
  <si>
    <t>0403.8-D5</t>
  </si>
  <si>
    <t>0403/24.21-D</t>
  </si>
  <si>
    <t>0406.9.R</t>
  </si>
  <si>
    <t>0406/B1.6-D2</t>
  </si>
  <si>
    <t>0411.03.18-D20</t>
  </si>
  <si>
    <t>0411.11-D</t>
  </si>
  <si>
    <t>0411.9-D</t>
  </si>
  <si>
    <t>0411/87.13-D</t>
  </si>
  <si>
    <t>0411/87.16-D</t>
  </si>
  <si>
    <t>0411/B1.9A-D2</t>
  </si>
  <si>
    <t>0411/B3.9A-D2</t>
  </si>
  <si>
    <t>0412/96.41-D2</t>
  </si>
  <si>
    <t>0415.14-D5</t>
  </si>
  <si>
    <t>0416.27.0-D5</t>
  </si>
  <si>
    <t>0416/15.6-D</t>
  </si>
  <si>
    <t>0418/40.6-D5</t>
  </si>
  <si>
    <t>0420.7-D5</t>
  </si>
  <si>
    <t>0446/87.6-D</t>
  </si>
  <si>
    <t>0489/46.6-D</t>
  </si>
  <si>
    <t>0347.11.0-D-N</t>
  </si>
  <si>
    <t>0103/15.17.0-R-</t>
  </si>
  <si>
    <t>0103/17.17.0-R-</t>
  </si>
  <si>
    <t>0103/20.17-R-CR</t>
  </si>
  <si>
    <t>0103/24.17-D-CR</t>
  </si>
  <si>
    <t>0103/24.17B-D-C</t>
  </si>
  <si>
    <t>0103/28.17-R-CR</t>
  </si>
  <si>
    <t>0103/42.17.0-R-</t>
  </si>
  <si>
    <t>0103/46.17.0-R-</t>
  </si>
  <si>
    <t>0103/49.17.0-R-</t>
  </si>
  <si>
    <t>0103/62.17.0-R-</t>
  </si>
  <si>
    <t>0103/83.17.0-R-</t>
  </si>
  <si>
    <t>0103/84.17.0-R-</t>
  </si>
  <si>
    <t>0103/87.17.0-R-</t>
  </si>
  <si>
    <t>0103R/85.17.0-D</t>
  </si>
  <si>
    <t>0106/D8.17.0-R-</t>
  </si>
  <si>
    <t>0115.17.25.0-D-</t>
  </si>
  <si>
    <t>0115/85.17.0-D-</t>
  </si>
  <si>
    <t>0203/28.1.0-R-C</t>
  </si>
  <si>
    <t>0203/39.1.1.0-D</t>
  </si>
  <si>
    <t>0203/49.1.0-R-C</t>
  </si>
  <si>
    <t>0203/59.1.0-R-C</t>
  </si>
  <si>
    <t>0203/83.1.0-R-C</t>
  </si>
  <si>
    <t>0203/85.1.0-R-C</t>
  </si>
  <si>
    <t>0203/L2.1.0-R-C</t>
  </si>
  <si>
    <t>0205/87.1.0-R-C</t>
  </si>
  <si>
    <t>0207/15.1A.0-R-</t>
  </si>
  <si>
    <t>0207/17.1.0-R-C</t>
  </si>
  <si>
    <t>0207/24.1.0-D-C</t>
  </si>
  <si>
    <t>0207/28.1.0-R-C</t>
  </si>
  <si>
    <t>0207/39.1.1.0-D</t>
  </si>
  <si>
    <t>0207/42.1.0.R-C</t>
  </si>
  <si>
    <t>0207/46.1.0-R-C</t>
  </si>
  <si>
    <t>0207/46.1.0-R-P</t>
  </si>
  <si>
    <t>0207/49.1.0-R-C</t>
  </si>
  <si>
    <t>0207/57.1.0-R-C</t>
  </si>
  <si>
    <t>0207/59.1.0-R-C</t>
  </si>
  <si>
    <t>0207/62.1.0-R-C</t>
  </si>
  <si>
    <t>0207/64.1.0-R-C</t>
  </si>
  <si>
    <t>0207/84.1.0-R-C</t>
  </si>
  <si>
    <t>0207/84.1.0-R-P</t>
  </si>
  <si>
    <t>0207/85.1.0-D-C</t>
  </si>
  <si>
    <t>0207/87.1.0-R-C</t>
  </si>
  <si>
    <t>0207/B1P.1.0-R-</t>
  </si>
  <si>
    <t>0207/B2.1.0-R-C</t>
  </si>
  <si>
    <t>0207/L2.1.0-R-C</t>
  </si>
  <si>
    <t>0210/46.1.0-R-C</t>
  </si>
  <si>
    <t>0401/15.17.0-R-</t>
  </si>
  <si>
    <t>0401/B1.1.0-R-C</t>
  </si>
  <si>
    <t>0403.02.1.0-D-C</t>
  </si>
  <si>
    <t>0403/24.3A.0-D-</t>
  </si>
  <si>
    <t>0406/92.2.0-D-C</t>
  </si>
  <si>
    <t>0406/B1.2.0-D-C</t>
  </si>
  <si>
    <t>0409.02.2.0-D-C</t>
  </si>
  <si>
    <t>0409/15.2.0-D-C</t>
  </si>
  <si>
    <t>0409/E1.2.0-D-C</t>
  </si>
  <si>
    <t>0413/24.2.0-D-C</t>
  </si>
  <si>
    <t>0413/B1.2.0-R-C</t>
  </si>
  <si>
    <t>0416/15.2.0-D-C</t>
  </si>
  <si>
    <t>0416/15.2.1-D-C</t>
  </si>
  <si>
    <t>0416/64.2.0-R-C</t>
  </si>
  <si>
    <t>0423/64.2.0-R-C</t>
  </si>
  <si>
    <t>0428/18.2.1.0-R</t>
  </si>
  <si>
    <t>0206.2C.0-D</t>
  </si>
  <si>
    <t>0206.2C.0.E-D</t>
  </si>
  <si>
    <t>0206/24.2.0-D</t>
  </si>
  <si>
    <t>0207/24.2.0-D</t>
  </si>
  <si>
    <t>0207/A1.2-D</t>
  </si>
  <si>
    <t>0210.8.0-D</t>
  </si>
  <si>
    <t>0342.20.0-D</t>
  </si>
  <si>
    <t>0343.20.0-D</t>
  </si>
  <si>
    <t>0345.24.0-D</t>
  </si>
  <si>
    <t>0360.20.0-B</t>
  </si>
  <si>
    <t>0361.01.20.0-B</t>
  </si>
  <si>
    <t>0365.CR60AC.R</t>
  </si>
  <si>
    <t>0367.7.0-B</t>
  </si>
  <si>
    <t>0372.20.0-B</t>
  </si>
  <si>
    <t>0364.14A-D</t>
  </si>
  <si>
    <t>0103/85.19-D</t>
  </si>
  <si>
    <t>0103/N2.15.0-D3</t>
  </si>
  <si>
    <t>0169/15.1B-D</t>
  </si>
  <si>
    <t>0103/49.15-D</t>
  </si>
  <si>
    <t>0103/49.18-D</t>
  </si>
  <si>
    <t>0103/59.15.0-D-</t>
  </si>
  <si>
    <t>0103/87.15.0-D</t>
  </si>
  <si>
    <t>0201/85.15-D</t>
  </si>
  <si>
    <t>0207/49.18.0-D</t>
  </si>
  <si>
    <t>0207/59.15.0-D-</t>
  </si>
  <si>
    <t>0403/60.6-D</t>
  </si>
  <si>
    <t>0403/60.6A-D</t>
  </si>
  <si>
    <t>0412.01.21.0-D</t>
  </si>
  <si>
    <t>0203/49.24-D</t>
  </si>
  <si>
    <t>0246/15.21-D</t>
  </si>
  <si>
    <t>0160.1-R</t>
  </si>
  <si>
    <t>0106.02.20-D</t>
  </si>
  <si>
    <t>0112/15.6-D</t>
  </si>
  <si>
    <t>0245.7-D</t>
  </si>
  <si>
    <t>0342.18.0-D</t>
  </si>
  <si>
    <t>0367.14.0-B</t>
  </si>
  <si>
    <t>0412/96.15-D</t>
  </si>
  <si>
    <t>0801.6G-D</t>
  </si>
  <si>
    <t>0360.3-B</t>
  </si>
  <si>
    <t>0371.27-D</t>
  </si>
  <si>
    <t>0103/41.48-D10</t>
  </si>
  <si>
    <t>0106.02/94.8A-D</t>
  </si>
  <si>
    <t>0360.9-D5</t>
  </si>
  <si>
    <t>0361.01.9.0-D</t>
  </si>
  <si>
    <t>0412.01.19.0-D-</t>
  </si>
  <si>
    <t>0412.20.0-R-CR</t>
  </si>
  <si>
    <t>0412/96.20.0A-R</t>
  </si>
  <si>
    <t>0412/H5.2.17-R-</t>
  </si>
  <si>
    <t>0446.01.20.0A-R</t>
  </si>
  <si>
    <t>0103/15.16-D</t>
  </si>
  <si>
    <t>0103/17.18.0-D-</t>
  </si>
  <si>
    <t>0103/20.18A-D-C</t>
  </si>
  <si>
    <t>0103/20.18A-D-O</t>
  </si>
  <si>
    <t>0103/28.16-D-CR</t>
  </si>
  <si>
    <t>0103/39.13-D-CR</t>
  </si>
  <si>
    <t>0103/42.18-D-CR</t>
  </si>
  <si>
    <t>0103/42.18-D-OR</t>
  </si>
  <si>
    <t>0103/59.13.0-D-</t>
  </si>
  <si>
    <t>0103/59.18.0-D-</t>
  </si>
  <si>
    <t>0103/85.13A.0-D</t>
  </si>
  <si>
    <t>0103/85.16.0-D-</t>
  </si>
  <si>
    <t>0103/87.13.0-D-</t>
  </si>
  <si>
    <t>0103/87.16.0-D-</t>
  </si>
  <si>
    <t>0103/87.18.0-D-</t>
  </si>
  <si>
    <t>0103/B4.16-D-CR</t>
  </si>
  <si>
    <t>0103R/85.18A-D-</t>
  </si>
  <si>
    <t>0115/85.13.0-D-</t>
  </si>
  <si>
    <t>0120/39.13-D-CR</t>
  </si>
  <si>
    <t>0120/39.13A.0-D</t>
  </si>
  <si>
    <t>0120/57.6.0-D-C</t>
  </si>
  <si>
    <t>0120/59.13.0-D-</t>
  </si>
  <si>
    <t>0120/83.6.0-D-C</t>
  </si>
  <si>
    <t>0120/85.13.0-D-</t>
  </si>
  <si>
    <t>0143.1C-D-CR</t>
  </si>
  <si>
    <t>0181/87.15-D-CR</t>
  </si>
  <si>
    <t>0201/39.13.0-D-</t>
  </si>
  <si>
    <t>0203/39.13-D-CR</t>
  </si>
  <si>
    <t>0203/46.13.0-R-</t>
  </si>
  <si>
    <t>0203/59.13.0-D-</t>
  </si>
  <si>
    <t>0207/28.13.0-D-</t>
  </si>
  <si>
    <t>0207/39.13.0-D-</t>
  </si>
  <si>
    <t>0207/59.13-D-CR</t>
  </si>
  <si>
    <t>0207/C3.13-D-CR</t>
  </si>
  <si>
    <t>0213/85.15.0-D-</t>
  </si>
  <si>
    <t>0341.13-D-CR</t>
  </si>
  <si>
    <t>0362.7-D</t>
  </si>
  <si>
    <t>0403/60.4-D</t>
  </si>
  <si>
    <t>0406.19-D2-CR</t>
  </si>
  <si>
    <t>0413/24.4-D</t>
  </si>
  <si>
    <t>0413/24.4A-D</t>
  </si>
  <si>
    <t>0415.4B-D2</t>
  </si>
  <si>
    <t>0545.6.0-D-CR</t>
  </si>
  <si>
    <t>0545.6.0-D-OR</t>
  </si>
  <si>
    <t>0821.9A-B-CR</t>
  </si>
  <si>
    <t>0821.9A-D-CR</t>
  </si>
  <si>
    <t>0415.3-D</t>
  </si>
  <si>
    <t>0112/15.15.0-D-</t>
  </si>
  <si>
    <t>0112/15.15.0A-B</t>
  </si>
  <si>
    <t>0160/28.3.0-D</t>
  </si>
  <si>
    <t>0160/46.3.0-D</t>
  </si>
  <si>
    <t>0160/57.2.0-D2</t>
  </si>
  <si>
    <t>0160/62.3.0-D</t>
  </si>
  <si>
    <t>0160/84.3.0-D</t>
  </si>
  <si>
    <t>0160/85.3.0-D</t>
  </si>
  <si>
    <t>0310/87.15.0-D-</t>
  </si>
  <si>
    <t>0310/93.15.0-B-</t>
  </si>
  <si>
    <t>0310/93.15.0-D-</t>
  </si>
  <si>
    <t>0310/B1.15.0-D-</t>
  </si>
  <si>
    <t>0310/L6.15.0-D-</t>
  </si>
  <si>
    <t>0106/92.13.0-D-</t>
  </si>
  <si>
    <t>0106/B1.13.0-D-</t>
  </si>
  <si>
    <t>0106/D8.13.0-D-</t>
  </si>
  <si>
    <t>0108/39.13.0-D-</t>
  </si>
  <si>
    <t>0108/92.13.0-D-</t>
  </si>
  <si>
    <t>0108/B3.13.0-D-</t>
  </si>
  <si>
    <t>0120.03.2.1-D-B</t>
  </si>
  <si>
    <t>0120.04.2.0-D</t>
  </si>
  <si>
    <t>0120.2.1-D-CR</t>
  </si>
  <si>
    <t>0120.2.1-D-OR</t>
  </si>
  <si>
    <t>0120/17.2.0-D</t>
  </si>
  <si>
    <t>0120/57.2-D-CR</t>
  </si>
  <si>
    <t>0120/57.2-D-OR</t>
  </si>
  <si>
    <t>0216/85.13.0-D-</t>
  </si>
  <si>
    <t>0181/87.19.0-D-</t>
  </si>
  <si>
    <t>0189/93.19-D</t>
  </si>
  <si>
    <t>0251.05.0-D-CR</t>
  </si>
  <si>
    <t>0406/92.19.R</t>
  </si>
  <si>
    <t>0347.21.0-D</t>
  </si>
  <si>
    <t>0406.12-D</t>
  </si>
  <si>
    <t>0412/96.16-D2</t>
  </si>
  <si>
    <t>0100.23.1B-D20</t>
  </si>
  <si>
    <t>0103/42.32-D10</t>
  </si>
  <si>
    <t>0103/42.32.0-B8</t>
  </si>
  <si>
    <t>0103/59.32-D-N</t>
  </si>
  <si>
    <t>0103/87.32-D</t>
  </si>
  <si>
    <t>0106/92.24-D-CR</t>
  </si>
  <si>
    <t>0115/85.7-D-CR</t>
  </si>
  <si>
    <t>0119.24-D10-N</t>
  </si>
  <si>
    <t>0120.3-D-CR</t>
  </si>
  <si>
    <t>0120.3-D-OR</t>
  </si>
  <si>
    <t>0160.6-D5-N</t>
  </si>
  <si>
    <t>0182/92.5.R</t>
  </si>
  <si>
    <t>0189/87.8.0-D-C</t>
  </si>
  <si>
    <t>0201/87.32-D</t>
  </si>
  <si>
    <t>0204/42.6-D</t>
  </si>
  <si>
    <t>0207/49.32-D-N</t>
  </si>
  <si>
    <t>0207/59.32-D-N</t>
  </si>
  <si>
    <t>0210.15-D</t>
  </si>
  <si>
    <t>0216/85.7-D-CR</t>
  </si>
  <si>
    <t>0246.16A-D10-CR</t>
  </si>
  <si>
    <t>0367.15.0-B</t>
  </si>
  <si>
    <t>0367.15.0-D-BL</t>
  </si>
  <si>
    <t>0367.15.0-D-OR</t>
  </si>
  <si>
    <t>0406.10-D-N</t>
  </si>
  <si>
    <t>0406.13.R</t>
  </si>
  <si>
    <t>0411.01.12-D</t>
  </si>
  <si>
    <t>0415.16-D</t>
  </si>
  <si>
    <t>0801.5B-D5-N</t>
  </si>
  <si>
    <t>F-V901224-D10</t>
  </si>
  <si>
    <t>0411.18-D-BL</t>
  </si>
  <si>
    <t>0106.10.0-D</t>
  </si>
  <si>
    <t>0106/92.3.0-D-C</t>
  </si>
  <si>
    <t>0106/94.3.0-D-C</t>
  </si>
  <si>
    <t>0106/B1.5.0-D-C</t>
  </si>
  <si>
    <t>0112/15.2.0A-D-</t>
  </si>
  <si>
    <t>0119.33.0-D-CR</t>
  </si>
  <si>
    <t>0119/44.10.0-D-</t>
  </si>
  <si>
    <t>0189/39.5.0-D-C</t>
  </si>
  <si>
    <t>0189/46.5.0-D-C</t>
  </si>
  <si>
    <t>0189/85N.5.0-D</t>
  </si>
  <si>
    <t>0189/87.5.0-D-C</t>
  </si>
  <si>
    <t>0189/92.5.0-D</t>
  </si>
  <si>
    <t>0189/D8.5.0-D-C</t>
  </si>
  <si>
    <t>0189/D8.5.0-D-N</t>
  </si>
  <si>
    <t>0213/85.11.0-D-</t>
  </si>
  <si>
    <t>0310/39.5.0-D-C</t>
  </si>
  <si>
    <t>0310/B1.5.0-D-C</t>
  </si>
  <si>
    <t>0310/B5.5.0-D-C</t>
  </si>
  <si>
    <t>0100.21F-D2</t>
  </si>
  <si>
    <t>0146/44.1C-D-CR</t>
  </si>
  <si>
    <t>0367.37.0-D</t>
  </si>
  <si>
    <t>0367.37.0.P-D</t>
  </si>
  <si>
    <t>0412/96.44-D</t>
  </si>
  <si>
    <t>0100.20-D2</t>
  </si>
  <si>
    <t>0119.17-D-CR</t>
  </si>
  <si>
    <t>0181.4-D</t>
  </si>
  <si>
    <t>0181/92.4.R</t>
  </si>
  <si>
    <t>0181/93.4-D</t>
  </si>
  <si>
    <t>0182/92.4.R</t>
  </si>
  <si>
    <t>0189/93.3-D</t>
  </si>
  <si>
    <t>0106.02/94.2A-D</t>
  </si>
  <si>
    <t>0106/92.2.0-D</t>
  </si>
  <si>
    <t>0115.3-D</t>
  </si>
  <si>
    <t>0119.16.0-D</t>
  </si>
  <si>
    <t>0210/46.12.0-D</t>
  </si>
  <si>
    <t>0245.14.0.R</t>
  </si>
  <si>
    <t>0341.24.0-D</t>
  </si>
  <si>
    <t>0364.4.0-D</t>
  </si>
  <si>
    <t>0368.17.0-D</t>
  </si>
  <si>
    <t>0451.01-13RB6</t>
  </si>
  <si>
    <t>0181.5-D</t>
  </si>
  <si>
    <t>0181/93.5-D</t>
  </si>
  <si>
    <t>0182/92.16.0-D-</t>
  </si>
  <si>
    <t>0169.4-D</t>
  </si>
  <si>
    <t>0169/39.4-D</t>
  </si>
  <si>
    <t>0169/84.4-D</t>
  </si>
  <si>
    <t>0169/87.4-R</t>
  </si>
  <si>
    <t>0169/B1.4B-R</t>
  </si>
  <si>
    <t>0363.01.8.3D-D</t>
  </si>
  <si>
    <t>0363.04.8.3-D</t>
  </si>
  <si>
    <t>0364.01.8.3D-D</t>
  </si>
  <si>
    <t>0366.14.15.0D-D</t>
  </si>
  <si>
    <t>0374.14.0D-D</t>
  </si>
  <si>
    <t>0375.14.0-D</t>
  </si>
  <si>
    <t>0103/15.14.0-D-</t>
  </si>
  <si>
    <t>0103/16.15.0-D-</t>
  </si>
  <si>
    <t>0103/16.15.0A-D</t>
  </si>
  <si>
    <t>0103/16.16.0-D-</t>
  </si>
  <si>
    <t>0103/16.16.0A-D</t>
  </si>
  <si>
    <t>0103/16.17.0-D-</t>
  </si>
  <si>
    <t>0103/16.17.0A-D</t>
  </si>
  <si>
    <t>0103/17.14.0-D-</t>
  </si>
  <si>
    <t>0103/18.14.0-R-</t>
  </si>
  <si>
    <t>0103/20N.14.0-D</t>
  </si>
  <si>
    <t>0103/24.14.0-D-</t>
  </si>
  <si>
    <t>0103/25.17.0-D</t>
  </si>
  <si>
    <t>0103/25.17.0R-D</t>
  </si>
  <si>
    <t>0103/27.14.0-D-</t>
  </si>
  <si>
    <t>0103/28.14-D-CR</t>
  </si>
  <si>
    <t>0103/38.14.0-D-</t>
  </si>
  <si>
    <t>0103/39.14.0-D-</t>
  </si>
  <si>
    <t>0103/39.15.0-D-</t>
  </si>
  <si>
    <t>0103/42.14.0-D-</t>
  </si>
  <si>
    <t>0103/46.14.0-D-</t>
  </si>
  <si>
    <t>0103/47.14.0-D-</t>
  </si>
  <si>
    <t>0103/49.14-R-CR</t>
  </si>
  <si>
    <t>0103/49L.11-R-C</t>
  </si>
  <si>
    <t>0103/49L.14-R-C</t>
  </si>
  <si>
    <t>0103/57.15.0-D-</t>
  </si>
  <si>
    <t>0103/59.14-R-CR</t>
  </si>
  <si>
    <t>0103/59L.11-R-C</t>
  </si>
  <si>
    <t>0103/59L.14-R-C</t>
  </si>
  <si>
    <t>0103/61.17.0-D</t>
  </si>
  <si>
    <t>0103/62.15.0-D-</t>
  </si>
  <si>
    <t>0103/62.16.0-D-</t>
  </si>
  <si>
    <t>0103/62.17.0-D-</t>
  </si>
  <si>
    <t>0103/62L.15.0-D</t>
  </si>
  <si>
    <t>0103/62L.16.0-D</t>
  </si>
  <si>
    <t>0103/62L.17.0-D</t>
  </si>
  <si>
    <t>0103/64.15.0-D-</t>
  </si>
  <si>
    <t>0103/64.16.0-D-</t>
  </si>
  <si>
    <t>0103/64.17.0-D-</t>
  </si>
  <si>
    <t>0103/64L.15.0-D</t>
  </si>
  <si>
    <t>0103/64L.16.0-D</t>
  </si>
  <si>
    <t>0103/64L.17.0-D</t>
  </si>
  <si>
    <t>0103/83.15.0-D-</t>
  </si>
  <si>
    <t>0103/83.16.0-D-</t>
  </si>
  <si>
    <t>0103/83L.14.0-D</t>
  </si>
  <si>
    <t>0103/83L.17.0-D</t>
  </si>
  <si>
    <t>0103/84.14.0-D-</t>
  </si>
  <si>
    <t>0103/86.14.0-D-</t>
  </si>
  <si>
    <t>0103/87.14.0-D-</t>
  </si>
  <si>
    <t>0103/88.14.0-D-</t>
  </si>
  <si>
    <t>0103/B1.14.0-D-</t>
  </si>
  <si>
    <t>0103/B2.15.0-D-</t>
  </si>
  <si>
    <t>0103/B2.16.0-D-</t>
  </si>
  <si>
    <t>0103/B2.17.0-D-</t>
  </si>
  <si>
    <t>0103/B4.14.0-D-</t>
  </si>
  <si>
    <t>0103/B6.14.0-D-</t>
  </si>
  <si>
    <t>0103/C7.14.0-D-</t>
  </si>
  <si>
    <t>0103/C8.14.0-D-</t>
  </si>
  <si>
    <t>0103/D4.14.0-R-</t>
  </si>
  <si>
    <t>0103/D5.14.0A-D</t>
  </si>
  <si>
    <t>0103/D7.14.0-D-</t>
  </si>
  <si>
    <t>0103/G5.14.0-D-</t>
  </si>
  <si>
    <t>0103/H3.14.0-R-</t>
  </si>
  <si>
    <t>0103/H3L.14.0-R</t>
  </si>
  <si>
    <t>0103/L2.15.0-D-</t>
  </si>
  <si>
    <t>0104.14.0-R-CR</t>
  </si>
  <si>
    <t>0186/75.15.0-D</t>
  </si>
  <si>
    <t>0186/75.15.0R-D</t>
  </si>
  <si>
    <t>0186/75.16.0-D</t>
  </si>
  <si>
    <t>0186/75.16.0R-D</t>
  </si>
  <si>
    <t>0186/75.9.0-D</t>
  </si>
  <si>
    <t>0186/75.9.0R-D</t>
  </si>
  <si>
    <t>0207/C3.14.0-D-</t>
  </si>
  <si>
    <t>0216/83.14.0-D-</t>
  </si>
  <si>
    <t>0216/85.14.0-D-</t>
  </si>
  <si>
    <t>0221/20N.14.0-D</t>
  </si>
  <si>
    <t>0221/B2.14.0-D-</t>
  </si>
  <si>
    <t>0295/62L.14.0-D</t>
  </si>
  <si>
    <t>0295/83.17.0-D-</t>
  </si>
  <si>
    <t>0295/86.14.0-CC</t>
  </si>
  <si>
    <t>0299/85L.14.0-R</t>
  </si>
  <si>
    <t>0341.14.0-D-CR</t>
  </si>
  <si>
    <t>0602.9-D-CR</t>
  </si>
  <si>
    <t>0603.9A.R</t>
  </si>
  <si>
    <t>0605.9A-D-RO</t>
  </si>
  <si>
    <t>94144</t>
  </si>
  <si>
    <t>50410</t>
  </si>
  <si>
    <t>70039</t>
  </si>
  <si>
    <t>71510</t>
  </si>
  <si>
    <t>BUJE RED.SAL.H3</t>
  </si>
  <si>
    <t>1/2.3/8  FF</t>
  </si>
  <si>
    <t>3/4.1/2  FF</t>
  </si>
  <si>
    <t>1.3/4  FF</t>
  </si>
  <si>
    <t>1.1/2  FF</t>
  </si>
  <si>
    <t>11/4.1    FF</t>
  </si>
  <si>
    <t>11/2.1  FF</t>
  </si>
  <si>
    <t>2.11/4 FF</t>
  </si>
  <si>
    <t>2.11/2 FF</t>
  </si>
  <si>
    <t>11/2.11/4 FF</t>
  </si>
  <si>
    <t>11/4.3/4  FF</t>
  </si>
  <si>
    <t>2.1    FF</t>
  </si>
  <si>
    <t>3.2    FF</t>
  </si>
  <si>
    <t>3.11/2 FF</t>
  </si>
  <si>
    <t>11/2.3/4  FF</t>
  </si>
  <si>
    <t>3.21/2 FF</t>
  </si>
  <si>
    <t>21/2.2    FF</t>
  </si>
  <si>
    <t xml:space="preserve"> 3.4 FF</t>
  </si>
  <si>
    <t>4.5 FF</t>
  </si>
  <si>
    <t>KIT CAMARA INSPECCION DUKE</t>
  </si>
  <si>
    <t>PROLONGADOR PVC</t>
  </si>
  <si>
    <t>CAMARA</t>
  </si>
  <si>
    <t>REP. MARCO Y TAPA COLOR BLANCO</t>
  </si>
  <si>
    <t>REP. MARCO Y TAPA COLOR GRIS</t>
  </si>
  <si>
    <t>LINEA 16 MALENA</t>
  </si>
  <si>
    <t>LINEA 17 CALIFORNIA</t>
  </si>
  <si>
    <t>LINEA D7 ALERCE</t>
  </si>
  <si>
    <t>LINEA G5 OBERA</t>
  </si>
  <si>
    <t>LINEA N2 CIPRES</t>
  </si>
  <si>
    <t>LINEA B5 PUELO</t>
  </si>
  <si>
    <t>LINEA M3 PETALO</t>
  </si>
  <si>
    <t>SOPAPAS DUKE</t>
  </si>
  <si>
    <t>40 AJUSTABLE R/ACERO DUKE</t>
  </si>
  <si>
    <t>11/4 ROSCABLE R/ACERO DUKE</t>
  </si>
  <si>
    <t>50 AJUSTABLE R/ACERO DUKE</t>
  </si>
  <si>
    <t>50x11/2AJUS/ROSC. R/ACERO DUKE</t>
  </si>
  <si>
    <t>40MM AJUSTABLE R/PLASTICA DUKE</t>
  </si>
  <si>
    <t>LINEA B1P ARIZONA PLUS</t>
  </si>
  <si>
    <t>LINEA B2P NEWPORT PLUS</t>
  </si>
  <si>
    <t>LINEA B6 PAMPA</t>
  </si>
  <si>
    <t>LINEA C7 RADAL</t>
  </si>
  <si>
    <t>SIFON GON-REN</t>
  </si>
  <si>
    <t>P/PILETA COCINA SIMPLE C/T.ACC</t>
  </si>
  <si>
    <t>P/PILETA COCINA DOBLE C/T.ACC</t>
  </si>
  <si>
    <t>PILETA DUKE</t>
  </si>
  <si>
    <t>LAVAR 24L (58x52x32cm) GRANDE</t>
  </si>
  <si>
    <t>LAVATORIO (36x26cm) DUKE</t>
  </si>
  <si>
    <t>LAVAR 15L (49x43x28cm) CHICA</t>
  </si>
  <si>
    <t>SET LAVAT FULL "ECONOMY KIT"</t>
  </si>
  <si>
    <t>LAVATORIO GRANDE 48X39 BLANCO</t>
  </si>
  <si>
    <t>MONOCOMANDO LUJO</t>
  </si>
  <si>
    <t>CODO C/ACOMETIDA JE</t>
  </si>
  <si>
    <t>90 ºC/2 45º ACOM. M-H 110x63MM</t>
  </si>
  <si>
    <t>90º C/3 90º ACOM. M-H 110x63MM</t>
  </si>
  <si>
    <t>COCINA ECONOMICA</t>
  </si>
  <si>
    <t>LINEA L2 EPUYEN</t>
  </si>
  <si>
    <t>LINEA C3 TRIADES</t>
  </si>
  <si>
    <t>LINEA H3 URBANO</t>
  </si>
  <si>
    <t>LINEA H3L URBANO LEVER</t>
  </si>
  <si>
    <t>LINEA H4 CHALTEN</t>
  </si>
  <si>
    <t>LINEA 39 LIBBY</t>
  </si>
  <si>
    <t>LINEA 49 ALESIA</t>
  </si>
  <si>
    <t>LINEA 49L ALESIA LEVER</t>
  </si>
  <si>
    <t>LINEA 62 MARGOT</t>
  </si>
  <si>
    <t>LINEA 62L MARGOT LEVER</t>
  </si>
  <si>
    <t>RAMAL DOBLE</t>
  </si>
  <si>
    <t>45° 110 HHHM</t>
  </si>
  <si>
    <t>87°30 110.110 AWAD.</t>
  </si>
  <si>
    <t>LINEA 64 DENISSE</t>
  </si>
  <si>
    <t>LINEA 64L DENISSE LEVER</t>
  </si>
  <si>
    <t>LINEA 83 VERMONT</t>
  </si>
  <si>
    <t>LINEA 83L VERMONT LEVER</t>
  </si>
  <si>
    <t>LINEA R/85 DOMINIC</t>
  </si>
  <si>
    <t>LINEA R/85L DOMINIC LEVER</t>
  </si>
  <si>
    <t>LINEA 87 TEMPLE</t>
  </si>
  <si>
    <t>LINEA 87 TEMPLE MONOCOMANDO</t>
  </si>
  <si>
    <t>LINEA N4 CLIP</t>
  </si>
  <si>
    <t>ABRAZADERA</t>
  </si>
  <si>
    <t>CAN.TIGRE-STYLE</t>
  </si>
  <si>
    <t>DUCHAMATIC</t>
  </si>
  <si>
    <t>DUCHA ARTICULADA C/BRAZO</t>
  </si>
  <si>
    <t>DUCHAS MANUALES</t>
  </si>
  <si>
    <t>DUCHAS ARTICULADAS</t>
  </si>
  <si>
    <t>DUCHAS CON BARRAL</t>
  </si>
  <si>
    <t>BRAZOS DE DUCHA</t>
  </si>
  <si>
    <t>VALVULAS 3 Y 4 VIAS</t>
  </si>
  <si>
    <t>JET CON MASAJEADOR</t>
  </si>
  <si>
    <t>KIT SPA PARA BANO LINEA 88</t>
  </si>
  <si>
    <t>KIT SPA PARA BANO LINEA 85L</t>
  </si>
  <si>
    <t>UNIDAD VALVULA DE TRES VIAS</t>
  </si>
  <si>
    <t>UNIDAD VALVULA DE CUATRO VIAS</t>
  </si>
  <si>
    <t>TERMOSTATOS</t>
  </si>
  <si>
    <t>BEBEDERO</t>
  </si>
  <si>
    <t>MANGUERA</t>
  </si>
  <si>
    <t>TOALLERO BARRAL</t>
  </si>
  <si>
    <t>REPUESTO LLAVE DE PASO</t>
  </si>
  <si>
    <t>CAMPANA CROM. 20-25 FUSION TIG</t>
  </si>
  <si>
    <t>CABEZAL (20-25) FUSION TIGRE</t>
  </si>
  <si>
    <t>VALVULAS P/INODORO</t>
  </si>
  <si>
    <t>RAMAL ESQUINERO</t>
  </si>
  <si>
    <t>AWADUCT180°110.110/50</t>
  </si>
  <si>
    <t>AWADUCT 180º 110.110/63</t>
  </si>
  <si>
    <t>AWADUCT ESQ.IZQ110 50/63</t>
  </si>
  <si>
    <t>AWADUCT ESQ.DER110 50/63</t>
  </si>
  <si>
    <t>AWADUCT 135°IZQ110/50</t>
  </si>
  <si>
    <t>AWADUCT 135°DER110/50</t>
  </si>
  <si>
    <t>SOLUCIONES INTELIGENTES</t>
  </si>
  <si>
    <t>TRENZADOS ACERO INOX.</t>
  </si>
  <si>
    <t>TUBO DRENA FLEX</t>
  </si>
  <si>
    <t>110X20(118) 4 RANURAS (A)</t>
  </si>
  <si>
    <t>160X10(177) 4 RANURAS (A)</t>
  </si>
  <si>
    <t>110X20(118) 5 RANURAS (A)</t>
  </si>
  <si>
    <t>160X10(177) 5 RANURAS (A)</t>
  </si>
  <si>
    <t>LLAVE GAS BRONCE Y CROMO</t>
  </si>
  <si>
    <t>TUBO ELEKTRA</t>
  </si>
  <si>
    <t>FLEXIBLE 110(118)</t>
  </si>
  <si>
    <t>FLEXIBLE 160(177)</t>
  </si>
  <si>
    <t>FLEXIBLE  63</t>
  </si>
  <si>
    <t>CANILLAS ESFERICAS</t>
  </si>
  <si>
    <t>VALVULAS ESFERICAS</t>
  </si>
  <si>
    <t>ROSETA FV</t>
  </si>
  <si>
    <t>PROLONGACION FV</t>
  </si>
  <si>
    <t>LLAVES DE PASO FV</t>
  </si>
  <si>
    <t>VALVULA DE RETENCION FV</t>
  </si>
  <si>
    <t>VALVULAS ESCLUSAS FV</t>
  </si>
  <si>
    <t>CINTAS DE TEFLON FV</t>
  </si>
  <si>
    <t>UNION P/MANGUERA FV</t>
  </si>
  <si>
    <t>LINEA DRYFIX</t>
  </si>
  <si>
    <t>CONEXION UNIVERSAL</t>
  </si>
  <si>
    <t>COLECTOR</t>
  </si>
  <si>
    <t>BOQUILLAS FV</t>
  </si>
  <si>
    <t>LLAVES LATERALES FV</t>
  </si>
  <si>
    <t>CANILLAS FV</t>
  </si>
  <si>
    <t>DESAGUES FV</t>
  </si>
  <si>
    <t>TAPITAS FV</t>
  </si>
  <si>
    <t>PILAR BIDET-TAPON NEGRO CADENA</t>
  </si>
  <si>
    <t>LLAVES DE REGISTRO FV</t>
  </si>
  <si>
    <t>CONEXION FV</t>
  </si>
  <si>
    <t>LLAVE ENROSQUE FV</t>
  </si>
  <si>
    <t>LLAVE PARA BOQUILLA AIREADORA</t>
  </si>
  <si>
    <t>CANILLAS PARED Y SERVICIO FV</t>
  </si>
  <si>
    <t>VALVULA P/CANILLA FV</t>
  </si>
  <si>
    <t>VALVULITA 9MM COMPLETA</t>
  </si>
  <si>
    <t>VALVULITA 13MM COMPLETA</t>
  </si>
  <si>
    <t>VALVULITA 19MM COMPLETA</t>
  </si>
  <si>
    <t>VALVULA 25MM COMPLETA</t>
  </si>
  <si>
    <t>SIFON PAUFED</t>
  </si>
  <si>
    <t>SIMPLE 50 SIFOLIMP C/A.</t>
  </si>
  <si>
    <t>DOBLE 50 SIFOLIMP S/AC.</t>
  </si>
  <si>
    <t>SIMPLE 50 SIFOLIMP S/A.</t>
  </si>
  <si>
    <t>SIMPLE 40 SIFOLIMP S/A.</t>
  </si>
  <si>
    <t>DOBLE 50 SIFOLIMP C/AC.</t>
  </si>
  <si>
    <t>DOBLE ACCESO P/LAVADORAPAUFED</t>
  </si>
  <si>
    <t>SIMPLE 50MM PVC FLEXIBLE</t>
  </si>
  <si>
    <t>DOBLE BACHA PVC FLEXIBLE</t>
  </si>
  <si>
    <t>SIMPLE ACCESO LAVARROPA PAUFED</t>
  </si>
  <si>
    <t>P/PILETA TRIPLE 501 PAUFED</t>
  </si>
  <si>
    <t>P/PILETA ESQUINERA 50 PAUFED</t>
  </si>
  <si>
    <t>P/DOBLE ALT. 50 BACHAS</t>
  </si>
  <si>
    <t>EXTRA CHATO P/ESP.RED.</t>
  </si>
  <si>
    <t>MESADA/PARED UN AGUA</t>
  </si>
  <si>
    <t>MONOCOMANDO COCINA</t>
  </si>
  <si>
    <t>CANILLA PAUFED</t>
  </si>
  <si>
    <t>3/4 C/PICO</t>
  </si>
  <si>
    <t>SIFON</t>
  </si>
  <si>
    <t>TOALLERO BARRAL RECTO</t>
  </si>
  <si>
    <t>PERCHA</t>
  </si>
  <si>
    <t>PORTARROLLO</t>
  </si>
  <si>
    <t>JABONERA</t>
  </si>
  <si>
    <t>TOALLERO ARO</t>
  </si>
  <si>
    <t>JABONERA REJILLA CHICA</t>
  </si>
  <si>
    <t>JABONERA REJILLA GRANDE</t>
  </si>
  <si>
    <t>JABONERA ESQUINERA GRANDE</t>
  </si>
  <si>
    <t>TOALLERO ESTANTE</t>
  </si>
  <si>
    <t>AGARRADERA RECTA</t>
  </si>
  <si>
    <t>AGARRADERA ANGULAR</t>
  </si>
  <si>
    <t>PERCHA DOBLE</t>
  </si>
  <si>
    <t>EMBUDO PAUFED</t>
  </si>
  <si>
    <t>8.8 ACERO S/40</t>
  </si>
  <si>
    <t>BALCON CODO 40 PAUFED</t>
  </si>
  <si>
    <t>LINEA 15 ALLEGRO</t>
  </si>
  <si>
    <t>ACCESORIOS IDEAL</t>
  </si>
  <si>
    <t>SELLO CONEX P/INOD. AL PISO</t>
  </si>
  <si>
    <t>TECLA RITMO BLANCA</t>
  </si>
  <si>
    <t>TECLA RITMO CROMO MATE</t>
  </si>
  <si>
    <t>TECLA RITMO CROMO BRILLANTE</t>
  </si>
  <si>
    <t>TECLA MELODIA BLANCA</t>
  </si>
  <si>
    <t>TECLA MELODIA CROMO MATE</t>
  </si>
  <si>
    <t>TECLA MELODIA CROMO BRILLANTE</t>
  </si>
  <si>
    <t>TECLA ARMONIA BLANCA</t>
  </si>
  <si>
    <t>TECLA ARMONIA CROMO MATE</t>
  </si>
  <si>
    <t>TECLA ARMONIA CROMO BRILLANTE</t>
  </si>
  <si>
    <t>TECLA RITMO ACERO INOXIDABLE</t>
  </si>
  <si>
    <t>TECLA MATIZ VIDRIO</t>
  </si>
  <si>
    <t>KIT FLAPPER UNIVERSAL</t>
  </si>
  <si>
    <t>VALV ENTRADA DEP EMB SUMA</t>
  </si>
  <si>
    <t>VALV DESCARGA  P/DEP EMB SUMA</t>
  </si>
  <si>
    <t>TAP DUAL DEP SUMA BCA CHAS.EXT</t>
  </si>
  <si>
    <t>TAP DUAL DEPSUMA GRIS CHAS.EXT</t>
  </si>
  <si>
    <t>TAP DUAL DEPSUMA CROM CHAS.EXT</t>
  </si>
  <si>
    <t>TAPA Y TECLA UNIV P/DEP GRIS M</t>
  </si>
  <si>
    <t>TAPA Y TECLA UNIV P/DEP CROMAD</t>
  </si>
  <si>
    <t>TECLA ACERO INOX. SUMA 2</t>
  </si>
  <si>
    <t>KIT REPUESTOS P/DEP CADENA TRA</t>
  </si>
  <si>
    <t>KIT REPUESTOS P/DEP.MOCH.DASH</t>
  </si>
  <si>
    <t>UNION PVC P/DEP CADENA</t>
  </si>
  <si>
    <t>TAPA INSP MINGITORIO DE EMBUTI</t>
  </si>
  <si>
    <t>BOYA UNIVERSAL (1450)</t>
  </si>
  <si>
    <t>TIRADOR ROSC.1/4 DEP.MOCHILA</t>
  </si>
  <si>
    <t>CINTA SELLADORA P/INODORO</t>
  </si>
  <si>
    <t>BOT. ACC. SUP. VALV. FLAPPER</t>
  </si>
  <si>
    <t>BOTON ACC. SUPERIOR</t>
  </si>
  <si>
    <t>BALANCIN PARA TECLA UNIVERSAL</t>
  </si>
  <si>
    <t>TRABA CODO PARA PLACA</t>
  </si>
  <si>
    <t>TRABA CODO 40</t>
  </si>
  <si>
    <t>TRABA CODO 50</t>
  </si>
  <si>
    <t>CINTA AWADUCT</t>
  </si>
  <si>
    <t>GRAMPLAFLEX 14MM</t>
  </si>
  <si>
    <t>GRAMPAFLEX 18MM</t>
  </si>
  <si>
    <t>HEBILLA P/GRAMPA</t>
  </si>
  <si>
    <t>GRAMPAF 32 A 110X14(mm)x25MT</t>
  </si>
  <si>
    <t>GRAMPAF 32 A 110x14(mm)x50MT</t>
  </si>
  <si>
    <t>SOLUCION TIGRE</t>
  </si>
  <si>
    <t>LIMPIADORA (CLARO) 118ML</t>
  </si>
  <si>
    <t>LIMPIADORA (CLARO) 946ML</t>
  </si>
  <si>
    <t>REPUESTOS HIDROFLEX PE-X</t>
  </si>
  <si>
    <t>SOPORTES P/COLECTOR POLIAMIDA</t>
  </si>
  <si>
    <t>PURGADOR AUT.C/VALV.RET. 1/2"</t>
  </si>
  <si>
    <t>PURGADOR AUT.LATERAL C/GRIFO V</t>
  </si>
  <si>
    <t>DETENTOR</t>
  </si>
  <si>
    <t>VALVULA MICROMETRICA</t>
  </si>
  <si>
    <t>GRIFO VACIADO R/M 1/2"</t>
  </si>
  <si>
    <t>PURGADOR AUT.S/VALV.RET.R/M3/8</t>
  </si>
  <si>
    <t>VALV.RET.P/PURGADOR AUT.VERT.</t>
  </si>
  <si>
    <t>PURGADOR AUTOMATICO R/M 1/2"</t>
  </si>
  <si>
    <t>TAPA-MARCO CERR.P/GAB.750x450</t>
  </si>
  <si>
    <t>TAPA-MARCO CERR.P/GAB.450x450</t>
  </si>
  <si>
    <t>TAPA-MARCO CERR.P/GAB.550x450</t>
  </si>
  <si>
    <t>TAPA-MARCO CERR.P/GAB.950x450</t>
  </si>
  <si>
    <t>TAPA-MARCO CERR.P/GAB.350x450</t>
  </si>
  <si>
    <t>CERRADURA DE GABINETE</t>
  </si>
  <si>
    <t>ADAPTADOR TUBO - 16MM</t>
  </si>
  <si>
    <t>ADAPTADOR TUBO - 20MM</t>
  </si>
  <si>
    <t>VALV.ESF C/MEDIA UNION Y TERMO</t>
  </si>
  <si>
    <t>REPUESTO TERMOMETRO VALV.ESF.D</t>
  </si>
  <si>
    <t>REPUESTO TERMOMETRO</t>
  </si>
  <si>
    <t>TAPON P/COLECTOR POLIAMIDA 1"</t>
  </si>
  <si>
    <t>TAPON P/COLECTOR BRONCE 1"</t>
  </si>
  <si>
    <t>O'RING 1/2"</t>
  </si>
  <si>
    <t>REP.TAPON PLASTICO 1"</t>
  </si>
  <si>
    <t>O'RING CONICO 1"</t>
  </si>
  <si>
    <t>O'RING ARANDELA SELLO 1"</t>
  </si>
  <si>
    <t>RACOR TERMINAL</t>
  </si>
  <si>
    <t>RACOR PORTA-TERMOMETRO R/M 1"</t>
  </si>
  <si>
    <t>TERMOMETRO</t>
  </si>
  <si>
    <t>VALV. ESF. COLECTOR MANDO (MR)</t>
  </si>
  <si>
    <t>VALV.ESF.COLECTOR RETORNO (MA)</t>
  </si>
  <si>
    <t>ADAPTADOR TUBO 16MM</t>
  </si>
  <si>
    <t>ADAPTADOR TUBO 20MM</t>
  </si>
  <si>
    <t>KIT REP.RACOR P7TERM./RACOR T.</t>
  </si>
  <si>
    <t>KIT REP.VALV.MICROMETRICA/DET.</t>
  </si>
  <si>
    <t>MANGUITO HEMBRA</t>
  </si>
  <si>
    <t>SD/BR 20.1/2</t>
  </si>
  <si>
    <t>SD/BR  25.3/4</t>
  </si>
  <si>
    <t>SD/BR 32.  1</t>
  </si>
  <si>
    <t>SD/BR 40.11/4</t>
  </si>
  <si>
    <t>SD/BR 50x11/2</t>
  </si>
  <si>
    <t>TE HIDROFLEX PEX</t>
  </si>
  <si>
    <t>25x25x25</t>
  </si>
  <si>
    <t>MANGUITO  HIDROFLEX PEX</t>
  </si>
  <si>
    <t>25(HEMBRA)</t>
  </si>
  <si>
    <t>25(MACHO)</t>
  </si>
  <si>
    <t>INTERMEDIO 25MM</t>
  </si>
  <si>
    <t>16(MACHO)</t>
  </si>
  <si>
    <t>16(HEMBRA)</t>
  </si>
  <si>
    <t>20(HEMBRA)</t>
  </si>
  <si>
    <t>INTERMEDIO 16MM</t>
  </si>
  <si>
    <t>INTERMEDIO 20MM</t>
  </si>
  <si>
    <t>20(MACHO)</t>
  </si>
  <si>
    <t>BOCA ACCCESO 1.8</t>
  </si>
  <si>
    <t>VERTICAL PVC 100.60</t>
  </si>
  <si>
    <t>CANALETA</t>
  </si>
  <si>
    <t>BCA. TIGRE 3 MTS. DIAM.125 MM</t>
  </si>
  <si>
    <t>TAPA DE DEPOSITO P.EMBUTIR</t>
  </si>
  <si>
    <t>COMPL. MOCHILA LINKETT(1200)</t>
  </si>
  <si>
    <t>GRIS CON DESCARGA DUAL</t>
  </si>
  <si>
    <t>CROMADA CON DESCARGA DUAL</t>
  </si>
  <si>
    <t>BLANCA CON DESCARGA DUAL</t>
  </si>
  <si>
    <t>ADAPTADORES FV</t>
  </si>
  <si>
    <t>AIREADORES FV</t>
  </si>
  <si>
    <t>ANILLOS FV</t>
  </si>
  <si>
    <t>ANTIVIBRATORIO FV</t>
  </si>
  <si>
    <t>ANTIVIBRATORIO (PLASTICO) P/LL</t>
  </si>
  <si>
    <t>ARANDELAS FV</t>
  </si>
  <si>
    <t>ARANDELA</t>
  </si>
  <si>
    <t>ASIENTOS FV</t>
  </si>
  <si>
    <t>BASES FV</t>
  </si>
  <si>
    <t>BOTELLA FV</t>
  </si>
  <si>
    <t>BOTONES FV</t>
  </si>
  <si>
    <t>BUJES FV</t>
  </si>
  <si>
    <t>CABEZAS FV</t>
  </si>
  <si>
    <t>CAJAS FV</t>
  </si>
  <si>
    <t>CAMISA FV</t>
  </si>
  <si>
    <t>CAMPANAS FV</t>
  </si>
  <si>
    <t>CAÑO FV</t>
  </si>
  <si>
    <t>CAPUCHONES FV</t>
  </si>
  <si>
    <t>CAPUCHON</t>
  </si>
  <si>
    <t>CARTUCHOS FV</t>
  </si>
  <si>
    <t>CONJUNTO OBTURADOR P 0189/93</t>
  </si>
  <si>
    <t>CILINDROS FV</t>
  </si>
  <si>
    <t>CODOS FV</t>
  </si>
  <si>
    <t>CONECTORES FV</t>
  </si>
  <si>
    <t>CONEXIONES FV</t>
  </si>
  <si>
    <t>CONJUNTOS FV</t>
  </si>
  <si>
    <t>CONTRAPESO/TOPE FV</t>
  </si>
  <si>
    <t>CONTRATUERCAS FV</t>
  </si>
  <si>
    <t>CORTA CHORROS FV</t>
  </si>
  <si>
    <t>CUBRE CABEZAS FV</t>
  </si>
  <si>
    <t>DUCHAS MANUALES FV</t>
  </si>
  <si>
    <t>EJE FV</t>
  </si>
  <si>
    <t>EMPAQUETADURAS FV</t>
  </si>
  <si>
    <t>ESCOBILLA FV</t>
  </si>
  <si>
    <t>ESQUELETOS FV</t>
  </si>
  <si>
    <t>FILTROS FV</t>
  </si>
  <si>
    <t>FLEXIBLES FV</t>
  </si>
  <si>
    <t>FLOR DE DUCHA FV</t>
  </si>
  <si>
    <t>GOMAS FV</t>
  </si>
  <si>
    <t>GUARDAPOLVO FV</t>
  </si>
  <si>
    <t>GUARNICIONES FV</t>
  </si>
  <si>
    <t>HERRAMIENTAS FV</t>
  </si>
  <si>
    <t>INSERTOS FV</t>
  </si>
  <si>
    <t>JABONERAS FV</t>
  </si>
  <si>
    <t>LETRAS FV</t>
  </si>
  <si>
    <t>LLAVES FV</t>
  </si>
  <si>
    <t>LLAVES DE AJUSTE FV</t>
  </si>
  <si>
    <t>LLUVIAS BIDE FV</t>
  </si>
  <si>
    <t>MANGUERAS FV</t>
  </si>
  <si>
    <t>MANIJAS FV</t>
  </si>
  <si>
    <t>O´RINGS FV</t>
  </si>
  <si>
    <t>PEDAL FV</t>
  </si>
  <si>
    <t>PICOS FV</t>
  </si>
  <si>
    <t>PIEZAS T FV</t>
  </si>
  <si>
    <t>PISTONES FV</t>
  </si>
  <si>
    <t>PORTA PILAS FV</t>
  </si>
  <si>
    <t>PORTA ROSETAS FV</t>
  </si>
  <si>
    <t>PORTA VASO FV</t>
  </si>
  <si>
    <t>PROLONGADORES FV</t>
  </si>
  <si>
    <t>PUENTE FV</t>
  </si>
  <si>
    <t>REDUCCIONES FV</t>
  </si>
  <si>
    <t>REPISAS FV</t>
  </si>
  <si>
    <t>RESORTES FV</t>
  </si>
  <si>
    <t>RESTRICTORES FV</t>
  </si>
  <si>
    <t>RETENES FV</t>
  </si>
  <si>
    <t>ROCIADORES FV</t>
  </si>
  <si>
    <t>ROSETAS FV</t>
  </si>
  <si>
    <t>SELLADOR FV</t>
  </si>
  <si>
    <t>SOPORTES FV</t>
  </si>
  <si>
    <t>TAPAS FV</t>
  </si>
  <si>
    <t>TAPONES FV</t>
  </si>
  <si>
    <t>TOPES FV</t>
  </si>
  <si>
    <t>TORNILLOS FV</t>
  </si>
  <si>
    <t>TRABA FV</t>
  </si>
  <si>
    <t>TRANSFERENCIAS FV</t>
  </si>
  <si>
    <t>TUBOS FV</t>
  </si>
  <si>
    <t>TUERCAS FV</t>
  </si>
  <si>
    <t>VALVULAS FV</t>
  </si>
  <si>
    <t>VALVULITAS FV</t>
  </si>
  <si>
    <t>VARILLAS FV</t>
  </si>
  <si>
    <t>VASOS FV</t>
  </si>
  <si>
    <t>VISORES FV</t>
  </si>
  <si>
    <t>VOLANTES FV</t>
  </si>
  <si>
    <t>CAÑO CAMARA</t>
  </si>
  <si>
    <t>MH 110MM JE</t>
  </si>
  <si>
    <t>MH 160MM JE</t>
  </si>
  <si>
    <t>CURVA A 90º 1.8</t>
  </si>
  <si>
    <t>90º  40</t>
  </si>
  <si>
    <t>90º  50</t>
  </si>
  <si>
    <t>90º  60</t>
  </si>
  <si>
    <t>90º 100</t>
  </si>
  <si>
    <t>CURVA 45º 1.8</t>
  </si>
  <si>
    <t>45º  40</t>
  </si>
  <si>
    <t>45º  50</t>
  </si>
  <si>
    <t>45º  60</t>
  </si>
  <si>
    <t>45º 100</t>
  </si>
  <si>
    <t>SOPAPAS R/LARGA</t>
  </si>
  <si>
    <t>BAÑ. A CODO.BR.CROM.AWAD.</t>
  </si>
  <si>
    <t>BAÑ.ROSC.LARG.BR.PUL.AWAD.</t>
  </si>
  <si>
    <t>VERTICAL. BAÑ.B/CROMADO.AWAD.</t>
  </si>
  <si>
    <t>VERTICAL. BAÑ.B/PULIDO AWAD.</t>
  </si>
  <si>
    <t>CROMADO 20X25 FUSION TIGRE</t>
  </si>
  <si>
    <t>CAMARA DESENGRASADORA</t>
  </si>
  <si>
    <t>FILTRO DIFUSOR</t>
  </si>
  <si>
    <t>160º C/SIFON DESMOTABLE 3E</t>
  </si>
  <si>
    <t>TUBO DE BAJADA</t>
  </si>
  <si>
    <t>CAN.TIGRE 3M DIAM.88 MM</t>
  </si>
  <si>
    <t>CHICOTE</t>
  </si>
  <si>
    <t>PVC 1/2.20CM PAUFED</t>
  </si>
  <si>
    <t>PVC 1/2.30CM PAUFED</t>
  </si>
  <si>
    <t>PVC 1/2.40CM PAUFED</t>
  </si>
  <si>
    <t>PVC 1/2.50CM PAUFED</t>
  </si>
  <si>
    <t>ACC. PPN ROSC.IPS</t>
  </si>
  <si>
    <t>CODO 90º HH  1/2 IPS</t>
  </si>
  <si>
    <t>CODO 90º HH  3/4 IPS</t>
  </si>
  <si>
    <t>CODO 90º HH    1 IPS</t>
  </si>
  <si>
    <t>CODO 90º HH 11/4 IPS</t>
  </si>
  <si>
    <t>CODO 90º HH 11/2 IPS</t>
  </si>
  <si>
    <t>CODO 90º HH 2 IPS</t>
  </si>
  <si>
    <t>CODO 90º HH 21/2 IPS</t>
  </si>
  <si>
    <t>CODO 90º HH    3 IPS</t>
  </si>
  <si>
    <t>CODO 90º HH    4 IPS</t>
  </si>
  <si>
    <t>TE PPN HHH  1/2 IPS</t>
  </si>
  <si>
    <t>TE PPN HHH  3/4 IPS</t>
  </si>
  <si>
    <t>TE PPN HHH    1 IPS</t>
  </si>
  <si>
    <t>TE PPN HHH 11/4 IPS</t>
  </si>
  <si>
    <t>TE PPN HHH 11/2 IPS</t>
  </si>
  <si>
    <t>TE PPN HHH    2 IPS</t>
  </si>
  <si>
    <t>TE PPN HHH 21/2 IPS</t>
  </si>
  <si>
    <t>TE PPN HHH    3 IPS</t>
  </si>
  <si>
    <t>CURVA PPN 90ª HH  1/2 IPS</t>
  </si>
  <si>
    <t>CURVA PPN 90º HH  3/4 IPS</t>
  </si>
  <si>
    <t>CURVA PPN 90º HH    1 IPS</t>
  </si>
  <si>
    <t>CURVA PPN 90 HH 11/4 IPS</t>
  </si>
  <si>
    <t>CURVA PPN 90º HH 11/2 IPS</t>
  </si>
  <si>
    <t>CURVA PPN 90º HH    2 IPS</t>
  </si>
  <si>
    <t>CUPLA C/INSERTO BCE.HH 1/2 IPS</t>
  </si>
  <si>
    <t>CUPLA C/INSERTO BCE.HH 3/4 IPS</t>
  </si>
  <si>
    <t>CUPLA C/INSERTO BCE.HH   1 IPS</t>
  </si>
  <si>
    <t>CUPLA PPN HH  1/2 IPS</t>
  </si>
  <si>
    <t>CUPLA PPN HH  3/4 IPS</t>
  </si>
  <si>
    <t>CUPLA PPN HH    1 IPS</t>
  </si>
  <si>
    <t>CUPLA PPN HH 11/4 IPS</t>
  </si>
  <si>
    <t>CUPLA PPN HH 11/2 IPS</t>
  </si>
  <si>
    <t>CUPLA PPN HH   2 IPS</t>
  </si>
  <si>
    <t>CUPLA PPN HH 21/2 IPS</t>
  </si>
  <si>
    <t>CUPLA C/INSERTO BCE.MH 1/2 IPS</t>
  </si>
  <si>
    <t>CUPLA C/INSERTO BCE.MH 3/4 IPS</t>
  </si>
  <si>
    <t>CUPLA PPN HH 3 IPS</t>
  </si>
  <si>
    <t>CUPLA PPN HH 4 IPS</t>
  </si>
  <si>
    <t>UNION DOBLE PPN HH 1/2 IPS</t>
  </si>
  <si>
    <t>UNION DOBLE PPN HH 3/4 IPS</t>
  </si>
  <si>
    <t>UNION DOBLE PPN HH 1 IPS</t>
  </si>
  <si>
    <t>UNION DOBLE PPN HH 11/4 IPS</t>
  </si>
  <si>
    <t>UNION DOBLE PPN HH 11/2 IPS</t>
  </si>
  <si>
    <t>UNION DOBLE PPN HH 2 IPS</t>
  </si>
  <si>
    <t>UNION DOBLE PPN 21/2 IPS</t>
  </si>
  <si>
    <t>TAPA PPN H 1/2 IPS</t>
  </si>
  <si>
    <t>TAPA PPN H 3/4 IPS</t>
  </si>
  <si>
    <t>TAPA PPN H 1 IPS</t>
  </si>
  <si>
    <t>TAPA PPN H 11/4 IPS</t>
  </si>
  <si>
    <t>TAPA PPN H 11/2 IPS</t>
  </si>
  <si>
    <t>TAPA PPN H 2 IPS</t>
  </si>
  <si>
    <t>TAPON 1/2 PPN M IPS</t>
  </si>
  <si>
    <t>TAPON 3/4 PPN M IPS</t>
  </si>
  <si>
    <t>TAPON PPN M  1 IPS</t>
  </si>
  <si>
    <t>TAPON PPN M  11/4 IPS</t>
  </si>
  <si>
    <t>TAPON PPN M 11/2 IPS</t>
  </si>
  <si>
    <t>TAPON PPN M 2 IPS</t>
  </si>
  <si>
    <t>TAPON PPN M 21/2 IPS</t>
  </si>
  <si>
    <t>TAPON PPN M 3 IPS</t>
  </si>
  <si>
    <t>TAPON PPN M 4 IPS</t>
  </si>
  <si>
    <t>CODO 90º MACHO-HEMBRA  1/2 IPS</t>
  </si>
  <si>
    <t>CODO 90º MACHO-HEMBRA  3/4 IPS</t>
  </si>
  <si>
    <t>CODO 90º MACHO-HEMBRA    1 IPS</t>
  </si>
  <si>
    <t>CODO 90º MACHO-HEMBRA 11/4 IPS</t>
  </si>
  <si>
    <t>CODO 90º MACHO-HEMBRA 11/2 IPS</t>
  </si>
  <si>
    <t>CODO 90º MACHO-HEMBRA    2 IPS</t>
  </si>
  <si>
    <t>CURVA PPN MACHO-HEMBRA  1/2IPS</t>
  </si>
  <si>
    <t>CURVA PPN MACHO-HEMBRA  3/4IPS</t>
  </si>
  <si>
    <t>CURVA PPN MACHO-HEMBRA    1IPS</t>
  </si>
  <si>
    <t>SOBREPASO MM 1/2 IPS</t>
  </si>
  <si>
    <t>SOBREPASO MM 3/4 IPS</t>
  </si>
  <si>
    <t>SOBREPASO MM 1"IPS</t>
  </si>
  <si>
    <t>ADAPTADOR TANQUE PPN  1/2IPS</t>
  </si>
  <si>
    <t>ADAPTADOR TANQUE PPN  3/4IPS</t>
  </si>
  <si>
    <t>ADAPTADOR TANQUE PPN    1IPS</t>
  </si>
  <si>
    <t>ADAPTADOR TANQUE PPN 11/4IPS</t>
  </si>
  <si>
    <t>ADAPTADOR TANQUE PPN 11/2IPS</t>
  </si>
  <si>
    <t>ADAPTADOR TANQUE PPN   2 IPS</t>
  </si>
  <si>
    <t>BRIDA PPN 1/2 IPS</t>
  </si>
  <si>
    <t>BRIDA PPN 3/4 IPS</t>
  </si>
  <si>
    <t>BRIDA PPN 1 IPS</t>
  </si>
  <si>
    <t>BRIDA PPN 11/4 IPS</t>
  </si>
  <si>
    <t>BRIDA PPN 11/2 IPS</t>
  </si>
  <si>
    <t>BRIDA PPN 2 IPS</t>
  </si>
  <si>
    <t>BUJE PPN MH 1/2.3/8IPS</t>
  </si>
  <si>
    <t>BUJE PPN MH 3/4.1/2IPS</t>
  </si>
  <si>
    <t>BUJE PPN MH 3/4.3/8IPS</t>
  </si>
  <si>
    <t>BUJE PPN MH 3/4.1/4IPS</t>
  </si>
  <si>
    <t>BUJE PPN MH 1.1/2IPS</t>
  </si>
  <si>
    <t>BUJE PPN MH 1.3/4IPS</t>
  </si>
  <si>
    <t>BUJE PPN 11/4.1/2IPS</t>
  </si>
  <si>
    <t>BUJE PPN MH 11/4.3/4IPS</t>
  </si>
  <si>
    <t>BUJE PPN MH 11/4. 1 IPS</t>
  </si>
  <si>
    <t>BUJE PPN MH 11/2.1/2IPS</t>
  </si>
  <si>
    <t>BUJE PPN MH 11/2.3/4IPS</t>
  </si>
  <si>
    <t>BUJE PPN MH 11/2. 1 IPS</t>
  </si>
  <si>
    <t>BUJE PPN MH 11/2.11/4IPS</t>
  </si>
  <si>
    <t>BUJE PPN 2 . 1/2IPS</t>
  </si>
  <si>
    <t>BUJE PPN 2 . 3/4IPS</t>
  </si>
  <si>
    <t>BUJE 2 .  1 IPS</t>
  </si>
  <si>
    <t>BUJE 2 .11/4IPS</t>
  </si>
  <si>
    <t>BUJE PPN MH 2 .11/2IPS</t>
  </si>
  <si>
    <t>BUJE PPN MH 21/2.   2IPS</t>
  </si>
  <si>
    <t>BUJE PPN MH 21/2.11/2IPS</t>
  </si>
  <si>
    <t>BUJE 4.   3IPS</t>
  </si>
  <si>
    <t>CODO 45º HH  1/2 IPS</t>
  </si>
  <si>
    <t>CODO 45º HH  3/4 IPS</t>
  </si>
  <si>
    <t>CODO 45º HH    1 IPS</t>
  </si>
  <si>
    <t>CODO 45º HH 11/4 IPS</t>
  </si>
  <si>
    <t>CODO 45º HH 11/2 IPS</t>
  </si>
  <si>
    <t>CODO 45º HH    2 IPS</t>
  </si>
  <si>
    <t>CRUZ PPN HHHH 1/2 IPS</t>
  </si>
  <si>
    <t>CRUZ PPN HHHH 3/4 IPS</t>
  </si>
  <si>
    <t>CRUZ PPN HHHH 1 IPS</t>
  </si>
  <si>
    <t>CRUZ PPN HHHH 11/4 IPS</t>
  </si>
  <si>
    <t>CRUZ PPN HHHH 11/2 IPS</t>
  </si>
  <si>
    <t>CRUZ PPN HHHH 2 IPS</t>
  </si>
  <si>
    <t>BUJE PPN MH 3.21/2IPS</t>
  </si>
  <si>
    <t>JUNTA PVC P/BRIDA  1/2 IPS</t>
  </si>
  <si>
    <t>JUNTA PVC P/BRIDA  3/4 IPS</t>
  </si>
  <si>
    <t>JUNTA PVC P/BRIDA    1 IPS</t>
  </si>
  <si>
    <t>JUNTA PVC P/BRIDA 11/4 IPS</t>
  </si>
  <si>
    <t>JUNTA PVC P/BRIDA 11/2 IPS</t>
  </si>
  <si>
    <t>JUNTA PVC P/BRIDA    2 IPS</t>
  </si>
  <si>
    <t>CODO RED.PPN H H 1/2.3/8 IPS</t>
  </si>
  <si>
    <t>CODO RED.PPN H H 3/4.1/2 IPS</t>
  </si>
  <si>
    <t>CODO RED.PPN.H H 1.3/4 IPS</t>
  </si>
  <si>
    <t>CODO RED.PPN 90ª HH 1.1/2 IPS</t>
  </si>
  <si>
    <t>CODO.C/INS.BCE.90º HH 1/2 IPS</t>
  </si>
  <si>
    <t>CODO.C/INS.BCE.90º HH 3/4 IPS</t>
  </si>
  <si>
    <t>CODO C/I.BCE.90ºHH 3/4.1/2IPS</t>
  </si>
  <si>
    <t>CODO C/INS.BCE.90º HH   1 IPS</t>
  </si>
  <si>
    <t>CODO C/SUJEC/.90º HH 1/2IPS</t>
  </si>
  <si>
    <t>TE RED.PPN HHH 1/2.3/8.1/2 IPS</t>
  </si>
  <si>
    <t>TE RED PPN HHH 3/4.1/2.3/4 IPS</t>
  </si>
  <si>
    <t>TE RED.PPN HHH  1.3/4.1   IPS</t>
  </si>
  <si>
    <t>TE RED.PPN HHH  1.1/2.1   IPS</t>
  </si>
  <si>
    <t>TE RED.PPN HHH 1/2.3/4.1/2 IPS</t>
  </si>
  <si>
    <t>TE C/INSERTO BCE.HHH 1/2 IPS</t>
  </si>
  <si>
    <t>TE C/INSERTO BCE.HHH 3/4 IPS</t>
  </si>
  <si>
    <t>TE C/I.BCE.HHH 3/4.1/2.3/4 IPS</t>
  </si>
  <si>
    <t>TE C/INSERTO BCE.HHH 1"IPS</t>
  </si>
  <si>
    <t>CUPLA RED.PPN HH 1/2.3/8 IPS</t>
  </si>
  <si>
    <t>CUPLA RED.PPN HH 3/4.1/2 IPS</t>
  </si>
  <si>
    <t>CUPLA RED. PPN HH 3/4.3/8 IPS</t>
  </si>
  <si>
    <t>CUPLA RED.PPN HH 1 X 1/2 IPS</t>
  </si>
  <si>
    <t>CUPLA RED.PPN HH 1. 3/4 IPS</t>
  </si>
  <si>
    <t>CUPLA C/INS.BCE.HH 1/2.3/8IPS</t>
  </si>
  <si>
    <t>CUPLA C/INS.BCE.HH 1/2.3/4IPS</t>
  </si>
  <si>
    <t>CUPLA C/INS.BCE.HH   1.3/4IPS</t>
  </si>
  <si>
    <t>CODO C/INS.BCE. M 3/4 IPS</t>
  </si>
  <si>
    <t>CODO C/INS.BCE. M 1"IPS</t>
  </si>
  <si>
    <t>TE C/INS.BCE. M 1/2 IPS</t>
  </si>
  <si>
    <t>TE C/INS.BCE. M 3/4 IPS</t>
  </si>
  <si>
    <t>CUPLA MACHO-HEMBRA  1/2 IPS</t>
  </si>
  <si>
    <t>CUPLA MACHO-HEMBRA  3/4 IPS</t>
  </si>
  <si>
    <t>CUPLA RED. MH 1/2x3/4 IPS</t>
  </si>
  <si>
    <t>UNION DOBLE PPN M-H 1/2 IPS</t>
  </si>
  <si>
    <t>UNION DOBLE PPN M-H 3/4 IPS</t>
  </si>
  <si>
    <t>ROSCA C/TUERCA RED. 3/4.1/2IPS</t>
  </si>
  <si>
    <t>ROSA C.TUERCA RED PPN 1.1/2IPS</t>
  </si>
  <si>
    <t>ROSCA C/ TUERCA RED 1.3/4IPS</t>
  </si>
  <si>
    <t>NIPLES PPN 6CM. 1/2 IPS</t>
  </si>
  <si>
    <t>NIPLES 6CM. 3/4 IPS</t>
  </si>
  <si>
    <t>NIPLES  PPN 6CM.  1 IPS</t>
  </si>
  <si>
    <t>NIPLES PPN 8CM. 1/2 IPS</t>
  </si>
  <si>
    <t>NIPLES PPN 8CM. 3/4 IPS</t>
  </si>
  <si>
    <t>NIPLES PPN 8CM.   1 IPS</t>
  </si>
  <si>
    <t>NIPLES 10CM. 1/2 IPS</t>
  </si>
  <si>
    <t>NIPLES 10CM. 3/4 IPS</t>
  </si>
  <si>
    <t>NIPLES 10CM.1 IPS</t>
  </si>
  <si>
    <t>NIPLES PPN 10CM.11/4 IPS</t>
  </si>
  <si>
    <t>NIPLES PPN 10CM.11/2 IPS</t>
  </si>
  <si>
    <t>NIPLES PPN 10CM.2 IPS</t>
  </si>
  <si>
    <t>NIPLES PPN 12CM. 1/2 IPS</t>
  </si>
  <si>
    <t>NIPLES PPN 12CM. 3/4 IPS</t>
  </si>
  <si>
    <t>NIPLES PPN 15CM. 1/2 IPS</t>
  </si>
  <si>
    <t>NIPLES 15CM. 3/4 IPS</t>
  </si>
  <si>
    <t>NIPLES PPN 15CM.1IPS</t>
  </si>
  <si>
    <t>NIPLES PPN 15CM.11/4IPS</t>
  </si>
  <si>
    <t>NIPLES PPN 15CM.11/2IPS</t>
  </si>
  <si>
    <t>NIPLES PPN 15CM.2 IPS</t>
  </si>
  <si>
    <t>VALVULA ESF.MET. C/PLENO 1/2</t>
  </si>
  <si>
    <t>VALVULA ESF.MET. C/PLENO 3/4</t>
  </si>
  <si>
    <t>VALVULA ESF.MET. C/PLENO 1"</t>
  </si>
  <si>
    <t>VALVULA ESF.MET. C/PLENO 11/4</t>
  </si>
  <si>
    <t>VLAVULA ESF.MET. C/PLENO 11/2</t>
  </si>
  <si>
    <t>VALVULA ESF.MET. C/PLEN O 2"</t>
  </si>
  <si>
    <t>LLAVE PASO 1/2 IPS</t>
  </si>
  <si>
    <t>LLAVE PASO 3/4 IPS</t>
  </si>
  <si>
    <t>LLAVE PASO 1"IPS</t>
  </si>
  <si>
    <t>LLAVE DE PASO 1/2 CROMADA IPS</t>
  </si>
  <si>
    <t>LLAVE DE PASO 3/4 CROMADA IPS</t>
  </si>
  <si>
    <t>CODO 45º</t>
  </si>
  <si>
    <t>M-H 110MM JE</t>
  </si>
  <si>
    <t>M-H 40MM JE</t>
  </si>
  <si>
    <t>M-H 50MM JE</t>
  </si>
  <si>
    <t>M-H 160MM JE</t>
  </si>
  <si>
    <t>M-H 63MM JE</t>
  </si>
  <si>
    <t>H-H 110MM JE</t>
  </si>
  <si>
    <t>H-H 40MM JE</t>
  </si>
  <si>
    <t>H-H 50MM JE</t>
  </si>
  <si>
    <t>H-H 63MM JE</t>
  </si>
  <si>
    <t>CODO 87 30º</t>
  </si>
  <si>
    <t>CODO HH CORTO 40</t>
  </si>
  <si>
    <t>HH CORTO 50</t>
  </si>
  <si>
    <t>C/BASE H-H 110MM JE</t>
  </si>
  <si>
    <t>KIT CAMARA INSPECCION</t>
  </si>
  <si>
    <t>COJINETE 60.60 110/100</t>
  </si>
  <si>
    <t>TAPA DE INSPEC. 60x60</t>
  </si>
  <si>
    <t>CONTRATAPA CIEGA 60.60</t>
  </si>
  <si>
    <t>ANILLO ELEV. 60.60.20</t>
  </si>
  <si>
    <t>MARCO P/TAPA 60x60</t>
  </si>
  <si>
    <t>CODO AWADUCT</t>
  </si>
  <si>
    <t>45° MH 40**</t>
  </si>
  <si>
    <t>45° MH 50</t>
  </si>
  <si>
    <t>45° MH 63*</t>
  </si>
  <si>
    <t>45° MH 110**</t>
  </si>
  <si>
    <t>87°30MH 40**</t>
  </si>
  <si>
    <t>87°30MH 50</t>
  </si>
  <si>
    <t>87°30MH 63*</t>
  </si>
  <si>
    <t>87°30MH 110*</t>
  </si>
  <si>
    <t>87°30 MH 75</t>
  </si>
  <si>
    <t>87°30 MH 110 C/BASE</t>
  </si>
  <si>
    <t>45° HH  40*</t>
  </si>
  <si>
    <t>45° HH 50</t>
  </si>
  <si>
    <t>45° HH 63*</t>
  </si>
  <si>
    <t>90° HH  40**</t>
  </si>
  <si>
    <t>90° HH  50*</t>
  </si>
  <si>
    <t>90° HH  63*</t>
  </si>
  <si>
    <t>87°30nMH 110 C.B/A.IMP</t>
  </si>
  <si>
    <t>C/R.MACHO AWADUCT 40.11/4</t>
  </si>
  <si>
    <t>15° MH 110</t>
  </si>
  <si>
    <t>30° MH 110</t>
  </si>
  <si>
    <t>67°30nMH 110</t>
  </si>
  <si>
    <t>HH 40MM POLIANGULAR</t>
  </si>
  <si>
    <t>MH 40**POLIANGULAR</t>
  </si>
  <si>
    <t>HH 50** POLIANGULAR</t>
  </si>
  <si>
    <t>MH 50** POLIANGULAR</t>
  </si>
  <si>
    <t>HH 63 POLIANGULAR</t>
  </si>
  <si>
    <t>MH 63 POLIANGULAR</t>
  </si>
  <si>
    <t>45° HHC Ø40 C/SUJEC.</t>
  </si>
  <si>
    <t>45° HHC Ø50 C/SUJEC.</t>
  </si>
  <si>
    <t>45° HHC Ø63 C/SUJEC.</t>
  </si>
  <si>
    <t>45° HHC 110*</t>
  </si>
  <si>
    <t>87 30° HHC Ø40 C/SUJEC.</t>
  </si>
  <si>
    <t>87 30° HHC Ø50 C/SUJEC.</t>
  </si>
  <si>
    <t>87 30° HHC Ø63 C/SUJEC.</t>
  </si>
  <si>
    <t>87° HHC 110*</t>
  </si>
  <si>
    <t>45° HH 32**</t>
  </si>
  <si>
    <t xml:space="preserve"> 45°  110 ALTO IMPACTO</t>
  </si>
  <si>
    <t>87º30' HH 32**</t>
  </si>
  <si>
    <t>45° MH 63" INTEMPERIE</t>
  </si>
  <si>
    <t>45° MH 110** INTEMPERIE</t>
  </si>
  <si>
    <t>87º30´ MH 50 INTEMPERIE</t>
  </si>
  <si>
    <t>90º MH 63** INTEMPERIE</t>
  </si>
  <si>
    <t>90° MH 110** INTEMPERIE</t>
  </si>
  <si>
    <t>87°30 MH 110 C/BASE INTEMPERIE</t>
  </si>
  <si>
    <t>45º HH 50 INTEMPERIE</t>
  </si>
  <si>
    <t>45º HH 63 INTEMPERIE</t>
  </si>
  <si>
    <t>45° H-HC 110 INTEMPERIE</t>
  </si>
  <si>
    <t>87°30MH 160</t>
  </si>
  <si>
    <t>45° MH 160</t>
  </si>
  <si>
    <t>87°30 MH 160 INTEMPERIE</t>
  </si>
  <si>
    <t>TAPA DE INSPECCION IDEAL</t>
  </si>
  <si>
    <t>TAPA HEMBRA 110 AWADUCT</t>
  </si>
  <si>
    <t>BOCA ACCESO HORIZ E63 INTEMP</t>
  </si>
  <si>
    <t>PILETA BALCON Y DUCHA 63 (M)</t>
  </si>
  <si>
    <t>TAPA INSPECCION (M) 110</t>
  </si>
  <si>
    <t>GRAPA FIJA/DESL 110 INTEMPERIE</t>
  </si>
  <si>
    <t>CODO C/BASE 1.8</t>
  </si>
  <si>
    <t>PVC 90º 100</t>
  </si>
  <si>
    <t>CODO TIGRE</t>
  </si>
  <si>
    <t>90º HH  40 RAMAT</t>
  </si>
  <si>
    <t>90º HH  50 RAMAT</t>
  </si>
  <si>
    <t>90º MH  63 RAMAT</t>
  </si>
  <si>
    <t>90º MH 110 RAMAT***</t>
  </si>
  <si>
    <t>90º MH 160 RAMAT</t>
  </si>
  <si>
    <t>90º HH 110 RAMAT</t>
  </si>
  <si>
    <t>87º MH  40 RAMAT</t>
  </si>
  <si>
    <t>87º MH  50 RAMAT</t>
  </si>
  <si>
    <t>45º MH  63 RAMAT</t>
  </si>
  <si>
    <t>45º MH 110 RAMAT</t>
  </si>
  <si>
    <t>45º MH 160 RAMAT</t>
  </si>
  <si>
    <t>C/3 ACOMET.CLO 110/63 RAMAT</t>
  </si>
  <si>
    <t>C/BASE 90º MH 110 RAMAT</t>
  </si>
  <si>
    <t>ACOPLE C/TRABA MECANICA</t>
  </si>
  <si>
    <t>1/2 COMPRESION PROFESIONAL 6CM</t>
  </si>
  <si>
    <t>3/4 COMPRESION PROFESIONAL 6CM</t>
  </si>
  <si>
    <t>1/2 COMPRESION PROF. LARG 10CM</t>
  </si>
  <si>
    <t>3/4 COMPRESION PROF. LARG 10CM</t>
  </si>
  <si>
    <t>COMP. PROF. REDUCTOR 3/4 X 1/2</t>
  </si>
  <si>
    <t>COMP. PROF. REDUCTOR 1 X 3/4</t>
  </si>
  <si>
    <t>COMP. PROF. "T" 1/2</t>
  </si>
  <si>
    <t>COMP. PROF. "T" 3/4</t>
  </si>
  <si>
    <t>COMP. PROF. CODO 1/2</t>
  </si>
  <si>
    <t>COMP. PROF. CODO 3/4</t>
  </si>
  <si>
    <t>CONICA SIFON 50 SIFOLIMP</t>
  </si>
  <si>
    <t>SUJETA TAPA PVC IDEAL (1282)</t>
  </si>
  <si>
    <t>CODO 1/2 UNION 90° H3</t>
  </si>
  <si>
    <t>1/2R(H)METAL</t>
  </si>
  <si>
    <t>3/4R(H)METAL</t>
  </si>
  <si>
    <t>1R(H)METAL</t>
  </si>
  <si>
    <t>CODO 45º H3</t>
  </si>
  <si>
    <t>3/8 FF</t>
  </si>
  <si>
    <t>1/2 FF</t>
  </si>
  <si>
    <t>3/4 FF</t>
  </si>
  <si>
    <t>1 FF</t>
  </si>
  <si>
    <t>11/4 FF</t>
  </si>
  <si>
    <t>11/2 FF</t>
  </si>
  <si>
    <t>2 FF</t>
  </si>
  <si>
    <t>21/2 FF</t>
  </si>
  <si>
    <t>3 FF</t>
  </si>
  <si>
    <t>4 FF</t>
  </si>
  <si>
    <t>5 FF</t>
  </si>
  <si>
    <t>CODO H3 90°</t>
  </si>
  <si>
    <t>1/2 FF**</t>
  </si>
  <si>
    <t>3/4 FF**</t>
  </si>
  <si>
    <t>3/8 F/R.(H) METAL</t>
  </si>
  <si>
    <t>1/2 F/R.(H)METAL**</t>
  </si>
  <si>
    <t>3/4 F/R(H)METAL**</t>
  </si>
  <si>
    <t>1 F/R(H)METAL</t>
  </si>
  <si>
    <t>11/4 F/R(H)METAL</t>
  </si>
  <si>
    <t>11/2 F/R(H)METAL</t>
  </si>
  <si>
    <t>2 F/R(H)METAL</t>
  </si>
  <si>
    <t>3 F/R(H)METAL</t>
  </si>
  <si>
    <t>1/2 F/R(M)METAL</t>
  </si>
  <si>
    <t>3/4 F/R(M)METAL</t>
  </si>
  <si>
    <t>1 F/R(M)METAL</t>
  </si>
  <si>
    <t>11/4 F/R(M)METAL</t>
  </si>
  <si>
    <t>11/2 F/R(M)METAL</t>
  </si>
  <si>
    <t>2 F/R(M)METAL</t>
  </si>
  <si>
    <t>3 F/R(M)METAL</t>
  </si>
  <si>
    <t>1/2 F/R(H)PLASTICA</t>
  </si>
  <si>
    <t>3/4 F/R(H)PLASTICA</t>
  </si>
  <si>
    <t>1 F/R(H)PLASTICA</t>
  </si>
  <si>
    <t>11/4 F/R(H)PLASTICA</t>
  </si>
  <si>
    <t>11/2 F/R(H)PLASTICA</t>
  </si>
  <si>
    <t>2 F/R(H)PLASTICA</t>
  </si>
  <si>
    <t>CODO H3 PROLONG.</t>
  </si>
  <si>
    <t>90°1/2 F/R (H) MET.(BASE Y SOP</t>
  </si>
  <si>
    <t>90° 1/2 F/R(H)MET.</t>
  </si>
  <si>
    <t>90° 3/4 F/R(H)MET.</t>
  </si>
  <si>
    <t>CODO HEMBRA CORTA AWADUCT HH</t>
  </si>
  <si>
    <t>50</t>
  </si>
  <si>
    <t>CODO HID 45º</t>
  </si>
  <si>
    <t>HH 20</t>
  </si>
  <si>
    <t>HH  25</t>
  </si>
  <si>
    <t>HH  32</t>
  </si>
  <si>
    <t>40</t>
  </si>
  <si>
    <t>63</t>
  </si>
  <si>
    <t>75</t>
  </si>
  <si>
    <t>HH 110</t>
  </si>
  <si>
    <t>CODO HID 90º</t>
  </si>
  <si>
    <t>HH  20</t>
  </si>
  <si>
    <t>90</t>
  </si>
  <si>
    <t>110</t>
  </si>
  <si>
    <t>ACCESORIOS CLASE 6 KALIPLAST</t>
  </si>
  <si>
    <t>CODO HID.90º 40 MM</t>
  </si>
  <si>
    <t>CODO HID.90º 50 MM</t>
  </si>
  <si>
    <t>TE HID. 40 H-H</t>
  </si>
  <si>
    <t>CUPLA HID. 40 H-H</t>
  </si>
  <si>
    <t>CUPLA HID. 50 H-H</t>
  </si>
  <si>
    <t>VALVULA C/TRABA MECANICA</t>
  </si>
  <si>
    <t>VALVULA C/TRABA 1/2</t>
  </si>
  <si>
    <t>VALVULA C/TRABA 3/4</t>
  </si>
  <si>
    <t>CODO P/TUBO</t>
  </si>
  <si>
    <t>CANAL.TIGRE 60º MH 88MM</t>
  </si>
  <si>
    <t>CANAL.TIGRE 90º MH 88MM</t>
  </si>
  <si>
    <t>ACCESORIOS ACUSTIK</t>
  </si>
  <si>
    <t>CODO 45º MH 58</t>
  </si>
  <si>
    <t>CODO 45º MH 110</t>
  </si>
  <si>
    <t>CODO 87º30' MH 58</t>
  </si>
  <si>
    <t>CODO 90º MH 110</t>
  </si>
  <si>
    <t>MANGUITO 58</t>
  </si>
  <si>
    <t xml:space="preserve"> TRANSICION C/EMBUDO HF 58</t>
  </si>
  <si>
    <t>TRANSICION C/EMBUDO HF 110</t>
  </si>
  <si>
    <t>MANGUITO 110</t>
  </si>
  <si>
    <t>RAMAL 87º30' MH 110X63</t>
  </si>
  <si>
    <t>RAMAL SIMP. 45º (MH) 58x58</t>
  </si>
  <si>
    <t>RAMAL SIMP. 45º (MH) 110x58</t>
  </si>
  <si>
    <t>RAMAL SIMPLE 87º30' MH 110x110</t>
  </si>
  <si>
    <t>RAMAL SIMP. 45º MH 110X110</t>
  </si>
  <si>
    <t>RAMAL SIMP. 45º (MH) 110x63</t>
  </si>
  <si>
    <t>RAMAL SIMP. 87º 30' (MH) 58x58</t>
  </si>
  <si>
    <t>RAMAL SIMP 87º 30' (MH) 110x58</t>
  </si>
  <si>
    <t>CUPLA REDUCCION (MH) 110x58</t>
  </si>
  <si>
    <t>RAM.SIMP 87º30'MH C/VE 110x110</t>
  </si>
  <si>
    <t>RAM.DOBL 87º30'MH C/VE 110x110</t>
  </si>
  <si>
    <t>BOCA ACCESO COCINA 3 E Ø 58X58</t>
  </si>
  <si>
    <t>RAMAL INVERTIDO PARALEL 110x58</t>
  </si>
  <si>
    <t>PILETA PATIO 3E.C/S.DES.Ø58X58</t>
  </si>
  <si>
    <t>RAM.SIMP 87º30'MH C/VE 110x63</t>
  </si>
  <si>
    <t>CAÑO CAMARA M-H 110</t>
  </si>
  <si>
    <t>BUJE REDUCCION M-H 58x40</t>
  </si>
  <si>
    <t>BUJE REDUCCION M-H 58x50</t>
  </si>
  <si>
    <t>BUJE REDUCCION M-H 63x58</t>
  </si>
  <si>
    <t>PASE DE LOSA CORTAFUEGO 40</t>
  </si>
  <si>
    <t>PASE DE LOSA CORTAFUEGO 50</t>
  </si>
  <si>
    <t>PASE DE LOSA CORTAFUEGO 63</t>
  </si>
  <si>
    <t>PASE DE LOSA CORTAFUEGO 110</t>
  </si>
  <si>
    <t>PASE DE LOSA CORTAFUEGO 160</t>
  </si>
  <si>
    <t>RAPICLACK GRAPA FIJA D. 110</t>
  </si>
  <si>
    <t>RAPLICLACK GRAPA FIJA D. 160</t>
  </si>
  <si>
    <t>BASE DE INODORO 0.25 X 0.50</t>
  </si>
  <si>
    <t>RAPIC.GRAPA FIJA D.40/50/58/63</t>
  </si>
  <si>
    <t>CURVA 87º30 MH C/SUJECION, BAS</t>
  </si>
  <si>
    <t>RAMAL DOBLE 87º30' MH 110x110</t>
  </si>
  <si>
    <t>RAMAL ESQUINERO 87°30 110X110</t>
  </si>
  <si>
    <t>O'RING DOBLE LABIO MOL 58</t>
  </si>
  <si>
    <t>O'RING DOBLE LABIO MOL 110</t>
  </si>
  <si>
    <t>O'RING DOBLE LABIO MOL 160</t>
  </si>
  <si>
    <t>O'RING DOBLE LABIO MOL 200</t>
  </si>
  <si>
    <t>CODO 87º 30' MH 160</t>
  </si>
  <si>
    <t>CODO 45º MH 160</t>
  </si>
  <si>
    <t>RAMAL SIMP. 45º (MH) 160x160</t>
  </si>
  <si>
    <t>RAMAL SIMP. 45º (MH) 160x110</t>
  </si>
  <si>
    <t>MANGUITO 160</t>
  </si>
  <si>
    <t>CUPLA REDUCCION (MH) 160x110</t>
  </si>
  <si>
    <t>RAM.SIMP 87º30'MH C/VE 160x110</t>
  </si>
  <si>
    <t>TRNSICION C/EMBUDO 160</t>
  </si>
  <si>
    <t>CAÑO CAMARA M-H 160</t>
  </si>
  <si>
    <t>CODO 45º MH 200</t>
  </si>
  <si>
    <t>MANGUITO 200</t>
  </si>
  <si>
    <t>CUPLA RED. M-H 200 X 160</t>
  </si>
  <si>
    <t>RAMAL SIMPLE 45° M-H 200X160</t>
  </si>
  <si>
    <t>RAMAL SIMPLE 45° M-H 200X200</t>
  </si>
  <si>
    <t>CAÑO CAMARA MH 200</t>
  </si>
  <si>
    <t>TAPA MACHO Ø 58</t>
  </si>
  <si>
    <t>TAPA MACHO Ø 110</t>
  </si>
  <si>
    <t>TAPA MACHO 160</t>
  </si>
  <si>
    <t>TAPA MACHO 200</t>
  </si>
  <si>
    <t>CODO POLIANG.</t>
  </si>
  <si>
    <t>45º M-H 40MM JE</t>
  </si>
  <si>
    <t>45º M-H 50MM JE</t>
  </si>
  <si>
    <t>45º M-H 63MM JE</t>
  </si>
  <si>
    <t>45º M-H 110MM JE</t>
  </si>
  <si>
    <t>TUBOS ACUSTIK</t>
  </si>
  <si>
    <t>160 X 3M (1,8) (A)</t>
  </si>
  <si>
    <t>160 X 4M (1.8) (A)</t>
  </si>
  <si>
    <t>160 X 1M (1.8)</t>
  </si>
  <si>
    <t>200 X 1M</t>
  </si>
  <si>
    <t>200 X 3M (A)</t>
  </si>
  <si>
    <t>200 X 4M (A)</t>
  </si>
  <si>
    <t>CODO PVC 1.8</t>
  </si>
  <si>
    <t>90º 100 MH</t>
  </si>
  <si>
    <t>FORTECAM</t>
  </si>
  <si>
    <t>CAMARA SEPTICA 8 PERSONAS</t>
  </si>
  <si>
    <t>CAMARA SEPTICA 12 PERSONAS</t>
  </si>
  <si>
    <t>CAMARA SEPTICA 24 PERSONAS</t>
  </si>
  <si>
    <t>CODO R/H.MET.</t>
  </si>
  <si>
    <t>LARGA 20x1/2 FUSION TIGRE</t>
  </si>
  <si>
    <t>EXTRA LARGA20x1/2 FUSION TIGRE</t>
  </si>
  <si>
    <t>CODO R/HEMBRA</t>
  </si>
  <si>
    <t>20x1/2 FUSION TIGRE**</t>
  </si>
  <si>
    <t>25x1/2 FUSION TIGRE*</t>
  </si>
  <si>
    <t>25x3/4 FUSION TIGRE*</t>
  </si>
  <si>
    <t>32x1 FUSION TIGRE</t>
  </si>
  <si>
    <t>32x3/4 FUSION TIGRE</t>
  </si>
  <si>
    <t>32x1/2 FUSION TIGRE</t>
  </si>
  <si>
    <t>CODO R/MACHO</t>
  </si>
  <si>
    <t>20x1/2 FUSION TIGRE</t>
  </si>
  <si>
    <t>25x1/2 FUSION TIGRE</t>
  </si>
  <si>
    <t>25x3/4 FUSION TIGRE</t>
  </si>
  <si>
    <t>CODO RED.AWADUCT</t>
  </si>
  <si>
    <t>MH 40.32</t>
  </si>
  <si>
    <t>CODO RED.H3 90</t>
  </si>
  <si>
    <t>11/4.1     FF</t>
  </si>
  <si>
    <t xml:space="preserve"> 3.2    FF</t>
  </si>
  <si>
    <t xml:space="preserve"> 1/2.3/8  FF</t>
  </si>
  <si>
    <t xml:space="preserve"> 3.21/2  FF</t>
  </si>
  <si>
    <t>ROL.90° 3/8.1/2F/R.M(H)</t>
  </si>
  <si>
    <t xml:space="preserve"> 3.2    F/R.M(H)</t>
  </si>
  <si>
    <t>1/2.3/8  F/R.M(H)</t>
  </si>
  <si>
    <t>3/4.1/2  F/R.M(H)</t>
  </si>
  <si>
    <t xml:space="preserve"> 1.3/4  F/R.M(H)</t>
  </si>
  <si>
    <t>11/4.1    F/R.M(H)</t>
  </si>
  <si>
    <t>11/2.11/4 F/R.M(H)</t>
  </si>
  <si>
    <t>ROL.90° 1/2.3/4F/R.M(H)</t>
  </si>
  <si>
    <t>2.11/2 F/R.M(H)</t>
  </si>
  <si>
    <t xml:space="preserve"> 3/8.1/2 F/R.M(H)</t>
  </si>
  <si>
    <t>3/8.1/2 F/R. MET(M)</t>
  </si>
  <si>
    <t>3/4.1/2  F/R.M(M)</t>
  </si>
  <si>
    <t xml:space="preserve">  1.3/4  F/R.M(M)</t>
  </si>
  <si>
    <t>11/4.1    F/R.M(M)</t>
  </si>
  <si>
    <t>11/2.11/4 F/R.M(M)</t>
  </si>
  <si>
    <t xml:space="preserve">  2.11/2 F/R.M(M)</t>
  </si>
  <si>
    <t>3.2    F/R.M(M)</t>
  </si>
  <si>
    <t>CURVA TERRA 45°</t>
  </si>
  <si>
    <t>CURVA TERRA 45° 110(118X118)</t>
  </si>
  <si>
    <t>CODO TERRA 45°</t>
  </si>
  <si>
    <t>100x100 H-H</t>
  </si>
  <si>
    <t>110(118) HHC</t>
  </si>
  <si>
    <t>160(M177xH177) H-HC</t>
  </si>
  <si>
    <t>200(218x218) MH</t>
  </si>
  <si>
    <t>CLAK H-HC 110(118x118)</t>
  </si>
  <si>
    <t>CLAK M-H 160(177x177)</t>
  </si>
  <si>
    <t>CODO YOLA</t>
  </si>
  <si>
    <t>DER PVC(1,8) 90º 100.60</t>
  </si>
  <si>
    <t>IZQ PVC(1,8) 90º 100.60</t>
  </si>
  <si>
    <t>TRAS PVC(1,8) 90º 100.60</t>
  </si>
  <si>
    <t>GABINETE</t>
  </si>
  <si>
    <t>P/COLEC.350X450X100</t>
  </si>
  <si>
    <t>P/COLEC.450X450X110</t>
  </si>
  <si>
    <t>P/COLEC.550X450X110</t>
  </si>
  <si>
    <t>P/COLEC.750X450X110</t>
  </si>
  <si>
    <t>P/COLEC.950X450X100</t>
  </si>
  <si>
    <t>20 FUSION TIGRE</t>
  </si>
  <si>
    <t>25 FUSION TIGRE</t>
  </si>
  <si>
    <t>AISLACION P/PISOS RADIANTES</t>
  </si>
  <si>
    <t>MEMBRANA TERM.ROLLO1X20MTS.</t>
  </si>
  <si>
    <t>CORTA TUBOS AWADUCT</t>
  </si>
  <si>
    <t>CORTA REFILA 40</t>
  </si>
  <si>
    <t>CORTA REFILA 50</t>
  </si>
  <si>
    <t>CORTA REFILA 63</t>
  </si>
  <si>
    <t>CORTA - REFILA 110</t>
  </si>
  <si>
    <t>CUCHILLA REFILADOR</t>
  </si>
  <si>
    <t>CUCHILLA REPUESTO</t>
  </si>
  <si>
    <t>REFILADOR 110</t>
  </si>
  <si>
    <t>COVERTHOR ALUMINIO H3</t>
  </si>
  <si>
    <t>3/8 (2 MTS) (A)</t>
  </si>
  <si>
    <t>1/2 (2 MTS) (A)</t>
  </si>
  <si>
    <t>3/4 (2 MTS) (A)</t>
  </si>
  <si>
    <t>1 (2 MTS) (A)</t>
  </si>
  <si>
    <t>11/4 (2 MTS) (A)</t>
  </si>
  <si>
    <t>11/2 (2 MTS) (A)</t>
  </si>
  <si>
    <t>2 (2 MTS) (A)</t>
  </si>
  <si>
    <t>21/2 (2 MTS) (A)</t>
  </si>
  <si>
    <t>3´ (2 MTS) (A)</t>
  </si>
  <si>
    <t>4 (2 mts) (A)</t>
  </si>
  <si>
    <t>COVERTHOR BLANCO H3</t>
  </si>
  <si>
    <t>3x2 MTS (A)</t>
  </si>
  <si>
    <t>4x2 MTS (A)</t>
  </si>
  <si>
    <t>COVERTHOR 10 MM GRIS H3</t>
  </si>
  <si>
    <t>17MM (2 MTS) (A)</t>
  </si>
  <si>
    <t>13MM (2 MTS) (A)</t>
  </si>
  <si>
    <t>20MM (2 MTS) (A)</t>
  </si>
  <si>
    <t>32MM (2 MTS) (A)</t>
  </si>
  <si>
    <t>27 MM (2 MTS) (A)</t>
  </si>
  <si>
    <t>43MM (2 MTS) (A)</t>
  </si>
  <si>
    <t>79MM (2 MTS) (A)</t>
  </si>
  <si>
    <t>35MM (2 MTS) (A)</t>
  </si>
  <si>
    <t>51MM (2 MTS) (A)</t>
  </si>
  <si>
    <t>COVERTHOR XT H3</t>
  </si>
  <si>
    <t>(1/2 X 2 MTS) (A)</t>
  </si>
  <si>
    <t>(3/4 X 2 MTS) (A)</t>
  </si>
  <si>
    <t>(1 X 2 MTS) (A)</t>
  </si>
  <si>
    <t>CRUZ HIDRAULICA</t>
  </si>
  <si>
    <t>20 TIGRE</t>
  </si>
  <si>
    <t>25 TIGRE</t>
  </si>
  <si>
    <t>32 TIGRE</t>
  </si>
  <si>
    <t>40 TIGRE</t>
  </si>
  <si>
    <t>50 TIGRE</t>
  </si>
  <si>
    <t>63 TIGRE</t>
  </si>
  <si>
    <t>75 TIGRE</t>
  </si>
  <si>
    <t>90 TIGRE</t>
  </si>
  <si>
    <t>LINEA FLUXER P/CONTROL FLUJO</t>
  </si>
  <si>
    <t>CHORRO AIREADO-REGULABLE</t>
  </si>
  <si>
    <t>CHORRO LLUVIA-REGULABLE</t>
  </si>
  <si>
    <t>CHORRO AIREADO C/PERILLA DE AC</t>
  </si>
  <si>
    <t>CHORRO LLUVIA C/PERILLA DE ACC</t>
  </si>
  <si>
    <t>MODO LLUVIA ANTI VANDALICO</t>
  </si>
  <si>
    <t>FLUXERMATIC PICO BAJO P/ LAVAT</t>
  </si>
  <si>
    <t>FLUXERMATIC P/PARED C/CIER. AU</t>
  </si>
  <si>
    <t>DUCHA 6L</t>
  </si>
  <si>
    <t>PVC PARA TUBO DE 25MM</t>
  </si>
  <si>
    <t>PVC PARA TUBO DE 20MM</t>
  </si>
  <si>
    <t>DERIV. 63.1/2</t>
  </si>
  <si>
    <t>DERIV. 63.3/4</t>
  </si>
  <si>
    <t>DERIV. 63.  1</t>
  </si>
  <si>
    <t>DERIV. 40.1/2</t>
  </si>
  <si>
    <t>DERIV. 63.1/2C/TORNILLO</t>
  </si>
  <si>
    <t>DERIV. 75. 1/2</t>
  </si>
  <si>
    <t>DERIV.110.1/2</t>
  </si>
  <si>
    <t>KIT CAMARA DESENG.</t>
  </si>
  <si>
    <t>COMPLETO TIGRE</t>
  </si>
  <si>
    <t>TUBO</t>
  </si>
  <si>
    <t>20 MM FUSIOGAS</t>
  </si>
  <si>
    <t>25 MM FUSIOGAS</t>
  </si>
  <si>
    <t>32 MM FUSIOGAS</t>
  </si>
  <si>
    <t>40 MM FUSIOGAS</t>
  </si>
  <si>
    <t>50 MM FUSIOGAS</t>
  </si>
  <si>
    <t>63 MM FUSIOGAS</t>
  </si>
  <si>
    <t>CODO 90º</t>
  </si>
  <si>
    <t>CODO 90 º R.(H)</t>
  </si>
  <si>
    <t>20 X 1/2 FUSIOGAS</t>
  </si>
  <si>
    <t>25 X 3/4 FUSIOGAS</t>
  </si>
  <si>
    <t>32 X 1 FUSIOGAS</t>
  </si>
  <si>
    <t>40 X 11/4 FUSIOGAS</t>
  </si>
  <si>
    <t>50 X 1 1/2 FUSIOGAS</t>
  </si>
  <si>
    <t>63 X 2 FUSIOGAS</t>
  </si>
  <si>
    <t>25 X 1/2 FUSIOGAS</t>
  </si>
  <si>
    <t>32 X 3/4 FUSIOGAS</t>
  </si>
  <si>
    <t>40 X 1 FUSIOGAS</t>
  </si>
  <si>
    <t>50 X 1 1/4 FUSIOGAS</t>
  </si>
  <si>
    <t>63 X 1 1/2 FUSIOGAS</t>
  </si>
  <si>
    <t>TE</t>
  </si>
  <si>
    <t>TE RED.</t>
  </si>
  <si>
    <t>25 X 20 FUSIOGAS</t>
  </si>
  <si>
    <t>32 X 25 FUSIOGAS</t>
  </si>
  <si>
    <t>32 X 20 FUSIOGAS</t>
  </si>
  <si>
    <t>40 X 32 FUSIOGAS</t>
  </si>
  <si>
    <t>40 X 25 FUSIOGAS</t>
  </si>
  <si>
    <t>50 X 40 FUSIOGAS</t>
  </si>
  <si>
    <t>50 X 32 FUSIOGAS</t>
  </si>
  <si>
    <t>63 X 50 FUSIOGAS</t>
  </si>
  <si>
    <t>63 X 40 FUSIOGAS</t>
  </si>
  <si>
    <t>CUPLA RED.</t>
  </si>
  <si>
    <t>LLAVE DE PASO</t>
  </si>
  <si>
    <t>20 MM  FUSIOGAS</t>
  </si>
  <si>
    <t>25 MM  FUSIOGAS</t>
  </si>
  <si>
    <t>32 MM  FUSIOGAS</t>
  </si>
  <si>
    <t>REPUESTO ROSETA/MANIVELA</t>
  </si>
  <si>
    <t>BUJE RED. C/ ARO TOPE REMOVIBL</t>
  </si>
  <si>
    <t>TRANSICION HEMBRA</t>
  </si>
  <si>
    <t>40 X 1 1/4 FUSIOGAS</t>
  </si>
  <si>
    <t>TRANSICION MACHO</t>
  </si>
  <si>
    <t>50X 1 1/2 FUSIOGAS</t>
  </si>
  <si>
    <t>63 X2  FUSIOGAS</t>
  </si>
  <si>
    <t>CUPLA</t>
  </si>
  <si>
    <t>LLAVE DE PASO ESF. C/MANIJA</t>
  </si>
  <si>
    <t>KIT MANIJA 40-50MM FUSIOGAS</t>
  </si>
  <si>
    <t>KIT MANIJA 63 MM FUSIOGAS</t>
  </si>
  <si>
    <t>NIPLE ENTRE-FUSION</t>
  </si>
  <si>
    <t>TAPA</t>
  </si>
  <si>
    <t>MONTURA DE REPARACION</t>
  </si>
  <si>
    <t>BOQUILLAS PARA TERMOFUSION</t>
  </si>
  <si>
    <t>PINZA EXTRACTORA</t>
  </si>
  <si>
    <t>BOQUILLA P/ MONT. REPARACION</t>
  </si>
  <si>
    <t>20MM FUSIOGAS</t>
  </si>
  <si>
    <t>25MM FUSIOGAS</t>
  </si>
  <si>
    <t>32MM FUSIOGAS</t>
  </si>
  <si>
    <t>40MM FUSIOGAS</t>
  </si>
  <si>
    <t>50MM FUSIOGAS</t>
  </si>
  <si>
    <t>63MM FUSIOGAS</t>
  </si>
  <si>
    <t>CORTA TUBO RADIAL</t>
  </si>
  <si>
    <t>20-40MM FUSIOGAS</t>
  </si>
  <si>
    <t>50-63MM FUSIOGAS</t>
  </si>
  <si>
    <t>CUCHILLA 20-40 MM FUSIOGAS</t>
  </si>
  <si>
    <t>CUCHILLA 50-63MM FUSIOGAS</t>
  </si>
  <si>
    <t>PROTECCION SOLAR AUTOADHESIVA</t>
  </si>
  <si>
    <t>ANTI UV POR 40MTS FUSIOGAS</t>
  </si>
  <si>
    <t>CURVA SOBREPASO</t>
  </si>
  <si>
    <t>20MM</t>
  </si>
  <si>
    <t>25MM</t>
  </si>
  <si>
    <t>32MM</t>
  </si>
  <si>
    <t>CUPLA C/UNION H3</t>
  </si>
  <si>
    <t>1/2 F/R.METAL(H)</t>
  </si>
  <si>
    <t>3/4 F/R.METAL(H)</t>
  </si>
  <si>
    <t>1 F/R.METAL(H)</t>
  </si>
  <si>
    <t>CUPLA CLO HH</t>
  </si>
  <si>
    <t>160 3,2</t>
  </si>
  <si>
    <t>200</t>
  </si>
  <si>
    <t>250 3,2</t>
  </si>
  <si>
    <t>CUPLA CORREDIZA H-H</t>
  </si>
  <si>
    <t>110MM JE</t>
  </si>
  <si>
    <t>160MM JE</t>
  </si>
  <si>
    <t>40MM JE</t>
  </si>
  <si>
    <t>50MM JE</t>
  </si>
  <si>
    <t>63MM JE</t>
  </si>
  <si>
    <t>UNION CANALETA TIGRE</t>
  </si>
  <si>
    <t>130MM ALTO CAUDAL</t>
  </si>
  <si>
    <t>200MM ALTO CAUDAL</t>
  </si>
  <si>
    <t>CUPLA DRY</t>
  </si>
  <si>
    <t>FYX 20x1/2 FUSION TIGRE</t>
  </si>
  <si>
    <t>CUPLA H3</t>
  </si>
  <si>
    <t>1/2 F/R.PLAST.(H)</t>
  </si>
  <si>
    <t>3/4 F/R.PLAST.(H)</t>
  </si>
  <si>
    <t>1 F/R.PLAST.(H)</t>
  </si>
  <si>
    <t>11/4 F/R.PLAST.(H)</t>
  </si>
  <si>
    <t>11/2 F/R.PLAST.(H)</t>
  </si>
  <si>
    <t>2 F/R.PLAST.(H)</t>
  </si>
  <si>
    <t>3/8 F/R.PLAST.(M)</t>
  </si>
  <si>
    <t>1/2 F/R.PLAST.(M)</t>
  </si>
  <si>
    <t>3/4 F/R.PLAST.(M)</t>
  </si>
  <si>
    <t>1 F/R.PLAST.(M)</t>
  </si>
  <si>
    <t>11/4 F/R.PLAST. (M)</t>
  </si>
  <si>
    <t>11/2 F/R.PLSAT.(M)</t>
  </si>
  <si>
    <t>2 F/R. PLAST.(M)</t>
  </si>
  <si>
    <t>CUPLA HEMBRA H3</t>
  </si>
  <si>
    <t>1/2 F/R.METAL(H)**</t>
  </si>
  <si>
    <t>11/4 F/R.METAL(H)</t>
  </si>
  <si>
    <t>11/2 F/R.METAL(H)</t>
  </si>
  <si>
    <t>2 F/R.METAL(H)</t>
  </si>
  <si>
    <t>3 F/R.METAL(H)</t>
  </si>
  <si>
    <t>3/8 F/R.METAL(H)</t>
  </si>
  <si>
    <t>21/2 F/R.METAL(H)**</t>
  </si>
  <si>
    <t>CUPLA H-H</t>
  </si>
  <si>
    <t>CUPLA HID HH</t>
  </si>
  <si>
    <t>20</t>
  </si>
  <si>
    <t>25</t>
  </si>
  <si>
    <t>32</t>
  </si>
  <si>
    <t>CUPLA LISA CLO HH</t>
  </si>
  <si>
    <t>40 RAMAT</t>
  </si>
  <si>
    <t>50 RAMAT</t>
  </si>
  <si>
    <t>110 RAMAT</t>
  </si>
  <si>
    <t>63 RAMAT</t>
  </si>
  <si>
    <t>CUPLA MACHO H3</t>
  </si>
  <si>
    <t>1/2 F/R.METAL(M)**</t>
  </si>
  <si>
    <t>3/4 F/R.METAL(M)</t>
  </si>
  <si>
    <t>1 F/R.METAL(M)</t>
  </si>
  <si>
    <t>11/4 F/R.METAL(M)</t>
  </si>
  <si>
    <t>11/2 F/R.METAL(M)*</t>
  </si>
  <si>
    <t>2 F/R.METAL(M)</t>
  </si>
  <si>
    <t>3 F/R.METAL(M)</t>
  </si>
  <si>
    <t>21/2 F/R.METAL(M)**</t>
  </si>
  <si>
    <t>CUPLA PVC 1.8</t>
  </si>
  <si>
    <t>HH  40</t>
  </si>
  <si>
    <t>HH  50</t>
  </si>
  <si>
    <t>HH  60</t>
  </si>
  <si>
    <t>HH 100</t>
  </si>
  <si>
    <t>CUPLA RED.AWADUCT MH</t>
  </si>
  <si>
    <t>50.40</t>
  </si>
  <si>
    <t>63.50</t>
  </si>
  <si>
    <t>110.63</t>
  </si>
  <si>
    <t>DE BOMBEO 110X2</t>
  </si>
  <si>
    <t>DE BOMBEO 110X2 1/2</t>
  </si>
  <si>
    <t>DE BOMBEO 110X3</t>
  </si>
  <si>
    <t>DE BOMBEO 110X4</t>
  </si>
  <si>
    <t>110.63 INTEMPERIE</t>
  </si>
  <si>
    <t>160.110</t>
  </si>
  <si>
    <t>160.110 INTEMPERIE</t>
  </si>
  <si>
    <t>CUPLA RED.H3</t>
  </si>
  <si>
    <t>3/8.1/2 F/R METAL(H)</t>
  </si>
  <si>
    <t>1/2.3/8 F/R(H)METAL*</t>
  </si>
  <si>
    <t>3/4.1/2  F/R.MET(H)</t>
  </si>
  <si>
    <t>3/4.3/8  F/R.MET(H)</t>
  </si>
  <si>
    <t>1.3/4  F/R.MET(H)</t>
  </si>
  <si>
    <t>1.1/2  F/R.MET(H)</t>
  </si>
  <si>
    <t>11/4.1    F/R.MET(H)</t>
  </si>
  <si>
    <t>11/4.3/4  F/R.MET(H)</t>
  </si>
  <si>
    <t>11/2.11/4 F/R.MET(H)</t>
  </si>
  <si>
    <t>11/2.1    F/R.MET(H)</t>
  </si>
  <si>
    <t>2.11/2 F/R.MET(H)</t>
  </si>
  <si>
    <t>2.11/4 F/R.MET(H)</t>
  </si>
  <si>
    <t>3.2    F/R.MET(H)</t>
  </si>
  <si>
    <t>3/4.1/2  F/R.MET(M)</t>
  </si>
  <si>
    <t>1.3/4  F/R.MET(M)</t>
  </si>
  <si>
    <t>1.1/2  F/R.MET(M)</t>
  </si>
  <si>
    <t>11/4.  1  F/R.MET(M)</t>
  </si>
  <si>
    <t>11/4.3/4  F/R.MET(M)</t>
  </si>
  <si>
    <t>11/2.11/4 F/R.MET(M)</t>
  </si>
  <si>
    <t>11/2.   1 F/R.MET(M)</t>
  </si>
  <si>
    <t>2.11/2 F/R.MET(M)</t>
  </si>
  <si>
    <t>2.11/4 F/R.MET(M)</t>
  </si>
  <si>
    <t>3.   2 F/R.MET(M)</t>
  </si>
  <si>
    <t>3/8.1/2 F/R MET.(M)</t>
  </si>
  <si>
    <t>CUPLA REDUCC.H3</t>
  </si>
  <si>
    <t>BUJE TRANSICION TERRA AWA</t>
  </si>
  <si>
    <t>110 H x  118 M</t>
  </si>
  <si>
    <t>CUPLA TERRA</t>
  </si>
  <si>
    <t>REDUCCIÓN 160X110 (177X118) MH</t>
  </si>
  <si>
    <t>REDUCCIÓN 200X160 (218X177) MH</t>
  </si>
  <si>
    <t>CORDON ANTIPLAGA 110/118</t>
  </si>
  <si>
    <t>PLUV.CORDON110(118)X.30</t>
  </si>
  <si>
    <t>PLUV.CORDON110(118)X.30 a 45ª</t>
  </si>
  <si>
    <t>REPARACIÓN  110 (H-H)</t>
  </si>
  <si>
    <t>REPARACIÓN 160 (HH)</t>
  </si>
  <si>
    <t>REPARACIÓN (H-H) 200</t>
  </si>
  <si>
    <t>CLAK (H-HC) 110 (118x118)</t>
  </si>
  <si>
    <t>CLAK (H-HC) 160 (177x177)</t>
  </si>
  <si>
    <t>CURVA 87º 30</t>
  </si>
  <si>
    <t>C/BASE M-H 110MM JE</t>
  </si>
  <si>
    <t>CURVA AWA.</t>
  </si>
  <si>
    <t>87°30MH 40"</t>
  </si>
  <si>
    <t>87°30MH 50*</t>
  </si>
  <si>
    <t>45ºMH 50* INTEMPERIE</t>
  </si>
  <si>
    <t>ADHESIVO DUKE</t>
  </si>
  <si>
    <t>P/PVC   50CC</t>
  </si>
  <si>
    <t>P/PVC  100CC</t>
  </si>
  <si>
    <t>P/PVC  250 CC</t>
  </si>
  <si>
    <t>P/PVC  500CC</t>
  </si>
  <si>
    <t>P/PVC 1000CC</t>
  </si>
  <si>
    <t>CURVA CORTA CLO 90º MH</t>
  </si>
  <si>
    <t>CURVA H3 90</t>
  </si>
  <si>
    <t>°  3/8 FF</t>
  </si>
  <si>
    <t>°  1/2 FF*</t>
  </si>
  <si>
    <t>°  3/4 FF*</t>
  </si>
  <si>
    <t>°    1 FF</t>
  </si>
  <si>
    <t>º 1 1/4  FF</t>
  </si>
  <si>
    <t>º 1 1/2  FF</t>
  </si>
  <si>
    <t>º  2  FF</t>
  </si>
  <si>
    <t>TERMOTANQUE LINEA ZAFIRO</t>
  </si>
  <si>
    <t>85LT MULTIGAS (A)</t>
  </si>
  <si>
    <t>120LT MULTIGAS (A)</t>
  </si>
  <si>
    <t>160LT MULTIGAS (A)</t>
  </si>
  <si>
    <t>30L MULTIGAS ALTA RECUPER.(A)</t>
  </si>
  <si>
    <t>50L MULTIGAS ALTA RECUPER.(A)</t>
  </si>
  <si>
    <t>40LT ELECTRICO (A)</t>
  </si>
  <si>
    <t>TERMOTANQUE LINEA FAMILY</t>
  </si>
  <si>
    <t>30LT FAMILY GAS (A)</t>
  </si>
  <si>
    <t>50LT FAMILY GAS (A)</t>
  </si>
  <si>
    <t>85LT FAMILY GAS (A)</t>
  </si>
  <si>
    <t>90LT ELECTRICO ALTA RECUP.(A)</t>
  </si>
  <si>
    <t>120LT ELECTRICO ALTA RECUP.(A)</t>
  </si>
  <si>
    <t>TERMOTANQUE ELECTRICO ARISTON</t>
  </si>
  <si>
    <t>30LT ANDRIS LUX (A)</t>
  </si>
  <si>
    <t>50LT PRO1 R (A)</t>
  </si>
  <si>
    <t>80LT PRO1 R (A)</t>
  </si>
  <si>
    <t>100LT PRO1 R (A)</t>
  </si>
  <si>
    <t>CURVA HID 90º</t>
  </si>
  <si>
    <t>MH 125 REFORZADA</t>
  </si>
  <si>
    <t>MH 140 REFORZADA</t>
  </si>
  <si>
    <t>HH 20 TIGRE</t>
  </si>
  <si>
    <t>HH 25 TIGRE</t>
  </si>
  <si>
    <t>HH 32 TIGRE</t>
  </si>
  <si>
    <t>HH 40 TIGRE</t>
  </si>
  <si>
    <t>HH 50 TIGRE</t>
  </si>
  <si>
    <t>HH 63 TIGRE</t>
  </si>
  <si>
    <t>HH 75 TIGRE</t>
  </si>
  <si>
    <t>HH 90 TIGRE</t>
  </si>
  <si>
    <t>HH 110 TIGRE</t>
  </si>
  <si>
    <t>160 C/ARO DE GOMA</t>
  </si>
  <si>
    <t>TERMOTANQUES SHERMAN</t>
  </si>
  <si>
    <t>MULTIGAS DE PIE 50LTS CS</t>
  </si>
  <si>
    <t>MULTIGAS DE PIE 80LTS CS</t>
  </si>
  <si>
    <t>MULTIGAS DE PIE 120LTS CS</t>
  </si>
  <si>
    <t>ELECTRICO DE PIE 55LTS CS</t>
  </si>
  <si>
    <t>ELECTRICO DE PIE 85LTS CS</t>
  </si>
  <si>
    <t>ELECTRICO DE COLGAR 55LTS CI</t>
  </si>
  <si>
    <t>ELECTRICO DE COLGAR 85LTS CI</t>
  </si>
  <si>
    <t>CURVA LARGA CLO 90º MH</t>
  </si>
  <si>
    <t>CURVA MANUAL</t>
  </si>
  <si>
    <t>LARGA 90º 160 MH</t>
  </si>
  <si>
    <t>45º MH 160</t>
  </si>
  <si>
    <t>3/4.1/2 FF</t>
  </si>
  <si>
    <t>ELECTRICO DE COLGAR 85LTS</t>
  </si>
  <si>
    <t>32 FUSION TIGRE</t>
  </si>
  <si>
    <t>CURVA SOBREPASO INY</t>
  </si>
  <si>
    <t>DEPOSITOS IDEAL</t>
  </si>
  <si>
    <t>VIP CADENA 12LTS (30900)</t>
  </si>
  <si>
    <t>MOCHILA  SUMA 2 TECLAS</t>
  </si>
  <si>
    <t>ULTRA CHATO C/ DESCARGA DUAL</t>
  </si>
  <si>
    <t>CADENA BCO. 12LT(30990)</t>
  </si>
  <si>
    <t>MINGITORIO  4 LTS (31001)</t>
  </si>
  <si>
    <t>MINGITORIO 8 LTS (31002)</t>
  </si>
  <si>
    <t>MINGITORIO 12 LTS</t>
  </si>
  <si>
    <t>CHATO ENT.DERECHA B/PLASTICO</t>
  </si>
  <si>
    <t>CHATO ENT. IZQ B/PLASTICO</t>
  </si>
  <si>
    <t>NORMAL ENT. DERECHA B/PLAST</t>
  </si>
  <si>
    <t>NORMAL ENT. IZQ B/PLAST</t>
  </si>
  <si>
    <t>EMBUTIR MINGITORIO  8 LT</t>
  </si>
  <si>
    <t>EMBUTIR MINGITORIO 12 LT</t>
  </si>
  <si>
    <t>DASH MOCH.12 LTS (31011)</t>
  </si>
  <si>
    <t>MOCHILA LINKETT</t>
  </si>
  <si>
    <t>CADENA DIVA</t>
  </si>
  <si>
    <t>CHATO DER.C/BOTON BRONCE</t>
  </si>
  <si>
    <t>CHATO IZQ.C/BOTON BRONCE.</t>
  </si>
  <si>
    <t>NORMAL DER.C/B.BCE(61022)</t>
  </si>
  <si>
    <t>IZQUIE.C/BOTON BCE</t>
  </si>
  <si>
    <t>DE EMPOTRAR SUMA</t>
  </si>
  <si>
    <t>DE EMBUTIR SUMA2 IDEAL</t>
  </si>
  <si>
    <t>DESBORDE</t>
  </si>
  <si>
    <t>DEP.NORMAL/GIGANTE G.ROJA(1401</t>
  </si>
  <si>
    <t>DEP.MOCHILA  A TIRADOR  (1554)</t>
  </si>
  <si>
    <t>C/GOMA. D. CADENA PLAST.(1407)</t>
  </si>
  <si>
    <t>C/ GOMA D.CHATO GIGANTE(1403)</t>
  </si>
  <si>
    <t>DILATADOR TIGRE</t>
  </si>
  <si>
    <t>CLO 110 RAMAT</t>
  </si>
  <si>
    <t>TERMOTANQUE RHEEM</t>
  </si>
  <si>
    <t>GAS ALTA POTENCIA 160LTS GN</t>
  </si>
  <si>
    <t>GAS ALTA POTENCIA 160LTS GE</t>
  </si>
  <si>
    <t>ELECT. COMERCIAL 255LTS</t>
  </si>
  <si>
    <t>GAS COMERCIAL 250LTS GN</t>
  </si>
  <si>
    <t>GAS COMERCIAL 250LTS GL</t>
  </si>
  <si>
    <t>GAS COMERCIAL 300LTS GN</t>
  </si>
  <si>
    <t>GAS COMERCIAL 300LTS GL</t>
  </si>
  <si>
    <t>GAS DE PIE 80LTS</t>
  </si>
  <si>
    <t>GAS DE PIE 120LTS</t>
  </si>
  <si>
    <t>GAS DE PIE 150LTS</t>
  </si>
  <si>
    <t>ELECTRICO DE PIE 85LTS</t>
  </si>
  <si>
    <t>ELECTRICO DE PIE 125LTS</t>
  </si>
  <si>
    <t>ELECTRICO DE PIE 155LTS</t>
  </si>
  <si>
    <t>GAS DE COLGAR 80LTS</t>
  </si>
  <si>
    <t>ELECTRICO DE COLGAR 125LTS</t>
  </si>
  <si>
    <t>GAS FUNCT.PIE 80LTS BLANCO CS</t>
  </si>
  <si>
    <t>GAS FUNCT.PIE 120LTS BLANCO CS</t>
  </si>
  <si>
    <t>GAS FUNCT.PIE 150LTS BLANCO CS</t>
  </si>
  <si>
    <t>ELEC.FUNCT.PIE 125LTS BLANCOCS</t>
  </si>
  <si>
    <t>DISCO ANTIFILTRACIONES AWA.</t>
  </si>
  <si>
    <t>110 AC. INOX.</t>
  </si>
  <si>
    <t>HEMBRA 40</t>
  </si>
  <si>
    <t>HEMBRA 50</t>
  </si>
  <si>
    <t>HEMBRA 63</t>
  </si>
  <si>
    <t>HEMBRA 110</t>
  </si>
  <si>
    <t>DISCOS C/ MEMBRANA</t>
  </si>
  <si>
    <t>EMBUDO DISCO 63</t>
  </si>
  <si>
    <t>CON MEMBRANA 110</t>
  </si>
  <si>
    <t>DISCO 110 ACAN.</t>
  </si>
  <si>
    <t>DISCO 160</t>
  </si>
  <si>
    <t>EMBUDO</t>
  </si>
  <si>
    <t>CENTRAL CLO 63 REJ.PVC RAMAT</t>
  </si>
  <si>
    <t>CENTRAL CLO 110 REJ.PVC RAMAT</t>
  </si>
  <si>
    <t>FRONTAL CLO 63 REJ.PVC RAMAT</t>
  </si>
  <si>
    <t>FRONTAL CLO110 REJ.PVC RAMAT</t>
  </si>
  <si>
    <t>HORIZ.CLO 110 REJ.PVC RAMAT</t>
  </si>
  <si>
    <t>HORIZ.CLO  63 REJ.PVC RAMAT</t>
  </si>
  <si>
    <t>EMBUDO BAJADA</t>
  </si>
  <si>
    <t>DERECHO CAN.TIGRE-STYLE</t>
  </si>
  <si>
    <t>IZQUIERDO CAN.TIGRE-STYLE</t>
  </si>
  <si>
    <t>EMBUDO 1.8</t>
  </si>
  <si>
    <t>CENTRAL PVC 60</t>
  </si>
  <si>
    <t>CENTRAL PVC 100</t>
  </si>
  <si>
    <t>FRONTAL PVC  60</t>
  </si>
  <si>
    <t>FRONTAL PVC 100</t>
  </si>
  <si>
    <t>LATERAL 130MM BAJO CAUDAL</t>
  </si>
  <si>
    <t>LATERAL 130MM ALTO CAUDAL</t>
  </si>
  <si>
    <t>LATERAL 200 SAL.110 ALT. CAU.</t>
  </si>
  <si>
    <t>200MM C/SAL 110 ALTO CAUDAL</t>
  </si>
  <si>
    <t>UNION CANALETA</t>
  </si>
  <si>
    <t>TIGRE-STYLE</t>
  </si>
  <si>
    <t>ESPIGA ROSCA</t>
  </si>
  <si>
    <t xml:space="preserve"> HEMBRA 1/2 PLT</t>
  </si>
  <si>
    <t xml:space="preserve"> HEMBRA 3/4  PLT</t>
  </si>
  <si>
    <t xml:space="preserve"> HEMBRA 1  PLT</t>
  </si>
  <si>
    <t xml:space="preserve"> HEMBRA 11/4  PLT</t>
  </si>
  <si>
    <t xml:space="preserve"> HEMBRA 11/2  PLT</t>
  </si>
  <si>
    <t xml:space="preserve"> HEMBRA 2 PLT</t>
  </si>
  <si>
    <t>ROSCA MACHO 1/2  PLT</t>
  </si>
  <si>
    <t>ROSCA MACHO  3/4  PLT</t>
  </si>
  <si>
    <t xml:space="preserve"> ROSCA MACHO     1 PLT</t>
  </si>
  <si>
    <t xml:space="preserve"> ROSCA MACHO 11/4 PLT</t>
  </si>
  <si>
    <t xml:space="preserve"> ROSCA MACHO 11/2 PLT</t>
  </si>
  <si>
    <t>ROSCA MACHO    2 PLT</t>
  </si>
  <si>
    <t xml:space="preserve"> ROSCA MACHO 21/2 PLT</t>
  </si>
  <si>
    <t>ESPIGA CODO</t>
  </si>
  <si>
    <t>1/2 RH  1/2 PLT</t>
  </si>
  <si>
    <t>3/4 RH  3/4 PLT</t>
  </si>
  <si>
    <t>1 RH    1 PLT</t>
  </si>
  <si>
    <t>11/4 RH 11/4 PLT</t>
  </si>
  <si>
    <t>11/2 RH 11/2 PLT</t>
  </si>
  <si>
    <t>2 RH    2 PLT</t>
  </si>
  <si>
    <t>ESPIGA CODO DOBLE</t>
  </si>
  <si>
    <t>1/2 PLT</t>
  </si>
  <si>
    <t>3/4 PLT</t>
  </si>
  <si>
    <t>1 PLT</t>
  </si>
  <si>
    <t>11/4 PLT</t>
  </si>
  <si>
    <t>11/2 PLT</t>
  </si>
  <si>
    <t>2 PLT</t>
  </si>
  <si>
    <t>ESPIGA CONICA</t>
  </si>
  <si>
    <t>1/2 PLT IPS</t>
  </si>
  <si>
    <t>3/4 PLT IPS</t>
  </si>
  <si>
    <t>ESPIGA DOBLE</t>
  </si>
  <si>
    <t>21/2 PLT</t>
  </si>
  <si>
    <t>ESPIGA TE</t>
  </si>
  <si>
    <t>1/2 RH CENTRAL 1/2 PLT</t>
  </si>
  <si>
    <t>3/4 RH CENTRAL  3/4PLT</t>
  </si>
  <si>
    <t>1 RH CENTRAL    1PLT</t>
  </si>
  <si>
    <t>11/4 RH CENTRAL 11/4PLT</t>
  </si>
  <si>
    <t>11/2 RH CENTRAL 11/2PLT</t>
  </si>
  <si>
    <t>2 RH CENTRAL    2PLT</t>
  </si>
  <si>
    <t>ESPIGA TRIPLE TE</t>
  </si>
  <si>
    <t>ESQUINERO</t>
  </si>
  <si>
    <t>INTERNO P/CAN.TIGRE 125MM</t>
  </si>
  <si>
    <t>EXTERNO P/CAN.TIGRE 125MM</t>
  </si>
  <si>
    <t>INTERNO CAN.TIGRE-STYLE</t>
  </si>
  <si>
    <t>EXTERNO CAN.TIGRE-STYLE</t>
  </si>
  <si>
    <t>EXTENS.FLEX.</t>
  </si>
  <si>
    <t>AJUSTABLE 40-50.40mm</t>
  </si>
  <si>
    <t>ROSCAB.40-50/11/4</t>
  </si>
  <si>
    <t>AJUSTABLE 40-50.  50mm</t>
  </si>
  <si>
    <t>ROSCAB. 40-50/ 11/2</t>
  </si>
  <si>
    <t>1/2.20CM M.GIRATORIO</t>
  </si>
  <si>
    <t>1/2.25CM M.GIRATORIO</t>
  </si>
  <si>
    <t>1/2.30CM M.GIRATORIO</t>
  </si>
  <si>
    <t>1/2.35CM M.GIRATORIO</t>
  </si>
  <si>
    <t>1/2.40CM M.GIRATORIO</t>
  </si>
  <si>
    <t>1/2.50CM M.GIRATORIO</t>
  </si>
  <si>
    <t>1/2.60CM M.GIRATORIO</t>
  </si>
  <si>
    <t>FLEXIBLE ACERO MALL. RAO</t>
  </si>
  <si>
    <t>1/2.15CM</t>
  </si>
  <si>
    <t>1/2.20CM</t>
  </si>
  <si>
    <t>1/2.25CM</t>
  </si>
  <si>
    <t>1/2.30CM</t>
  </si>
  <si>
    <t>1/2.35CM</t>
  </si>
  <si>
    <t>1/2.40CM</t>
  </si>
  <si>
    <t>1/2.50CM</t>
  </si>
  <si>
    <t>1/2.60CM</t>
  </si>
  <si>
    <t>3/4.20CM</t>
  </si>
  <si>
    <t>3/4.25CM</t>
  </si>
  <si>
    <t>3/4.30CM</t>
  </si>
  <si>
    <t>3/4.35CM</t>
  </si>
  <si>
    <t>3/4.40CM</t>
  </si>
  <si>
    <t>3/4.50CM</t>
  </si>
  <si>
    <t>CODO TERRA-AWAD.</t>
  </si>
  <si>
    <t>110 MM 87º30</t>
  </si>
  <si>
    <t>ASIENTO INOD.</t>
  </si>
  <si>
    <t>BLANDO P/CHICO</t>
  </si>
  <si>
    <t>CHICO IDEAL PPN/GOMA (1460)</t>
  </si>
  <si>
    <t>GDE. IDEAL PPN/GOMA (1461)</t>
  </si>
  <si>
    <t>IDEAL SUMA C/AMORT</t>
  </si>
  <si>
    <t>CONTROL AUTOMATICO NIVEL</t>
  </si>
  <si>
    <t>CONTROL AUTOM.DE NIVEL 2 MTS</t>
  </si>
  <si>
    <t>CONTROL AUTOM.DE NIVEL 3 MTS</t>
  </si>
  <si>
    <t>CONTROL AUTOM.DE NIVEL 5 MTS</t>
  </si>
  <si>
    <t>CONTROL AUTOM.DE NIVEL 10 MTS</t>
  </si>
  <si>
    <t>DESAGUE LINEAL DUCHABALCON 650</t>
  </si>
  <si>
    <t>SALIDA 40 BLANCA</t>
  </si>
  <si>
    <t>COLECTOR 650 + PROTECTOR OBRA</t>
  </si>
  <si>
    <t>MARCO INOX. C/P.+REJ.INOX.LISA</t>
  </si>
  <si>
    <t>MARCO INOX.C/P+REJ.INOX.BASTON</t>
  </si>
  <si>
    <t>MARCO INOX.C/P.+REJ.INOX.CUADR</t>
  </si>
  <si>
    <t>SALIDA 40 GRIS</t>
  </si>
  <si>
    <t>MARCO PP C/P+RE.PP BLANCA LISA</t>
  </si>
  <si>
    <t>MARCO PP C/P+RE.PP BLANCA BAST</t>
  </si>
  <si>
    <t>MARCO PP C/P+REJ.PP GRIS LISA</t>
  </si>
  <si>
    <t>MARCO PP C/P+RE.PP GRIS BASTON</t>
  </si>
  <si>
    <t>DESAGUE LINEAL</t>
  </si>
  <si>
    <t>70 CM PLENO/REVESTIR</t>
  </si>
  <si>
    <t>70 CM PARALELA</t>
  </si>
  <si>
    <t>70 CM CIRCULO</t>
  </si>
  <si>
    <t>70 CM BURBUJA</t>
  </si>
  <si>
    <t>70 CM FLOR</t>
  </si>
  <si>
    <t>70 CM DELGADO</t>
  </si>
  <si>
    <t>GRAMPA FIJA/DESLIZ.</t>
  </si>
  <si>
    <t>40-50-63 RAPICLAK</t>
  </si>
  <si>
    <t>160 RAPICLACK</t>
  </si>
  <si>
    <t>110 RAPICLACK</t>
  </si>
  <si>
    <t>VARILLA 3/16</t>
  </si>
  <si>
    <t>VARILLA 1/4</t>
  </si>
  <si>
    <t>TUERCA 3/16</t>
  </si>
  <si>
    <t>TUERCA 1/4</t>
  </si>
  <si>
    <t>ARANDELA 3/16</t>
  </si>
  <si>
    <t>ARANDELA 1/4</t>
  </si>
  <si>
    <t>BROCA 3/16</t>
  </si>
  <si>
    <t>BROCA 1/4</t>
  </si>
  <si>
    <t>40-50-63 RAPICLAK INTEMPERIE</t>
  </si>
  <si>
    <t>1/2 ACC.HORIZONTAL C/RESINA</t>
  </si>
  <si>
    <t>3/4 ACC.HORIZONTAL C/RESINA</t>
  </si>
  <si>
    <t>REJILLAS PLAST. DUKE</t>
  </si>
  <si>
    <t>REJILLA 12X12  BCA. C/ FILTRO</t>
  </si>
  <si>
    <t>REJILLA 20X20 NEGRA CON MARCO</t>
  </si>
  <si>
    <t>LAVATORIO CROMO</t>
  </si>
  <si>
    <t>BIDET CROMO</t>
  </si>
  <si>
    <t>ACOPLE</t>
  </si>
  <si>
    <t>COMPRESION  1/2 PROFESIONAL</t>
  </si>
  <si>
    <t>COMPRESION  3/4 PROFESIONAL</t>
  </si>
  <si>
    <t>COMPRESION  1/2</t>
  </si>
  <si>
    <t>COMPRESION  3/4</t>
  </si>
  <si>
    <t>COMPRESION   1</t>
  </si>
  <si>
    <t>COMPRESION 11/4</t>
  </si>
  <si>
    <t>COMPRESION 11/2</t>
  </si>
  <si>
    <t>COMPRESION  2</t>
  </si>
  <si>
    <t>COMPRESION 3</t>
  </si>
  <si>
    <t>COMPRESION  4</t>
  </si>
  <si>
    <t>LAVATORIO</t>
  </si>
  <si>
    <t>BIDET</t>
  </si>
  <si>
    <t>REJILLA DESAGUE LINEAL</t>
  </si>
  <si>
    <t>35CM PE BLANCO</t>
  </si>
  <si>
    <t>45CM PE BLANCO</t>
  </si>
  <si>
    <t>50CM PE BLANCO</t>
  </si>
  <si>
    <t>50CM ACERO INOX.</t>
  </si>
  <si>
    <t>70CM ACERO INOX.</t>
  </si>
  <si>
    <t>90CM ACERO INOX.</t>
  </si>
  <si>
    <t>MODULO DESAGUE LINEAL</t>
  </si>
  <si>
    <t>50CM PVC BLANCO</t>
  </si>
  <si>
    <t>70CM PVC BLANCO</t>
  </si>
  <si>
    <t>90CM PVC BLANCO</t>
  </si>
  <si>
    <t>50CM PVC GRIS</t>
  </si>
  <si>
    <t>70CM PVC GRIS</t>
  </si>
  <si>
    <t>90CM PVC GRIS</t>
  </si>
  <si>
    <t>GRIFERIA COCINA</t>
  </si>
  <si>
    <t>INSERTO H3</t>
  </si>
  <si>
    <t>RED.H3 1/2.3/8 F/R.MET(H)</t>
  </si>
  <si>
    <t>1/2 F/R.METAL(M)</t>
  </si>
  <si>
    <t>11/2 F/R.METAL(M)</t>
  </si>
  <si>
    <t>H3 1/2 C/CAMPANA FF**</t>
  </si>
  <si>
    <t>H3 3/4 C/CAMPANA FF**</t>
  </si>
  <si>
    <t>H3   1 C/CAMPANA FF</t>
  </si>
  <si>
    <t>H3 3/8 CAMPANA FF</t>
  </si>
  <si>
    <t>H3 3/8 BLANCO LOZA</t>
  </si>
  <si>
    <t>1/2 PASO TOTAL</t>
  </si>
  <si>
    <t>3/4 PASO TOTAL</t>
  </si>
  <si>
    <t>1 PASO TOTAL</t>
  </si>
  <si>
    <t>MANGUITO MACHO</t>
  </si>
  <si>
    <t>BR/SD 50.11/4 TIGRE</t>
  </si>
  <si>
    <t>SD/BR 63. 2</t>
  </si>
  <si>
    <t>SD/BR 20. 1/2</t>
  </si>
  <si>
    <t>SD/BR 25. 3/4</t>
  </si>
  <si>
    <t>SD/BR 40.11/2 TIGRE</t>
  </si>
  <si>
    <t>SD/BR 50.   2 TIGRE</t>
  </si>
  <si>
    <t>SD/BR 63.21/2 TIGRE</t>
  </si>
  <si>
    <t>SD/BR 75.   3 TIGRE</t>
  </si>
  <si>
    <t>SD/BR 90.  3</t>
  </si>
  <si>
    <t>SD/BR 110.   4</t>
  </si>
  <si>
    <t>SD/BR 75 X 21/2</t>
  </si>
  <si>
    <t>MANGUITO REPAR.AWAD.</t>
  </si>
  <si>
    <t>HH 40*</t>
  </si>
  <si>
    <t>HH 50</t>
  </si>
  <si>
    <t>HH 63*</t>
  </si>
  <si>
    <t>HH 110**</t>
  </si>
  <si>
    <t>HHC. Ø40</t>
  </si>
  <si>
    <t>HHC. Ø50</t>
  </si>
  <si>
    <t>HHC. Ø63</t>
  </si>
  <si>
    <t>HH 110 HHC</t>
  </si>
  <si>
    <t>HH 32"</t>
  </si>
  <si>
    <t>HH 40 ITEMPERIE</t>
  </si>
  <si>
    <t>HH 50 INTEMPERIE</t>
  </si>
  <si>
    <t>HH 63 INTEMPERIE</t>
  </si>
  <si>
    <t>HH 110 INTEMPERIE</t>
  </si>
  <si>
    <t>HH 160C/TOPE</t>
  </si>
  <si>
    <t>HH 160</t>
  </si>
  <si>
    <t>HH 160 INTEMPERIE</t>
  </si>
  <si>
    <t>MONTURA DERV.</t>
  </si>
  <si>
    <t>63x25 FUSION TIGRE</t>
  </si>
  <si>
    <t>75x25 FUSION TIGRE</t>
  </si>
  <si>
    <t>90x25 FUSION TIGRE</t>
  </si>
  <si>
    <t>75x32 FUSION TIGRE</t>
  </si>
  <si>
    <t>63x32 FUSION TIGRE</t>
  </si>
  <si>
    <t>90x32 FUSION TIGRE</t>
  </si>
  <si>
    <t>110X25 FUSION TIGRE</t>
  </si>
  <si>
    <t>KIT CANALETA</t>
  </si>
  <si>
    <t>100MM X100CM BLANCO PISO</t>
  </si>
  <si>
    <t>130MM X50CM GRIS PISO</t>
  </si>
  <si>
    <t>130MM X50CM GRIS PISO 3 T</t>
  </si>
  <si>
    <t>PISO 130.75 BAJO CAUDAL</t>
  </si>
  <si>
    <t>200.148 ALTO CAUDAL</t>
  </si>
  <si>
    <t>NIPLE PPN</t>
  </si>
  <si>
    <t>10CM. 21/2</t>
  </si>
  <si>
    <t>10 CM. 3</t>
  </si>
  <si>
    <t>10CM. 4</t>
  </si>
  <si>
    <t>12CM. 1/2</t>
  </si>
  <si>
    <t>12CM. 3/4</t>
  </si>
  <si>
    <t>12CM.   1 *</t>
  </si>
  <si>
    <t>12CM.11/4</t>
  </si>
  <si>
    <t>12CM.11/2</t>
  </si>
  <si>
    <t>12CM.   2</t>
  </si>
  <si>
    <t>12CM. 21/2</t>
  </si>
  <si>
    <t>12CM. 3</t>
  </si>
  <si>
    <t>12CM. 4</t>
  </si>
  <si>
    <t>15CM. 21/2</t>
  </si>
  <si>
    <t>15CM. 3</t>
  </si>
  <si>
    <t>15CM. 4</t>
  </si>
  <si>
    <t>20CM. 1/2 *</t>
  </si>
  <si>
    <t>20CM. 3/4 *</t>
  </si>
  <si>
    <t>20CM.   1  *</t>
  </si>
  <si>
    <t>20CM.11/4 *</t>
  </si>
  <si>
    <t>20CM.11/2 *</t>
  </si>
  <si>
    <t>20CM.   2 *</t>
  </si>
  <si>
    <t>20CM. 21/2 *</t>
  </si>
  <si>
    <t>20CM. 3 *</t>
  </si>
  <si>
    <t>20CM. 4 *</t>
  </si>
  <si>
    <t>25CM. 1/2 *</t>
  </si>
  <si>
    <t>25CM. 3/4 *</t>
  </si>
  <si>
    <t>25CM.   1 *</t>
  </si>
  <si>
    <t>25CM.11/4 *</t>
  </si>
  <si>
    <t>25CM.11/2 *</t>
  </si>
  <si>
    <t>25CM.2    *</t>
  </si>
  <si>
    <t>25CM. 21/2 *</t>
  </si>
  <si>
    <t>25CM. 3 *</t>
  </si>
  <si>
    <t>25CM. 4 *</t>
  </si>
  <si>
    <t>30CM. 1/2 *</t>
  </si>
  <si>
    <t>30CM. 3/4 *</t>
  </si>
  <si>
    <t>30CM.   1 *</t>
  </si>
  <si>
    <t>30CM.11/4 *</t>
  </si>
  <si>
    <t>30CM.11/2 *</t>
  </si>
  <si>
    <t>30CM.   2 *</t>
  </si>
  <si>
    <t>30CM. 2 1/2 *</t>
  </si>
  <si>
    <t>30CM. 3 *</t>
  </si>
  <si>
    <t>30CM. 4 *</t>
  </si>
  <si>
    <t>40CM. 1/2 *</t>
  </si>
  <si>
    <t>40CM. 3/4 *</t>
  </si>
  <si>
    <t>40CM.   1 *</t>
  </si>
  <si>
    <t>40CM.11/4 *</t>
  </si>
  <si>
    <t>40CM.11/2 *</t>
  </si>
  <si>
    <t>40CM.  2 *</t>
  </si>
  <si>
    <t>40CM. 21/2 *</t>
  </si>
  <si>
    <t>40CM. 3 *</t>
  </si>
  <si>
    <t>40 CM. 4 *</t>
  </si>
  <si>
    <t>50CM. 1/2 *</t>
  </si>
  <si>
    <t>50CM. 3/4 *</t>
  </si>
  <si>
    <t>50CM.   1 *</t>
  </si>
  <si>
    <t>50CM.11/4 *</t>
  </si>
  <si>
    <t>50CM.11/2 *</t>
  </si>
  <si>
    <t>50CM.   2 *</t>
  </si>
  <si>
    <t>50CM. 21/2</t>
  </si>
  <si>
    <t>50CM. 3</t>
  </si>
  <si>
    <t>50CM. 4</t>
  </si>
  <si>
    <t>ORING</t>
  </si>
  <si>
    <t>AWADUCT DOBLE LABIO  32</t>
  </si>
  <si>
    <t>AWADUCT DOBLE LABIO  40</t>
  </si>
  <si>
    <t>AWADUCT DOBLE LABIO  50</t>
  </si>
  <si>
    <t>AWADUCT DOBLE LABIO  63</t>
  </si>
  <si>
    <t>AWADUCT DOBLE LABIO  110</t>
  </si>
  <si>
    <t>AWADUCT DOBLE LABIO  160</t>
  </si>
  <si>
    <t>AWADUCT DOBLE LABIO  75</t>
  </si>
  <si>
    <t>105 ACAN.BOCA ACC./PIL.PAT.</t>
  </si>
  <si>
    <t>PASTA SELLADORA</t>
  </si>
  <si>
    <t>HIDRO3  25CM3*</t>
  </si>
  <si>
    <t>HIDRO3  50CM3*</t>
  </si>
  <si>
    <t>HIDRO3.125CM3**</t>
  </si>
  <si>
    <t>GAS HIDRO3.125CM3</t>
  </si>
  <si>
    <t>PERFIL BORDE</t>
  </si>
  <si>
    <t>P/ REJILLA TIGRE</t>
  </si>
  <si>
    <t>PERILLA</t>
  </si>
  <si>
    <t>TIRADOR  DEP.MOCHILA    (1551)</t>
  </si>
  <si>
    <t>PILETA BALCON</t>
  </si>
  <si>
    <t>AWADUCT 50 M</t>
  </si>
  <si>
    <t>AWADUCT 63</t>
  </si>
  <si>
    <t>PILETA PATIO AWAD.</t>
  </si>
  <si>
    <t>LOSA 5 ENT C/SIF DES 50x110/63</t>
  </si>
  <si>
    <t>POLIANG.+ REJILLA 4001</t>
  </si>
  <si>
    <t>POLIANG.AWADUCT 7 ENTRAD**</t>
  </si>
  <si>
    <t>4E 40x63 AWADUCT C/SIF.DESM*</t>
  </si>
  <si>
    <t>3E 40 AWADUCT C/SIF.DESM**</t>
  </si>
  <si>
    <t>4E 50x63 AWADUCT C/SIF.DESM.</t>
  </si>
  <si>
    <t>LOSA 5 ENT C/SIF DES 40x110/63</t>
  </si>
  <si>
    <t>4E 40x75 AWADUCT C/SIF.DES</t>
  </si>
  <si>
    <t>4E 50x75 AWADUCT C/SIF.DES</t>
  </si>
  <si>
    <t>CONECTOR POLIANGULAR 63MH</t>
  </si>
  <si>
    <t>LOSA ACANALADA 5E 50/63X110</t>
  </si>
  <si>
    <t>LOSA ACANALADA 5E 40X110</t>
  </si>
  <si>
    <t>LOSA  50x110/63 INTEMPERIE</t>
  </si>
  <si>
    <t>POL.C/SIF. DESM. 40X63 INTEMPE</t>
  </si>
  <si>
    <t>LOSA 5 ENT.SIF. 40x110/63 INT</t>
  </si>
  <si>
    <t>160.110 3 SAL. C/SIFON</t>
  </si>
  <si>
    <t>160.110 3 ENT. C/ORING Y SIFON</t>
  </si>
  <si>
    <t xml:space="preserve"> OCTOG.110.160 C/S</t>
  </si>
  <si>
    <t>160 C/SIFON DESM. 3 ENT 63</t>
  </si>
  <si>
    <t>BOCA.ACC Y PIL PAT. 3E EX CHAT</t>
  </si>
  <si>
    <t>40 x 63 C/Sifón desm.</t>
  </si>
  <si>
    <t>63 X 110</t>
  </si>
  <si>
    <t>GRIFERIA NERON</t>
  </si>
  <si>
    <t>BAÑERA C/TRANSF.CROMO</t>
  </si>
  <si>
    <t>DUCHA 2 LLAVES CROMO</t>
  </si>
  <si>
    <t>GRIFERIA ZEUS</t>
  </si>
  <si>
    <t>PORTA.ACANAL.AWADUCT</t>
  </si>
  <si>
    <t>R.AC.12.12/105</t>
  </si>
  <si>
    <t>R.AC.15.15/105</t>
  </si>
  <si>
    <t>CIEGA12.12/105</t>
  </si>
  <si>
    <t>CIEGA15.15/105</t>
  </si>
  <si>
    <t>R.AC.INOX 8.8/59</t>
  </si>
  <si>
    <t>R.AC.8.8 36Ø</t>
  </si>
  <si>
    <t>R.AC.8.8  46Ø</t>
  </si>
  <si>
    <t>REPUESTOS ESTALGRIF</t>
  </si>
  <si>
    <t>CABEZAL 1/2 PLAST. C/CORTO CV</t>
  </si>
  <si>
    <t>TRANSFERENCIA CORTA BIDET CV</t>
  </si>
  <si>
    <t>TRANSFERENCIA CORTA BAÑERA CV</t>
  </si>
  <si>
    <t>CABEZAL BCE.CER.DER.LARGO</t>
  </si>
  <si>
    <t>CABEZAL BCE.CER.IZQ.LARGO</t>
  </si>
  <si>
    <t>CABEZAL BCE.CER.DER.INTERMEDIO</t>
  </si>
  <si>
    <t>CABEZAL BCE.CER.IZQ.INTERMEDIO</t>
  </si>
  <si>
    <t>CABEZAL BCE.CER.DER.CORTO</t>
  </si>
  <si>
    <t>CABEZAL BCE.CER.IZQ.CORTO</t>
  </si>
  <si>
    <t>CABEZAL BCE.COMUN LARGO</t>
  </si>
  <si>
    <t>CABEZAL POLIM.COMUN INTER.</t>
  </si>
  <si>
    <t>TRANSF.BCE.BAÑERA INTERM.</t>
  </si>
  <si>
    <t>TRANSF.BCE.BIDET INTERMEDIO</t>
  </si>
  <si>
    <t>TRANSF.POLIM.BAÑERA INTERMEDIA</t>
  </si>
  <si>
    <t>TRANSF.POLIM.BIDET INTERMEDIA</t>
  </si>
  <si>
    <t>TRANSF.POLIM.BAÑERA LARGA</t>
  </si>
  <si>
    <t>TRANSF.POLIM.BIDET LARGA</t>
  </si>
  <si>
    <t>CAMPANA BARIGRIF</t>
  </si>
  <si>
    <t>PRENSA CAMPANA BARIGRIF</t>
  </si>
  <si>
    <t>CABEZAL CER.DER.LAR. CC</t>
  </si>
  <si>
    <t>CABEZAL CER.IZQ.LAR. CC</t>
  </si>
  <si>
    <t>FLOR DUCHA 15CM.CAÑO REDONDO R</t>
  </si>
  <si>
    <t>TRANF. PLAST.LAR.BIDET CC</t>
  </si>
  <si>
    <t>TRANF. PLAST.LAR.BAÑERA CC</t>
  </si>
  <si>
    <t>CARTUCHO 40S/DIST. MONOC.RALPH</t>
  </si>
  <si>
    <t>CAMPANA GRIFERIA ZEUS</t>
  </si>
  <si>
    <t>ADAPTADOR AWAD.</t>
  </si>
  <si>
    <t>EXCEN.P/INODORO 110 AWA</t>
  </si>
  <si>
    <t>EXC.INOD.105 ACANALADO AWA</t>
  </si>
  <si>
    <t>VAL.INODORO AWADUCT M 38.40</t>
  </si>
  <si>
    <t>CONCEN. P/ INODORO 110 MACHO</t>
  </si>
  <si>
    <t>CONCENTRICO 105 ACANALADO</t>
  </si>
  <si>
    <t>CONCENTRICO A CODO P/INODORO</t>
  </si>
  <si>
    <t>DESC.AIRE ACOND.32HX3/4 ROSCA</t>
  </si>
  <si>
    <t>DESC.AIRE.ACOND.32H X 1" ROSCA</t>
  </si>
  <si>
    <t>SUPER EXCENT.AWAD.110 M</t>
  </si>
  <si>
    <t>SUPER EXCEN.AWAD 105 ACANAL</t>
  </si>
  <si>
    <t>DESC.AIRE.ACOND. 32Mx3/4 / 1/2</t>
  </si>
  <si>
    <t>DESC.AIRE ACOND.40X3/4 AWA</t>
  </si>
  <si>
    <t>DESC.AIRE.ACOND. 40X1 AWA</t>
  </si>
  <si>
    <t>DESCARGA  40x3/4 FUSION</t>
  </si>
  <si>
    <t>PILETA DESC.AIRE AC.32Hx3/4ROS</t>
  </si>
  <si>
    <t>PILETA H.F. 110</t>
  </si>
  <si>
    <t>AWADUCT P/INODORO 110</t>
  </si>
  <si>
    <t>PORTAREJILLA TIGRE</t>
  </si>
  <si>
    <t>40x100 C/REJ PLAST.JE</t>
  </si>
  <si>
    <t>63x100 C/REJ PLAST.JE</t>
  </si>
  <si>
    <t>110x100C/REJ PLAST.JE</t>
  </si>
  <si>
    <t>110x150C/REJ PLAST.JE</t>
  </si>
  <si>
    <t>40x100 C/REJ INOX. JE</t>
  </si>
  <si>
    <t>63x110 C/ REJ INOX. JE</t>
  </si>
  <si>
    <t>110x100 C/REJ INOX. JE</t>
  </si>
  <si>
    <t>110x150 C/REJ INOX.JE</t>
  </si>
  <si>
    <t>110 12X12 REJA INOX</t>
  </si>
  <si>
    <t>110 12X12 CT TAPA INOX</t>
  </si>
  <si>
    <t>GRIFERIA ZEUS ADVANCE</t>
  </si>
  <si>
    <t>LAVATORIO CIERRE CONVENCIONAL</t>
  </si>
  <si>
    <t>BIDET CIERRE CONVENCIONAL</t>
  </si>
  <si>
    <t>BAÑERA CON TRANSFERENCIA CONV.</t>
  </si>
  <si>
    <t>PORTAREJILLA AWADUCT</t>
  </si>
  <si>
    <t>REJ.A.INOX12.12/110**</t>
  </si>
  <si>
    <t>REJ.A.INOX15.15/110</t>
  </si>
  <si>
    <t>CIEGA.INOX12.12/110*</t>
  </si>
  <si>
    <t>CIEGA.INOX15.15/110</t>
  </si>
  <si>
    <t>REJ.A.INOX20.20/160**</t>
  </si>
  <si>
    <t>CIEGA.A.INOX20.20/160</t>
  </si>
  <si>
    <t>GRIFERIA NERON ADVANCE</t>
  </si>
  <si>
    <t>GRIFERIA THUNDER</t>
  </si>
  <si>
    <t>LAVATORIO LEVER CROMO</t>
  </si>
  <si>
    <t>BIDET LEVER CROMO</t>
  </si>
  <si>
    <t>BAÑERA C/TRANF. LEVER CROMO</t>
  </si>
  <si>
    <t>DUCHA 2 LLAVES LEVER CROMO</t>
  </si>
  <si>
    <t>BAÑERA EXTERIOR LEVER CROMO</t>
  </si>
  <si>
    <t>LAVATORIO PARED LEVER CROMO</t>
  </si>
  <si>
    <t>LAVATORIO CRUZ CROMO</t>
  </si>
  <si>
    <t>BIDET CRUZ CROMO</t>
  </si>
  <si>
    <t>BAÑERA C/TRANSF. CRUZ CROMO</t>
  </si>
  <si>
    <t>DUCHA 2 LLAVES CRUZ CROMO</t>
  </si>
  <si>
    <t>BAÑERA EXTERIOR CRUZ CROMO</t>
  </si>
  <si>
    <t>LAVATORIO PARED CRUZ CROMO</t>
  </si>
  <si>
    <t>GRIFERIA THUNDER ADVANCE</t>
  </si>
  <si>
    <t>LAVATORIO LEVER CC</t>
  </si>
  <si>
    <t>BIDET LEVER CIERRE CERAMICO</t>
  </si>
  <si>
    <t>BAÑERA LEVER  C/TRANSF. CC</t>
  </si>
  <si>
    <t>LAVATORIO CRUZ CC</t>
  </si>
  <si>
    <t>BIDET CRUZ CC</t>
  </si>
  <si>
    <t>BAÑERA C/TRANSF. CRUZ CC</t>
  </si>
  <si>
    <t>PORTAREJILLA BRONCE</t>
  </si>
  <si>
    <t>R.BCE.PULIDO 20x20/160</t>
  </si>
  <si>
    <t>R.BCE.PULIDO 20x20/160 CIEGA</t>
  </si>
  <si>
    <t>GRIFERIA ARONA</t>
  </si>
  <si>
    <t>MONOCOMANDO LAVATORIO BAJO</t>
  </si>
  <si>
    <t>MONOCOMANDO BIDET</t>
  </si>
  <si>
    <t>MONOCOM. BAÑERA C/TRANSF. EMB</t>
  </si>
  <si>
    <t>MONOCOMANDO LAVATORIO PARED</t>
  </si>
  <si>
    <t>MONOCOMANDO LAVATORIO ALTO</t>
  </si>
  <si>
    <t>PORTA REJA TIGRE</t>
  </si>
  <si>
    <t>10.10/110 R.CIEGA RAMAT</t>
  </si>
  <si>
    <t>10.10/100 RAMAT</t>
  </si>
  <si>
    <t>LINEA BLACK</t>
  </si>
  <si>
    <t>LAVAT. BAJO ARONA</t>
  </si>
  <si>
    <t>LAVAT. ALTO ARONA</t>
  </si>
  <si>
    <t>BIDET ARONA</t>
  </si>
  <si>
    <t>BAÑERA C/TRANSF. ARONA</t>
  </si>
  <si>
    <t>LAVAT. TAURO CRUZ ADVANCE</t>
  </si>
  <si>
    <t>BIDET TAURO CRUZ ADVANCE</t>
  </si>
  <si>
    <t>BAÑERA C/TRANSF.TAURO CRUZ ADV</t>
  </si>
  <si>
    <t>LAVAT. HAIFA LEVER ADVANCE</t>
  </si>
  <si>
    <t>BIDET HAIFA LEVER ADVANCE</t>
  </si>
  <si>
    <t>BAÑERA C/TRAN.HAIFA LEVER ADV</t>
  </si>
  <si>
    <t>LAVAT. HAIFA CRUZ ADVANCE</t>
  </si>
  <si>
    <t>BIDET HAIFA CRUZ ADVANCE</t>
  </si>
  <si>
    <t>BAÑERA C/TRAN. HAIFA CRUZ ADV.</t>
  </si>
  <si>
    <t>MONOCOM. COCINA CIMA</t>
  </si>
  <si>
    <t>SET X 5 PIEZAS HAIFA</t>
  </si>
  <si>
    <t>PORTARREJILLA AWAD.</t>
  </si>
  <si>
    <t>REJ.AC.INOX.8.8/63</t>
  </si>
  <si>
    <t>REJ. CIEGA.A.INOX.8.8/63</t>
  </si>
  <si>
    <t>REJ.AC.INOX.8.8/40</t>
  </si>
  <si>
    <t>REJ. CIEGA.A.INOX.8.8/40</t>
  </si>
  <si>
    <t>ACANAL PLAS 8.8/63 REJILLA</t>
  </si>
  <si>
    <t>ACANALADO PLAST 12X12X105</t>
  </si>
  <si>
    <t>ACANALADO PLAST CIE 12X12X105</t>
  </si>
  <si>
    <t>GRIF.MONOCOMANDO BAÑO RALPH</t>
  </si>
  <si>
    <t>BIDET SIN TRANSFERENCIA RALPH</t>
  </si>
  <si>
    <t>LAVATORIO RALPH</t>
  </si>
  <si>
    <t>BIDET C/TRANSFERENCIA RALPH</t>
  </si>
  <si>
    <t>BAÑERA C/TRANSFERENCIA EXTERIO</t>
  </si>
  <si>
    <t>PORTARR.BRONCE AWAD</t>
  </si>
  <si>
    <t>REJ.CIEGA.LAM.15.15/110</t>
  </si>
  <si>
    <t>PORTAREJILLA FULL INOX</t>
  </si>
  <si>
    <t>REJ. Y MARCO 12X12 ACAN.</t>
  </si>
  <si>
    <t>C/REJA MARCO 12X12 C/F 95-110Ø</t>
  </si>
  <si>
    <t>TAPA MARCO 12X12 ACAN.</t>
  </si>
  <si>
    <t>GRIFERIA MONOCOMANDO COCINA</t>
  </si>
  <si>
    <t>MESADA CIMA</t>
  </si>
  <si>
    <t>MESADA TOP (ALTO)</t>
  </si>
  <si>
    <t>MESADA TOP (BAJO)</t>
  </si>
  <si>
    <t>RALPH</t>
  </si>
  <si>
    <t>MONOCOMANDO COCINA GOURMET</t>
  </si>
  <si>
    <t>MONOCOMANDO COCINA ARONA</t>
  </si>
  <si>
    <t>MONOCOMANDO COCINA PATRIOT</t>
  </si>
  <si>
    <t>MESADA JUNIOR CROMO CRUZ</t>
  </si>
  <si>
    <t>MESADA JUNIOR CROMO LEVER</t>
  </si>
  <si>
    <t>MESADA TIBER CROMO</t>
  </si>
  <si>
    <t>MESADA BARI GRIF CROMO</t>
  </si>
  <si>
    <t>PARED BARI GRIF.EMBUT A/ CROMO</t>
  </si>
  <si>
    <t>PARED BARI GRIF EXT. A/B CROMO</t>
  </si>
  <si>
    <t>MESADA OASIS CROMO</t>
  </si>
  <si>
    <t>PARED EMBUTIR OASIS ALTO CR</t>
  </si>
  <si>
    <t>PARED EXTERIOR OASIS ALTO CR</t>
  </si>
  <si>
    <t>MESADA ZEUS CROMO</t>
  </si>
  <si>
    <t>PARED EXTERIOR ZEUS ALTO CR</t>
  </si>
  <si>
    <t>MONOC.MESADA BAJO MAGNA CR</t>
  </si>
  <si>
    <t>PARED EMBUTIR OASIS BAJO CR</t>
  </si>
  <si>
    <t>PARED EXTERIOR OASIS BAJO CR</t>
  </si>
  <si>
    <t>PARED EXTERIOR ZEUS BAJO CR</t>
  </si>
  <si>
    <t>PILETON INY.</t>
  </si>
  <si>
    <t>CLO 160 C/SIF.EL LIDER</t>
  </si>
  <si>
    <t>PINZAS Y ALICATES</t>
  </si>
  <si>
    <t>ALICATE PRESION 175 THT190703</t>
  </si>
  <si>
    <t>ALICATE DE PRESION 180 MM IND</t>
  </si>
  <si>
    <t>PINZA PRESION 250 THT191003</t>
  </si>
  <si>
    <t>ALICATE PRESION 250 THT191001</t>
  </si>
  <si>
    <t>MULTIHE. 15 FUNCION TFMFT01151</t>
  </si>
  <si>
    <t>PINZA ALICATE 160 THT230606S</t>
  </si>
  <si>
    <t>PINZA ALICATE 180 THT230706S</t>
  </si>
  <si>
    <t>PINZA ALICATE HEA 180 THT27716</t>
  </si>
  <si>
    <t>PINZA 180 THT210706S</t>
  </si>
  <si>
    <t>PINZA 200 THT110806P</t>
  </si>
  <si>
    <t>PINZA 200 IND. THT210806S</t>
  </si>
  <si>
    <t>PINZA 240 THT210906S</t>
  </si>
  <si>
    <t>PICO DE LORO 250 THT281006</t>
  </si>
  <si>
    <t>PINZA PUNTA 200 THT220806S</t>
  </si>
  <si>
    <t>ALICATE FRONTAL 160 THT260606</t>
  </si>
  <si>
    <t>ALICATE PELACABLE 166 THT25616</t>
  </si>
  <si>
    <t>PELACABLE AUTOM. THT15606</t>
  </si>
  <si>
    <t>SET 3 PINZAS THT2K0301S</t>
  </si>
  <si>
    <t>KIT 4 PINZAS SEEGER THT114041</t>
  </si>
  <si>
    <t>LLAVES</t>
  </si>
  <si>
    <t>AJUSTABLE 150 THT101063</t>
  </si>
  <si>
    <t>AJUSTABLE 200 THT101083</t>
  </si>
  <si>
    <t>AJUSTABLE 250 THT1010103</t>
  </si>
  <si>
    <t>AJUSTABLE 300 THT1010123</t>
  </si>
  <si>
    <t>AJUSTABLE 150 IND. THT101066</t>
  </si>
  <si>
    <t>AJUSTABLE 200 IND. THT101086</t>
  </si>
  <si>
    <t>AUTOAJUSTABL 9-32 THT10309328</t>
  </si>
  <si>
    <t>AJUSTABLE 250 IND. THT101106</t>
  </si>
  <si>
    <t>AJUSTABLE 300 IND. THT101126</t>
  </si>
  <si>
    <t>LLAVE CRIQUE 1/4" THT106146</t>
  </si>
  <si>
    <t>LLAVE CRIQUE 1/2" THT106126</t>
  </si>
  <si>
    <t>MANGO FUERZA 40CM THTRCW40231</t>
  </si>
  <si>
    <t>JUEGO LLAVES ALLEN THT1061826</t>
  </si>
  <si>
    <t>JUEGO LLAVES P.RED.THT1061836</t>
  </si>
  <si>
    <t>JUEGO LLAVES TORX THT1061846</t>
  </si>
  <si>
    <t>SET LLAVE ALLEN 9UN THT106191</t>
  </si>
  <si>
    <t>SET LLAVES TORX 9U THT106392</t>
  </si>
  <si>
    <t>SET ALLEN LARGA 9U THT106192</t>
  </si>
  <si>
    <t>SET TORX LARGA 9U THT106391</t>
  </si>
  <si>
    <t>SET ALLEN-TORX 18 THT106KT0181</t>
  </si>
  <si>
    <t>SUJETA CAÑO IND.THT171142</t>
  </si>
  <si>
    <t>INGLESA 200 THT170806</t>
  </si>
  <si>
    <t>INGLESA 250 THT171006</t>
  </si>
  <si>
    <t>INGLESA 300 THT171206</t>
  </si>
  <si>
    <t>INGLESA 350 THT171146</t>
  </si>
  <si>
    <t>INGLESA 450 THT171186</t>
  </si>
  <si>
    <t>SUECA 250 THT172011</t>
  </si>
  <si>
    <t>SUECA 375 THT172151</t>
  </si>
  <si>
    <t>SUECA 500 THT172021</t>
  </si>
  <si>
    <t>SET LLAVE TUBO 12 P.THT141121</t>
  </si>
  <si>
    <t>DESTORNILLADORES</t>
  </si>
  <si>
    <t>PHILLPS 8MMx150MM THT22636</t>
  </si>
  <si>
    <t>DEST.13 PUNTAS C/CR TACSD30136</t>
  </si>
  <si>
    <t>SET 8 PUNTAS TACSD30086</t>
  </si>
  <si>
    <t>SET DEST.X6 AISLAD THTIS566</t>
  </si>
  <si>
    <t>SET DEST.24P C/CR TACSD30186</t>
  </si>
  <si>
    <t>SET DEST.25P C/CR TACSD30256</t>
  </si>
  <si>
    <t>SET DEST.33P C/CR TACSD30336</t>
  </si>
  <si>
    <t>SET DEST. 6P THT2506076</t>
  </si>
  <si>
    <t>SET DEST.15P C/CR TACSD30156</t>
  </si>
  <si>
    <t>SET DEST.24P C/CR TACSD30246</t>
  </si>
  <si>
    <t>SET DEST.26P C/CR TACSD30266</t>
  </si>
  <si>
    <t>SET 8 DEST.INT THT250906</t>
  </si>
  <si>
    <t>SET 7 DEST.PRECISION THT250726</t>
  </si>
  <si>
    <t>SET 8 DEST(4 PL/4 PH)THT250608</t>
  </si>
  <si>
    <t>MARTILLOS Y MAZAS</t>
  </si>
  <si>
    <t>MARTILLO BOLA 450G THT74166</t>
  </si>
  <si>
    <t>MARTILLO BOLA 660G THT74246</t>
  </si>
  <si>
    <t>CARPINT.ACERO 450G THT7143166</t>
  </si>
  <si>
    <t>CARPINT.ACERO 560G THT7143206</t>
  </si>
  <si>
    <t>MARTILLO 300G THT713006</t>
  </si>
  <si>
    <t>MARTILLO 500G THT715006</t>
  </si>
  <si>
    <t>MARTILLO 1000G THT7110006</t>
  </si>
  <si>
    <t>GOMA 220 GR THT76816</t>
  </si>
  <si>
    <t>GOMA 450 GR THT761616</t>
  </si>
  <si>
    <t>MAZA DEMOLICION 4.5K THT750416</t>
  </si>
  <si>
    <t>MAZA DEMOLICION 5.5K THT720516</t>
  </si>
  <si>
    <t>HERRAMIENTAS DE CORTE</t>
  </si>
  <si>
    <t>NAVAJAS MULT.15F THMFK0156</t>
  </si>
  <si>
    <t>CUCHILLA RETRACTIL THT5126128</t>
  </si>
  <si>
    <t>CUCH.RETRACTIL ACERO TG5126101</t>
  </si>
  <si>
    <t>CORTA VIDRIO 178MM THT561781</t>
  </si>
  <si>
    <t>SERRUCHO COSTILLA THT59126B</t>
  </si>
  <si>
    <t>SERRUCHO COST.C/C 300 THT59126</t>
  </si>
  <si>
    <t>ARCO SIERRA 300IND. THT54106</t>
  </si>
  <si>
    <t>ARCO SIERRA 300MM THT54166</t>
  </si>
  <si>
    <t>SIERRA 300IND. THCS3006</t>
  </si>
  <si>
    <t>SERRUCHO CAR. 400 THT55166</t>
  </si>
  <si>
    <t>SERRUCHO CAR. 500 THT55206</t>
  </si>
  <si>
    <t>SERRUCHO CAR.400AC. THT55166D</t>
  </si>
  <si>
    <t>SERRUCHO CAR.500AC. THT55206D</t>
  </si>
  <si>
    <t>CINCEL PLANO 300 THT4211226</t>
  </si>
  <si>
    <t>CINCEL CONCRETO 300 THT4221226</t>
  </si>
  <si>
    <t>HACHA 600GR THT786006</t>
  </si>
  <si>
    <t>HACHA 1250GR THT7812506</t>
  </si>
  <si>
    <t>FORMONES 6MM THT4166</t>
  </si>
  <si>
    <t>FORMONES 12MM THT41126</t>
  </si>
  <si>
    <t>FORMONES 16MM THT41166</t>
  </si>
  <si>
    <t>FORMONES 22MM THT41226</t>
  </si>
  <si>
    <t>CORTAPERNO 200MM THT11386</t>
  </si>
  <si>
    <t>CORTAPERNO 300MM THT113126</t>
  </si>
  <si>
    <t>CORTAPERNO 350MM THT113146</t>
  </si>
  <si>
    <t>CORTAPERNO 900 THT113366</t>
  </si>
  <si>
    <t>TIJERA CORTA TUBO 225 THT53422</t>
  </si>
  <si>
    <t>CORTA CERAM.600 THT576004 10.5</t>
  </si>
  <si>
    <t>CORTA CERAM.800 THT578004 10.5</t>
  </si>
  <si>
    <t>SET DE 4 FORMONES THT41K0401</t>
  </si>
  <si>
    <t>CANDADOS</t>
  </si>
  <si>
    <t>BRONCE 30MM TLK32302</t>
  </si>
  <si>
    <t>BRONCE 40MM TLK32402</t>
  </si>
  <si>
    <t>BRONCE 50MM TLK32502</t>
  </si>
  <si>
    <t>HERRAMIENTAS DE JARDINERIA</t>
  </si>
  <si>
    <t>TIJERA PODA 725MM THT1527101</t>
  </si>
  <si>
    <t>TIJERA PODA 760MM THT1527401</t>
  </si>
  <si>
    <t>TIJERA DE AVIACION THT522106</t>
  </si>
  <si>
    <t>TIJERA CERCO 557MM THT1516301</t>
  </si>
  <si>
    <t>SERRUCHO PODA 180MM THFSW1806</t>
  </si>
  <si>
    <t>SERRUCHO PODA 300MM THT5113006</t>
  </si>
  <si>
    <t>SERRUCHO PODA 330MM THT5113306</t>
  </si>
  <si>
    <t>PISTOLA RIEGO 3POS. THWS010301</t>
  </si>
  <si>
    <t>PISTOLA RIEGO 9POS. THWS010901</t>
  </si>
  <si>
    <t>ACOPLE RAP/RIEG 1/2 THWS030301</t>
  </si>
  <si>
    <t>REMACHADORAS</t>
  </si>
  <si>
    <t>MANUAL 260MM THT32105</t>
  </si>
  <si>
    <t>FUELLE TIJERA 800MM THT32321</t>
  </si>
  <si>
    <t>SARGENTOS/PRENSAS</t>
  </si>
  <si>
    <t>SARG.CLAMP 50X150 THT1320501</t>
  </si>
  <si>
    <t>SARG.CLAMP 50X200 THT1320502</t>
  </si>
  <si>
    <t>SARG.CLAMP 50X250 THT1320503</t>
  </si>
  <si>
    <t>SARG.CLAMP 80X300 THT1320801</t>
  </si>
  <si>
    <t>PRENSA G 100MM THT13141</t>
  </si>
  <si>
    <t>PRENSA G 150MM THT13161</t>
  </si>
  <si>
    <t>LINTERNAS</t>
  </si>
  <si>
    <t>CABEZA A PILA THL013AAA2</t>
  </si>
  <si>
    <t>PORTA HERRAMIENTAS</t>
  </si>
  <si>
    <t>CAJA 495X200X290METAL THT10701</t>
  </si>
  <si>
    <t>CAJA HERRAMIENTAS</t>
  </si>
  <si>
    <t>25 PZS THKT025M0</t>
  </si>
  <si>
    <t>44 PZS THT421441</t>
  </si>
  <si>
    <t>59 PZS THTCS12591</t>
  </si>
  <si>
    <t>142 PZS THKTHP21426</t>
  </si>
  <si>
    <t>97 PZS THPTCS70971</t>
  </si>
  <si>
    <t>100 PZS THKTHP21006</t>
  </si>
  <si>
    <t>HERRAMIENTAS DE MEDICION</t>
  </si>
  <si>
    <t>BUSCAPOLO 140MM THT291408</t>
  </si>
  <si>
    <t>BUSCAPOLO 190MM THT291908</t>
  </si>
  <si>
    <t>BUSCAPOLO DIGITAL 133MM</t>
  </si>
  <si>
    <t>NIVEL BURB.100CM TMT21006 10.5</t>
  </si>
  <si>
    <t>NIVEL BURB.120CM TMT21206 10.5</t>
  </si>
  <si>
    <t>NIVEL BURB.40CM TMT24016 10.5</t>
  </si>
  <si>
    <t>NIVELB.MAG.80CM TMT20805M 10.5</t>
  </si>
  <si>
    <t>MEDIDOR LASER TEMP.THIT015501</t>
  </si>
  <si>
    <t>LIMAS</t>
  </si>
  <si>
    <t>SET LIMAS 5U THT918516</t>
  </si>
  <si>
    <t>ACCESORIOS DE CONSTRUCCION</t>
  </si>
  <si>
    <t>APLIC.SILICONA ALUM.THT20109</t>
  </si>
  <si>
    <t>CUBIERTA RODILLO 100MM X12MM I</t>
  </si>
  <si>
    <t>CUBIERTA RODILLO 230MM X12MM I</t>
  </si>
  <si>
    <t>RODILLO 230X1 EXTER. THT8593</t>
  </si>
  <si>
    <t>RODILLO LARGO 100X12 THT8541</t>
  </si>
  <si>
    <t>SET ROD+BANDEJA I.THT81122301</t>
  </si>
  <si>
    <t>13 ROD.+BAND.I/E THT8112230131</t>
  </si>
  <si>
    <t>SET 10CUB.ROD. I/E THT81121001</t>
  </si>
  <si>
    <t>PINCEL 38LX13E THT84152</t>
  </si>
  <si>
    <t>PINCEL 62LX16E THT84252</t>
  </si>
  <si>
    <t>PINCEL 25X51L/16E THT84016</t>
  </si>
  <si>
    <t>PINCEL 50X57L/18E THT84026</t>
  </si>
  <si>
    <t>PINCEL 100X70L/30E THT84100306</t>
  </si>
  <si>
    <t>PINCEL 120X76L/30E THT84120306</t>
  </si>
  <si>
    <t>SET PINCELES 9U THT8414091</t>
  </si>
  <si>
    <t>LLANA LISA 280X130 THT81286</t>
  </si>
  <si>
    <t>LLANA DENT. 280X130 THTT81286</t>
  </si>
  <si>
    <t>ESPATULA 60MM THT83606</t>
  </si>
  <si>
    <t>ESPATULA 80MM THT83806</t>
  </si>
  <si>
    <t>ESPATULA 100MM THT831006</t>
  </si>
  <si>
    <t>ESPATULA 125MM THT831256</t>
  </si>
  <si>
    <t>ESPATULA 150MM THT831506</t>
  </si>
  <si>
    <t>CUCHARA ALBAÑIL 200 THT82816</t>
  </si>
  <si>
    <t>HERRAMIENTAS AUTOMOTOR</t>
  </si>
  <si>
    <t>CRICKET CARRITO 2T THT10821</t>
  </si>
  <si>
    <t>CRICKET BOTELLA 2T THT109022</t>
  </si>
  <si>
    <t>CRICKET BOTELLA 4T THT109042</t>
  </si>
  <si>
    <t>CRICKET BOTELLA 6T THT109062</t>
  </si>
  <si>
    <t>CRICKET BOTELLA 10T THT109102</t>
  </si>
  <si>
    <t>APAREJOS</t>
  </si>
  <si>
    <t>APAREJO 1 T - THT1611</t>
  </si>
  <si>
    <t>APAREJO 2 T - THT1621</t>
  </si>
  <si>
    <t>APAREJO 3 T - THT1631</t>
  </si>
  <si>
    <t>APAREJO 5 T - THT1651</t>
  </si>
  <si>
    <t>REPUESTOS FULLINOX</t>
  </si>
  <si>
    <t>TAPA HERMETICA</t>
  </si>
  <si>
    <t>CAJA MULTIPLES</t>
  </si>
  <si>
    <t>110 MM INYECTADA</t>
  </si>
  <si>
    <t>DESENGRASADORA C/SALIDA 110</t>
  </si>
  <si>
    <t>TAPA C/PORTA TAPA</t>
  </si>
  <si>
    <t>PROLONG. S/ENTRADA</t>
  </si>
  <si>
    <t>PROLONGADOR C/E 110 MM</t>
  </si>
  <si>
    <t>ACC.ROTOPLAS</t>
  </si>
  <si>
    <t>FILTRO DE SEDIMENTO STANDARS</t>
  </si>
  <si>
    <t>CARTUCHO PARA FILTRO STANDAR</t>
  </si>
  <si>
    <t>FILTRO JUMBO</t>
  </si>
  <si>
    <t>CARTUCHO P/FILTRO JUMBO</t>
  </si>
  <si>
    <t>FLOTANTE Nº5 Y VALV  1/2"</t>
  </si>
  <si>
    <t>FLOTANTE Nº7 Y VALV 3/4"</t>
  </si>
  <si>
    <t xml:space="preserve"> TAPA CLIK CON ARO</t>
  </si>
  <si>
    <t>CARROS Y CARRETILLAS</t>
  </si>
  <si>
    <t>CARRET.130 KG THTWB84008 10.5</t>
  </si>
  <si>
    <t>CARRET.150 KG THTWB84018G 10.5</t>
  </si>
  <si>
    <t>CARRO PLG.150K THTHP11502 10.5</t>
  </si>
  <si>
    <t>CARRO PLG.300K THTHP13002 10.5</t>
  </si>
  <si>
    <t>CARRO MANO 200 KG THTHT20141</t>
  </si>
  <si>
    <t>PUNTERA TIGRE</t>
  </si>
  <si>
    <t>RAMAL MONTURA</t>
  </si>
  <si>
    <t>45º160x110 (177x118)</t>
  </si>
  <si>
    <t>45º160x110(177xAW 110)</t>
  </si>
  <si>
    <t>ROUTER</t>
  </si>
  <si>
    <t>1600W TR111216-4</t>
  </si>
  <si>
    <t>RAMAL 45º TIGRE</t>
  </si>
  <si>
    <t>MH 110x110MM JE</t>
  </si>
  <si>
    <t>MH 40x40MM JE</t>
  </si>
  <si>
    <t>MH 50x50MM JE</t>
  </si>
  <si>
    <t>MH 160x160MM JE</t>
  </si>
  <si>
    <t>MH 63x63MM JE</t>
  </si>
  <si>
    <t>HH 110x110MM JE</t>
  </si>
  <si>
    <t>HH 40x40MM JE</t>
  </si>
  <si>
    <t>HH 50x50MM JE</t>
  </si>
  <si>
    <t>HH 63x63MM JE</t>
  </si>
  <si>
    <t>MH 110x40MM JE</t>
  </si>
  <si>
    <t>MH 110x50MM JE</t>
  </si>
  <si>
    <t>MH 110x63MM JE</t>
  </si>
  <si>
    <t>MH 50x40MM JE</t>
  </si>
  <si>
    <t>MH 160x110MM JE</t>
  </si>
  <si>
    <t>MH 63x50 JE</t>
  </si>
  <si>
    <t>HH 110x63MM JE</t>
  </si>
  <si>
    <t>AMOLADORAS</t>
  </si>
  <si>
    <t>BANCO 350W TBG35020-4 10.5</t>
  </si>
  <si>
    <t>RECTA 400W TG504062-4</t>
  </si>
  <si>
    <t>DISCO C. METAL 115 TAC2211151</t>
  </si>
  <si>
    <t>DISCO C. METAL 180 TAC2211802</t>
  </si>
  <si>
    <t>DISCO C. METAL 230 TAC2212302</t>
  </si>
  <si>
    <t>10DISCOS-C.METAL 115TAC2211155</t>
  </si>
  <si>
    <t>DISCO DES.METAL 115 TAC2231151</t>
  </si>
  <si>
    <t>DISCO DES.METAL 180 TAC2231801</t>
  </si>
  <si>
    <t>DISCO DES.METAL 230 TAC2232301</t>
  </si>
  <si>
    <t>TALADROS</t>
  </si>
  <si>
    <t>PERCUTOR 1010W TG111136-4</t>
  </si>
  <si>
    <t>PERCUTOR 680W TG1061356-4</t>
  </si>
  <si>
    <t>INAL.20V TDLI20012-4</t>
  </si>
  <si>
    <t>ROTAT.650W TH306236-4 10.5</t>
  </si>
  <si>
    <t>DEMOL.2200W TH220502-4 10.5</t>
  </si>
  <si>
    <t>DEMOL.1500W TH215002-4 10.5</t>
  </si>
  <si>
    <t>ROTAT.1800W TH118366-4 10.5</t>
  </si>
  <si>
    <t>PISTOLA DE CALOR</t>
  </si>
  <si>
    <t>SIERRA INALAMBRICA</t>
  </si>
  <si>
    <t>CALADORA 20V TJSLI8501</t>
  </si>
  <si>
    <t>CIRCULAR 20V 4600RPM TSLI1651</t>
  </si>
  <si>
    <t>INGLET.TELESC.20V TMS2001 10.5</t>
  </si>
  <si>
    <t>LIJADORAS</t>
  </si>
  <si>
    <t>ORBITAL 320W TF1301826-4</t>
  </si>
  <si>
    <t>ROTO-ORBITAL 450W TF2041506-4</t>
  </si>
  <si>
    <t>SIERRAS ELECTRICAS</t>
  </si>
  <si>
    <t>CALADORA 800W TS2081356-4</t>
  </si>
  <si>
    <t>5HOJAS MAD.C/L.75MM TAC511010</t>
  </si>
  <si>
    <t>SOPLADORAS</t>
  </si>
  <si>
    <t>COMPRESORES</t>
  </si>
  <si>
    <t>12 V./ 140 PSI TTAC1406 10.5</t>
  </si>
  <si>
    <t>12V./120D.PISTON TTAC2506 10.5</t>
  </si>
  <si>
    <t>RAMAL 45º TERRA/AWADUCT</t>
  </si>
  <si>
    <t>110H-HC 100X63</t>
  </si>
  <si>
    <t>110H-HC(118xAW110)</t>
  </si>
  <si>
    <t>110.63 H-HC</t>
  </si>
  <si>
    <t>TERMOFUSORAS</t>
  </si>
  <si>
    <t>800w/1400W C/B TT328151-4 10.5</t>
  </si>
  <si>
    <t>TORNOS</t>
  </si>
  <si>
    <t>ACCESORIOS PINTURA</t>
  </si>
  <si>
    <t>EQUIP.P/PNTR450W TT3506-4 10.5</t>
  </si>
  <si>
    <t>EQUIP.P/PNTR550W TT5006-4 10.5</t>
  </si>
  <si>
    <t>REFLECTOR</t>
  </si>
  <si>
    <t>BATERIA / CARGADOR</t>
  </si>
  <si>
    <t>CARGADOR BATERIA TFCLI2001-4</t>
  </si>
  <si>
    <t>MARTILLOS INALAMBRICOS</t>
  </si>
  <si>
    <t>ASPIRADORA INALAMBRICA</t>
  </si>
  <si>
    <t>LAMPARA DE TRABAJO</t>
  </si>
  <si>
    <t>LED INALAMBRICA 20V TWLI2001</t>
  </si>
  <si>
    <t>RAMAL 87 30º TIGRE</t>
  </si>
  <si>
    <t>M-H 110x110MM JE</t>
  </si>
  <si>
    <t>M-H 160x160MM JE</t>
  </si>
  <si>
    <t>M-H 40x40MM JE</t>
  </si>
  <si>
    <t>M-H 50x50MM JE</t>
  </si>
  <si>
    <t>M-H 63x63MM JE</t>
  </si>
  <si>
    <t>M-H 50x40MM JE</t>
  </si>
  <si>
    <t>M-H 63x50MM JE</t>
  </si>
  <si>
    <t>M-H 110x40MM JE</t>
  </si>
  <si>
    <t>M-H 110x50MM JE</t>
  </si>
  <si>
    <t>M-H 110x63MM JE</t>
  </si>
  <si>
    <t>M-H 160x110MM JE</t>
  </si>
  <si>
    <t>M-H C/VENT.SIMPLE 110x110JE</t>
  </si>
  <si>
    <t>M-H C/VENT.SIMPLE 110x63JE</t>
  </si>
  <si>
    <t>M-H C/VENT.DOB.110x110JE</t>
  </si>
  <si>
    <t>M-H C/VENT.DOB.110x63JE</t>
  </si>
  <si>
    <t>GRUPO ELECTROGENO</t>
  </si>
  <si>
    <t>2 TIEMPOS TP18001-4 10.5</t>
  </si>
  <si>
    <t>MEZCLADOR PINTURA</t>
  </si>
  <si>
    <t>1400W VEL500-800RPM TD614006-4</t>
  </si>
  <si>
    <t>ACANALADORA</t>
  </si>
  <si>
    <t>DE MUROS 1500W TWLC1256-4</t>
  </si>
  <si>
    <t>PUNTA/CINCEL ROTAT./DEMOLEDOR</t>
  </si>
  <si>
    <t>PUNTA HEX.17X280MM TAC153171</t>
  </si>
  <si>
    <t>PUNTA SDS PLUS 250M TAC1511141</t>
  </si>
  <si>
    <t>PUNTA SDS MAX 400MM TAC1521182</t>
  </si>
  <si>
    <t>CINL P.HEX.17X22X280 TAC153172</t>
  </si>
  <si>
    <t>CIN.P.HEX.25X35X530 TAC1532282</t>
  </si>
  <si>
    <t>CIN.P.HEX.30X35X410 TAC1532301</t>
  </si>
  <si>
    <t>CIN.P.SDS MAX25X400TAC15221821</t>
  </si>
  <si>
    <t>EXTRACH.40MM JE</t>
  </si>
  <si>
    <t>RAMAL ACOPLE</t>
  </si>
  <si>
    <t>AWADUCT 45°160.110 C/A</t>
  </si>
  <si>
    <t>HIDROLAVADORA</t>
  </si>
  <si>
    <t>KLUGAN HD-105</t>
  </si>
  <si>
    <t>ELEC.1400W TGT11316-4 10.5</t>
  </si>
  <si>
    <t>RAMAL AWADUCT</t>
  </si>
  <si>
    <t>87°30nHHM 110.63</t>
  </si>
  <si>
    <t>87°30HHM 63.63</t>
  </si>
  <si>
    <t>87°30HH 40.40</t>
  </si>
  <si>
    <t>87°30HH 50.50</t>
  </si>
  <si>
    <t>87°30HHM 110.110*</t>
  </si>
  <si>
    <t>45°HHM 110.110**</t>
  </si>
  <si>
    <t>45°HHM 110.63*</t>
  </si>
  <si>
    <t>45°HHM 63.63</t>
  </si>
  <si>
    <t>45°HHM 63.50</t>
  </si>
  <si>
    <t>45°HHH 40.40</t>
  </si>
  <si>
    <t>45°HHH 50.50</t>
  </si>
  <si>
    <t>45 HHM 75.75</t>
  </si>
  <si>
    <t>87°30nMH 110.50</t>
  </si>
  <si>
    <t>45° M-H 40.40</t>
  </si>
  <si>
    <t>45° M-H 50.50</t>
  </si>
  <si>
    <t>45° H-HC 110.110</t>
  </si>
  <si>
    <t>110.63 A 45 HHC</t>
  </si>
  <si>
    <t>87°30HHH 32</t>
  </si>
  <si>
    <t>45º H-H 32</t>
  </si>
  <si>
    <t>45ºHHM 110.40</t>
  </si>
  <si>
    <t>45ºHHM 110.50</t>
  </si>
  <si>
    <t>87°30HM 110.40</t>
  </si>
  <si>
    <t>87°30 M-H 110.63 INTEMPERIE</t>
  </si>
  <si>
    <t>87°30 HHM 110.110 INTEMPERIE</t>
  </si>
  <si>
    <t>45ºHHM 110.110 INTEMPERIE</t>
  </si>
  <si>
    <t>45° HM 110.63 INTEMPERIE</t>
  </si>
  <si>
    <t>87°30HHM C/VENTø50 110.110INTE</t>
  </si>
  <si>
    <t>87°30HHM 160.160</t>
  </si>
  <si>
    <t>45°HHM 160.160</t>
  </si>
  <si>
    <t>87°30HHM 160.110</t>
  </si>
  <si>
    <t>45°HHM 160.110</t>
  </si>
  <si>
    <t>45°HHH 160.110</t>
  </si>
  <si>
    <t>87°30HHH 160.110</t>
  </si>
  <si>
    <t>87°30 MH 160 X 160 INTEMPERIE</t>
  </si>
  <si>
    <t>45º HHM 160.160 INTEMPERIE</t>
  </si>
  <si>
    <t>CISTERNA ROTOPLAS 750 LTS</t>
  </si>
  <si>
    <t>CISTERNA ROTOPLAS 1200 LTS</t>
  </si>
  <si>
    <t>CISTERNA ROTOPLAS 2800 LTS</t>
  </si>
  <si>
    <t>RP BIODIGESTOR 600 LTS</t>
  </si>
  <si>
    <t>RP BIODIGESTOR 1300 LTS</t>
  </si>
  <si>
    <t>RP BIODIGESTOR 3000 LTS</t>
  </si>
  <si>
    <t>500 LTS ARENA  FLAT</t>
  </si>
  <si>
    <t>1000 LTS ARENA FLAT</t>
  </si>
  <si>
    <t>SLIM 500 LTS (E2)</t>
  </si>
  <si>
    <t>400 LTS ARENA  (E2)</t>
  </si>
  <si>
    <t>600 LTS   ARENA (E2)</t>
  </si>
  <si>
    <t>850 LTS ARENA (E3)</t>
  </si>
  <si>
    <t>1100 LTS ARENA (E3)</t>
  </si>
  <si>
    <t>2750 LTS ARENA (E3)</t>
  </si>
  <si>
    <t>TANQUES VERTICALES</t>
  </si>
  <si>
    <t>5000LT STD NEGRO</t>
  </si>
  <si>
    <t>10000LT STD NEGRO</t>
  </si>
  <si>
    <t>25000LT STD NEGRO</t>
  </si>
  <si>
    <t>5000LT STD NEUTRO</t>
  </si>
  <si>
    <t>10000LT STD NEUTRO</t>
  </si>
  <si>
    <t>25000LT STD NEUTRO</t>
  </si>
  <si>
    <t>5000LT R40 NEGRO</t>
  </si>
  <si>
    <t>10000LT R40 NEGRO</t>
  </si>
  <si>
    <t>25000LT R40 NEGRO</t>
  </si>
  <si>
    <t>5000LT R40 NEUTRO</t>
  </si>
  <si>
    <t>10000LT R40 NEUTRO</t>
  </si>
  <si>
    <t>25000LT R40 NEUTRO</t>
  </si>
  <si>
    <t>5000LT  ANTIINCENDIOS</t>
  </si>
  <si>
    <t>10000LT ANTIINCENDIOS</t>
  </si>
  <si>
    <t>25000LT ANTIINCENDIOS</t>
  </si>
  <si>
    <t>TANQUES HORIZONTALES</t>
  </si>
  <si>
    <t>TANQUE HORIZONTAL 500 LTS</t>
  </si>
  <si>
    <t>TANQUE HORIZONTAL 1000 LTS</t>
  </si>
  <si>
    <t>TANQUE HORIZONTAL 2000 LTS</t>
  </si>
  <si>
    <t>TANQUE HORIZONTAL 3000 LTS</t>
  </si>
  <si>
    <t>TANQUE HORIZONTAL 5000 LTS</t>
  </si>
  <si>
    <t>MOTOSIERRA INALAMBRICA</t>
  </si>
  <si>
    <t>87 30ºMH 160x160MM JE</t>
  </si>
  <si>
    <t>87 30º M-H 160x110 JE</t>
  </si>
  <si>
    <t>CORTACERCO INALAMBRICO</t>
  </si>
  <si>
    <t>1400RPM THTLI2001</t>
  </si>
  <si>
    <t>RAMAL INVERTIDO</t>
  </si>
  <si>
    <t>50.50 AWADUCT</t>
  </si>
  <si>
    <t>PARALELO AWADUCT 110.50</t>
  </si>
  <si>
    <t>RAMAL POSTIZO</t>
  </si>
  <si>
    <t>CLO 45º 160.110</t>
  </si>
  <si>
    <t>CLO 45º 200.110</t>
  </si>
  <si>
    <t>RAMAL PVC(1,8)</t>
  </si>
  <si>
    <t>90º 100.60</t>
  </si>
  <si>
    <t>45º 100.60</t>
  </si>
  <si>
    <t>RAMAL SIMPLE TAPA INSPECCION</t>
  </si>
  <si>
    <t>110x63 90 C/VENT.50</t>
  </si>
  <si>
    <t>110x110 90 C/VENT.50</t>
  </si>
  <si>
    <t>GRIFERIA BUENOS AIRES CC</t>
  </si>
  <si>
    <t>BAÑERA CON TRANSF.</t>
  </si>
  <si>
    <t>RAMAL TERRA 45°</t>
  </si>
  <si>
    <t>110.110(118) HHC</t>
  </si>
  <si>
    <t>160x110 (M177xH118)H-HC</t>
  </si>
  <si>
    <t>110.200(218x118) MH</t>
  </si>
  <si>
    <t>160X160 (177X177) MH</t>
  </si>
  <si>
    <t>CLAK 110(118x118)</t>
  </si>
  <si>
    <t>CLAK 160x110 (177x118)</t>
  </si>
  <si>
    <t>GRIFERIA EMIRATOS CC</t>
  </si>
  <si>
    <t>BAÑERA CON TRANSF. CROMO</t>
  </si>
  <si>
    <t>GRIFERIA NEW YORK CC</t>
  </si>
  <si>
    <t>GRIFERIA JENA CC</t>
  </si>
  <si>
    <t>LAVATORIO DE PARED CROMO</t>
  </si>
  <si>
    <t>LAVATORIO ADVANCE CROMO</t>
  </si>
  <si>
    <t>BIDET ADVANCE CROMO</t>
  </si>
  <si>
    <t>BAÑERA C/TRANS. ADVANCE CR</t>
  </si>
  <si>
    <t>LAVATORIO BLANCO/CROMO</t>
  </si>
  <si>
    <t>BIDET BLANCO/CROMO</t>
  </si>
  <si>
    <t>BAÑERA C/TRANS. BLANCO/CROMO</t>
  </si>
  <si>
    <t>DUCHA 2 LLAVES BLANCO/CROMO</t>
  </si>
  <si>
    <t>LAVATORIO D/PARED BLANCO/CROMO</t>
  </si>
  <si>
    <t>BIDET NEGRO/CROMO</t>
  </si>
  <si>
    <t>BAÑERA C/TRANSF. NEGRO/CROMO</t>
  </si>
  <si>
    <t>LAVATORIO PARED NEGRO/CROMO</t>
  </si>
  <si>
    <t>RAMAL VENT.DOBLE</t>
  </si>
  <si>
    <t>AWADUCT C/VENT.50 110x63</t>
  </si>
  <si>
    <t>RAMAL VENT. SIMPLE</t>
  </si>
  <si>
    <t>110.110* AWAD</t>
  </si>
  <si>
    <t>110.63 AWAD</t>
  </si>
  <si>
    <t>GRIFERIA SUN CC</t>
  </si>
  <si>
    <t>BAÑERA C/TRANSF. CROMO</t>
  </si>
  <si>
    <t>BAÑERA EXTERIOR CROMO</t>
  </si>
  <si>
    <t>RECEPTAC.DUCHA</t>
  </si>
  <si>
    <t>CLO 40 R/ACERO RAMAT</t>
  </si>
  <si>
    <t>CLO 40 R/PVC RAMAT</t>
  </si>
  <si>
    <t>GRIFERIA FREE CC</t>
  </si>
  <si>
    <t>RECTIFICADOR</t>
  </si>
  <si>
    <t>HIDRO3 3/8</t>
  </si>
  <si>
    <t>HIDRO3 1/2.3/4</t>
  </si>
  <si>
    <t>HIDRO3 1.11/4</t>
  </si>
  <si>
    <t>HIDRO3 11/2.2</t>
  </si>
  <si>
    <t>GRIF. QUARTIER CROMO</t>
  </si>
  <si>
    <t>BAÑERA C/TRANSF.CRUZ CROMO</t>
  </si>
  <si>
    <t>BAÑERA EXT.CRUZ CROMO</t>
  </si>
  <si>
    <t>DCHA 2 LLAVES CRUZ CROMO</t>
  </si>
  <si>
    <t>LAV.DE PARED CRUZ CROMO</t>
  </si>
  <si>
    <t>BAÑERA C/TRANSF. LEVER CROMO</t>
  </si>
  <si>
    <t>BAÑERA EXT. LEVER CROMO</t>
  </si>
  <si>
    <t>LAVATORIO LEVER ADVANCE</t>
  </si>
  <si>
    <t>BIDET LEVER ADVANCE</t>
  </si>
  <si>
    <t>BAÑERA C/TRANSF. LEVER ADVANCE</t>
  </si>
  <si>
    <t>GRIFERIA TAURO LEVER CCL</t>
  </si>
  <si>
    <t>LAVATORIO  LEVER CROMO</t>
  </si>
  <si>
    <t>BAÑERA C/TRANSF LEVER CROMO</t>
  </si>
  <si>
    <t>LLAVE DE PASO LEVER CROMO</t>
  </si>
  <si>
    <t>REDUCCION CLO MANUAL</t>
  </si>
  <si>
    <t>125.110</t>
  </si>
  <si>
    <t>140.110</t>
  </si>
  <si>
    <t>63.40</t>
  </si>
  <si>
    <t>110.98</t>
  </si>
  <si>
    <t>200.160</t>
  </si>
  <si>
    <t>GRIFERIA TAURO LEVER P. CM+CCL</t>
  </si>
  <si>
    <t>LAVATORIO LEVER PLUS CROMO</t>
  </si>
  <si>
    <t>BIDET LEVER PLUS CROMO</t>
  </si>
  <si>
    <t>BAÑERA C/TRANSF. LEVER/P CROMO</t>
  </si>
  <si>
    <t>DUCHA 2 LLAVES LEVER/P CROMO</t>
  </si>
  <si>
    <t>BAÑERA EXT. LEVER/P CROMO</t>
  </si>
  <si>
    <t>LAV.DE PARED LEVER/PLUS CROMO</t>
  </si>
  <si>
    <t>REDUCCION TOPE M.H</t>
  </si>
  <si>
    <t>50X40</t>
  </si>
  <si>
    <t>63X40</t>
  </si>
  <si>
    <t>63X50</t>
  </si>
  <si>
    <t>75X40</t>
  </si>
  <si>
    <t>110X40</t>
  </si>
  <si>
    <t>110X50</t>
  </si>
  <si>
    <t>110X63</t>
  </si>
  <si>
    <t>160X110</t>
  </si>
  <si>
    <t>REDUCCION EXCENTRICA TIGRE</t>
  </si>
  <si>
    <t>MH 63x50MM JE</t>
  </si>
  <si>
    <t>GRIF TAURO CRUZ PLUS CC</t>
  </si>
  <si>
    <t>LLAVE DE PASO CROMO</t>
  </si>
  <si>
    <t>GRIFERIA TAURO CRUZ CCL</t>
  </si>
  <si>
    <t>REDUCCION HID</t>
  </si>
  <si>
    <t>MH 110.90  REFORZADA</t>
  </si>
  <si>
    <t>GRIFERIA CAPRI LEVER CC</t>
  </si>
  <si>
    <t>ADAPTADOR JE</t>
  </si>
  <si>
    <t>INODORO 110</t>
  </si>
  <si>
    <t>INODORO 110 RANURADO</t>
  </si>
  <si>
    <t>GRIFERIA ELEVEN LEVER CC</t>
  </si>
  <si>
    <t>LAVATORIO ELEVEN-BAR CROMO</t>
  </si>
  <si>
    <t>REDUCCION PVC(1,8)</t>
  </si>
  <si>
    <t>125.100</t>
  </si>
  <si>
    <t>140.100</t>
  </si>
  <si>
    <t>60.40</t>
  </si>
  <si>
    <t>60.50</t>
  </si>
  <si>
    <t>100.98</t>
  </si>
  <si>
    <t>100.60</t>
  </si>
  <si>
    <t>160.100</t>
  </si>
  <si>
    <t>110.100</t>
  </si>
  <si>
    <t>GRIFERIA BARI GRIF CC</t>
  </si>
  <si>
    <t>BAJADA REF 1.8</t>
  </si>
  <si>
    <t>DEPOSITO PVC INTERIOR</t>
  </si>
  <si>
    <t>DEPOSITO PVC EXTERIOR</t>
  </si>
  <si>
    <t>RECTA PVC 40</t>
  </si>
  <si>
    <t>RECTA PVC 50</t>
  </si>
  <si>
    <t>REFILADORA</t>
  </si>
  <si>
    <t>REJILLA TIGRE</t>
  </si>
  <si>
    <t>ACERO 10.10 RAMAT</t>
  </si>
  <si>
    <t>ACERO 15.15 RAMAT</t>
  </si>
  <si>
    <t>PVC 10.10 RAMAT</t>
  </si>
  <si>
    <t>CIEGA 10.10 RAMAT</t>
  </si>
  <si>
    <t>PVC 15.15 RAMAT</t>
  </si>
  <si>
    <t>PVC 15.20 P/EMBUDO RAMAT</t>
  </si>
  <si>
    <t>PVC 20.20 P/EMBUDO RAMAT</t>
  </si>
  <si>
    <t>GRIFERIA MAVERICK</t>
  </si>
  <si>
    <t>JUEGO BAÑO (LAVA/BIDET/BAÑERA)</t>
  </si>
  <si>
    <t>LAVATORIO ADVANCE</t>
  </si>
  <si>
    <t>BIDET ADVANCE</t>
  </si>
  <si>
    <t>BAÑERA C/TRANSF. ADVANCE</t>
  </si>
  <si>
    <t>PORTAREJILLA AWAD.</t>
  </si>
  <si>
    <t>REJILLA PLAS.12.12/110</t>
  </si>
  <si>
    <t>REJ. CIEGA PLAS.12.12/110</t>
  </si>
  <si>
    <t>REJILLA PLAST.8.8/63</t>
  </si>
  <si>
    <t>REJILLA PLAST.8.8/40</t>
  </si>
  <si>
    <t>PORTAREJILLA 20X20 T.HERME 160</t>
  </si>
  <si>
    <t>PORTAREJILLA 20X20 T.C 160</t>
  </si>
  <si>
    <t>AWA. 20X20/160</t>
  </si>
  <si>
    <t>GRIFERIA TIBER CC</t>
  </si>
  <si>
    <t>BAÑERA C/ TRANSFERENCIA</t>
  </si>
  <si>
    <t>DUCHA 2 LLAVES</t>
  </si>
  <si>
    <t>BAÑERA EXTERIOR</t>
  </si>
  <si>
    <t>LAVATORIO DE PARED</t>
  </si>
  <si>
    <t>GRIFERIA MAGNA CC</t>
  </si>
  <si>
    <t>MONOCOMANDO BIDET CROMO</t>
  </si>
  <si>
    <t>MONO. BAÑERA EXT. C/TRANSF CRO</t>
  </si>
  <si>
    <t>MONOCOMANDO LAV. PARED CROMO</t>
  </si>
  <si>
    <t>MONOCOMANDO LAV. ALTO CROMO</t>
  </si>
  <si>
    <t>MONO.BÑERA. S/TRANSF C/CAÑO EX</t>
  </si>
  <si>
    <t>MON.BAÑERA EXT.EMOTION</t>
  </si>
  <si>
    <t>CLAK</t>
  </si>
  <si>
    <t>160</t>
  </si>
  <si>
    <t>GRIFERIA HAAZ VINTAGE</t>
  </si>
  <si>
    <t>JUEGO BAÑO COMPLETO BCE VIEJO</t>
  </si>
  <si>
    <t>SET ACC. 8 PZAS. BCE VIEJO</t>
  </si>
  <si>
    <t>BANDA</t>
  </si>
  <si>
    <t>TERMOAISL.4.10M H3 P/EMBUTIR</t>
  </si>
  <si>
    <t>TERMOAISL.4. 7M H3 P/EXT*</t>
  </si>
  <si>
    <t>REP. UNIV. LLAVE DE PASO</t>
  </si>
  <si>
    <t>CABEZAL METALICO UNIVERSAL</t>
  </si>
  <si>
    <t>CABEZAL PLASTICO H3</t>
  </si>
  <si>
    <t>Y CAMPANA CROMO H3</t>
  </si>
  <si>
    <t>Y CAMPANA BCO LOZA H3</t>
  </si>
  <si>
    <t>VISTA CROMO PASO TOTAL</t>
  </si>
  <si>
    <t>REP.SIFON EMBUTIR(LAVAR-LAVAV)</t>
  </si>
  <si>
    <t>TAPA ACER.INOX.SIFON EMBUTIR</t>
  </si>
  <si>
    <t>TUERCA SIFON EMBUTIR</t>
  </si>
  <si>
    <t>TAPA HEMBRA SIFON EMBUTIR</t>
  </si>
  <si>
    <t>CODO ESPIGA C/TUERCA</t>
  </si>
  <si>
    <t>PROTECTOR</t>
  </si>
  <si>
    <t>TAPA BLC/LOZA SIFON EMBUTIR</t>
  </si>
  <si>
    <t>ROLLO GRADO2</t>
  </si>
  <si>
    <t>11/4 K2,5 (A)</t>
  </si>
  <si>
    <t>11/2 K2,5 (A)</t>
  </si>
  <si>
    <t>2 K2,5 (A)</t>
  </si>
  <si>
    <t>21/2 K2,5 - 50 MTS (A)</t>
  </si>
  <si>
    <t>3/4 K4 (A)</t>
  </si>
  <si>
    <t>1 K4 (A)</t>
  </si>
  <si>
    <t>11/4 K4 (A)</t>
  </si>
  <si>
    <t>2 K4 (A)</t>
  </si>
  <si>
    <t>21/2 K4 50MTS. (A)</t>
  </si>
  <si>
    <t>1/2 K6 (A)</t>
  </si>
  <si>
    <t>3/4 K6 (A)</t>
  </si>
  <si>
    <t>1 K6 (A)</t>
  </si>
  <si>
    <t>11/4 K6 (A)</t>
  </si>
  <si>
    <t>11/2 K6 (A)</t>
  </si>
  <si>
    <t>2 K6 50MTS. (A)</t>
  </si>
  <si>
    <t>3/4 K8 (A)</t>
  </si>
  <si>
    <t>1/2 K10 (A)</t>
  </si>
  <si>
    <t>3/4 K10 (A)</t>
  </si>
  <si>
    <t>ROLLO HIDROFLEX-PEX</t>
  </si>
  <si>
    <t>16 MM.120MTS. HIDROFLEX</t>
  </si>
  <si>
    <t>20MM X 120MTS.HIDROFLEX</t>
  </si>
  <si>
    <t>25 MM. 50MTS. HIDROFLEX</t>
  </si>
  <si>
    <t>16 MM X 200 MTS. HIDROFLEX</t>
  </si>
  <si>
    <t>20 MM X 200 MTS. HIDROFLEX</t>
  </si>
  <si>
    <t>20MM X 240MTS.HIDROFLEX</t>
  </si>
  <si>
    <t>20 MM.400MTS. HIDROFLEX</t>
  </si>
  <si>
    <t>ROLLO PLT</t>
  </si>
  <si>
    <t>3/4 K4</t>
  </si>
  <si>
    <t>1 K4 100MTS</t>
  </si>
  <si>
    <t>11/4 K4</t>
  </si>
  <si>
    <t>11/2 K4</t>
  </si>
  <si>
    <t>2 K4 100 MTS</t>
  </si>
  <si>
    <t>1/2 K6</t>
  </si>
  <si>
    <t>1 K10 (A)</t>
  </si>
  <si>
    <t>SELLO</t>
  </si>
  <si>
    <t>GOMA CANALETA TIGRE 125MM.6,7</t>
  </si>
  <si>
    <t>GOMA CAN.TIGRE-STYLE</t>
  </si>
  <si>
    <t>SIERRA</t>
  </si>
  <si>
    <t>COPA AWADUCT  40</t>
  </si>
  <si>
    <t>COPA AWADUCT  50</t>
  </si>
  <si>
    <t>COPA AWADUCT  63</t>
  </si>
  <si>
    <t>COPA AWADUCT 110</t>
  </si>
  <si>
    <t>BARRERA ANTIPLAGAS</t>
  </si>
  <si>
    <t>AWADUCT</t>
  </si>
  <si>
    <t>SIFON AWAD.</t>
  </si>
  <si>
    <t>PILETA LOSA 56</t>
  </si>
  <si>
    <t>OPCIONAL AWADUCT 56</t>
  </si>
  <si>
    <t>ACANALADO 105</t>
  </si>
  <si>
    <t>PILETA DE PATIO 56</t>
  </si>
  <si>
    <t>PILETA 160 - 104</t>
  </si>
  <si>
    <t>PILETA LOSA 56 OPCIONAL</t>
  </si>
  <si>
    <t>PILETA LOSA ACANALADO</t>
  </si>
  <si>
    <t>LARGO DESENGRASADORA 104</t>
  </si>
  <si>
    <t>SIFON PILETA (92096)</t>
  </si>
  <si>
    <t>PARA P.REJA 12X12 Y 15X15</t>
  </si>
  <si>
    <t>SIMP. C/ENT LAT.ESPIGA AWA</t>
  </si>
  <si>
    <t>COC.AWAD. BACHA SIMPLE</t>
  </si>
  <si>
    <t>COC. AWAD. BACHA DOBLE</t>
  </si>
  <si>
    <t>DOBLE C/ENT.LAT.ESPIGA</t>
  </si>
  <si>
    <t>LAVATORIO C/TAPA INSPECCION</t>
  </si>
  <si>
    <t>EMBUTIR (LAVARROPAS)</t>
  </si>
  <si>
    <t>EXTER.P/LAVARROPAS AWA</t>
  </si>
  <si>
    <t>BOT.PIL.DOB.50 X 50 LIS</t>
  </si>
  <si>
    <t>BOT.PIL.DOB.E.E.LAT.ESP.50 X 5</t>
  </si>
  <si>
    <t>ESTANTE AWAD. BAC. SIMP.LISO</t>
  </si>
  <si>
    <t>ESTANTE BACHA DOB. LISO AWA</t>
  </si>
  <si>
    <t>EMB COCINA 50X50 TAPA LOZA</t>
  </si>
  <si>
    <t>EMB COCINA 50X50 TAPA INOX</t>
  </si>
  <si>
    <t>SIMP.C/ENT.LAT.ESP.CORRUG.</t>
  </si>
  <si>
    <t>SIMP.AWAD.CORRUGADO</t>
  </si>
  <si>
    <t>DOB. AWAD. CORRUGADO</t>
  </si>
  <si>
    <t>DOB.C/ENT.LAT.ESPIG.CORR.</t>
  </si>
  <si>
    <t>BOT.PIL.DOB.50 CORR.X50</t>
  </si>
  <si>
    <t>BOT.PIL.DOB.E.LAT.ESP.50CO</t>
  </si>
  <si>
    <t>ESTANTE SIMP.AWAD. CORRUG.</t>
  </si>
  <si>
    <t>ESTANTE DOBLE AWAD.CORRUG.</t>
  </si>
  <si>
    <t>ACCESORIO DE BAÑO</t>
  </si>
  <si>
    <t>JABONERA ZEUS</t>
  </si>
  <si>
    <t>PORTA VASO ZEUS</t>
  </si>
  <si>
    <t>SET X 8 P. JABONERA TIVOLI</t>
  </si>
  <si>
    <t>SET X 8 PIEZAS CRISTAL TIVOLI</t>
  </si>
  <si>
    <t>SET X 8 CON TAPA TIVOLI</t>
  </si>
  <si>
    <t>ZEUS CROMO 4 PIEZAS</t>
  </si>
  <si>
    <t>ZEUS CROMO 8 PIEZAS CRISTAL</t>
  </si>
  <si>
    <t>NERON CROMO 8 PIEZAS</t>
  </si>
  <si>
    <t>SET X 7 PIEZAS QUARTIER CROMO</t>
  </si>
  <si>
    <t>SET X 9 PEIZAS TAURO CROMO</t>
  </si>
  <si>
    <t>SET X 9 C/TAPA CAPRI CROMO</t>
  </si>
  <si>
    <t>SERENA BLANCO 6 PIEZAS</t>
  </si>
  <si>
    <t>SERENA BLANCO/CROMO 6 PIEZAS</t>
  </si>
  <si>
    <t>DUCHA MAVERICK</t>
  </si>
  <si>
    <t>SET X 7 PEIZAS SUN CROMO</t>
  </si>
  <si>
    <t>JABONERA DRISA</t>
  </si>
  <si>
    <t>SET X 8 PIEZAS DRISA</t>
  </si>
  <si>
    <t>PORTA VASO DRISA</t>
  </si>
  <si>
    <t>SET X 8 PIEZAS JUNIOR/FRE/THUN</t>
  </si>
  <si>
    <t>SET X 8 PIEZAS ELEVEN</t>
  </si>
  <si>
    <t>SIFON DUKE</t>
  </si>
  <si>
    <t>SIMPLE ROSC/AJ NEGRO</t>
  </si>
  <si>
    <t>DOBLE ROSC/AJ NEGRO</t>
  </si>
  <si>
    <t>PLAST.SIMP. AJUSTABLE 11/2-50</t>
  </si>
  <si>
    <t>PLAST. DOB. AJUSTABLE 11/2-50</t>
  </si>
  <si>
    <t>PLAST.SIMP. ROCABLE 11/2-50</t>
  </si>
  <si>
    <t>PLAST.DOBLE. ROSCABLE 11/2-50</t>
  </si>
  <si>
    <t>SOPAPA</t>
  </si>
  <si>
    <t>SOBREPASO</t>
  </si>
  <si>
    <t>H3 1/2 FF</t>
  </si>
  <si>
    <t>H3 3/4 FF</t>
  </si>
  <si>
    <t>H3   1 FF</t>
  </si>
  <si>
    <t>H3 3/8 FF</t>
  </si>
  <si>
    <t>H3 INYECTADO 1/2</t>
  </si>
  <si>
    <t>H3 INYECTADO 3/4</t>
  </si>
  <si>
    <t>SOLUCION LUBRICANTE</t>
  </si>
  <si>
    <t>125 CM3 SPRAY</t>
  </si>
  <si>
    <t>250 CM3 SPRAY</t>
  </si>
  <si>
    <t>SOLUCION DESLIZANTE AWAD.</t>
  </si>
  <si>
    <t>440 CC AEROS.*</t>
  </si>
  <si>
    <t>250CC (AEROSOL)*</t>
  </si>
  <si>
    <t>500 G.PASTA</t>
  </si>
  <si>
    <t>250GRS.(PASTA)</t>
  </si>
  <si>
    <t>30 CM3 PASTA C/APLICADOR</t>
  </si>
  <si>
    <t>125 CM3 PASTA C/APLICADOR</t>
  </si>
  <si>
    <t>200 CM3 PASTA C/APLICADOR</t>
  </si>
  <si>
    <t>440 CM3 PASTA C/APLICADOR</t>
  </si>
  <si>
    <t>SOMBRERETE 1.8</t>
  </si>
  <si>
    <t>PVC  60/63</t>
  </si>
  <si>
    <t>PVC 100/110</t>
  </si>
  <si>
    <t>SOMBRETE VENT. AWADUCT</t>
  </si>
  <si>
    <t>63 MM</t>
  </si>
  <si>
    <t>110 MM</t>
  </si>
  <si>
    <t>40 C/TORNILLO PAUFED(LAVATOR</t>
  </si>
  <si>
    <t>50 C/TORNILLO PAUFED(PILETA)</t>
  </si>
  <si>
    <t>BAÑERA C/TORNILLO PAUFED</t>
  </si>
  <si>
    <t>ADHESIVO TIGRE</t>
  </si>
  <si>
    <t>REGULAR TRANSPARENTE PVC 118ML</t>
  </si>
  <si>
    <t>REGULAR TRANSPARENTE PVC 946ML</t>
  </si>
  <si>
    <t>P/REPARACIONES AZUL PVC 118ML</t>
  </si>
  <si>
    <t>P/REPARACIONES AZUL PVC 946ML</t>
  </si>
  <si>
    <t>CAMARA INSPECCION</t>
  </si>
  <si>
    <t>COJINETE 3E 110A - 2E 63C</t>
  </si>
  <si>
    <t>REPUESTO TAPA REJILLA</t>
  </si>
  <si>
    <t>REPUESTO TAPA CIEGA</t>
  </si>
  <si>
    <t>PORTAREJILLA REJILLA 200HHC</t>
  </si>
  <si>
    <t>PORTAR.CIEGA 200HHC(INCL.2198)</t>
  </si>
  <si>
    <t>CONTRATAPA HERMETICA</t>
  </si>
  <si>
    <t>CONJ.COJINETE200PROL/PORT.CIEG</t>
  </si>
  <si>
    <t>O´RING M.O.L DE 3 LABIO  Ø400</t>
  </si>
  <si>
    <t>PROLONG.200x0.25M</t>
  </si>
  <si>
    <t>PROLONG.200x1M</t>
  </si>
  <si>
    <t>COJINETE INSP. H-HC 3ENT.(400)</t>
  </si>
  <si>
    <t>TAPON REP. C/O'RING M.O.L. 118</t>
  </si>
  <si>
    <t>BASE P/CAMARA 60X60</t>
  </si>
  <si>
    <t>PROLONGADOR C.60x60 10CM TERRA</t>
  </si>
  <si>
    <t>CONTRATAPA CAMARA 60x60</t>
  </si>
  <si>
    <t>PROLONGADOR Ø400</t>
  </si>
  <si>
    <t>CUPLA  Ø400</t>
  </si>
  <si>
    <t>PORTAREJILLA  400X400</t>
  </si>
  <si>
    <t>TAPA 400X400</t>
  </si>
  <si>
    <t>REJA 400X400</t>
  </si>
  <si>
    <t>TANQUE GRIS ROTOPLAS</t>
  </si>
  <si>
    <t>PASE LOSA AWADUCT</t>
  </si>
  <si>
    <t>40 FUSION TIGRE</t>
  </si>
  <si>
    <t>50 FUSION TIGRE</t>
  </si>
  <si>
    <t>63 FUSION TIGRE</t>
  </si>
  <si>
    <t>75 FUSION TIGRE</t>
  </si>
  <si>
    <t>90 FUSION TIGRE</t>
  </si>
  <si>
    <t>110 FUSION TIGRE</t>
  </si>
  <si>
    <t>TAPA CANALETA</t>
  </si>
  <si>
    <t>TIGRE DERECHA D.125MM</t>
  </si>
  <si>
    <t>TIGRE IZQUIERDA D.125</t>
  </si>
  <si>
    <t>TAPA CIEGA</t>
  </si>
  <si>
    <t>BLANCA 130 MM 0.5 TN</t>
  </si>
  <si>
    <t>BLANCA 200MM 7 TN</t>
  </si>
  <si>
    <t>ARENA 130MM 0.5 TN</t>
  </si>
  <si>
    <t>ARENA 200MM 7TN</t>
  </si>
  <si>
    <t>GRIS 130MM 0.5 TN</t>
  </si>
  <si>
    <t>GRIS 200MM 7 TN</t>
  </si>
  <si>
    <t>130MM C/ ENT. 40MM BAJO CAUDAL</t>
  </si>
  <si>
    <t>130MM C/ SAL.110MM ALTO CAUDAL</t>
  </si>
  <si>
    <t>TAPA CLO H</t>
  </si>
  <si>
    <t>250</t>
  </si>
  <si>
    <t>TAPA DERECHA</t>
  </si>
  <si>
    <t>PILETAS SIFOLIMP</t>
  </si>
  <si>
    <t>PILETA C/KIT MESADA</t>
  </si>
  <si>
    <t>PILETA C/KIT MESADA DOBLE</t>
  </si>
  <si>
    <t>TAPA H</t>
  </si>
  <si>
    <t>50 MM JE</t>
  </si>
  <si>
    <t>TAPA H3 H</t>
  </si>
  <si>
    <t>3/8 FUSION</t>
  </si>
  <si>
    <t>1/2 FUSION</t>
  </si>
  <si>
    <t>3/4 FUSION</t>
  </si>
  <si>
    <t>1 FUSION</t>
  </si>
  <si>
    <t>11/4 FUSION</t>
  </si>
  <si>
    <t>11/2 FUSION</t>
  </si>
  <si>
    <t>2 FUSION</t>
  </si>
  <si>
    <t>2 1/2 FUSION</t>
  </si>
  <si>
    <t>3 FUSION</t>
  </si>
  <si>
    <t>4 FUSION</t>
  </si>
  <si>
    <t>5 FUSION</t>
  </si>
  <si>
    <t>TAPA HEMBRA</t>
  </si>
  <si>
    <t>AWADUCT 40</t>
  </si>
  <si>
    <t>AWADUCT 110*</t>
  </si>
  <si>
    <t>AWADUCT 50</t>
  </si>
  <si>
    <t>AWADUCT 160</t>
  </si>
  <si>
    <t>TAPA HID</t>
  </si>
  <si>
    <t>H 20</t>
  </si>
  <si>
    <t>H 25</t>
  </si>
  <si>
    <t>H 32</t>
  </si>
  <si>
    <t>H  40</t>
  </si>
  <si>
    <t>H  50</t>
  </si>
  <si>
    <t>H  63</t>
  </si>
  <si>
    <t>H  75</t>
  </si>
  <si>
    <t>H  90</t>
  </si>
  <si>
    <t>H 110</t>
  </si>
  <si>
    <t>H 160</t>
  </si>
  <si>
    <t>TAPA INSPECCION</t>
  </si>
  <si>
    <t>AWADUCT M 110</t>
  </si>
  <si>
    <t>TAPA IZQUIERDA</t>
  </si>
  <si>
    <t>BOCA ACCESO</t>
  </si>
  <si>
    <t>COCINA LOSA AWADUCT 40x110</t>
  </si>
  <si>
    <t>COCINA AWADUCT 63.50**</t>
  </si>
  <si>
    <t>COCINA LOSA AWADUCT 50x110</t>
  </si>
  <si>
    <t>HOR. AWADUCT 2/E ABIER 110.63*</t>
  </si>
  <si>
    <t>HOR.AWAD.45º 110X63</t>
  </si>
  <si>
    <t>HOR. AWADUCT 3/E CERR 110.63</t>
  </si>
  <si>
    <t>COC. LOSA 5E 40x110/63 INTEMP</t>
  </si>
  <si>
    <t>COCINA 63X50 INTEMPERIE. AWA.</t>
  </si>
  <si>
    <t>COC. LOSA 5E 50x110/63 INTEMP</t>
  </si>
  <si>
    <t>VERTICAL AWADUCT 110.63</t>
  </si>
  <si>
    <t>160 AWADUCT OCTOG.MH 110</t>
  </si>
  <si>
    <t>TAPA MACHO AWADUCT</t>
  </si>
  <si>
    <t>110 INTEMPERIE</t>
  </si>
  <si>
    <t>TAPA PVC(1,8)</t>
  </si>
  <si>
    <t>60</t>
  </si>
  <si>
    <t>100</t>
  </si>
  <si>
    <t>TAPA/TAPON CLO TIGRE</t>
  </si>
  <si>
    <t>TAPON M TIGRE</t>
  </si>
  <si>
    <t>20 FUSION TIGRE*</t>
  </si>
  <si>
    <t>25 FUSION TIGRE**</t>
  </si>
  <si>
    <t>110 FUSION</t>
  </si>
  <si>
    <t>TARUGO</t>
  </si>
  <si>
    <t>DE REPARACION FUSION</t>
  </si>
  <si>
    <t>TE H3</t>
  </si>
  <si>
    <t>3/8 FFF</t>
  </si>
  <si>
    <t>1/2 FFF</t>
  </si>
  <si>
    <t>3/4 FFF</t>
  </si>
  <si>
    <t>1 FFF</t>
  </si>
  <si>
    <t>11/4 FFF</t>
  </si>
  <si>
    <t>11/2 FFF</t>
  </si>
  <si>
    <t>2 FFF</t>
  </si>
  <si>
    <t>21/2 FFF</t>
  </si>
  <si>
    <t>3 FFF</t>
  </si>
  <si>
    <t>4 FFF</t>
  </si>
  <si>
    <t>5 FFF</t>
  </si>
  <si>
    <t>1/2 F/R.MET.CTL(H)</t>
  </si>
  <si>
    <t>3/4 F/R.MET.CTL(H)</t>
  </si>
  <si>
    <t>1 F/R.MET.CTL(H)</t>
  </si>
  <si>
    <t>11/4 F/R.MET.CTL(H)</t>
  </si>
  <si>
    <t>11/2 F/R.MET.CTL(H)</t>
  </si>
  <si>
    <t>2 F/R.MET.CTL(H)</t>
  </si>
  <si>
    <t>3 F/R.MET.CTL(H)</t>
  </si>
  <si>
    <t>F/R.MET.CTRAL.(M)    3</t>
  </si>
  <si>
    <t>F/R.MET.CTRAL.(M) 1/2</t>
  </si>
  <si>
    <t>F/R.MET.CTRAL.(M) 3/4</t>
  </si>
  <si>
    <t>F/R.MET.CTRAL.(M)   1</t>
  </si>
  <si>
    <t>F/R.MET.CTRAL.(M) 11/4</t>
  </si>
  <si>
    <t>F/R.MET.CTRAL.(M) 11/2</t>
  </si>
  <si>
    <t>F/R.MET.CTRAL.(M)    2</t>
  </si>
  <si>
    <t>1/2 F/R.PLAST.CTL(H)</t>
  </si>
  <si>
    <t>3/4 F/R.PLAST.CTL(H)</t>
  </si>
  <si>
    <t>1 F/R.PLAST.CTL(H)</t>
  </si>
  <si>
    <t>11/4 F/R.PLAST.CTL(H)</t>
  </si>
  <si>
    <t>11/2 F/R.PLAST.CTL(H)</t>
  </si>
  <si>
    <t>2 F/R.PLAST.CTL(H)</t>
  </si>
  <si>
    <t>F/R.MET.EXTREM.(H) 11/2</t>
  </si>
  <si>
    <t>F/R.MET.EXTREM.(H)    2</t>
  </si>
  <si>
    <t>F/R.MET.EXTREM.(M)    2</t>
  </si>
  <si>
    <t>TE H3 45º FUSIÓN</t>
  </si>
  <si>
    <t>1"</t>
  </si>
  <si>
    <t>11/4"</t>
  </si>
  <si>
    <t>11/2"</t>
  </si>
  <si>
    <t>2"</t>
  </si>
  <si>
    <t>TE HIDRAULICA</t>
  </si>
  <si>
    <t>45º HHM 90MM REFORZADA</t>
  </si>
  <si>
    <t>90º HHM 90MM REFORZADA</t>
  </si>
  <si>
    <t>REDUCCION 90º 40X32 TIGRE</t>
  </si>
  <si>
    <t>TE PISO</t>
  </si>
  <si>
    <t>130 MM ALTO CAUDAL</t>
  </si>
  <si>
    <t>NORMAL 200MM ALTO CAUDAL</t>
  </si>
  <si>
    <t>TE PROLONG.H3</t>
  </si>
  <si>
    <t>TE R/HEMBRA MET.</t>
  </si>
  <si>
    <t>20x1/2 FUSION TIGRE*</t>
  </si>
  <si>
    <t>TE R/MACHO MET.</t>
  </si>
  <si>
    <t>25x20 FUSION TIGRE</t>
  </si>
  <si>
    <t>32x20 FUSION TIGRE</t>
  </si>
  <si>
    <t>32x25 FUSION TIGRE</t>
  </si>
  <si>
    <t>40x25 FUSION TIGRE</t>
  </si>
  <si>
    <t>40x32 FUSION TIGRE</t>
  </si>
  <si>
    <t>50x32 FUSION TIGRE</t>
  </si>
  <si>
    <t>50x40 FUSION TIGRE</t>
  </si>
  <si>
    <t>63x40 FUSION TIGRE</t>
  </si>
  <si>
    <t>63x50 FUSION TIGRE</t>
  </si>
  <si>
    <t>75x50 FUSION TIGRE</t>
  </si>
  <si>
    <t>75x63 FUSION TIGRE</t>
  </si>
  <si>
    <t>110x75 FUSION TIGRE</t>
  </si>
  <si>
    <t>90x63 FUSION TIGRE</t>
  </si>
  <si>
    <t>90x75 FUSION TIGRE</t>
  </si>
  <si>
    <t>TE RED. CENTRAL H3</t>
  </si>
  <si>
    <t>1/2.3/8.1/2 FFF</t>
  </si>
  <si>
    <t>3/4.1/2.3/4 FFF</t>
  </si>
  <si>
    <t>1.1/2.1   FFF</t>
  </si>
  <si>
    <t>1.3/4.1   FFF</t>
  </si>
  <si>
    <t>11/4. 1 .11/4 FFF</t>
  </si>
  <si>
    <t>11/4.3/4.11/4 FFF</t>
  </si>
  <si>
    <t>11/2.11/4.11/2 FFF</t>
  </si>
  <si>
    <t>11/2. 1 .11/2 FFF</t>
  </si>
  <si>
    <t>11/2.3/4.11/2 FFF</t>
  </si>
  <si>
    <t>2.11/2.2    FFF</t>
  </si>
  <si>
    <t>2.11/4.2    FFF</t>
  </si>
  <si>
    <t>2. 1 .2    FFF</t>
  </si>
  <si>
    <t>3. 2 .3    FFF</t>
  </si>
  <si>
    <t>3.21/2.3    FFF</t>
  </si>
  <si>
    <t>TE RED.CTL F/R MET</t>
  </si>
  <si>
    <t>1/2.3/8.1/2 (H) H3</t>
  </si>
  <si>
    <t>1.3/4.1 (H) H3</t>
  </si>
  <si>
    <t>1.1/2.1 (H) H3</t>
  </si>
  <si>
    <t>11/4. 1 .11/4 (H) H3</t>
  </si>
  <si>
    <t>11/4.3/4.11/4 (H) H3</t>
  </si>
  <si>
    <t>11/2.11/4.11/2 (H) H3</t>
  </si>
  <si>
    <t>11/2. 1 .11/2 (H) H3</t>
  </si>
  <si>
    <t>11/2.3/4.11/2 (H) H3</t>
  </si>
  <si>
    <t>2.11/2.2 (H) H3</t>
  </si>
  <si>
    <t>2.11/4.2 (H) H3</t>
  </si>
  <si>
    <t>2. 1 .2 (H) H3</t>
  </si>
  <si>
    <t>3/4.1/2.3/4 (M) H3</t>
  </si>
  <si>
    <t>1.3/4.1 (M)  H3</t>
  </si>
  <si>
    <t>1.1/2.1 (M) H3</t>
  </si>
  <si>
    <t>11/4. 1 .11/4F/R.M(M)</t>
  </si>
  <si>
    <t>11/4.3/4.11/4F/R.M(M)</t>
  </si>
  <si>
    <t>11/2.11/2.11/4F/RM(M)</t>
  </si>
  <si>
    <t>11/2. 1 .11/2F/RM(M)</t>
  </si>
  <si>
    <t>11/2.3/4.11/2 F/RM(M)</t>
  </si>
  <si>
    <t>2.11/2.2   F/RM(M)</t>
  </si>
  <si>
    <t>2.11/4.2   F/RM(M)</t>
  </si>
  <si>
    <t>2. 1 .2   F/RM(M)</t>
  </si>
  <si>
    <t>3. 2 .3   F/RM(M)</t>
  </si>
  <si>
    <t>3. 2 .3   F/RM(H)</t>
  </si>
  <si>
    <t>3/8.1/2.3/8 F/R.M(M)</t>
  </si>
  <si>
    <t>3/8.1/2.3/8 F/RM(H)</t>
  </si>
  <si>
    <t>3/4.1/2.3/4 F/RM(H)</t>
  </si>
  <si>
    <t>TE RED.EXT/EXT. Y CTRAL H3</t>
  </si>
  <si>
    <t>1.1/2.3/4 FFF</t>
  </si>
  <si>
    <t>1.3/4.1/2 FFF</t>
  </si>
  <si>
    <t>1/2. 1 .3/4 FFF</t>
  </si>
  <si>
    <t>3/4.3/8.1/2 FFF</t>
  </si>
  <si>
    <t>TE RED.EXT.</t>
  </si>
  <si>
    <t>20x20x32 FUSION TIGRE</t>
  </si>
  <si>
    <t>25X25x20 FUSION TIGRE</t>
  </si>
  <si>
    <t>32x32X20 FUSION TIGRE</t>
  </si>
  <si>
    <t>32x32X25 FUSION TIGRE</t>
  </si>
  <si>
    <t>TE RED.EXT. Y CTL. H3</t>
  </si>
  <si>
    <t>3/4.1/2.1/2 FFF</t>
  </si>
  <si>
    <t>1.3/4.3/4 FFF</t>
  </si>
  <si>
    <t>1.1/2.1/2 FFF</t>
  </si>
  <si>
    <t>11/4. 1 . 1  FFF</t>
  </si>
  <si>
    <t>11/4.3/4.3/4 FFF</t>
  </si>
  <si>
    <t>11/2.11/4.11/4FFF</t>
  </si>
  <si>
    <t>11/2. 1 . 1 FFF</t>
  </si>
  <si>
    <t>2.11/2.11/2FFF</t>
  </si>
  <si>
    <t>2.11/4.11/4FFF</t>
  </si>
  <si>
    <t>2. 1 . 1 FFF</t>
  </si>
  <si>
    <t>1/2.1/2.3/8 FFF</t>
  </si>
  <si>
    <t>CURVA PARA TUBOS</t>
  </si>
  <si>
    <t>CURVA PARA TUBOS 16MM</t>
  </si>
  <si>
    <t>CURVA PARA TUBOS 20MM</t>
  </si>
  <si>
    <t>TE RED.EXT/EXT H3</t>
  </si>
  <si>
    <t>1/2.3/4.1/2 FFF</t>
  </si>
  <si>
    <t>3/4. 1 .3/4 FFF</t>
  </si>
  <si>
    <t>1/2. 1 .1/2 FFF</t>
  </si>
  <si>
    <t>1.11/4.1   FFF</t>
  </si>
  <si>
    <t>3/4.11/4.3/4 FFF</t>
  </si>
  <si>
    <t>11/4.11/2.11/4FFF</t>
  </si>
  <si>
    <t>1.11/2.1   FFF</t>
  </si>
  <si>
    <t>11/2. 2 .11/2FFF</t>
  </si>
  <si>
    <t>11/4. 2 .11/4FFF</t>
  </si>
  <si>
    <t>1. 2 .1   FFF</t>
  </si>
  <si>
    <t>3/8.1/2.3/8 FFF</t>
  </si>
  <si>
    <t>TE RED.EXTR.H3</t>
  </si>
  <si>
    <t>3/4.3/4.1/2 FFF</t>
  </si>
  <si>
    <t>1. 1 .3/4 FFF</t>
  </si>
  <si>
    <t>1. 1 .1/2 FFF</t>
  </si>
  <si>
    <t>11/4.11/4.1 FFF</t>
  </si>
  <si>
    <t>11/2.11/2.11/4 FFF</t>
  </si>
  <si>
    <t>2.   2.11/2 FFF</t>
  </si>
  <si>
    <t>TRANSICION H3 - PP RANDOM</t>
  </si>
  <si>
    <t>1/2 (H) X 20MM (M)</t>
  </si>
  <si>
    <t>TE RED.EXTyCTL.</t>
  </si>
  <si>
    <t>32x25x25 FUSION TIGRE</t>
  </si>
  <si>
    <t>32x20x25 FUSION TIGRE</t>
  </si>
  <si>
    <t>32x25x20 FUSION TIGRE</t>
  </si>
  <si>
    <t>32x20x20 FUSION TIGRE</t>
  </si>
  <si>
    <t>25x20x20 FUSION TIGRE</t>
  </si>
  <si>
    <t>TE RED.PROL.CTL</t>
  </si>
  <si>
    <t>TECLA</t>
  </si>
  <si>
    <t>TAPA UNIV/ DEP/ EMB. MOD. SUMA</t>
  </si>
  <si>
    <t>PORTA REJ. ACANAL. AWAD</t>
  </si>
  <si>
    <t>BCE.LAMINADO 8.8 SALIDA 63</t>
  </si>
  <si>
    <t>BCE.LAMINADA 12.12/100</t>
  </si>
  <si>
    <t>BCE.LAMINADA CIEGA 12.12/110</t>
  </si>
  <si>
    <t>BOQUILLA FUSION TIGRE</t>
  </si>
  <si>
    <t>20M</t>
  </si>
  <si>
    <t>25M</t>
  </si>
  <si>
    <t>32M</t>
  </si>
  <si>
    <t>40M</t>
  </si>
  <si>
    <t>50M</t>
  </si>
  <si>
    <t>63M</t>
  </si>
  <si>
    <t>75M</t>
  </si>
  <si>
    <t>90M</t>
  </si>
  <si>
    <t>MONTURA DERIV 90X32</t>
  </si>
  <si>
    <t>TEFLON</t>
  </si>
  <si>
    <t>1/2.10 MTS P.T.F.E</t>
  </si>
  <si>
    <t>1/2.20 MTS. P.T.F.E</t>
  </si>
  <si>
    <t>3/4.10 MTS. P.T.F.E</t>
  </si>
  <si>
    <t>3/4.20MTS P.T.F.E</t>
  </si>
  <si>
    <t>1/2.10MTS AD. P.T.F.E</t>
  </si>
  <si>
    <t>3/4.10MTS AD. P.T.F.E</t>
  </si>
  <si>
    <t>3/4.40MTS AD. P.T.F.E</t>
  </si>
  <si>
    <t>TERRAJA ALUMINIO HIDRO3</t>
  </si>
  <si>
    <t>1/2"</t>
  </si>
  <si>
    <t>3/4"</t>
  </si>
  <si>
    <t>BOQUILLA H3 FUSION</t>
  </si>
  <si>
    <t>kit (21/2-3-4-5)</t>
  </si>
  <si>
    <t>5 F</t>
  </si>
  <si>
    <t>21/2  F</t>
  </si>
  <si>
    <t>3/8 F</t>
  </si>
  <si>
    <t>3 F</t>
  </si>
  <si>
    <t>11/4 F</t>
  </si>
  <si>
    <t>11/2 F</t>
  </si>
  <si>
    <t>2 F</t>
  </si>
  <si>
    <t>1/2 F</t>
  </si>
  <si>
    <t>3/4 F</t>
  </si>
  <si>
    <t>1 F</t>
  </si>
  <si>
    <t>PRESURIZACION</t>
  </si>
  <si>
    <t>SMART PRESS WG ,5 HP S/CABLES</t>
  </si>
  <si>
    <t>SCALA2</t>
  </si>
  <si>
    <t>CMBE TWIN 3-62 1X230 50/60 Hz</t>
  </si>
  <si>
    <t>CMBE TWIN 5-62 1X230 50/60 Hz</t>
  </si>
  <si>
    <t>E.SYBOX</t>
  </si>
  <si>
    <t>E.SYTWIN</t>
  </si>
  <si>
    <t>Hydro Press 20</t>
  </si>
  <si>
    <t>Hydro Press 30</t>
  </si>
  <si>
    <t>CMBE 5-62</t>
  </si>
  <si>
    <t>CMBE 10-54</t>
  </si>
  <si>
    <t>BULK SENSOR DE FLUJO UPA 120</t>
  </si>
  <si>
    <t>HYDRO MULTI-E CME 10-3</t>
  </si>
  <si>
    <t>K40/19  PRESS DAB</t>
  </si>
  <si>
    <t>MINI E.SYBOX</t>
  </si>
  <si>
    <t>K40/22 PRESS DAB</t>
  </si>
  <si>
    <t>SCALA1 3-25</t>
  </si>
  <si>
    <t>SCALA1 3-35</t>
  </si>
  <si>
    <t>SCALA1 3-45</t>
  </si>
  <si>
    <t>SCALA1 5-25</t>
  </si>
  <si>
    <t>SCALA1 5-55</t>
  </si>
  <si>
    <t>HYDRO MULTI-E CME 10-3 U2 A-A</t>
  </si>
  <si>
    <t>UPA 15-90-160 BLACK (A)</t>
  </si>
  <si>
    <t>UPA 120 230V 50Hz BLACK (A)</t>
  </si>
  <si>
    <t>SCALA1 3-25 TWIN</t>
  </si>
  <si>
    <t>SCALA1 3-35 TWIN</t>
  </si>
  <si>
    <t>SCALA1 3-45 TWIN</t>
  </si>
  <si>
    <t>SCALA1 5-25 TWIN</t>
  </si>
  <si>
    <t>SCALA1 5-55 TWIN</t>
  </si>
  <si>
    <t>ACCESORIOS TWIN</t>
  </si>
  <si>
    <t>TERRAJA  HIDRO3</t>
  </si>
  <si>
    <t>TIRA PPN HIDRO3</t>
  </si>
  <si>
    <t>1/2 X 6M AGUA FRIA* (A)</t>
  </si>
  <si>
    <t>3/4 X 6M AGUA FRIA* (A)</t>
  </si>
  <si>
    <t xml:space="preserve"> 1 X 6M AGUA FRIA* (A)</t>
  </si>
  <si>
    <t>11/4 X 6M AGUA FRIA* (A)</t>
  </si>
  <si>
    <t>11/2 X 6M AGUA FRIA* (A)</t>
  </si>
  <si>
    <t>2 X 6M AGUA FRIA (A)</t>
  </si>
  <si>
    <t>21/2 X 6M AGUA FRIA* (A)</t>
  </si>
  <si>
    <t>3 X 6M AGUA FRIA (A)</t>
  </si>
  <si>
    <t>4 X 6M AGUA FRIA (A)</t>
  </si>
  <si>
    <t>5 X 6MTS AGUA FRIA (A)</t>
  </si>
  <si>
    <t>TIRA FUSION</t>
  </si>
  <si>
    <t>20 PN20 TIGRE AC (A)</t>
  </si>
  <si>
    <t>25 PN20 TIGRE AC (A)</t>
  </si>
  <si>
    <t>32 PN20 TIGRE AC (A)</t>
  </si>
  <si>
    <t>40 PN20 TIGRE AC (A)</t>
  </si>
  <si>
    <t>50 PN20 TIGRE AC (A)</t>
  </si>
  <si>
    <t>63 PN20 TIGRE AC (A)</t>
  </si>
  <si>
    <t>75 PN20TIGRE AC (A)</t>
  </si>
  <si>
    <t>90 PN20 TIGRE AC (A)</t>
  </si>
  <si>
    <t>20 PN12.5 TIGRE (A)</t>
  </si>
  <si>
    <t>25 PN12.5 TIGRE (A)</t>
  </si>
  <si>
    <t>32 PN12.5 TIGRE (A)</t>
  </si>
  <si>
    <t>40 PN12.5 TIGRE (A)</t>
  </si>
  <si>
    <t>50 PN12.5 TIGRE (A)</t>
  </si>
  <si>
    <t>63 PN12.5 TIGRE (A)</t>
  </si>
  <si>
    <t>75 PN12.5 TIGRE (A)</t>
  </si>
  <si>
    <t>90 PN12.5 TIGRE (A)</t>
  </si>
  <si>
    <t>BETA 110  PN 12.5 (A)</t>
  </si>
  <si>
    <t>20 PN25 TIGRE AT (A)</t>
  </si>
  <si>
    <t>25 PN25 TIGRE AT (A)</t>
  </si>
  <si>
    <t>32 PN25 TIGRE AT (A)</t>
  </si>
  <si>
    <t>40 PN25 TIGRE AT (A)</t>
  </si>
  <si>
    <t>50 PN25 TIGRE AT (A)</t>
  </si>
  <si>
    <t>63 PN25 TIGRE AT (A)</t>
  </si>
  <si>
    <t>75 PN25 TIGRE AT (A)</t>
  </si>
  <si>
    <t>90 PN25 TIGRE AT (A)</t>
  </si>
  <si>
    <t>BETA 110 PN 20 (A)</t>
  </si>
  <si>
    <t>BOQUILLA MONTURA DERIV.</t>
  </si>
  <si>
    <t>2.1</t>
  </si>
  <si>
    <t>21/2.1</t>
  </si>
  <si>
    <t>3.1</t>
  </si>
  <si>
    <t>4.1</t>
  </si>
  <si>
    <t>1/2 X 6MTS* AGUA CALIENTE (A)</t>
  </si>
  <si>
    <t>3/4 X 6MTS* AGUA CALIENTE (A)</t>
  </si>
  <si>
    <t>1 X 6MTS* AGUA CALIENTE (A)</t>
  </si>
  <si>
    <t>11/4 X 6MTS* AGUA CALIENTE (A)</t>
  </si>
  <si>
    <t>11/2 X 6MTS* AGUA CALIENTE (A)</t>
  </si>
  <si>
    <t>2 X 6MTS* AGUA CALIENTE (A)</t>
  </si>
  <si>
    <t>21/2 X 6MTS AGUA CALIENTE (A)</t>
  </si>
  <si>
    <t>3 X 6MTS AGUA CALIENTE (A)</t>
  </si>
  <si>
    <t>4 X 6MTS AGUA CALIENTE (A)</t>
  </si>
  <si>
    <t>5 X 6MTS AGUA CALIENTE (A)</t>
  </si>
  <si>
    <t>CENTRIFUGAS</t>
  </si>
  <si>
    <t>K 20/41 M</t>
  </si>
  <si>
    <t>K 30/70 M</t>
  </si>
  <si>
    <t>K 30/70 T</t>
  </si>
  <si>
    <t>K 30/100 M</t>
  </si>
  <si>
    <t>K 30/100 T</t>
  </si>
  <si>
    <t>K 36/100 M</t>
  </si>
  <si>
    <t>K 36/100 T</t>
  </si>
  <si>
    <t>K 12/200 T</t>
  </si>
  <si>
    <t>K 36/200 T</t>
  </si>
  <si>
    <t>K 40/200 T</t>
  </si>
  <si>
    <t>K 14/400 M</t>
  </si>
  <si>
    <t>K 14/400 T</t>
  </si>
  <si>
    <t>K 11/500 T</t>
  </si>
  <si>
    <t>K 18/500 T</t>
  </si>
  <si>
    <t>K 28/500 T</t>
  </si>
  <si>
    <t>K 40/400 T</t>
  </si>
  <si>
    <t>K 50/400 T</t>
  </si>
  <si>
    <t>K 30/800 T</t>
  </si>
  <si>
    <t>K 40/800 T</t>
  </si>
  <si>
    <t>K 50/800 T</t>
  </si>
  <si>
    <t>K 20/1200 T</t>
  </si>
  <si>
    <t>K 25/1200 T</t>
  </si>
  <si>
    <t>K 35/1200 T</t>
  </si>
  <si>
    <t>K 55/50 M C/ DOBLE IMPULSOR</t>
  </si>
  <si>
    <t>K 55/50 T  C/ DOBLE IMPULSOR</t>
  </si>
  <si>
    <t>K 45/50 M C/ DOBLE IMPULSOR</t>
  </si>
  <si>
    <t>K 45/50 T C/ DOBLE IMPULSOR</t>
  </si>
  <si>
    <t>K 55/100 T C/ DOBLE IMPULSOR</t>
  </si>
  <si>
    <t>K 66/100 T C/ DOBLE IMPULSOR</t>
  </si>
  <si>
    <t>K 90/100 T C/ DOBLE IMPULSOR</t>
  </si>
  <si>
    <t>K 70/300 T</t>
  </si>
  <si>
    <t>K 80/300 T</t>
  </si>
  <si>
    <t>JET 62 M</t>
  </si>
  <si>
    <t>JET 82 M</t>
  </si>
  <si>
    <t>JET 102 M</t>
  </si>
  <si>
    <t>JETINOX 82 M</t>
  </si>
  <si>
    <t>JETINOX 102 M</t>
  </si>
  <si>
    <t>JETINOX 132 M</t>
  </si>
  <si>
    <t>JETCOM 82 M</t>
  </si>
  <si>
    <t>JETCOM 102 M</t>
  </si>
  <si>
    <t>JETCOM 92 M</t>
  </si>
  <si>
    <t>JETCOM 132 M</t>
  </si>
  <si>
    <t>JETCOM 132 T</t>
  </si>
  <si>
    <t>K 70/400T</t>
  </si>
  <si>
    <t>K 80/400 T</t>
  </si>
  <si>
    <t>EURO 50/50M</t>
  </si>
  <si>
    <t>EUROINOX 25/30 M</t>
  </si>
  <si>
    <t>EUROINOX 50/50 M</t>
  </si>
  <si>
    <t>NK 80-160/167</t>
  </si>
  <si>
    <t>NB 40-250/230AAF2AESBAQEOW1</t>
  </si>
  <si>
    <t>EUROINOX 50/50 T</t>
  </si>
  <si>
    <t>NB 50-250/263AAF2AESBAQESW1</t>
  </si>
  <si>
    <t>PISCINAS</t>
  </si>
  <si>
    <t>EUROSWIM 50 M</t>
  </si>
  <si>
    <t>EUROSWIM 75 M</t>
  </si>
  <si>
    <t>EUROSWIM 75 T</t>
  </si>
  <si>
    <t>EUROSWIM 100 M</t>
  </si>
  <si>
    <t>EUROSWIM 100 T</t>
  </si>
  <si>
    <t>EUROSWIM 150 M</t>
  </si>
  <si>
    <t>EUROSWIM 150 T</t>
  </si>
  <si>
    <t>EUROSWIM 200 M</t>
  </si>
  <si>
    <t>EUROSWIM 200 T</t>
  </si>
  <si>
    <t>EUROSWIM 300 M</t>
  </si>
  <si>
    <t>EUROSWIM 300 T</t>
  </si>
  <si>
    <t>BOMBA P/PISCINAS BA500</t>
  </si>
  <si>
    <t>BOMBA P/PISCINAS BA750</t>
  </si>
  <si>
    <t>CENTRIFUGA HORIZ. MULTIETAPA</t>
  </si>
  <si>
    <t>CM 1-3 MONOF.</t>
  </si>
  <si>
    <t>CM 1-4 MONOF.</t>
  </si>
  <si>
    <t>CM1-8 MONOF.</t>
  </si>
  <si>
    <t>CM 3-3 MONOF.</t>
  </si>
  <si>
    <t>CM 3-4 MONOF.</t>
  </si>
  <si>
    <t>CM 3-5 MONOF.</t>
  </si>
  <si>
    <t>CM 3-6 MONOF.</t>
  </si>
  <si>
    <t>CM 5-3 MONOF.</t>
  </si>
  <si>
    <t>CM 5-5 MONOF.</t>
  </si>
  <si>
    <t>CM 10-3 MONOF.</t>
  </si>
  <si>
    <t>CM 1-3 TRIF.</t>
  </si>
  <si>
    <t>CM 3-3 TRIF.</t>
  </si>
  <si>
    <t>CM 3-4 TRIF.</t>
  </si>
  <si>
    <t>CM 3-5 TRIF.</t>
  </si>
  <si>
    <t>CM 5-5 TRIF.</t>
  </si>
  <si>
    <t>CM 10-3 TRIF.</t>
  </si>
  <si>
    <t>CENT, MULTICELULAR VERTICAL</t>
  </si>
  <si>
    <t>CR1s -15</t>
  </si>
  <si>
    <t>CR 1-25</t>
  </si>
  <si>
    <t>CR 1-27</t>
  </si>
  <si>
    <t>CR 3-29 2.2KW T</t>
  </si>
  <si>
    <t>CR5-16</t>
  </si>
  <si>
    <t>CR 5-29</t>
  </si>
  <si>
    <t>CR10-10 3X230/400 50HZ</t>
  </si>
  <si>
    <t>CR15-3 3X230/400 50HZ</t>
  </si>
  <si>
    <t>TIRA PPN BICAPA.</t>
  </si>
  <si>
    <t>4X4  1/2.6MTS</t>
  </si>
  <si>
    <t>4X4  3/4.6MTS</t>
  </si>
  <si>
    <t>4X4    1.6MTS</t>
  </si>
  <si>
    <t>4X4 11/4.6MTS</t>
  </si>
  <si>
    <t>4X4 11/2.6MTS</t>
  </si>
  <si>
    <t>4X4 2". 6MTS</t>
  </si>
  <si>
    <t>CENTRIFUGA LINEA H</t>
  </si>
  <si>
    <t>H330 CTP</t>
  </si>
  <si>
    <t>H750 CTP</t>
  </si>
  <si>
    <t>H1000 CTP</t>
  </si>
  <si>
    <t>H-500</t>
  </si>
  <si>
    <t>H-750</t>
  </si>
  <si>
    <t>H-1000</t>
  </si>
  <si>
    <t>H-1000 F</t>
  </si>
  <si>
    <t>H-1000 TRIFASICA</t>
  </si>
  <si>
    <t>H-1000F TRIFASICA</t>
  </si>
  <si>
    <t>H-1500 TRIFASICA</t>
  </si>
  <si>
    <t>SIST PRESURIZADOR</t>
  </si>
  <si>
    <t>BAJO TANQUE BAT3</t>
  </si>
  <si>
    <t>BAJO TANQUE BAT4</t>
  </si>
  <si>
    <t>BAJO TANQUE BAT5</t>
  </si>
  <si>
    <t>P/ TANQUE CISTERNA CST3</t>
  </si>
  <si>
    <t>P/ TANQUE CISTERNA CST4</t>
  </si>
  <si>
    <t>P/ TANQUE CISTERNA CST5</t>
  </si>
  <si>
    <t>P/ TANQUE CISTERNA CST6</t>
  </si>
  <si>
    <t>ELEVADORA INTELIGENTE</t>
  </si>
  <si>
    <t>SMART 500</t>
  </si>
  <si>
    <t>SMART 750</t>
  </si>
  <si>
    <t>ALUMINIO 1/2 X 6MTS* (A)</t>
  </si>
  <si>
    <t>ALUMINIO  3/4 X 6MTS* (A)</t>
  </si>
  <si>
    <t>ALUMINIO  1 X 6MTS* (A)</t>
  </si>
  <si>
    <t>ALUMINIO 11/4 X 6MTS (A)</t>
  </si>
  <si>
    <t>ALUMINIO 11/2 X 6MTS (A)</t>
  </si>
  <si>
    <t>ALUMINIO    2 X 6MTS (A)</t>
  </si>
  <si>
    <t>PORTARREJA AWAD</t>
  </si>
  <si>
    <t>20X20 PIRAMIDAL SAL. 160</t>
  </si>
  <si>
    <t>PERIFERICA</t>
  </si>
  <si>
    <t>KPF 30/16 M_x001F__x001F_</t>
  </si>
  <si>
    <t>KPS 30/16 M</t>
  </si>
  <si>
    <t>TIRA PPN UNIFUSION</t>
  </si>
  <si>
    <t>3/8 X 4 MTS (A)</t>
  </si>
  <si>
    <t>1/2 X 4 MTS. (A)</t>
  </si>
  <si>
    <t>3/4 X 4 MTS. (A)</t>
  </si>
  <si>
    <t>1 X 4 MTS. (A)</t>
  </si>
  <si>
    <t>11/4 X 4 MTS. (A)</t>
  </si>
  <si>
    <t>11/2 X 4 MTS (A)</t>
  </si>
  <si>
    <t>2 X 4 MTS (A)</t>
  </si>
  <si>
    <t>TIRA PPN BICAPA</t>
  </si>
  <si>
    <t>TIRA TUBILENO</t>
  </si>
  <si>
    <t>1/2 X 6MTS*</t>
  </si>
  <si>
    <t>3/4 X 6MTS*</t>
  </si>
  <si>
    <t>1 X 6MTS*</t>
  </si>
  <si>
    <t>11/4 X 6MTS</t>
  </si>
  <si>
    <t>11/2 X 6MTS</t>
  </si>
  <si>
    <t>2 X 6MTS</t>
  </si>
  <si>
    <t>SUMERGIBLE</t>
  </si>
  <si>
    <t>NOVA 180 M-A (A)</t>
  </si>
  <si>
    <t>NOVA 300 M-A (A)</t>
  </si>
  <si>
    <t>NOVA 600 M-A (A)</t>
  </si>
  <si>
    <t>FEKA 300 M-A (A)</t>
  </si>
  <si>
    <t>FEKA 600 M-A (A)</t>
  </si>
  <si>
    <t>VERTY NOVA 400 M (A)</t>
  </si>
  <si>
    <t>FEKA VS 550 M-A (A)</t>
  </si>
  <si>
    <t>FEKA VS 750 M-A (A)</t>
  </si>
  <si>
    <t>FEKA VS 1000 M-A (A)</t>
  </si>
  <si>
    <t>FEKA VS 1000 T-NA (A)</t>
  </si>
  <si>
    <t>FEKA VS 1200 M-A (A)</t>
  </si>
  <si>
    <t>FEKA VS 1200 T-NA (A)</t>
  </si>
  <si>
    <t>UNILIFT AP 12.40.04.A1</t>
  </si>
  <si>
    <t>UNILIFT AP 12.40.04.1</t>
  </si>
  <si>
    <t>UNILIFT AP 12.40.04.3</t>
  </si>
  <si>
    <t>UNILIFT AP 12.40.06.A1</t>
  </si>
  <si>
    <t>UNILIFT AP 12.40.08.1</t>
  </si>
  <si>
    <t>UNILIFT AP 12.40.08.3</t>
  </si>
  <si>
    <t>UNILIFT AP 12.50.11.A1</t>
  </si>
  <si>
    <t>UNILIFT AP 12.50.11.3</t>
  </si>
  <si>
    <t>UNILIFT AP 50.50.08.3</t>
  </si>
  <si>
    <t>UNILIFT AP 50B.50.11.1</t>
  </si>
  <si>
    <t>UNILIFT AP 50B.50.11.3</t>
  </si>
  <si>
    <t>UNILIFT AP 50B.50.15.3</t>
  </si>
  <si>
    <t>UNILIFT KP 150-A-1  0.5 HP</t>
  </si>
  <si>
    <t>UNILIFT KP 150-M-1  0.5 HP</t>
  </si>
  <si>
    <t>UNILIFT KP 250-A-1  0.75 HP</t>
  </si>
  <si>
    <t>UNILIFT KP 250-M-1  0.75 HP</t>
  </si>
  <si>
    <t>UNILIFT KP 350-A-1  1 HP</t>
  </si>
  <si>
    <t>UNILIFT KP 350-M-1  1 HP</t>
  </si>
  <si>
    <t>SQFLEX 1-8 3" CENTRIFUGA</t>
  </si>
  <si>
    <t>SQFLEX. 0.6-2  3" HELICOIDAL</t>
  </si>
  <si>
    <t>SQFLEX. 0.6-3  3" HELICOIDAL</t>
  </si>
  <si>
    <t>SQFLEX. 1.2-2  3" HELICOIDAL</t>
  </si>
  <si>
    <t>SQFLEX. 1.2-3  3" HELICOIDAL</t>
  </si>
  <si>
    <t>SQFLEX. 2.5-2   4" CENTRIFUGA</t>
  </si>
  <si>
    <t>SQFLEX. 3A-10  4" CENTRIFUGA</t>
  </si>
  <si>
    <t>SQFLEX. 5A-3 4" CENTRIFUGA</t>
  </si>
  <si>
    <t>SQFLEX. 5A-7   4" CENTRIFUGA</t>
  </si>
  <si>
    <t>SQFLEX 7-4RP 11/2 4" CPL.CENTR</t>
  </si>
  <si>
    <t>SQFLEX. 9-3RP2 CPL  4" CENTR.</t>
  </si>
  <si>
    <t>SQFLEX. 14-3 RP2 CPL 4" CENTR.</t>
  </si>
  <si>
    <t>SQFLEX. 8-5   4" CENTRIFUGA</t>
  </si>
  <si>
    <t>SQFLEX. 11A-3  4" CENTRIFUGA</t>
  </si>
  <si>
    <t>CAJA CONEXION IO-50</t>
  </si>
  <si>
    <t>CAJA CONEXION IO-101</t>
  </si>
  <si>
    <t>CAJA CONEXION CU 200</t>
  </si>
  <si>
    <t>ANODO DE SACRIFICIO P/SQF</t>
  </si>
  <si>
    <t>BOMBA PARA EFLUENTES</t>
  </si>
  <si>
    <t>SEG.40.31.2.50B</t>
  </si>
  <si>
    <t>SEG.40.40.2.50B</t>
  </si>
  <si>
    <t>SL1.50.65.11.2.50B 3X400V 50Hz</t>
  </si>
  <si>
    <t>SL1.50.65.15.2.50.B</t>
  </si>
  <si>
    <t>SL 1.50.65.22.2.50D</t>
  </si>
  <si>
    <t>SL V.65.65.11.2.50B</t>
  </si>
  <si>
    <t>SL1.80.80.22.4.50D.C</t>
  </si>
  <si>
    <t>TRAMPA PARA HOJAS</t>
  </si>
  <si>
    <t>P/CANALETA</t>
  </si>
  <si>
    <t>SUMERGIBLE P/ POZO</t>
  </si>
  <si>
    <t>SQ 1-35</t>
  </si>
  <si>
    <t>SQ 1-50</t>
  </si>
  <si>
    <t>SQ 1-65</t>
  </si>
  <si>
    <t>SQ 1-80</t>
  </si>
  <si>
    <t>SQ 1-95</t>
  </si>
  <si>
    <t>SQ 1-110</t>
  </si>
  <si>
    <t>SQ 1-125</t>
  </si>
  <si>
    <t>SQ 1-140</t>
  </si>
  <si>
    <t>SQ 1-155</t>
  </si>
  <si>
    <t>SQ 2-35</t>
  </si>
  <si>
    <t>SQ 2-55</t>
  </si>
  <si>
    <t>SQ 2-70</t>
  </si>
  <si>
    <t>SQ 2-85</t>
  </si>
  <si>
    <t>SQ 2-100</t>
  </si>
  <si>
    <t>SQ 2-115</t>
  </si>
  <si>
    <t>SQ 3-40</t>
  </si>
  <si>
    <t>SQ 3-55</t>
  </si>
  <si>
    <t>SQ 3-80</t>
  </si>
  <si>
    <t>SQ 5-25</t>
  </si>
  <si>
    <t>SQ 5-35</t>
  </si>
  <si>
    <t>SQ 5-50</t>
  </si>
  <si>
    <t>S4 2/20 MONOFASICA (A)</t>
  </si>
  <si>
    <t>S4 3/25 MONOFASICA (A)</t>
  </si>
  <si>
    <t>S4 4/7 MONOFASICA (A)</t>
  </si>
  <si>
    <t>S4 4/9 MONOFASICA (A)</t>
  </si>
  <si>
    <t>S4 4/14 MONOFASICA (A)</t>
  </si>
  <si>
    <t>S4 4/19 MONOFASICA (A)</t>
  </si>
  <si>
    <t>S4 8/4 MONOFASICA (A)</t>
  </si>
  <si>
    <t>S4 8/6 MONOFASICA (A)</t>
  </si>
  <si>
    <t>S4 8/8 MONOFASICA (A)</t>
  </si>
  <si>
    <t>S4 8/13 MONOFASICA (A)</t>
  </si>
  <si>
    <t>S4 2/20 TRIFASICA (A)</t>
  </si>
  <si>
    <t>S4 4/9 TRIFASICA (A)</t>
  </si>
  <si>
    <t>S4 4/14 TRIFASICA (A)</t>
  </si>
  <si>
    <t>S4 4/19 TRIFASICA (A)</t>
  </si>
  <si>
    <t>S4 8/4 TRIFASICA (A)</t>
  </si>
  <si>
    <t>S4 8/6 TRIFASICA (A)</t>
  </si>
  <si>
    <t>S4 8/8 TRIFASICA (A)</t>
  </si>
  <si>
    <t>S4 8/13 TRIFASICA (A)</t>
  </si>
  <si>
    <t>S4 16/8 TRIFASICA (A)</t>
  </si>
  <si>
    <t>S 8/17 TRIFASICA (A)</t>
  </si>
  <si>
    <t>S4 16/11 TRIFASICA (A)</t>
  </si>
  <si>
    <t>S4 16/15 TRIFASICA (A)</t>
  </si>
  <si>
    <t>S4 16/20 TRIFASICA (A)</t>
  </si>
  <si>
    <t>TRANSICION AWADUCT</t>
  </si>
  <si>
    <t>40.11/4</t>
  </si>
  <si>
    <t>50.11/2</t>
  </si>
  <si>
    <t>HIERRO FUNDIDO/AWADUCT 63</t>
  </si>
  <si>
    <t>(M) A H°F°(H) 110*</t>
  </si>
  <si>
    <t>HIERRO FUNDIDO/AWADUCT 110</t>
  </si>
  <si>
    <t>GOLLETE (40) 35-40</t>
  </si>
  <si>
    <t>GOLLETE (50) 45-50</t>
  </si>
  <si>
    <t>GOLLETE (63) 59-80</t>
  </si>
  <si>
    <t>GOLLETE (110) 97-120</t>
  </si>
  <si>
    <t>TUBO 1.8</t>
  </si>
  <si>
    <t>60.4MTS (A)</t>
  </si>
  <si>
    <t>100.4MTS (A)</t>
  </si>
  <si>
    <t>TUBO AWADUCT</t>
  </si>
  <si>
    <t>40 X 0,25M (1,8)</t>
  </si>
  <si>
    <t>40 X 0,50M (1,8)*</t>
  </si>
  <si>
    <t>40 X 0,75M (1,8)</t>
  </si>
  <si>
    <t>40 X 1,00M (1,8)*</t>
  </si>
  <si>
    <t>40 X 1,50M (1,8) (A)</t>
  </si>
  <si>
    <t>40 X 2,00M (1,8)* (A)</t>
  </si>
  <si>
    <t>40 X 3,00M (1,8) (A)</t>
  </si>
  <si>
    <t>40 X 4,00M (1,8)* (A)</t>
  </si>
  <si>
    <t>50 X 0,25M (1,8)</t>
  </si>
  <si>
    <t>50 X 0,50M (1,8)</t>
  </si>
  <si>
    <t>50 X 0,75M (1,8)</t>
  </si>
  <si>
    <t>50 X 1,00M (1,8)*</t>
  </si>
  <si>
    <t>50 X 1,50M (1,8) (A)</t>
  </si>
  <si>
    <t>50 X 2,00M (1,8) (A)</t>
  </si>
  <si>
    <t>50 X 3,00M (1,8) (A)</t>
  </si>
  <si>
    <t>50 X 4,00M (1,8)* (A)</t>
  </si>
  <si>
    <t>63 X 0,25M (1,8)</t>
  </si>
  <si>
    <t>63 X 0,50M (1,8)*</t>
  </si>
  <si>
    <t>63 X 0,75M (1,8)</t>
  </si>
  <si>
    <t>63 X 1,00M (1,8)*</t>
  </si>
  <si>
    <t>63 X 1,50M (1,8) (A)</t>
  </si>
  <si>
    <t>63 X 2,00M (1,8)* (A)</t>
  </si>
  <si>
    <t>63 X 3,00M (1,8)* (A)</t>
  </si>
  <si>
    <t>63 X 4,00M (1,8)* (A)</t>
  </si>
  <si>
    <t>110 X 0,25M (1,8)*</t>
  </si>
  <si>
    <t>110 X 0,50M (2,7)*</t>
  </si>
  <si>
    <t>110 X 0,75M (2,7)</t>
  </si>
  <si>
    <t>110 X 1,00M (2,7)*</t>
  </si>
  <si>
    <t>110 X 1,50M (2,7) (A)</t>
  </si>
  <si>
    <t>110 X 2,00M (2,7)* (A)</t>
  </si>
  <si>
    <t>110 X 3,00M (2,7)* (A)</t>
  </si>
  <si>
    <t>110 X 4,00M (2,7) (A)</t>
  </si>
  <si>
    <t>110 X 6,00M (2,7) (A)</t>
  </si>
  <si>
    <t>110 X 2.7 M (1,8) (A)</t>
  </si>
  <si>
    <t>110 X 4 MTS. RIGID. (A)</t>
  </si>
  <si>
    <t>110 X 3,00M PLU/VENTIL (A)</t>
  </si>
  <si>
    <t>110 X 4,00M PLU/VENTIL (A)</t>
  </si>
  <si>
    <t>32 X 3.00M (1,8) (A)</t>
  </si>
  <si>
    <t>75 X 0,50M (1,9)</t>
  </si>
  <si>
    <t>75 X 1.00M (1.9)</t>
  </si>
  <si>
    <t>75 X 2.00M (1,9) (A)</t>
  </si>
  <si>
    <t>75 X 3.00M (1,9) (A)</t>
  </si>
  <si>
    <t>160 X 3,00M (3,9) (A)</t>
  </si>
  <si>
    <t>160 X 4,00M (3,9) (A)</t>
  </si>
  <si>
    <t>160 X 6,00M (3,9) (A)</t>
  </si>
  <si>
    <t>160 X 0,25M (3,9)</t>
  </si>
  <si>
    <t>160 X 0,50M (3,9)</t>
  </si>
  <si>
    <t>160 X 1M (3,9)</t>
  </si>
  <si>
    <t>160 X 4M INTEMPERIE (A)</t>
  </si>
  <si>
    <t>3 MTS.TIGRE-STYLE</t>
  </si>
  <si>
    <t>TUBO CLOACAL</t>
  </si>
  <si>
    <t>110x2 JE (A)</t>
  </si>
  <si>
    <t>40x2 JE (A)</t>
  </si>
  <si>
    <t>50x2 JE (A)</t>
  </si>
  <si>
    <t>63x2 JE (A)</t>
  </si>
  <si>
    <t>110x1 JE</t>
  </si>
  <si>
    <t>40x1 JE</t>
  </si>
  <si>
    <t>50x1 JE</t>
  </si>
  <si>
    <t>63x1 JE</t>
  </si>
  <si>
    <t>40x3 JE (A)</t>
  </si>
  <si>
    <t>50x3 JE (A)</t>
  </si>
  <si>
    <t>63x3 JE (A)</t>
  </si>
  <si>
    <t>110x3 JE (A)</t>
  </si>
  <si>
    <t>160x3 JE (A)</t>
  </si>
  <si>
    <t>40x4 JE (A)</t>
  </si>
  <si>
    <t>50x4 JE (A)</t>
  </si>
  <si>
    <t>63x4 JE (A)</t>
  </si>
  <si>
    <t>110 X 1M JE IRAM 2.5MM</t>
  </si>
  <si>
    <t>110 X 2M JE IRAM 2.5MM</t>
  </si>
  <si>
    <t>110 X 3M JE IRAM 2.5MM</t>
  </si>
  <si>
    <t>110 X 4M JE IRAM 2.5MM</t>
  </si>
  <si>
    <t>110 X 6M JE IRAM 2.5MM</t>
  </si>
  <si>
    <t>110x4 JE (A)</t>
  </si>
  <si>
    <t>160x4 JE (A)</t>
  </si>
  <si>
    <t>110x6 JE (A)</t>
  </si>
  <si>
    <t>160x6 JE (A)</t>
  </si>
  <si>
    <t>REJ.BCE.LAMINADO 12.12/110</t>
  </si>
  <si>
    <t>REJ.CIEGA BCE.LAM.15.15/110</t>
  </si>
  <si>
    <t>REJ.CIEGA BCE.LAM.8.8/63</t>
  </si>
  <si>
    <t>HIDROMASAJES Y SPA</t>
  </si>
  <si>
    <t>BOMBA HIDROMAX J5 0.33HP</t>
  </si>
  <si>
    <t>BOMBA HIDROMAX J7 0.5HP</t>
  </si>
  <si>
    <t>BOMBA HIDROMAX J9 0.75HP</t>
  </si>
  <si>
    <t>BOMBA HIDROMAX J12 1.0 HP</t>
  </si>
  <si>
    <t>TUBO DRENA</t>
  </si>
  <si>
    <t>110X4 (118) 3 RANURAS (A)</t>
  </si>
  <si>
    <t>160x4(177) 3 RANURAS (A)</t>
  </si>
  <si>
    <t>110x4  (118) 4  RANURAS (A)</t>
  </si>
  <si>
    <t>160x4 (177) 4  RANURAS (A)</t>
  </si>
  <si>
    <t>110X4 (118) 5 RANURAS (A)</t>
  </si>
  <si>
    <t>160X4 (177)  5 RANURAS (A)</t>
  </si>
  <si>
    <t>TUBO DRENA C/CAMPANA</t>
  </si>
  <si>
    <t>110X4(118)3 RANURAS (A)</t>
  </si>
  <si>
    <t>160X4(118)3 RANURAS (A)</t>
  </si>
  <si>
    <t>110X4(118)4 RANURAS (A)</t>
  </si>
  <si>
    <t>160X4(118)4 RANURAS (A)</t>
  </si>
  <si>
    <t>TUBO C/MEDIA UNION</t>
  </si>
  <si>
    <t>20X1/2 FUSION TIGRE</t>
  </si>
  <si>
    <t>25X3/4 FUSION TIGRE</t>
  </si>
  <si>
    <t xml:space="preserve"> 32X1 FUSION TIGRE</t>
  </si>
  <si>
    <t>TUBO HEMBRA</t>
  </si>
  <si>
    <t>20x3/8 FUSION TIGRE**</t>
  </si>
  <si>
    <t>20x3/4 FUSION TIGRE</t>
  </si>
  <si>
    <t>40x11/4 FUSION TIGRE</t>
  </si>
  <si>
    <t>50x11/2 FUSION TIGRE</t>
  </si>
  <si>
    <t>63x2 FUSION TIGRE</t>
  </si>
  <si>
    <t>75x21/2 FUSION TIGRE</t>
  </si>
  <si>
    <t>90x3 FUSION TIGRE</t>
  </si>
  <si>
    <t>CIRCULADORAS</t>
  </si>
  <si>
    <t>UPS 25-40</t>
  </si>
  <si>
    <t>UPS 25-50</t>
  </si>
  <si>
    <t>UPS 25-60</t>
  </si>
  <si>
    <t>UPS 25-80</t>
  </si>
  <si>
    <t>UPS 32-80</t>
  </si>
  <si>
    <t>UPS 32-80N (Acero Inox)</t>
  </si>
  <si>
    <t>UPS 20-45N (Acero Inox)</t>
  </si>
  <si>
    <t>COMFORT 15-14 - BA PM GB</t>
  </si>
  <si>
    <t>COMFORT 15-14 - BXA PM GB</t>
  </si>
  <si>
    <t>UPS 50-180  1 x230v</t>
  </si>
  <si>
    <t>ALPHA2 25-40 180</t>
  </si>
  <si>
    <t>ALPHA2 25-60 130</t>
  </si>
  <si>
    <t>ALPHA2 32-60 180</t>
  </si>
  <si>
    <t>TUBO HID</t>
  </si>
  <si>
    <t>50.6MTS  CL. 4 (A)</t>
  </si>
  <si>
    <t>63.6MTS  CL. 4 (A)</t>
  </si>
  <si>
    <t>75.6MTS  CL.4 (A)</t>
  </si>
  <si>
    <t>90.6MTS  CL. 4 (A)</t>
  </si>
  <si>
    <t>110.6MTS  CL. 4 (A)</t>
  </si>
  <si>
    <t>40.6MTS  CL 6 (A)</t>
  </si>
  <si>
    <t>50.6MTS  CL 6 (A)</t>
  </si>
  <si>
    <t>63.6MTS  CL 6 (A)</t>
  </si>
  <si>
    <t>75.6MTS  CL 6 (A)</t>
  </si>
  <si>
    <t>90.6MTS  CL 6 (A)</t>
  </si>
  <si>
    <t>110.6MTS  CL 6 (A)</t>
  </si>
  <si>
    <t>140.6MTS  CL 6 (A)</t>
  </si>
  <si>
    <t>POCERO 115.6MT(4.2MM)C/CAB (A)</t>
  </si>
  <si>
    <t>160.6MTS  CL 6 (A)</t>
  </si>
  <si>
    <t>20.6MTS (1,0) CL 10 (A)</t>
  </si>
  <si>
    <t>25.6MTS (1,2) CL 10 (A)</t>
  </si>
  <si>
    <t>32.6MTS (1,6) CL 10 (A)</t>
  </si>
  <si>
    <t>40.6MTS (2,0) CL 10 (A)</t>
  </si>
  <si>
    <t>50.6MTS (2,4) CL 10 (A)</t>
  </si>
  <si>
    <t>63.6MTS (3,0) CL 10 (A)</t>
  </si>
  <si>
    <t>75.6MTS (3,6) CL 10 (A)</t>
  </si>
  <si>
    <t>90.6MTS (4,3) CL 10 (A)</t>
  </si>
  <si>
    <t>110.6MTS (5,3) CL 10 (A)</t>
  </si>
  <si>
    <t>125.6MTS (6,0) CL 10 (A)</t>
  </si>
  <si>
    <t>140.6MTS (6,7) CL10 (A)</t>
  </si>
  <si>
    <t>160.6MTS (7,7) CL 10 (A)</t>
  </si>
  <si>
    <t>250.6MTS (7,7) REFORZADO (A)</t>
  </si>
  <si>
    <t>TANQUE DIAFRAGMA</t>
  </si>
  <si>
    <t>GT-H-18 V</t>
  </si>
  <si>
    <t>GT-H-35 V (33LT)</t>
  </si>
  <si>
    <t>GT-H-60 V</t>
  </si>
  <si>
    <t>GT-H-80 V</t>
  </si>
  <si>
    <t>GT-D-130 V</t>
  </si>
  <si>
    <t>GT-D-200 V</t>
  </si>
  <si>
    <t>GT-D-240 V</t>
  </si>
  <si>
    <t>GT-D-300 V</t>
  </si>
  <si>
    <t>GT-D-450 V</t>
  </si>
  <si>
    <t>TUBO JEI</t>
  </si>
  <si>
    <t>HID 50.6M K10 (2.4) (A)</t>
  </si>
  <si>
    <t>630.6M (18.4) CLO-REFOR. (A)</t>
  </si>
  <si>
    <t>160.6M (4.7) CLO-REFOR. (A)</t>
  </si>
  <si>
    <t>200.6M (5.9) CLO-REFOR. (A)</t>
  </si>
  <si>
    <t>250.6M (7.3) CLO-REFOR. (A)</t>
  </si>
  <si>
    <t>315.6M (9.2) CLO-REFOR. (A)</t>
  </si>
  <si>
    <t>355.6M (10.4) CLO-REFOR. (A)</t>
  </si>
  <si>
    <t>400.6M (11.7) CLO-REFOR. (A)</t>
  </si>
  <si>
    <t>500.6M (14.6) CLO-REFOR. (A)</t>
  </si>
  <si>
    <t>450.6M (13.1) CLO-REFOR. (A)</t>
  </si>
  <si>
    <t>110.6M (3,2) CLOACAL (A)</t>
  </si>
  <si>
    <t>160.6M (3,2) CLOACAL (A)</t>
  </si>
  <si>
    <t>200.6M (4,0) CLOACAL (A)</t>
  </si>
  <si>
    <t>250.6M (4,9) CLOACAL (A)</t>
  </si>
  <si>
    <t>315.6M (6,2) CLOACAL (A)</t>
  </si>
  <si>
    <t>355.6M (7,0) CLOACAL (A)</t>
  </si>
  <si>
    <t>400.6M (7,9) CLOACAL (A)</t>
  </si>
  <si>
    <t>500.6M (9,8) CLOACAL (A)</t>
  </si>
  <si>
    <t>450.6M (8,8) CLOACAL (A)</t>
  </si>
  <si>
    <t>630.6M (12,4)CLOACAL (A)</t>
  </si>
  <si>
    <t>TUBO MACHO</t>
  </si>
  <si>
    <t>32x1 FUSION TIGRE**</t>
  </si>
  <si>
    <t>50x11/2 FUSION TIGRE*</t>
  </si>
  <si>
    <t>75x21/2 FUSION TIGRE*</t>
  </si>
  <si>
    <t>110x4 FUSION TIGRE**</t>
  </si>
  <si>
    <t>TUBO ENCOFRADO</t>
  </si>
  <si>
    <t>250.3MTS ENCOFRADO LISO</t>
  </si>
  <si>
    <t>315.3 MTS. ENCOFRADO LISO</t>
  </si>
  <si>
    <t>200.4MTS. JUNTA PEGADA</t>
  </si>
  <si>
    <t>250.4 MTS 4.9 ENCOFRADO LISO</t>
  </si>
  <si>
    <t>160.4MTS JUNTA PEGADA</t>
  </si>
  <si>
    <t>315.4 MTS ENCOFRADO LISO</t>
  </si>
  <si>
    <t>BRIDA CAMPANA</t>
  </si>
  <si>
    <t>250 C/ARO DE GOMA</t>
  </si>
  <si>
    <t>TUBO RAMAT TIGRE</t>
  </si>
  <si>
    <t>200.4MT CLOACAL C/IRAM(4.0)(A)</t>
  </si>
  <si>
    <t>40.4MT CLOACAL C/IRAM(3.2)(A)</t>
  </si>
  <si>
    <t>50.4MT CLOACAL C/IRAM(3.2)(A)</t>
  </si>
  <si>
    <t>63.4MT CLOACAL C/IRAM(3.2)(A)</t>
  </si>
  <si>
    <t>110.4MT CLOACALC/IRAM(3.2)(A)</t>
  </si>
  <si>
    <t>160.4MT CLOACAL C/IRAM(3.2)(A)</t>
  </si>
  <si>
    <t>TUBO SANIT. TIGRE</t>
  </si>
  <si>
    <t>40.4MTS (1.8) (A)</t>
  </si>
  <si>
    <t>50.4MTS (1.8) (A)</t>
  </si>
  <si>
    <t>63.4MTS (1.8) (A)</t>
  </si>
  <si>
    <t>110.4MTS (2.0) (A)</t>
  </si>
  <si>
    <t>PILETA PATIO 1.8</t>
  </si>
  <si>
    <t>PVC 10.10/60</t>
  </si>
  <si>
    <t>PVC 15.15/60</t>
  </si>
  <si>
    <t>TUBO TERRA</t>
  </si>
  <si>
    <t>100 X 4,00M (A)</t>
  </si>
  <si>
    <t>110(118) X 4,00M (A)</t>
  </si>
  <si>
    <t>160(118) X 4,00M (A)</t>
  </si>
  <si>
    <t>PLUV.VERED.110(118)X4MTS (A)</t>
  </si>
  <si>
    <t>CLAK 110(118)X 4,0M C/CAMP (A</t>
  </si>
  <si>
    <t>CLAK 160(177)X 4,0M C/CAMP(A</t>
  </si>
  <si>
    <t>CLAK C/CAMPANA 110 (118) X 4MT</t>
  </si>
  <si>
    <t>CLAK C/CAMPANA 160 (177) X 4MT</t>
  </si>
  <si>
    <t>CLAK 100X 4,0M C/CAMPANA (A)</t>
  </si>
  <si>
    <t>CLAK 200(218)X4,0 M C/CAM (A</t>
  </si>
  <si>
    <t>200 (218) X 4,00M (A)</t>
  </si>
  <si>
    <t>CABLE</t>
  </si>
  <si>
    <t>SUMERGIBLE 3x2.5MM2 - METRO SQ</t>
  </si>
  <si>
    <t>SUMER.4x1.5MM2 METRO - MK Y SP</t>
  </si>
  <si>
    <t>SUMER.4x2.5MM2.METRO - MK Y SP</t>
  </si>
  <si>
    <t>EMPALME DE CABLE EN MOT 4"</t>
  </si>
  <si>
    <t>EMPALME DE CABLE EN MOT 6"</t>
  </si>
  <si>
    <t>EMPALME DE CABLE EN MOT 8"</t>
  </si>
  <si>
    <t>EMPALME CABLE EN MOT 10" Y 12"</t>
  </si>
  <si>
    <t>SUMER.4x4MM2.METRO - SP Y SPG</t>
  </si>
  <si>
    <t>SUMER.4x6MM2.METRO - SP Y SPG</t>
  </si>
  <si>
    <t>SUMER.4x10MM2.METRO - SP Y SPG</t>
  </si>
  <si>
    <t>SUMER.4x16MM2.METRO - SP Y SPG</t>
  </si>
  <si>
    <t>SUMER 4x25MM2 - METRO SP Y SPG</t>
  </si>
  <si>
    <t>SUMER 4x35MM2 - METRO SP Y SPG</t>
  </si>
  <si>
    <t>POWER FLAT 3x10MM2 - PVC</t>
  </si>
  <si>
    <t>POWER FLAT 3x25MM2 - PVC</t>
  </si>
  <si>
    <t>POWER FLAT 3x35MM2 - PVC</t>
  </si>
  <si>
    <t>POTENCIA PL 3x4mm2 PVC</t>
  </si>
  <si>
    <t>BCA.TIGRE 125 MM</t>
  </si>
  <si>
    <t>TABLERO</t>
  </si>
  <si>
    <t>UNION D.MIX.C/B.</t>
  </si>
  <si>
    <t>110X4 FUSION TIGRE</t>
  </si>
  <si>
    <t>UNION DOBLE FUSION</t>
  </si>
  <si>
    <t>20 FUSION C.MET.TIGRE</t>
  </si>
  <si>
    <t>25 FUSION C. MET.TIGRE</t>
  </si>
  <si>
    <t>32 FUSION C.MET.TIGRE</t>
  </si>
  <si>
    <t>20 FUSION PLASTICO TIGRE</t>
  </si>
  <si>
    <t>25 FUSION PLASTICA TIGRE</t>
  </si>
  <si>
    <t>32 FUSION PLASTICA TIGRE</t>
  </si>
  <si>
    <t>UNION DOBLE C/BRD H3</t>
  </si>
  <si>
    <t>H3    2 FF</t>
  </si>
  <si>
    <t>H3 21/2 FF</t>
  </si>
  <si>
    <t>H3    3 FF</t>
  </si>
  <si>
    <t>H3    4 FF</t>
  </si>
  <si>
    <t>H3  5 FF</t>
  </si>
  <si>
    <t>2 F/R.M(H)</t>
  </si>
  <si>
    <t>21/2 F/R.M(H)</t>
  </si>
  <si>
    <t>3 F/R.M(H)</t>
  </si>
  <si>
    <t>4 F/R.M(H)</t>
  </si>
  <si>
    <t>U. DOBLE C/BRIDA PLAST.H3  2 F</t>
  </si>
  <si>
    <t>U. DOBLE C/BRIDA PLAST.H3 21/2</t>
  </si>
  <si>
    <t>U. DOBLE C/BRIDA PLAST.H3  3 F</t>
  </si>
  <si>
    <t>U. DOBLE C/BRIDA PLAST.H3  4 F</t>
  </si>
  <si>
    <t>U. DOBLE C/BRIDA PLAST.H3  5 F</t>
  </si>
  <si>
    <t>U. DOBLE C/BRD PLAST.H3 2 F/R.</t>
  </si>
  <si>
    <t>U. DOBLE C/BRD PLAST.H3 21/2 F</t>
  </si>
  <si>
    <t>U. DOBLE C/BRD PLAST.H3 3 F/R.</t>
  </si>
  <si>
    <t>U. DOBLE C/BRD PLAST.H3 4 F/R.</t>
  </si>
  <si>
    <t>U. DOBLE C/BRD PLAST.H3 5 F/R.</t>
  </si>
  <si>
    <t>ACCESORIOS BOMBAS</t>
  </si>
  <si>
    <t>TABLERO ALTERNANCIA C/P ALTT01</t>
  </si>
  <si>
    <t>TANQUE HIDRONEUMATICO GTVH100L</t>
  </si>
  <si>
    <t>AUTO ACOPLAMIENTO DN40 cpl</t>
  </si>
  <si>
    <t>INTERRUPTOR NIVEL 20m CABLE AP</t>
  </si>
  <si>
    <t>AUTO COUPLING SL1.50.65</t>
  </si>
  <si>
    <t>FLOAT SWITCH MS1 C/ 10M CABLE</t>
  </si>
  <si>
    <t>AUTO COUPLING AP10,A9 ( HOMA)</t>
  </si>
  <si>
    <t>CADENA ELEVAD 500KM6M SS CERT.</t>
  </si>
  <si>
    <t>AUTO ACOPLAMIENTO DN80 cpl.</t>
  </si>
  <si>
    <t>UNION DOBLE C/BRIDA</t>
  </si>
  <si>
    <t>JUEGO DE RACOR CIRCULADORA</t>
  </si>
  <si>
    <t>1 1/2 X 1</t>
  </si>
  <si>
    <t>1 1/2 X 11/4</t>
  </si>
  <si>
    <t>2 X 1</t>
  </si>
  <si>
    <t>2 X 11/4</t>
  </si>
  <si>
    <t>CONFORT 3/4"</t>
  </si>
  <si>
    <t>ACCESORIO BOMBA</t>
  </si>
  <si>
    <t>ANTISARRO CLEAR TUBE</t>
  </si>
  <si>
    <t>UNION DOBLE H3</t>
  </si>
  <si>
    <t>TUBO PBA</t>
  </si>
  <si>
    <t>HID  63.6M K6 (1,9) (A)</t>
  </si>
  <si>
    <t>HID  75.6M K6 (2,2) (A)</t>
  </si>
  <si>
    <t>HID  90.6M K6 (2,7) (A)</t>
  </si>
  <si>
    <t>HID 110.6M K6 (3,2) (A)</t>
  </si>
  <si>
    <t>HID 125.6M K6 (3,7) (A)</t>
  </si>
  <si>
    <t>HID 140.6M K6 (4,1) (A)</t>
  </si>
  <si>
    <t>HID 160.6M K6 (4,7) (A)</t>
  </si>
  <si>
    <t>HID 200.6M K6 (5,9) (A)</t>
  </si>
  <si>
    <t>HID 250.6M K6 (7,3) (A)</t>
  </si>
  <si>
    <t>HID 315.6M K6 (9,2) (A)</t>
  </si>
  <si>
    <t>HID 355.6M K6 (10.4) (A)</t>
  </si>
  <si>
    <t>HID 400.6M K6 (11,7) (A)</t>
  </si>
  <si>
    <t>HID 450.6M K6 (13,1) (A)</t>
  </si>
  <si>
    <t>HID 500.6M K6 (14,6) (A)</t>
  </si>
  <si>
    <t>HID 225.6M K6 (6,6) (A)</t>
  </si>
  <si>
    <t>HID 630.6M K6 (18.4) (A)</t>
  </si>
  <si>
    <t>HID  63.6M K10 (3,0) (A)</t>
  </si>
  <si>
    <t>HID  75.6M K10 (3,6) (A)</t>
  </si>
  <si>
    <t>HID  90.6M K10 (4,3) (A)</t>
  </si>
  <si>
    <t>HID 110.6M K10 (5,3) (A)</t>
  </si>
  <si>
    <t>HID 140.6M K10 (6,7) (A)</t>
  </si>
  <si>
    <t>HID 160.6M K10 (7,7) (A)</t>
  </si>
  <si>
    <t>HID 200.6M K10 (9,6) (A)</t>
  </si>
  <si>
    <t>HID 250.6M K10 (11,9) (A)</t>
  </si>
  <si>
    <t>HID 315.6M K10 (15,0) (A)</t>
  </si>
  <si>
    <t>HID 355.6M K10 (16,9) (A)</t>
  </si>
  <si>
    <t>HID 400.6M K10 (19,1) (A)</t>
  </si>
  <si>
    <t>HID 450.6M K10 (21,5) (A)</t>
  </si>
  <si>
    <t>HID 500.6M K10 (23,8) (A)</t>
  </si>
  <si>
    <t>HID 225.6M K10 (10,8) (A)</t>
  </si>
  <si>
    <t>UNION DOBLE HID</t>
  </si>
  <si>
    <t>HH 20 MM</t>
  </si>
  <si>
    <t>HH 25 MM</t>
  </si>
  <si>
    <t>HH 32 MM</t>
  </si>
  <si>
    <t>HH 40MM</t>
  </si>
  <si>
    <t>HH 50 MM</t>
  </si>
  <si>
    <t>HH 63 MM</t>
  </si>
  <si>
    <t>HH 75 MM</t>
  </si>
  <si>
    <t>HH 90 MM</t>
  </si>
  <si>
    <t>HH 110 MM</t>
  </si>
  <si>
    <t>UNION DOBLE MIXTA</t>
  </si>
  <si>
    <t>20x1/2 FUSION PLASTICA TIGRE</t>
  </si>
  <si>
    <t>25x3/4 FUSION PLASTICA TIGRE</t>
  </si>
  <si>
    <t>32x1 FUSION PLASTICA TIGRE</t>
  </si>
  <si>
    <t>UNION DOBLE RED.H3</t>
  </si>
  <si>
    <t>R.MET(H)     2.11/2</t>
  </si>
  <si>
    <t>R.MET(M)    2.11/2</t>
  </si>
  <si>
    <t>1.3/4 FF</t>
  </si>
  <si>
    <t>11/4.1 FF</t>
  </si>
  <si>
    <t>1/2.3/8FF</t>
  </si>
  <si>
    <t>UNION NORMAL</t>
  </si>
  <si>
    <t>25 FUSION TIGRE*</t>
  </si>
  <si>
    <t>110MM FUSION TIGRE</t>
  </si>
  <si>
    <t>VAL ENTRADA</t>
  </si>
  <si>
    <t>VALVULA  ESFERICA</t>
  </si>
  <si>
    <t>HH 1/2 DUKE</t>
  </si>
  <si>
    <t>HH 3/4 DUKE</t>
  </si>
  <si>
    <t>HH 1  DUKE</t>
  </si>
  <si>
    <t>HH 11/4 DUKE</t>
  </si>
  <si>
    <t>HH 11/2 DUKE</t>
  </si>
  <si>
    <t>HH 2  DUKE</t>
  </si>
  <si>
    <t>1/2C/1 U.DOBLE DUKE</t>
  </si>
  <si>
    <t>3/4C/1 U.DOBLE DUKE</t>
  </si>
  <si>
    <t>1  C/1 U.DOBLE DUKE</t>
  </si>
  <si>
    <t>11/4C/1 U.DOBLE DUKE</t>
  </si>
  <si>
    <t>11/2C/1 U.DOBLE DUKE</t>
  </si>
  <si>
    <t>2  C/1 U.DOBLE DUKE</t>
  </si>
  <si>
    <t>1/2 C/DOS U.DOBLE DUKE</t>
  </si>
  <si>
    <t>3/4 C/DOS U.DOBLE DUKE</t>
  </si>
  <si>
    <t>1 C/DOS U.DOBLE DUKE</t>
  </si>
  <si>
    <t>11/4 C/DOS U.DOBLE DUKE</t>
  </si>
  <si>
    <t>11/2 C/DOS U.DOBLE DUKE</t>
  </si>
  <si>
    <t>2 C/DOS U.DOBLE DUKE</t>
  </si>
  <si>
    <t>EVOLUTION COMP.20 MM F/C FUSIO</t>
  </si>
  <si>
    <t>EVOLUTION COMP.25 MM F/C FUSIO</t>
  </si>
  <si>
    <t>EVOLUTION COMP.32 MM F/C FUSIO</t>
  </si>
  <si>
    <t>1/2 ROSCA MM DUKE</t>
  </si>
  <si>
    <t>3/4 ROSCA MM DUKE</t>
  </si>
  <si>
    <t>40 CON 2 UNIONES P/ ADHESIVAR</t>
  </si>
  <si>
    <t>50 CON 2 UNIONES P/ ADHESIVAR</t>
  </si>
  <si>
    <t>VAL.IDEAL</t>
  </si>
  <si>
    <t>3/8 ENTRADA DE AGUA (1340)</t>
  </si>
  <si>
    <t>SILEN.DEP.MOCHILA TRAD.(1655)</t>
  </si>
  <si>
    <t>SIL.REG.D.CADENA VIP DIVA 1663</t>
  </si>
  <si>
    <t>SILEN.HEMBRA  (1667)</t>
  </si>
  <si>
    <t>SILENCIOSA REG. MACHO (1668)</t>
  </si>
  <si>
    <t>VALVULAS TIGRE</t>
  </si>
  <si>
    <t>VALV.ESF.DOB.UNION 40 MM SD TI</t>
  </si>
  <si>
    <t>VALVULA ESF. PVC 1/2 HEMBRA TI</t>
  </si>
  <si>
    <t>VALVULA ESF. PVC 3/4 HEMBRA TI</t>
  </si>
  <si>
    <t>RETENCION SD 50 MM.</t>
  </si>
  <si>
    <t>1/2 ROSCABLE VALFLUX</t>
  </si>
  <si>
    <t>3/4 ROSCABLE VALFLUX</t>
  </si>
  <si>
    <t>1 ROSCABLE VALFLUX</t>
  </si>
  <si>
    <t>11/4 ROSCABLE VALFLUX</t>
  </si>
  <si>
    <t>11/2 ROSCABLE VALFLUX</t>
  </si>
  <si>
    <t>2 ROSCABLE VALFLUX</t>
  </si>
  <si>
    <t>VALFLUX SD PVC ESFERICA</t>
  </si>
  <si>
    <t>40MM</t>
  </si>
  <si>
    <t>50MM</t>
  </si>
  <si>
    <t>63MM</t>
  </si>
  <si>
    <t>VALV.ESF. H3</t>
  </si>
  <si>
    <t>20 MM C/MANIJA FF</t>
  </si>
  <si>
    <t>25 MM C/MANIJA FF</t>
  </si>
  <si>
    <t>32 MM C/MANIJA FF</t>
  </si>
  <si>
    <t>40 MM C/MANIJA FF</t>
  </si>
  <si>
    <t>50MM C/MANIJA FF</t>
  </si>
  <si>
    <t>63 MM C/MANIJA FF</t>
  </si>
  <si>
    <t>20MM DOB.MEDIA UNION FF</t>
  </si>
  <si>
    <t>25MM DOB.MEDIA UNION FF</t>
  </si>
  <si>
    <t>32MM DOB.MEDIA UNION FF</t>
  </si>
  <si>
    <t>40 MM DOB.MEDIA UNION FF</t>
  </si>
  <si>
    <t>50 MM DOB. MEDIA UNION FF</t>
  </si>
  <si>
    <t>63 MM DOB. MEDIA UNION FF</t>
  </si>
  <si>
    <t>20MM EMB.CAPUC.CROMO FF</t>
  </si>
  <si>
    <t>25MM EMB.CAPUC.CROMO FF</t>
  </si>
  <si>
    <t>32 MM EMB.CAPUC.CROMO FF</t>
  </si>
  <si>
    <t>20 MM MEDIA UNION FF</t>
  </si>
  <si>
    <t>25MM MEDIA UNION FF</t>
  </si>
  <si>
    <t>32MM MEDIA UNION FF</t>
  </si>
  <si>
    <t>40 MM MEDIA UNION FF</t>
  </si>
  <si>
    <t>50 MM MEDIA UNION FF</t>
  </si>
  <si>
    <t>63 MM MEDIA UNION FF</t>
  </si>
  <si>
    <t>REPUESTO.LLAVE.PASO. JUEGO MAR</t>
  </si>
  <si>
    <t>H3 1/2 C/CAMPANA FF</t>
  </si>
  <si>
    <t>H3 3/4 C/CAMPANA FF</t>
  </si>
  <si>
    <t>H3 1 C/CAMPANA FF</t>
  </si>
  <si>
    <t>H3 3/8 C/CAMPANA FF</t>
  </si>
  <si>
    <t>H3 3/8 EMB.CAPUC.CROMO FF</t>
  </si>
  <si>
    <t>H3 1/2 EMB.CAPUC.CROMO FF</t>
  </si>
  <si>
    <t>H3 3/4 EMB.CAPUC.CROMO FF</t>
  </si>
  <si>
    <t>H3 1 EMB. CAPUC.CROMO FF</t>
  </si>
  <si>
    <t>H3 1/2 C/ MANIJA FF</t>
  </si>
  <si>
    <t>H3 3/4 C/MANIJA FF</t>
  </si>
  <si>
    <t>H3 1 C/MANIJA FF</t>
  </si>
  <si>
    <t>H3 11/4 C/MANIJA FF</t>
  </si>
  <si>
    <t>H3 11/2 C/MANIJA FF</t>
  </si>
  <si>
    <t>H3 2 C/MANIJA FF</t>
  </si>
  <si>
    <t>1/2 ROSCADA(H-H)</t>
  </si>
  <si>
    <t>3/4 ROSCADA(H-H)</t>
  </si>
  <si>
    <t>1 ROSCADA(H-H)</t>
  </si>
  <si>
    <t>H3 1/2  DOB.MEDIA UNION FF</t>
  </si>
  <si>
    <t>H3 3/4 DOB.MEDIA UNION FF</t>
  </si>
  <si>
    <t>H3 1 DOB. MEDIA UNION FF</t>
  </si>
  <si>
    <t>H3 11/4 DOB.MEDIA UNION FF</t>
  </si>
  <si>
    <t>H3 11/2 DOB.MEDIA UNION FF</t>
  </si>
  <si>
    <t>H3 2 DOB. MEDIA UNION FF</t>
  </si>
  <si>
    <t>1/2 MEDIA UNION</t>
  </si>
  <si>
    <t>3/4 MEDIA UNION</t>
  </si>
  <si>
    <t>1 MEDIA UNION FF</t>
  </si>
  <si>
    <t>11/4 MEDIA UNION</t>
  </si>
  <si>
    <t>11/2 MEDIA UNION</t>
  </si>
  <si>
    <t>H3 2 MEDIA UNION FF</t>
  </si>
  <si>
    <t>VALVULA ANTIRETORNO</t>
  </si>
  <si>
    <t>ANTIPLAGA 110 AWADUCT</t>
  </si>
  <si>
    <t xml:space="preserve"> 110 AWADUCT</t>
  </si>
  <si>
    <t>160 AWADUCT</t>
  </si>
  <si>
    <t xml:space="preserve"> 110 AWADUCT INTEMPERIE</t>
  </si>
  <si>
    <t>VALV.  RETENCION CANASTO</t>
  </si>
  <si>
    <t>3/4 DUKE</t>
  </si>
  <si>
    <t>1 DUKE</t>
  </si>
  <si>
    <t>11/4 DUKE</t>
  </si>
  <si>
    <t>11/2 DUKE</t>
  </si>
  <si>
    <t>2  DUKE</t>
  </si>
  <si>
    <t>VALVULA ESF.MET.</t>
  </si>
  <si>
    <t>20 FUSION TIGRE**</t>
  </si>
  <si>
    <t>VALVULA ESF.</t>
  </si>
  <si>
    <t>VALVULA ESF. PPR 32 IMP C/MAN</t>
  </si>
  <si>
    <t>VALVULA ESF. PPR 40 IMP C/MAN</t>
  </si>
  <si>
    <t>VALVULA ESF. PPR 50 IMP C/MAN</t>
  </si>
  <si>
    <t>VALVULA ESF. PPR 63 IMP C/MAN</t>
  </si>
  <si>
    <t>VALVULA ESF. PPR 75 IMP C/MAN</t>
  </si>
  <si>
    <t>DOBLE UNION 20 CUERPO MET.</t>
  </si>
  <si>
    <t>DOBLE UNION 25 CUERPO MET.</t>
  </si>
  <si>
    <t>DOBLE UNION 32 CUERPO MET.</t>
  </si>
  <si>
    <t>BUJE ADAP. TIGRE</t>
  </si>
  <si>
    <t>125/110 C/P.REJA RAMAT</t>
  </si>
  <si>
    <t>ACOPLE GON - REN</t>
  </si>
  <si>
    <t>ADAPT. P/ESPIGA 2 1/2 A 63</t>
  </si>
  <si>
    <t>ADAPTADOR P/CABEZA 4 A 110</t>
  </si>
  <si>
    <t>ADAPTADOR P/CABEZA  2 3/4 A 63</t>
  </si>
  <si>
    <t>ADAPT. P/ESPIGA 4 A 110 CORTO</t>
  </si>
  <si>
    <t>ADAPT. P/ESPIGA 4 A 110 LARGO</t>
  </si>
  <si>
    <t>ADAPT. P/ESPIGA (PLOMO) 2 A 50</t>
  </si>
  <si>
    <t>ADAPT. P/ESP. (PLOMO)11/2 A 40</t>
  </si>
  <si>
    <t>CONECTOR INODORO</t>
  </si>
  <si>
    <t>P/ MOCHILA DE COLGAR FLEXIBLE</t>
  </si>
  <si>
    <t>P/MOCHILA DE COLGAR CODO RIG</t>
  </si>
  <si>
    <t>P/ DESCARGA PARED TRADIC</t>
  </si>
  <si>
    <t>SIFON TIGRE</t>
  </si>
  <si>
    <t>ADAPT.P/SALIDA LAVAR.3/4-7/8-1</t>
  </si>
  <si>
    <t>BUJE FUSION TIGRE</t>
  </si>
  <si>
    <t>25x20 *</t>
  </si>
  <si>
    <t>32x20</t>
  </si>
  <si>
    <t>32x25</t>
  </si>
  <si>
    <t>40x25</t>
  </si>
  <si>
    <t>40x32</t>
  </si>
  <si>
    <t>50x32</t>
  </si>
  <si>
    <t>50x40</t>
  </si>
  <si>
    <t>63x40</t>
  </si>
  <si>
    <t>63x50</t>
  </si>
  <si>
    <t>75x50</t>
  </si>
  <si>
    <t>75x63</t>
  </si>
  <si>
    <t>90x63</t>
  </si>
  <si>
    <t>90x75</t>
  </si>
  <si>
    <t>110X90</t>
  </si>
  <si>
    <t>CUERPO LLAVE PASO</t>
  </si>
  <si>
    <t>NORMAL FUSION 20</t>
  </si>
  <si>
    <t>NORMAL FUSION 25</t>
  </si>
  <si>
    <t>BUJE HID HH CORTO</t>
  </si>
  <si>
    <t>40.32</t>
  </si>
  <si>
    <t>110.63  TIGRE</t>
  </si>
  <si>
    <t>110.75  TIGRE</t>
  </si>
  <si>
    <t>90.75</t>
  </si>
  <si>
    <t>75.63</t>
  </si>
  <si>
    <t>32.25</t>
  </si>
  <si>
    <t>25.20</t>
  </si>
  <si>
    <t>110.90</t>
  </si>
  <si>
    <t>COLECTOR MOD.STANDARD</t>
  </si>
  <si>
    <t>CROMO 20MM 2 SALIDAS</t>
  </si>
  <si>
    <t>CROMO 20MM 3 SALIDAS</t>
  </si>
  <si>
    <t>CROMO 20MM 4 SALIDAS</t>
  </si>
  <si>
    <t>CROMO 20MM 5 SALIDAS</t>
  </si>
  <si>
    <t>CROMO 20MM 6 SALIDAS</t>
  </si>
  <si>
    <t>CROMO 20MM 7 SALIDAS</t>
  </si>
  <si>
    <t>CROMO 16MM 2 SALIDAS</t>
  </si>
  <si>
    <t>CROMO 16MM 3 SALIDAS</t>
  </si>
  <si>
    <t>CROMO 16MM 4 SALIDAS</t>
  </si>
  <si>
    <t>CROMO 16MM 5 SALIDAS</t>
  </si>
  <si>
    <t>CROMO 16MM 6 SALIDAS</t>
  </si>
  <si>
    <t>CROMO 16MM 7 SALIDAS</t>
  </si>
  <si>
    <t>MOD.STD.POLIAMIDA 20MM 2SAL.</t>
  </si>
  <si>
    <t>MOD.STD.POLIAMIDA 20MM 3SAL.</t>
  </si>
  <si>
    <t>MOD.STD.POLIAMIDA 20MM 4SAL.</t>
  </si>
  <si>
    <t>MOD.STD.POLIAMIDA 20MM 5SAL.</t>
  </si>
  <si>
    <t>MOD.STD.POLIAMIDA 20MM 6SAL.</t>
  </si>
  <si>
    <t>MOD.STD.POLIAMIDA 20MM 7SAL.</t>
  </si>
  <si>
    <t>POLIAMIDA 16MM 2 SALIDAS</t>
  </si>
  <si>
    <t>POLIAMIDA 16MM 3 SALIDAS</t>
  </si>
  <si>
    <t>POLIAMIDA 16MM 4 SALIDAS</t>
  </si>
  <si>
    <t>POLIAMIDA 16MM 5 SALIDAS</t>
  </si>
  <si>
    <t>POLIAMIDA 16MM 6 SALIDAS</t>
  </si>
  <si>
    <t>POLIAMIDA 16MM 7 SALIDAS</t>
  </si>
  <si>
    <t>REPUESTOS IDEAL</t>
  </si>
  <si>
    <t>CONJUNTO DE BRAZOS P/ DEP SUMA</t>
  </si>
  <si>
    <t>SOPORTE PARED DEP MOCHILA SUMA</t>
  </si>
  <si>
    <t>TORNILLO AJUSTA DISTANCIA SUMA</t>
  </si>
  <si>
    <t>TORNILLO Y TUERCA (2 CONJUNTOS</t>
  </si>
  <si>
    <t>SOP.PARED MOCH.ULTRA CHATA-SUM</t>
  </si>
  <si>
    <t>VAL.DESC.AGUA MOCH.ULTRACHATA</t>
  </si>
  <si>
    <t>CHASIS INT. P/DEP EMB</t>
  </si>
  <si>
    <t>CONJUNTO DE GOMAS ASIENTO SUMA</t>
  </si>
  <si>
    <t>RECEPTACULO Y CARTUCHO(IZQDER)</t>
  </si>
  <si>
    <t>COLECTOR MODELO LUXUS</t>
  </si>
  <si>
    <t>POLIAMIDA 20MM 2 SALIDAS</t>
  </si>
  <si>
    <t>POLIAMIDA 20MM 3 SALIDAS</t>
  </si>
  <si>
    <t>POLIAMIDA 20MM 4 SALIDAS</t>
  </si>
  <si>
    <t>POLIAMIDA 20MM 5 SALIDAS</t>
  </si>
  <si>
    <t>POLIAMIDA 20MM 6 SALIDAS</t>
  </si>
  <si>
    <t>POLIAMIDA 20MM 7 SALIDAS</t>
  </si>
  <si>
    <t>TERMOSTATO DE AMBIENTE 220V</t>
  </si>
  <si>
    <t>2 AMP C/TECLA ON-OFF</t>
  </si>
  <si>
    <t>BUJE HID MH LARGO</t>
  </si>
  <si>
    <t>63.32 TIGRE</t>
  </si>
  <si>
    <t>32.20 TIGRE</t>
  </si>
  <si>
    <t>50.32 TIGRE</t>
  </si>
  <si>
    <t>63.25 TIGRE</t>
  </si>
  <si>
    <t>40.20 TIGRE</t>
  </si>
  <si>
    <t>50.20 TIGRE</t>
  </si>
  <si>
    <t>50.25 TIGRE</t>
  </si>
  <si>
    <t>63.40 TIGRE</t>
  </si>
  <si>
    <t>63.50 TIGRE</t>
  </si>
  <si>
    <t>75.50 TIGRE</t>
  </si>
  <si>
    <t>40.25 TIGRE</t>
  </si>
  <si>
    <t>RECEPTACULO BALCON</t>
  </si>
  <si>
    <t>RECEPTACULO BALCON 63</t>
  </si>
  <si>
    <t>RECEP. BALCON E/ 63 S/40</t>
  </si>
  <si>
    <t>CONEXION FUELLE IDEAL</t>
  </si>
  <si>
    <t>MOCHILA SUMA</t>
  </si>
  <si>
    <t>TERMOFUSORA TIGRE</t>
  </si>
  <si>
    <t>800 WATTS KIT</t>
  </si>
  <si>
    <t>1400 WATTS S/ BOQUILLAS</t>
  </si>
  <si>
    <t>TIJERA CORTATUBO TIGRE</t>
  </si>
  <si>
    <t>MANUAL 20-40 TIGRE</t>
  </si>
  <si>
    <t>MANUAL 20-75 TIGRE</t>
  </si>
  <si>
    <t>REPUESTOS VALV. H3</t>
  </si>
  <si>
    <t>(MANIVELA Y CAMP.CROMO)</t>
  </si>
  <si>
    <t>KIT MANIJA VAL (1/2A32MM)</t>
  </si>
  <si>
    <t>KIT MANIJA VAL(11/4A2-40A63)</t>
  </si>
  <si>
    <t>KIT CUBIERTA PLAST. Y BOT</t>
  </si>
  <si>
    <t>KIT ORING C/MEDIA UNION3/8 A 2</t>
  </si>
  <si>
    <t>PILETA PATIO TIGRE</t>
  </si>
  <si>
    <t>CLO10.10.REJ.PVC RAMAT</t>
  </si>
  <si>
    <t>CLO15.15 REJ.PVC RAMAT</t>
  </si>
  <si>
    <t>CLO 10.10 REJ.ACERO RAMAT</t>
  </si>
  <si>
    <t>CLO 15.15 REJ.ACERO RAMAT</t>
  </si>
  <si>
    <t>CLO 10.10 CIEGA PVC RAMAT</t>
  </si>
  <si>
    <t>CLO 110 TIGRE</t>
  </si>
  <si>
    <t>PILETA PATIO TIGRE JE</t>
  </si>
  <si>
    <t>110x63 (3x40) BAJA JE</t>
  </si>
  <si>
    <t>110x63 (5x40) JE</t>
  </si>
  <si>
    <t>PASE LOSA 110x(6x40)JE</t>
  </si>
  <si>
    <t>GIRAFACIL 110X63 (5X40)</t>
  </si>
  <si>
    <t>GIRAFACIL REP/ CESTO LIMPIEZA</t>
  </si>
  <si>
    <t>GRAN CAUDAL 160X110 (3X75)</t>
  </si>
  <si>
    <t>RAMAL INVERTIDO TIGRE</t>
  </si>
  <si>
    <t>CLO 50.50 RAMAT</t>
  </si>
  <si>
    <t>SIFON JE TIGRE</t>
  </si>
  <si>
    <t>PILETA DE PATIO BAJA 25MM JE</t>
  </si>
  <si>
    <t>PILETA DE PATIO ALTA 50MM JE</t>
  </si>
  <si>
    <t>PATIO PASA LOZA 110MM(6x40)JE</t>
  </si>
  <si>
    <t>SOLUCION LUBRICANTE TIGRE</t>
  </si>
  <si>
    <t>LUBRICANTE AEROSOL400CC.</t>
  </si>
  <si>
    <t>BASE PARA TANQUE</t>
  </si>
  <si>
    <t>CHICA (400/600 L) ROTOPLAS</t>
  </si>
  <si>
    <t>GRANDE(850/1100 LT) ROTOPLAS</t>
  </si>
  <si>
    <t>TERMINAL</t>
  </si>
  <si>
    <t>REPUESTO FUSION 1/2"</t>
  </si>
  <si>
    <t>REPUESTO FUSION 3/4"</t>
  </si>
  <si>
    <t>REPUESTO FUSION 1"</t>
  </si>
  <si>
    <t>REPUESTO FUSION 1 1/4"</t>
  </si>
  <si>
    <t>REPUESTO FUSION 1 1/2"</t>
  </si>
  <si>
    <t>REPUESTO FUSION  2"</t>
  </si>
  <si>
    <t>PLASTICA H3 1/2 RH</t>
  </si>
  <si>
    <t>PLASTICA H3 3/4 RH</t>
  </si>
  <si>
    <t>PLASTICA H3 1 RH</t>
  </si>
  <si>
    <t>PLASTICA H3 11/4 RH</t>
  </si>
  <si>
    <t>PLASTICA H3 11/2 RH</t>
  </si>
  <si>
    <t>PLASTICA H3 2 RH</t>
  </si>
  <si>
    <t>BCE. H3 1/2 RH</t>
  </si>
  <si>
    <t>BCE. H3 3/4 RH</t>
  </si>
  <si>
    <t>BCE. H3 1 RH</t>
  </si>
  <si>
    <t>BCE. H3 11/4 RH</t>
  </si>
  <si>
    <t>BCE. H3 11/2 RH</t>
  </si>
  <si>
    <t>BCE. H3 2 RH</t>
  </si>
  <si>
    <t>BCE. H3 1/2 RM</t>
  </si>
  <si>
    <t>BCE. H3 3/4 RM</t>
  </si>
  <si>
    <t>BCE. H3 1 RM</t>
  </si>
  <si>
    <t>BCE. H3 11/4 RM</t>
  </si>
  <si>
    <t>BCE. H3 11/2 RM</t>
  </si>
  <si>
    <t>BCE. H3 2 RM</t>
  </si>
  <si>
    <t xml:space="preserve"> PLASTICA H3 1/2 RM</t>
  </si>
  <si>
    <t>PLASTICA H3 3/4 RM</t>
  </si>
  <si>
    <t>PLASTICA H3 1 RM</t>
  </si>
  <si>
    <t>PLASTICA H3 11/4 RM</t>
  </si>
  <si>
    <t>PLASTICA H3 11/2 RM</t>
  </si>
  <si>
    <t>PLASTICA H3 2 RM</t>
  </si>
  <si>
    <t>CODO</t>
  </si>
  <si>
    <t>A 60º CAN.TIGRE-STYLE</t>
  </si>
  <si>
    <t>A 90º CAN.TIGRE-STYLE</t>
  </si>
  <si>
    <t xml:space="preserve"> 90º TRANS. BAJANTE A 110MM ST</t>
  </si>
  <si>
    <t>PLENO FUSION 20MM POLIAMIDA</t>
  </si>
  <si>
    <t>PLENO FUSION 25MM POLIAMIDA</t>
  </si>
  <si>
    <t>MET.32 NORMAL.FUSION TIGRE</t>
  </si>
  <si>
    <t>MET.20 NORMAL.FUSION TIGRE</t>
  </si>
  <si>
    <t>MET.25 NORMAL.FUSION TIGRE</t>
  </si>
  <si>
    <t>CURVA 90º FUSION</t>
  </si>
  <si>
    <t>32 FUSION TIGRE**</t>
  </si>
  <si>
    <t>C/ MEDIA UNION 20X1/2 FUSION</t>
  </si>
  <si>
    <t>C/MEDIA UNION 25X3/4 FUSION</t>
  </si>
  <si>
    <t>C/MEDIA UNION 32X1 FUSION</t>
  </si>
  <si>
    <t>20 MH FUSION TIGRE</t>
  </si>
  <si>
    <t>25 MH FUSION TIGRE</t>
  </si>
  <si>
    <t>RED 25X20</t>
  </si>
  <si>
    <t>RED 32X25</t>
  </si>
  <si>
    <t>TE MISTURADOR MH</t>
  </si>
  <si>
    <t>20X20</t>
  </si>
  <si>
    <t>25X25</t>
  </si>
  <si>
    <t>TAPON</t>
  </si>
  <si>
    <t>HERMETICO AWADUCT 110</t>
  </si>
  <si>
    <t>HERMETICO AWADUC 105 ACANALADO</t>
  </si>
  <si>
    <t>HERMETICO AWADUCT 160</t>
  </si>
  <si>
    <t>BAÑERA A CODO 40 CROM.AWA</t>
  </si>
  <si>
    <t>BAÑ.A CODO BCE. PUL.4O AWA</t>
  </si>
  <si>
    <t>BAÑERA VERTICAL 40 CR. AWA</t>
  </si>
  <si>
    <t>BAÑERA VERTICAL BCE AWA</t>
  </si>
  <si>
    <t>BAÑERA VERTICAL 40 LOZA</t>
  </si>
  <si>
    <t>BAÑERA A CODO 40 LOZA AWA</t>
  </si>
  <si>
    <t>UNIVERSAL PIL.COC.11/2 AWA</t>
  </si>
  <si>
    <t>UNIVERSAL AWAD. PIL.COC.2</t>
  </si>
  <si>
    <t>C/TRABAS  40.3/4</t>
  </si>
  <si>
    <t>C/TRABAS  50.3/4</t>
  </si>
  <si>
    <t>C/TRABAS  63.3/4</t>
  </si>
  <si>
    <t>C/TRABAS  75.3/4</t>
  </si>
  <si>
    <t>C/TRABAS  90.3/4</t>
  </si>
  <si>
    <t>C/TRABAS 110.3/4</t>
  </si>
  <si>
    <t>C/TRABAS  32.3/4</t>
  </si>
  <si>
    <t>BUJE RED.</t>
  </si>
  <si>
    <t>H3 3/4.3/8 FF</t>
  </si>
  <si>
    <t>H3 1.3/8 FF</t>
  </si>
  <si>
    <t>PILETA DUCHA</t>
  </si>
  <si>
    <t>CODO CLO</t>
  </si>
  <si>
    <t>90º MH 200</t>
  </si>
  <si>
    <t>45º MH 200</t>
  </si>
  <si>
    <t>RAMAL CLO</t>
  </si>
  <si>
    <t>90º HHM 200.200</t>
  </si>
  <si>
    <t>90º HHM 160.160</t>
  </si>
  <si>
    <t>90º HHM 160.110</t>
  </si>
  <si>
    <t>45º HHM 200.200</t>
  </si>
  <si>
    <t>45º HHM 160.110</t>
  </si>
  <si>
    <t>45º HHH 160.160</t>
  </si>
  <si>
    <t>DOBLE 45º 200.110</t>
  </si>
  <si>
    <t>DOBLE 45º 200.160</t>
  </si>
  <si>
    <t>DOBLE 45º 110.110</t>
  </si>
  <si>
    <t>CURVA CLO 45º TIGRE</t>
  </si>
  <si>
    <t>45º MH  40 RAMAT</t>
  </si>
  <si>
    <t>45º MH  50 RAMAT</t>
  </si>
  <si>
    <t>45ºMH 110 RAMAT</t>
  </si>
  <si>
    <t>RAMAL VENTILACION TIGRE</t>
  </si>
  <si>
    <t>SIMPLE 110.110/50 RAMAT</t>
  </si>
  <si>
    <t>RAMAL CLO TIGRE</t>
  </si>
  <si>
    <t>90º HHH  40 RAMAT</t>
  </si>
  <si>
    <t>90º HHH  50 RAMAT</t>
  </si>
  <si>
    <t>87,30º HHM  63 RAMAT</t>
  </si>
  <si>
    <t>87,30º HHM 110.63 RAMAT</t>
  </si>
  <si>
    <t>87,30º HHM 110.110 RAMAT</t>
  </si>
  <si>
    <t>45º HHM  40 RAMAT</t>
  </si>
  <si>
    <t>45º HHM  50 RAMAT</t>
  </si>
  <si>
    <t>45º HHM  63 RAMAT</t>
  </si>
  <si>
    <t>45º HHM 110.63 RAMAT</t>
  </si>
  <si>
    <t>45º HHM 110.110 RAMAT</t>
  </si>
  <si>
    <t>REDUCCION CLO TIGRE</t>
  </si>
  <si>
    <t>50. 40 RAMAT</t>
  </si>
  <si>
    <t>63. 50 RAMAT</t>
  </si>
  <si>
    <t>110. 63 RAMAT</t>
  </si>
  <si>
    <t>EXCENTRICA  50.40</t>
  </si>
  <si>
    <t>EXCENTRICA 63.50</t>
  </si>
  <si>
    <t>EXCENTRICA 110.63</t>
  </si>
  <si>
    <t>BUJE RED.AWADUCT MH</t>
  </si>
  <si>
    <t>110.40</t>
  </si>
  <si>
    <t>110.50</t>
  </si>
  <si>
    <t>110.75</t>
  </si>
  <si>
    <t>BAJADA REFORZADA 3,2</t>
  </si>
  <si>
    <t>DEPOSITO CLO INTERIOR &lt;L&gt;</t>
  </si>
  <si>
    <t>DEPOSITO CLO EXTERIOR &lt;S&gt;</t>
  </si>
  <si>
    <t>RECTA CLO 40</t>
  </si>
  <si>
    <t>RECTA CLO  50</t>
  </si>
  <si>
    <t>SOMBRERETE TIGRE</t>
  </si>
  <si>
    <t>CLO  63 RAMAT</t>
  </si>
  <si>
    <t>SOMBRERETE MANUAL</t>
  </si>
  <si>
    <t>CLO 160</t>
  </si>
  <si>
    <t>CLO 200</t>
  </si>
  <si>
    <t>BOCA ACCESO TIGRE</t>
  </si>
  <si>
    <t>COCINA HORIZ 110 .63-50 JE</t>
  </si>
  <si>
    <t>COCINA VERT.63X50 JE</t>
  </si>
  <si>
    <t>COCINA CLO63/50 T/PVC RAMAT</t>
  </si>
  <si>
    <t>32 MH FUSION TIGRE</t>
  </si>
  <si>
    <t>110  FUSION TIGRE</t>
  </si>
  <si>
    <t>ARO GOMA TRANS.TIGRE</t>
  </si>
  <si>
    <t>PVC/HºFº 110 RAMAT</t>
  </si>
  <si>
    <t>AWADUCT 110* INTEMPERIE</t>
  </si>
  <si>
    <t>CAÑO CAMARA 1.8</t>
  </si>
  <si>
    <t>PVC 100</t>
  </si>
  <si>
    <t>CAÑO CAMARA TIGRE</t>
  </si>
  <si>
    <t>REJILLA</t>
  </si>
  <si>
    <t>130MM 0.5 TN BLANCA TIGRE</t>
  </si>
  <si>
    <t>PISO BLANCA 200MM 0.5 TN TIGRE</t>
  </si>
  <si>
    <t>LINEAL 50CM REJILLA BLANCA NL</t>
  </si>
  <si>
    <t>LINEAL 70CM REJILLA BLANCA NL</t>
  </si>
  <si>
    <t>LINEAL 90CM REJILLA BLANCA NL</t>
  </si>
  <si>
    <t>130MM 0.5 TN GRIS TIGRE</t>
  </si>
  <si>
    <t>PISO GRIS 200MM 0.5 TN TIGRE</t>
  </si>
  <si>
    <t>LINEAL 50CM REJILLA CROMADA NL</t>
  </si>
  <si>
    <t>LINEAL 70CM REJILLA CROMADA NL</t>
  </si>
  <si>
    <t>LINEAL 90CM REJILLA CROMADA NL</t>
  </si>
  <si>
    <t>LINEAL 50CM REJILLA AC.INOX NL</t>
  </si>
  <si>
    <t>LINEAL 70CM REJILLA AC.INOX NL</t>
  </si>
  <si>
    <t>LINEAL 90CM REJILLA AC.INOX NL</t>
  </si>
  <si>
    <t>130MM 8 TN BLANCA TIGRE</t>
  </si>
  <si>
    <t>200 MM 5 TN TIGRE GRIS</t>
  </si>
  <si>
    <t>130MM 8 TN ARENA TIGRE</t>
  </si>
  <si>
    <t>200MM 3 TN TIGRE GRIS</t>
  </si>
  <si>
    <t>130MM 8TN GRIS TIGRE</t>
  </si>
  <si>
    <t>130MM 12 TN GRIS TIGRE</t>
  </si>
  <si>
    <t>CONICA P/AZOTEAS 110</t>
  </si>
  <si>
    <t>CONICA P/AZOTEAS 160</t>
  </si>
  <si>
    <t>18 X 18 P/PIL. DES. 160</t>
  </si>
  <si>
    <t>CONJ. EMB. Y MARCO VERT.S110</t>
  </si>
  <si>
    <t>CONJ. EMB. Y MARCO HORIZ.S110</t>
  </si>
  <si>
    <t>HORIZ PIRAMIDAL 20X20  110 AWA</t>
  </si>
  <si>
    <t>HORIZONTAL AWADUCT 20X20  110</t>
  </si>
  <si>
    <t>ACAN.105 C/REJ. PLAST.20X20</t>
  </si>
  <si>
    <t>VERT. AZOTEA AWADUCT 20.20</t>
  </si>
  <si>
    <t>VERT. AZOTEA AWA. REJ. CONICA</t>
  </si>
  <si>
    <t>EMBUDO HORIZONTAL S110</t>
  </si>
  <si>
    <t>EMBUDO HORIZONTAL S63</t>
  </si>
  <si>
    <t>HORIZ. AZOTEA AWA. REJ. 20.20.</t>
  </si>
  <si>
    <t>HORIZ. AZOTEA AWA. REJ. CONICA</t>
  </si>
  <si>
    <t>CONJUNTO EMBUDO</t>
  </si>
  <si>
    <t>PORTAREJILLA</t>
  </si>
  <si>
    <t>FRONTAL AWADUCT 110 MM</t>
  </si>
  <si>
    <t>FRONTAL C/MEMBRANA 50/63</t>
  </si>
  <si>
    <t>FRONTAL C/MEMBRANA 110</t>
  </si>
  <si>
    <t>DESAGUE 160</t>
  </si>
  <si>
    <t>20 X 20 160Ø PIRAMIDAL</t>
  </si>
  <si>
    <t>45º MH 130MM BAJO CAUDAL</t>
  </si>
  <si>
    <t>90º HM 130MM BAJO CAUDAL</t>
  </si>
  <si>
    <t>45º 130MM ALTO CAUDAL</t>
  </si>
  <si>
    <t>45º 200MM ALTO CAUDAL</t>
  </si>
  <si>
    <t>90º 130MM ALTO CAUDAL</t>
  </si>
  <si>
    <t>90º 200 MM ALTO CAUDAL</t>
  </si>
  <si>
    <t>BUJE RED PLANO FUSION TIGRE</t>
  </si>
  <si>
    <t>25X20</t>
  </si>
  <si>
    <t>32X20</t>
  </si>
  <si>
    <t>32X25</t>
  </si>
  <si>
    <t>40X25</t>
  </si>
  <si>
    <t>40X32</t>
  </si>
  <si>
    <t>50X25</t>
  </si>
  <si>
    <t>50X32</t>
  </si>
  <si>
    <t>90X50</t>
  </si>
  <si>
    <t>90X63</t>
  </si>
  <si>
    <t>CANAL.TIGRE 125.88 MM</t>
  </si>
  <si>
    <t>DERECHO AQUAPLUV</t>
  </si>
  <si>
    <t>IZQUIERDO AQUAPLUV</t>
  </si>
  <si>
    <t>P/TUBO CANAL.TIGRE 88 MM</t>
  </si>
  <si>
    <t>TUBO CANALETA TIGRE 88 MM</t>
  </si>
  <si>
    <t>CANALETA TIGRE-STYLE</t>
  </si>
  <si>
    <t>TERRA H-HC 110(118.118)</t>
  </si>
  <si>
    <t>TERRA H-HC 160(177.177)</t>
  </si>
  <si>
    <t>TERRA H-HC 200(218.218)</t>
  </si>
  <si>
    <t>TERRA HC 100X100</t>
  </si>
  <si>
    <t>TERRA TRANS.HC-H110(118.110)</t>
  </si>
  <si>
    <t>TERRA TRANS.HC-H160(177.160)</t>
  </si>
  <si>
    <t>TERRA MACHO (H)100X100</t>
  </si>
  <si>
    <t>TERRA M-H 110(218.218)</t>
  </si>
  <si>
    <t>TERRA TRANS.H-M 110(118.110)</t>
  </si>
  <si>
    <t>TERRA TRANS.H-M 160(177.160)</t>
  </si>
  <si>
    <t>TERRA CLAK H.(HC) 110(118x110)</t>
  </si>
  <si>
    <t>TERRA CLAK H.(HC) 160(177x160)</t>
  </si>
  <si>
    <t>TERRA CLAK M-(H) 110(118x110)</t>
  </si>
  <si>
    <t>TERRA CLAK M-(H) 160(177x160)</t>
  </si>
  <si>
    <t>SOPORTE</t>
  </si>
  <si>
    <t>METAL CAN.TIGRE-STYLE 132x89</t>
  </si>
  <si>
    <t>PVC CAN.TIGRE-STYLE</t>
  </si>
  <si>
    <t>PVC CANALETA TIGRE 125 MM</t>
  </si>
  <si>
    <t>P/CAN.TIGRE ZINCADO 285.112</t>
  </si>
  <si>
    <t>P/CAN.TIGRE ZINCADO CURVO</t>
  </si>
  <si>
    <t>VALVULA RETENCION</t>
  </si>
  <si>
    <t>3/4 INTERMEDIA DUKE</t>
  </si>
  <si>
    <t>1  INTERMEDIA DUKE</t>
  </si>
  <si>
    <t>11/4 INTERMEDIA DUKE</t>
  </si>
  <si>
    <t>11/2 INTERMEDIA DUKE</t>
  </si>
  <si>
    <t>2  INTERMEDIA DUKE</t>
  </si>
  <si>
    <t>TERRA HORIZONTAL 110X63</t>
  </si>
  <si>
    <t>160 TERRA OCTOG.H-HC 118</t>
  </si>
  <si>
    <t>PILETA</t>
  </si>
  <si>
    <t>OCTOG.TERRA C/SIF.118C/ACC.160</t>
  </si>
  <si>
    <t>1/2 SERV A ESFERA BETA</t>
  </si>
  <si>
    <t>1/2C/PICO A ESFERA BETA</t>
  </si>
  <si>
    <t>3/4SERV A ESFERA BETA</t>
  </si>
  <si>
    <t>3/4C/PICO A ESFERA BETA</t>
  </si>
  <si>
    <t>"PLAST. MAN. MARIPOSA 1/2"""</t>
  </si>
  <si>
    <t>ESF.1/2 P/LAVARROPA BETA</t>
  </si>
  <si>
    <t>1/2C/MANGA P/ACOPLE RAPIDO</t>
  </si>
  <si>
    <t>3/4C/MANGA P/ACOPLE RAPIDO</t>
  </si>
  <si>
    <t>DOB LAVARRO 3/4(JARDIN) MARIP</t>
  </si>
  <si>
    <t>DOB. LAVARRO 1/2(HOGAR) M.LARG</t>
  </si>
  <si>
    <t>DOB. LAVARRO 3/4(JARDIN) M.LAR</t>
  </si>
  <si>
    <t>Detalle Artículo</t>
  </si>
  <si>
    <t>Detalle Patron</t>
  </si>
  <si>
    <t>0260.01D2013-20</t>
  </si>
  <si>
    <t>CORRUGADOS ACERO INOX.</t>
  </si>
  <si>
    <t>0260.01D2013-25</t>
  </si>
  <si>
    <t>0260.01D2013-30</t>
  </si>
  <si>
    <t>0260.01D2013-35</t>
  </si>
  <si>
    <t>0260.01D2013-40</t>
  </si>
  <si>
    <t>0103/41.0.2-BTF</t>
  </si>
  <si>
    <t>0103/41.0.2-BTK</t>
  </si>
  <si>
    <t>0202/41.5.0-BTF</t>
  </si>
  <si>
    <t>0202/41.5.0-BTK</t>
  </si>
  <si>
    <t>0412.01.200ADCR</t>
  </si>
  <si>
    <t>85501</t>
  </si>
  <si>
    <t>NIPLE SAL.H3</t>
  </si>
  <si>
    <t>1/2. 6CM</t>
  </si>
  <si>
    <t>85502</t>
  </si>
  <si>
    <t>1/2. 8CM</t>
  </si>
  <si>
    <t>85503</t>
  </si>
  <si>
    <t>1/2.10 CM</t>
  </si>
  <si>
    <t>85504</t>
  </si>
  <si>
    <t>1/2.12 CM</t>
  </si>
  <si>
    <t>85505</t>
  </si>
  <si>
    <t>1/2.15 CM</t>
  </si>
  <si>
    <t>85506</t>
  </si>
  <si>
    <t>1/2. 20CM</t>
  </si>
  <si>
    <t>85511</t>
  </si>
  <si>
    <t>3/4. 6CM</t>
  </si>
  <si>
    <t>85512</t>
  </si>
  <si>
    <t>3/4. 8CM</t>
  </si>
  <si>
    <t>85513</t>
  </si>
  <si>
    <t>3/4.10 CM</t>
  </si>
  <si>
    <t>85514</t>
  </si>
  <si>
    <t>3/4. 12CM</t>
  </si>
  <si>
    <t>85515</t>
  </si>
  <si>
    <t>3/4. 15CM</t>
  </si>
  <si>
    <t>85516</t>
  </si>
  <si>
    <t>3/4. 20CM</t>
  </si>
  <si>
    <t>85521</t>
  </si>
  <si>
    <t>1.6  CM</t>
  </si>
  <si>
    <t>85522</t>
  </si>
  <si>
    <t xml:space="preserve"> 1. 8CM</t>
  </si>
  <si>
    <t>85523</t>
  </si>
  <si>
    <t>1. 10CM</t>
  </si>
  <si>
    <t>85524</t>
  </si>
  <si>
    <t>1. 12CM</t>
  </si>
  <si>
    <t>85525</t>
  </si>
  <si>
    <t>1. 15CM</t>
  </si>
  <si>
    <t>85526</t>
  </si>
  <si>
    <t>1. 20CM</t>
  </si>
  <si>
    <t>85533</t>
  </si>
  <si>
    <t>11/4. 10CM</t>
  </si>
  <si>
    <t>85534</t>
  </si>
  <si>
    <t>11/4. 12CM</t>
  </si>
  <si>
    <t>85535</t>
  </si>
  <si>
    <t>11/4. 15CM</t>
  </si>
  <si>
    <t>85536</t>
  </si>
  <si>
    <t>11/4. 20CM</t>
  </si>
  <si>
    <t>85543</t>
  </si>
  <si>
    <t>11/2. 10CM</t>
  </si>
  <si>
    <t>85544</t>
  </si>
  <si>
    <t>11/2. 12CM</t>
  </si>
  <si>
    <t>85545</t>
  </si>
  <si>
    <t>11/2. 15CM</t>
  </si>
  <si>
    <t>85546</t>
  </si>
  <si>
    <t>11/2. 20CM</t>
  </si>
  <si>
    <t>85553</t>
  </si>
  <si>
    <t>2. 10CM</t>
  </si>
  <si>
    <t>85554</t>
  </si>
  <si>
    <t>2. 12CM</t>
  </si>
  <si>
    <t>85555</t>
  </si>
  <si>
    <t>2. 15CM</t>
  </si>
  <si>
    <t>85556</t>
  </si>
  <si>
    <t xml:space="preserve"> 2. 20CM</t>
  </si>
  <si>
    <t>85563</t>
  </si>
  <si>
    <t>21/2. 15CM</t>
  </si>
  <si>
    <t>85564</t>
  </si>
  <si>
    <t xml:space="preserve"> 21/2. 20CM</t>
  </si>
  <si>
    <t>85573</t>
  </si>
  <si>
    <t xml:space="preserve"> 3. 15CM</t>
  </si>
  <si>
    <t>85574</t>
  </si>
  <si>
    <t>3. 20CM</t>
  </si>
  <si>
    <t>85583</t>
  </si>
  <si>
    <t>4. 15CM</t>
  </si>
  <si>
    <t>85584</t>
  </si>
  <si>
    <t>4. 20CM</t>
  </si>
  <si>
    <t>85600</t>
  </si>
  <si>
    <t>ENTRE-FUSION H3 3/8</t>
  </si>
  <si>
    <t>85601</t>
  </si>
  <si>
    <t>ENTRE-FUSION H3 1/2</t>
  </si>
  <si>
    <t>85602</t>
  </si>
  <si>
    <t>ENTRE-FUSION H3 3/4</t>
  </si>
  <si>
    <t>85603</t>
  </si>
  <si>
    <t>ENTRE-FUSION H3 1</t>
  </si>
  <si>
    <t>85604</t>
  </si>
  <si>
    <t>ENTRE-FUSION H3 11/4</t>
  </si>
  <si>
    <t>85605</t>
  </si>
  <si>
    <t>ENTRE-FUSION H3 11/2</t>
  </si>
  <si>
    <t>85606</t>
  </si>
  <si>
    <t>ENTRE-FUSION H3 2</t>
  </si>
  <si>
    <t>Coef.costo</t>
  </si>
  <si>
    <t>Bonficacion General</t>
  </si>
  <si>
    <t>Descuento de Caja</t>
  </si>
  <si>
    <t>Descuento Extra</t>
  </si>
  <si>
    <t>4004</t>
  </si>
  <si>
    <t>CURVA HID 45º</t>
  </si>
  <si>
    <t>HH 50 TIGRE REF</t>
  </si>
  <si>
    <t>4005</t>
  </si>
  <si>
    <t>HH 63 TIGRE REF.</t>
  </si>
  <si>
    <t>4006</t>
  </si>
  <si>
    <t>HH 75 TIGRE REF.</t>
  </si>
  <si>
    <t>4007</t>
  </si>
  <si>
    <t>HH 90 TIGRE REF.</t>
  </si>
  <si>
    <t>4008</t>
  </si>
  <si>
    <t>HH 110 TIGRE REF.</t>
  </si>
  <si>
    <t>37115</t>
  </si>
  <si>
    <t>MH 160x110 MM JE</t>
  </si>
  <si>
    <t>0411.04/L2-CR</t>
  </si>
  <si>
    <t>0411.04/L2-NG</t>
  </si>
  <si>
    <t>6436</t>
  </si>
  <si>
    <t>FLUXERMATIC PICO ALTO PARA LAV</t>
  </si>
  <si>
    <t>ANGULAR 2400W 230mmTG1252306-4</t>
  </si>
  <si>
    <t>Descargá este archivo para editar haciendo click en Archivo/Descargar/Descargar como Excel</t>
  </si>
  <si>
    <t>6289</t>
  </si>
  <si>
    <t>MEC.PLASTICO P/DEP VIP (902)</t>
  </si>
  <si>
    <t>0362.01-CR</t>
  </si>
  <si>
    <t>0189/39.15.0DCR</t>
  </si>
  <si>
    <t>PED.ESP.REPUESTO ANILLO BASE</t>
  </si>
  <si>
    <t>0103/A1.120DHCR</t>
  </si>
  <si>
    <t>0207/15.3-D</t>
  </si>
  <si>
    <t>0368.34-B</t>
  </si>
  <si>
    <t>PLANO 4MMx100MM THT264100</t>
  </si>
  <si>
    <t>PLANO 6MMx125MM THT266125</t>
  </si>
  <si>
    <t>PLANO 8MMx150MM THT21786</t>
  </si>
  <si>
    <t>NAVAJA PLEGABLE THT5136288</t>
  </si>
  <si>
    <t>RASPADOR METALICO THT183201</t>
  </si>
  <si>
    <t>93631</t>
  </si>
  <si>
    <t>REPUESTO PARA SIFONES AWADUCT</t>
  </si>
  <si>
    <t>70037</t>
  </si>
  <si>
    <t>HYDRO MULTI-E 2 CME 5-4 U2</t>
  </si>
  <si>
    <t>73146</t>
  </si>
  <si>
    <t>SEG.40.15.2.50B</t>
  </si>
  <si>
    <t>8980</t>
  </si>
  <si>
    <t>76044</t>
  </si>
  <si>
    <t>UPS 40-185F</t>
  </si>
  <si>
    <t>50944</t>
  </si>
  <si>
    <t>SET DEST. 18P THT250618</t>
  </si>
  <si>
    <t>50950</t>
  </si>
  <si>
    <t>SET DEST. 10P THT250610</t>
  </si>
  <si>
    <t>75113</t>
  </si>
  <si>
    <t>PARTE HIDRAUL.S4-16/15</t>
  </si>
  <si>
    <t>75114</t>
  </si>
  <si>
    <t>PARTE HIDRAUL.S4-16/20</t>
  </si>
  <si>
    <t>75203</t>
  </si>
  <si>
    <t>MOTOR 4" 5,5HP T 400/50-460/60</t>
  </si>
  <si>
    <t>75204</t>
  </si>
  <si>
    <t>MOTOR 4" 7.5HP T 400/50-460/60</t>
  </si>
  <si>
    <t>0360.02-CR</t>
  </si>
  <si>
    <t>0310/D9.25.0DCR</t>
  </si>
  <si>
    <t>0207/15.8-D</t>
  </si>
  <si>
    <t>77061</t>
  </si>
  <si>
    <t>77062</t>
  </si>
  <si>
    <t>71401</t>
  </si>
  <si>
    <t>H500 CTP</t>
  </si>
  <si>
    <t>72010</t>
  </si>
  <si>
    <t>ELECT.PERIFERICA LEO APm37</t>
  </si>
  <si>
    <t>76112</t>
  </si>
  <si>
    <t>GT-H-35V G3/4</t>
  </si>
  <si>
    <t>50980</t>
  </si>
  <si>
    <t>DESTORNILLADOR AISLADO</t>
  </si>
  <si>
    <t>PH0 x 60MM THTISPH060</t>
  </si>
  <si>
    <t>50981</t>
  </si>
  <si>
    <t>PH1 x 80MM THTISPH180</t>
  </si>
  <si>
    <t>50982</t>
  </si>
  <si>
    <t>PH2 x 100MM THTISPH2100</t>
  </si>
  <si>
    <t>50983</t>
  </si>
  <si>
    <t>PL 4MMx100MM THTIS4100</t>
  </si>
  <si>
    <t>50984</t>
  </si>
  <si>
    <t>PL 5.5MMx125MM THTIS5125</t>
  </si>
  <si>
    <t>50985</t>
  </si>
  <si>
    <t>PL 6.5MMx150MM THTIS6150</t>
  </si>
  <si>
    <t>50986</t>
  </si>
  <si>
    <t>PZ 2 X 100MM THTISPZ2100</t>
  </si>
  <si>
    <t>12777</t>
  </si>
  <si>
    <t>VALVULA ESF VOLANTE 25MM IPS</t>
  </si>
  <si>
    <t>50810</t>
  </si>
  <si>
    <t>73117</t>
  </si>
  <si>
    <t>UNILIFT APG.40.10.3</t>
  </si>
  <si>
    <t>0201/24.2.0-BTN</t>
  </si>
  <si>
    <t>TAPAS ASIENTO</t>
  </si>
  <si>
    <t>0372-CR</t>
  </si>
  <si>
    <t>VF051</t>
  </si>
  <si>
    <t>REPUESTOS FERRUM</t>
  </si>
  <si>
    <t>VTA38-B</t>
  </si>
  <si>
    <t>VC223</t>
  </si>
  <si>
    <t>VF061</t>
  </si>
  <si>
    <t>VFI16-04</t>
  </si>
  <si>
    <t>VIP19</t>
  </si>
  <si>
    <t>VP141</t>
  </si>
  <si>
    <t>VP191</t>
  </si>
  <si>
    <t>VP230</t>
  </si>
  <si>
    <t>VP480</t>
  </si>
  <si>
    <t>VP802</t>
  </si>
  <si>
    <t>VP852</t>
  </si>
  <si>
    <t>VP913</t>
  </si>
  <si>
    <t>VS454</t>
  </si>
  <si>
    <t>VTA39-B</t>
  </si>
  <si>
    <t>VTA40-B</t>
  </si>
  <si>
    <t>VTC04</t>
  </si>
  <si>
    <t>VTC09</t>
  </si>
  <si>
    <t>VALV.DESC.DEP.C/ BOT(50000)</t>
  </si>
  <si>
    <t>VF051-R2</t>
  </si>
  <si>
    <t>OBT.FLAPPER C-VASO - REPUESTOS</t>
  </si>
  <si>
    <t>6423</t>
  </si>
  <si>
    <t>FLUXER DUCHA AHORRO AGUA 4L/M</t>
  </si>
  <si>
    <t>PHILLPS 6MMx38MM THT26PH2038</t>
  </si>
  <si>
    <t>DEP MOCHILA UNIV YSUMA (1562)</t>
  </si>
  <si>
    <t>0361.03A.25.0-B</t>
  </si>
  <si>
    <t>OBTURADOR DESC CILINDRICA</t>
  </si>
  <si>
    <t>VALVULA DESCARGA C/VASO</t>
  </si>
  <si>
    <t>VAL DESC FLAPPER RIGIDO</t>
  </si>
  <si>
    <t>BOYA MEDIANA VALVULA CF</t>
  </si>
  <si>
    <t>PALANCA DEPOSITO DAC/DMM</t>
  </si>
  <si>
    <t>CADENA PLASTICA</t>
  </si>
  <si>
    <t>TORNILLO DE 80 MM PLAST.</t>
  </si>
  <si>
    <t>ARO CONEXION INODORO</t>
  </si>
  <si>
    <t>OBTURADOR FLAPPER S/VASO</t>
  </si>
  <si>
    <t>OBTURADOR FLAPPER C/VASO</t>
  </si>
  <si>
    <t>BOYA CHICA VALVULA C/F</t>
  </si>
  <si>
    <t>PAL.ACC.DEPOSITO DAR</t>
  </si>
  <si>
    <t>GOYETE ACOPLE INODORO</t>
  </si>
  <si>
    <t>ACCIONAMIENTO BOTON(OVAL)</t>
  </si>
  <si>
    <t>ACCIONAMIENTO TECLA</t>
  </si>
  <si>
    <t>ACCIONAMIENTO BOTON(RECT)</t>
  </si>
  <si>
    <t>FIJACION INODORO-DEPOSITO</t>
  </si>
  <si>
    <t>CONEXION FUELLE P/INODORO</t>
  </si>
  <si>
    <t>PLANO 5MMx100MM THT265100</t>
  </si>
  <si>
    <t>MULTICAPA ROTOPLAS</t>
  </si>
  <si>
    <t>70085</t>
  </si>
  <si>
    <t>E.SYBOX MAX 85/120 T</t>
  </si>
  <si>
    <t>70095</t>
  </si>
  <si>
    <t>2 E.SYBOX MAX 85/120 T BOOSTER</t>
  </si>
  <si>
    <t>96502</t>
  </si>
  <si>
    <t>45° MH 160 INTEMPERIE</t>
  </si>
  <si>
    <t>87°30 HHM 160 X 110 INTEMPERIE</t>
  </si>
  <si>
    <t>96506</t>
  </si>
  <si>
    <t>45° HHM 160 X 110 INTEMPERIE</t>
  </si>
  <si>
    <t>71217</t>
  </si>
  <si>
    <t>CM 5-4 MONOF.</t>
  </si>
  <si>
    <t>95501</t>
  </si>
  <si>
    <t>160 X 3M INTEMPERIE (A)</t>
  </si>
  <si>
    <t>71747</t>
  </si>
  <si>
    <t>P/TANQUE CISTERNA CST3.22 ST</t>
  </si>
  <si>
    <t>71748</t>
  </si>
  <si>
    <t>0106/M1-CR</t>
  </si>
  <si>
    <t>LINEA M1 JANA</t>
  </si>
  <si>
    <t>0181/M1-CR</t>
  </si>
  <si>
    <t>0189/M1-CR</t>
  </si>
  <si>
    <t>0310/M1-CR</t>
  </si>
  <si>
    <t>PERCUTOR 810W TG1081316-4</t>
  </si>
  <si>
    <t>12774</t>
  </si>
  <si>
    <t>VALV.ESF VOLANTE MET 25MM IPS</t>
  </si>
  <si>
    <t>50920</t>
  </si>
  <si>
    <t>CALIBRE DIGITAL TMT321506</t>
  </si>
  <si>
    <t>52016</t>
  </si>
  <si>
    <t>4924</t>
  </si>
  <si>
    <t>CABEZAL POL.CER.DER.LARGO</t>
  </si>
  <si>
    <t>4925</t>
  </si>
  <si>
    <t>CABEZAL POL.CER.IZQ.LARGO</t>
  </si>
  <si>
    <t>ROTAT.1050W TH110266-4 10.5</t>
  </si>
  <si>
    <t>0411.01.3-D</t>
  </si>
  <si>
    <t>73010</t>
  </si>
  <si>
    <t>ELECTROBOMBA LSWm100A</t>
  </si>
  <si>
    <t>73011</t>
  </si>
  <si>
    <t>ELECTROBOMBA LSWm150A</t>
  </si>
  <si>
    <t>VF054</t>
  </si>
  <si>
    <t>VALVULA DESC. ESPACIO  X  UNIDAD</t>
  </si>
  <si>
    <t>VF058</t>
  </si>
  <si>
    <t>VAL DES DUAL ADRIATICA  X  UNIDAD</t>
  </si>
  <si>
    <t>VF059</t>
  </si>
  <si>
    <t>VALV DESC DUAL P/BOT LAT  X  UNIDAD</t>
  </si>
  <si>
    <t>VF060</t>
  </si>
  <si>
    <t>VAL DESC DUAL P/BOT 48MM  X  UNIDAD</t>
  </si>
  <si>
    <t>VFI18</t>
  </si>
  <si>
    <t>VAL ENT SISTEMA DUAL X UNIDAD</t>
  </si>
  <si>
    <t>VFI19</t>
  </si>
  <si>
    <t>"VALVULA ENTRADA DUAL 10""  X  UNIDAD"</t>
  </si>
  <si>
    <t>VFI20</t>
  </si>
  <si>
    <t>VFI21</t>
  </si>
  <si>
    <t>VAL ENTRADA CABEZA BLANCA  X  UNIDAD</t>
  </si>
  <si>
    <t>VP019</t>
  </si>
  <si>
    <t>ACCIONAMIENTO FRONTAL  X  UNIDAD</t>
  </si>
  <si>
    <t>VS913</t>
  </si>
  <si>
    <t>PAL.ACC.DEP.DAR P/UNIDAD  X  UNIDAD</t>
  </si>
  <si>
    <t>VTA34-R7</t>
  </si>
  <si>
    <t>MANIJ CER. BUJE P-DEP.VICTO - REPUESTOS</t>
  </si>
  <si>
    <t>VTA34-R8</t>
  </si>
  <si>
    <t>PALAN P-MANIJ CER.VICT - REPUESTOS</t>
  </si>
  <si>
    <t>VTA41</t>
  </si>
  <si>
    <t>ACCIONAMIENTO NEU ESPACIO  X  UNIDAD</t>
  </si>
  <si>
    <t>VTA43-01</t>
  </si>
  <si>
    <t>TECLA DUAL CROMO - REPUESTOS</t>
  </si>
  <si>
    <t>VTA47-01</t>
  </si>
  <si>
    <t>BOTON  DUAL 38MM CABLE - REPUESTOS</t>
  </si>
  <si>
    <t>VTA48-01</t>
  </si>
  <si>
    <t>BOTON  DUAL 48MM CABLE - REPUESTOS</t>
  </si>
  <si>
    <t>VTC03</t>
  </si>
  <si>
    <t>FIJACION INODORO-DEPOSITO  X  UNIDAD</t>
  </si>
  <si>
    <t>VTC06</t>
  </si>
  <si>
    <t>VTC13</t>
  </si>
  <si>
    <t>SIST FIJACION DEP MARINA  X  UNIDAD</t>
  </si>
  <si>
    <t>VTC05</t>
  </si>
  <si>
    <t>VTC11</t>
  </si>
  <si>
    <t>CONEXIËN INODORO ESPACIO  X  UNIDAD</t>
  </si>
  <si>
    <t>73095</t>
  </si>
  <si>
    <t>UNILIFT KP 350 M-1</t>
  </si>
  <si>
    <t>73101</t>
  </si>
  <si>
    <t>73131</t>
  </si>
  <si>
    <t>UNILIFT AP 35B.50.08.3</t>
  </si>
  <si>
    <t>73229</t>
  </si>
  <si>
    <t>PANEL SOLAR GF270 270WP 31,4 V</t>
  </si>
  <si>
    <t>77009</t>
  </si>
  <si>
    <t>ACHIQUE AGUA SUCIA LKS-756PW</t>
  </si>
  <si>
    <t>VFI20-03</t>
  </si>
  <si>
    <t>"REP VAL ENTRADA 12"" C/CEL  X  UNIDAD"</t>
  </si>
  <si>
    <t>6410</t>
  </si>
  <si>
    <t>ENCHUFE 40/50</t>
  </si>
  <si>
    <t>MULTI-E 3 CRE10-5 U2 A-A-A-AF</t>
  </si>
  <si>
    <t>77007</t>
  </si>
  <si>
    <t>74600</t>
  </si>
  <si>
    <t>ELECT.MONOBLOCK LDW6-35-750</t>
  </si>
  <si>
    <t>74601</t>
  </si>
  <si>
    <t>ELECT.MONOBLOCK LDW6-42-900</t>
  </si>
  <si>
    <t>74602</t>
  </si>
  <si>
    <t>ELECT.MONOBLOCK LDW6-55-1100</t>
  </si>
  <si>
    <t>76070</t>
  </si>
  <si>
    <t>ACm37 0.5HP M</t>
  </si>
  <si>
    <t>76071</t>
  </si>
  <si>
    <t>ACm60 0.8HP M</t>
  </si>
  <si>
    <t>76072</t>
  </si>
  <si>
    <t>ACm65 1HP M</t>
  </si>
  <si>
    <t>76082</t>
  </si>
  <si>
    <t>AC65 1HP T</t>
  </si>
  <si>
    <t>77006</t>
  </si>
  <si>
    <t>77027</t>
  </si>
  <si>
    <t>ELECTROBOMBA D/CAMARA 2ACm150</t>
  </si>
  <si>
    <t>77028</t>
  </si>
  <si>
    <t>ELECTROBOMBA D/CAMARA 2AC 150</t>
  </si>
  <si>
    <t>77029</t>
  </si>
  <si>
    <t>ELECTROBOMBA D/CAMARA 2ACm110</t>
  </si>
  <si>
    <t>77030</t>
  </si>
  <si>
    <t>ELECTROBOMBA D/CAMARA 2AC 110</t>
  </si>
  <si>
    <t>77031</t>
  </si>
  <si>
    <t>ELECTROBOMBA D/CAMARA 2AC 220</t>
  </si>
  <si>
    <t>77032</t>
  </si>
  <si>
    <t>ELECTROBOMBA D/CAMARA 2AC 300H</t>
  </si>
  <si>
    <t>77033</t>
  </si>
  <si>
    <t>ELECTROBOMBA D/CAMARA 2AC 400H</t>
  </si>
  <si>
    <t>VF056</t>
  </si>
  <si>
    <t>"VAL DESC DUAL 3"" X UNIDAD"</t>
  </si>
  <si>
    <t>VTA53-01</t>
  </si>
  <si>
    <t>BOTON SUPERIOR DESCARGA SIMPLE X UNIDAD</t>
  </si>
  <si>
    <t>VP261</t>
  </si>
  <si>
    <t>PALANCA MANIJA CROMADA  X  10  UNIDADES</t>
  </si>
  <si>
    <t>VP630</t>
  </si>
  <si>
    <t>PUENTE FIJACION D/OVALES  X  10  UNIDADES</t>
  </si>
  <si>
    <t>VS908</t>
  </si>
  <si>
    <t>ARO CONEXION DE CERA  X  UNIDAD</t>
  </si>
  <si>
    <t>7130</t>
  </si>
  <si>
    <t>PRESURIZACION LEO</t>
  </si>
  <si>
    <t>PERIFERICA LEO</t>
  </si>
  <si>
    <t>SUMERGIBLE LEO</t>
  </si>
  <si>
    <t>SUMERGIBLES P/POZO LEO</t>
  </si>
  <si>
    <t>CENTRIFUGAS LEO</t>
  </si>
  <si>
    <t>VPDU1-01</t>
  </si>
  <si>
    <t>KIT DESC DUAL P/BOT LATE  X  UNIDAD</t>
  </si>
  <si>
    <t>97124</t>
  </si>
  <si>
    <t>97155</t>
  </si>
  <si>
    <t>EXT.P/AMURAR BAJO BACH.C.50X50</t>
  </si>
  <si>
    <t>72011</t>
  </si>
  <si>
    <t>ELECT.PERIFERICA LEO APm60</t>
  </si>
  <si>
    <t>72012</t>
  </si>
  <si>
    <t>ELECT.PERIFERICA LEO APm75</t>
  </si>
  <si>
    <t>73013</t>
  </si>
  <si>
    <t>ELECTROBOMBA LSWm100CA TRITUR.</t>
  </si>
  <si>
    <t>HID 50.6M K6 (1.7) (A)</t>
  </si>
  <si>
    <t>HID 125.6M K10 (6,0) (A)</t>
  </si>
  <si>
    <t>VF053</t>
  </si>
  <si>
    <t>VALVULA DESCARGA A CODO  X  UNIDAD</t>
  </si>
  <si>
    <t>6354</t>
  </si>
  <si>
    <t>MOCHILA CHATA SUMA DESC.SIMPLE</t>
  </si>
  <si>
    <t>TAX-B</t>
  </si>
  <si>
    <t>T ASIENTO ADRIATICA H/PLA</t>
  </si>
  <si>
    <t>ROTAT.800W TH308268-4 10.5</t>
  </si>
  <si>
    <t>71555</t>
  </si>
  <si>
    <t>CR15-9 A-F-A-E-HQQE 3X400/690</t>
  </si>
  <si>
    <t>VP602</t>
  </si>
  <si>
    <t>BOYA ADMISION PIRAMIDAL  X  10  UNIDADES</t>
  </si>
  <si>
    <t>TKSP-B</t>
  </si>
  <si>
    <t>TAPA INODORO PP-BARI</t>
  </si>
  <si>
    <t>ELECT.INT.VEL.V.MAC 550 0.75HP</t>
  </si>
  <si>
    <t>72013</t>
  </si>
  <si>
    <t>ELECT.PERIFERICA LEO APm110</t>
  </si>
  <si>
    <t>77008</t>
  </si>
  <si>
    <t>ACHIQUE AGUA LIMPIA LKS-756P</t>
  </si>
  <si>
    <t>77015</t>
  </si>
  <si>
    <t>ACHIQUE AGUA LIMPIA LKS-750PS</t>
  </si>
  <si>
    <t>77016</t>
  </si>
  <si>
    <t>ACHIQUE AGUA SUCIA LKS-1000PSW</t>
  </si>
  <si>
    <t>77900</t>
  </si>
  <si>
    <t>TANQUE HIDRONEUMATICO</t>
  </si>
  <si>
    <t>77901</t>
  </si>
  <si>
    <t>VFN16-02</t>
  </si>
  <si>
    <t>FIJACION VAL ENTRADA N  X  UNIDAD</t>
  </si>
  <si>
    <t>VFN16-03</t>
  </si>
  <si>
    <t>"KIT REP VALVULA 1/2 ""  X  UNIDAD"</t>
  </si>
  <si>
    <t>VFN16-03(7)</t>
  </si>
  <si>
    <t>VP482</t>
  </si>
  <si>
    <t>TUERCA VALVULA DESCARGA  X  5  UNIDADES</t>
  </si>
  <si>
    <t>0103/H6-CR</t>
  </si>
  <si>
    <t>LINEA H6 ARRAYAN</t>
  </si>
  <si>
    <t>0109/H6-CR</t>
  </si>
  <si>
    <t>0203/H6-CR</t>
  </si>
  <si>
    <t>0207/H6-CR</t>
  </si>
  <si>
    <t>0295/H6-CR</t>
  </si>
  <si>
    <t>D92TE-B</t>
  </si>
  <si>
    <t>SANITARIOS</t>
  </si>
  <si>
    <t>DEPOSITO DE EMBUTIR EXTRA CHATO</t>
  </si>
  <si>
    <t>VTA51-01</t>
  </si>
  <si>
    <t>TAPA TECLA RECTANGULAR  CHICA - DEP EMBUTIR</t>
  </si>
  <si>
    <t>52231</t>
  </si>
  <si>
    <t>DISCO DIAMANT.110MM TAC2111103</t>
  </si>
  <si>
    <t>16216</t>
  </si>
  <si>
    <t>RP BIODIGESTOR 950 LTS</t>
  </si>
  <si>
    <t>94194</t>
  </si>
  <si>
    <t>CONJ.EMB.Y MARCO.S110 30X30</t>
  </si>
  <si>
    <t>94195</t>
  </si>
  <si>
    <t>CONJ.EMB.Y MARCO S160 30X30</t>
  </si>
  <si>
    <t>94196</t>
  </si>
  <si>
    <t>MARCO Y REJILLA 30X30</t>
  </si>
  <si>
    <t>94197</t>
  </si>
  <si>
    <t>VERTICAL C/REJ.S160 30X30</t>
  </si>
  <si>
    <t>94200</t>
  </si>
  <si>
    <t>VERTICAL C/REJ.S110 30X30</t>
  </si>
  <si>
    <t>APLIC.SILICONA THT21509</t>
  </si>
  <si>
    <t>0207/L2.22A.03D</t>
  </si>
  <si>
    <t>1725</t>
  </si>
  <si>
    <t>200.3MTS ENCOFRADO LISO</t>
  </si>
  <si>
    <t>1223</t>
  </si>
  <si>
    <t>1230</t>
  </si>
  <si>
    <t>3 K2,5 50MTS.</t>
  </si>
  <si>
    <t>1241</t>
  </si>
  <si>
    <t>1/2 K4</t>
  </si>
  <si>
    <t>1247</t>
  </si>
  <si>
    <t>21/2 K4 50 MTS</t>
  </si>
  <si>
    <t>79607</t>
  </si>
  <si>
    <t>RACOR UPA /CONFORT 15-14</t>
  </si>
  <si>
    <t>Cód.</t>
  </si>
  <si>
    <t>SET DE ACC X 7 PIEZAS ARONA</t>
  </si>
  <si>
    <t>0411.04/87.10-D</t>
  </si>
  <si>
    <t>ACC. RIGID</t>
  </si>
  <si>
    <t>40X1MT RIGID</t>
  </si>
  <si>
    <t>40x3MT RIGID</t>
  </si>
  <si>
    <t>40x4MT RIGID</t>
  </si>
  <si>
    <t>50X1MT RIGID</t>
  </si>
  <si>
    <t>50x3MT RIGID</t>
  </si>
  <si>
    <t>50x4MT RIGID</t>
  </si>
  <si>
    <t>63X1MT RIGID</t>
  </si>
  <si>
    <t>63x4MT RIGID</t>
  </si>
  <si>
    <t>110x1MT RIGID</t>
  </si>
  <si>
    <t>110x3MT RIGID</t>
  </si>
  <si>
    <t>1452</t>
  </si>
  <si>
    <t>125.6MTS  LIVIANO (A)</t>
  </si>
  <si>
    <t>1454</t>
  </si>
  <si>
    <t>140.6MTS  LIVIANO (A)</t>
  </si>
  <si>
    <t>1456</t>
  </si>
  <si>
    <t>160.6MTS  LIVIANO (A)</t>
  </si>
  <si>
    <t>1473</t>
  </si>
  <si>
    <t>POCERO KALIPLAST 115.6MTS</t>
  </si>
  <si>
    <t>1477</t>
  </si>
  <si>
    <t>200.6MTS  CL 6 (A)</t>
  </si>
  <si>
    <t>1497</t>
  </si>
  <si>
    <t>200.6MTS (7,7) CL 10 (A)</t>
  </si>
  <si>
    <t>753</t>
  </si>
  <si>
    <t>PESADO GRIS 118ML</t>
  </si>
  <si>
    <t>757</t>
  </si>
  <si>
    <t>PESADO GRIS 946ML</t>
  </si>
  <si>
    <t>0207/N3-FB</t>
  </si>
  <si>
    <t>LINEA KING 3D</t>
  </si>
  <si>
    <t>0295/N3-FB</t>
  </si>
  <si>
    <t>0626/N3-FB</t>
  </si>
  <si>
    <t>0406/92.14.0DCR</t>
  </si>
  <si>
    <t>79020</t>
  </si>
  <si>
    <t>MOTOBOMBAS NAFTERAS</t>
  </si>
  <si>
    <t>LGP-20A 5.5HP</t>
  </si>
  <si>
    <t>79030</t>
  </si>
  <si>
    <t>LGP-30A 6.5HP</t>
  </si>
  <si>
    <t>P/TANQUE CISTERNA CST4.22 ST</t>
  </si>
  <si>
    <t>0370.20.0-D</t>
  </si>
  <si>
    <t>BOTON ARMADO PARA VALVULA SLIM</t>
  </si>
  <si>
    <t>58 X 1M</t>
  </si>
  <si>
    <t>58 X 3M</t>
  </si>
  <si>
    <t>58 X 4M</t>
  </si>
  <si>
    <t>91629</t>
  </si>
  <si>
    <t>110 X 0,5M</t>
  </si>
  <si>
    <t>110 X 1M</t>
  </si>
  <si>
    <t>110 X 3M</t>
  </si>
  <si>
    <t>110 X 4M</t>
  </si>
  <si>
    <t>97123</t>
  </si>
  <si>
    <t>EMB.40/50x19/23 Tapa blanco lo</t>
  </si>
  <si>
    <t>LINEA 62 MARGOT ACCESORIOS</t>
  </si>
  <si>
    <t>LINEA 64 DENISSE ACCESORIOS</t>
  </si>
  <si>
    <t>LINEA 87 TEMPLE ACCESORIOS</t>
  </si>
  <si>
    <t>LINEA 49 ALESIA ACCESORIOS</t>
  </si>
  <si>
    <t>LINEA 83 VERMONT ACCESORIOS</t>
  </si>
  <si>
    <t>LINEA R/85 DOMINIC ACCESORIOS</t>
  </si>
  <si>
    <t>LINEA H4 CHALTEN ACCESORIOS L</t>
  </si>
  <si>
    <t>LINEA D7 ALERCE COCINA/LAVAD.</t>
  </si>
  <si>
    <t>LINEA D7L ALERCE COCINA/LAVAD.</t>
  </si>
  <si>
    <t>LINEA 16 MALENA COCINA/LAVAD.</t>
  </si>
  <si>
    <t>LINEA 17 CALIFORNIA COCIN/LAV.</t>
  </si>
  <si>
    <t>LINEA C7 RADAL COCINA/LAVAD.</t>
  </si>
  <si>
    <t>LINEA 15 ALLEGRO ACCESORIOS</t>
  </si>
  <si>
    <t>LINEA 31 MIKKA ACCESORIOS</t>
  </si>
  <si>
    <t>LINEA B1 ARIZONA ACCESORIOS</t>
  </si>
  <si>
    <t>LINEA B2 NEWPORT ACCESORIOS</t>
  </si>
  <si>
    <t>LINEA C3 TRIADES ACCESORIOS</t>
  </si>
  <si>
    <t>LINEA N2 CIPRES ACCESORIOS</t>
  </si>
  <si>
    <t>LINEA 39 LIBBY MONOCOMANDO</t>
  </si>
  <si>
    <t>LINEA D8 AROMO MONOCOMANDO</t>
  </si>
  <si>
    <t>LINEA L2 EPUYEN MONOCOMANDO</t>
  </si>
  <si>
    <t>LINEA M4 COMPACTA MONOCOMANDO</t>
  </si>
  <si>
    <t>LINEA D9 COTY MONOCOMANDO</t>
  </si>
  <si>
    <t>LINEA 85N DOMINIC NEW MONOC.</t>
  </si>
  <si>
    <t>LINEA B1 ARIZONA MONOCOMANDO</t>
  </si>
  <si>
    <t>LINEA C9 MELINCUE MONOCOMANDO</t>
  </si>
  <si>
    <t>LINEA TEMPLE MONOCOMANDO</t>
  </si>
  <si>
    <t>LINEA H5 LENGA MONOCOMANDO</t>
  </si>
  <si>
    <t>LINEA 85 MONOC.CONTROL TERMOST</t>
  </si>
  <si>
    <t>LINEA 39 LIBBY ACCESORIOS</t>
  </si>
  <si>
    <t>LINEA 37 GRAND HOTEL ACCESORIO</t>
  </si>
  <si>
    <t>LINEA L2 EPUYEN ACCESORIOS</t>
  </si>
  <si>
    <t>LINEA 15 ALLEGRO COCINA-LAVAD.</t>
  </si>
  <si>
    <t>VP812</t>
  </si>
  <si>
    <t>CONJ ACCIONAMIENTO BOTON  X  5  UNIDADES</t>
  </si>
  <si>
    <t>A06 FV</t>
  </si>
  <si>
    <t>A04 CLOACALES SIST.</t>
  </si>
  <si>
    <t>B06 PLUVIALES</t>
  </si>
  <si>
    <t>A02 TERMOFUSION SIST</t>
  </si>
  <si>
    <t>B07 CONDUC AGUA POTABLE PVC</t>
  </si>
  <si>
    <t>B05 CONDUC PPN / PLT</t>
  </si>
  <si>
    <t>B03 TANQUES</t>
  </si>
  <si>
    <t>B01 FERRUM</t>
  </si>
  <si>
    <t>B02 FUSIOGAS</t>
  </si>
  <si>
    <t>A07 LINEA BLANCA</t>
  </si>
  <si>
    <t>VP283</t>
  </si>
  <si>
    <t>ARO CONEXION INODORO  X  5  UNIDADES</t>
  </si>
  <si>
    <t>77131</t>
  </si>
  <si>
    <t>ELECTROBOMBA FJm-75SE</t>
  </si>
  <si>
    <t>75503</t>
  </si>
  <si>
    <t>DUCHA C/TRANSF. P/EMB</t>
  </si>
  <si>
    <t>DUCHA S/TRANSF. P/EMB</t>
  </si>
  <si>
    <t>DUCHA C/TRANSF. EXT</t>
  </si>
  <si>
    <t>LAVATORIO DE PARED P/EMB</t>
  </si>
  <si>
    <t>BIDET TRADICIONAL</t>
  </si>
  <si>
    <t>COCINA MESADA</t>
  </si>
  <si>
    <t>DUCHA C/TRANSF EXT.</t>
  </si>
  <si>
    <t>DUCHA C/TRANSF. MONOCOM.</t>
  </si>
  <si>
    <t>BIDET TRADICIONAL NEGRO</t>
  </si>
  <si>
    <t>KIT GRIFERIA</t>
  </si>
  <si>
    <t>DUCHA S/TRANSF. EXT</t>
  </si>
  <si>
    <t>LAVADERO P/EMBUTIR</t>
  </si>
  <si>
    <t>COCINA PICO MÓVIL BAJO P/EMB.</t>
  </si>
  <si>
    <t>COCINA MESADA NEGRO</t>
  </si>
  <si>
    <t>COCINA MESADA ROSA</t>
  </si>
  <si>
    <t>COCINA AUGUSTA</t>
  </si>
  <si>
    <t>COCINA PICO MOVIL MARGOT</t>
  </si>
  <si>
    <t>COCINA MESADA DENISSE</t>
  </si>
  <si>
    <t>COCINA</t>
  </si>
  <si>
    <t>MESADA COCINA PICO MÓVIL</t>
  </si>
  <si>
    <t>PICO MÓVIL BAJO P/EMB. ARIZONA</t>
  </si>
  <si>
    <t>PICO MÓVIL BAJO P/EMB. NEWPORT</t>
  </si>
  <si>
    <t>MESADA ARIZONA PLUS</t>
  </si>
  <si>
    <t>MESADA BAJA NEWPORT</t>
  </si>
  <si>
    <t>MESADA PAMPA</t>
  </si>
  <si>
    <t>DUCHA C/TRANSF. P/EMB NEGRO</t>
  </si>
  <si>
    <t>LAVATORIO DE PARED P/EMB NEGRO</t>
  </si>
  <si>
    <t>LAVATORIO NEGRO</t>
  </si>
  <si>
    <t>HIDROMASAJE C/ROCIADOR</t>
  </si>
  <si>
    <t>HIDROMASAJE</t>
  </si>
  <si>
    <t>DUCHA C/TERMOSTATO</t>
  </si>
  <si>
    <t>MONOCOMANDO</t>
  </si>
  <si>
    <t>COCINA MESADA ALTA</t>
  </si>
  <si>
    <t>DUCHA BARRAL C/TERMOST. CROMO</t>
  </si>
  <si>
    <t>DUCHA BARRAL C/TERMOST. NEGRO</t>
  </si>
  <si>
    <t>BIDET NEGRO</t>
  </si>
  <si>
    <t>TEMPLE</t>
  </si>
  <si>
    <t>LIBBY C/ TUBO GLÓBULO</t>
  </si>
  <si>
    <t>GREDOS 300 MM - PLASTICO</t>
  </si>
  <si>
    <t>DOMINIC</t>
  </si>
  <si>
    <t>VERTICAL</t>
  </si>
  <si>
    <t>VOLANTE Y CAMPANA CITY</t>
  </si>
  <si>
    <t>VOLANTE Y CAMPANA DOMINIC</t>
  </si>
  <si>
    <t>UNIDAD TERMO PARA DUCHA</t>
  </si>
  <si>
    <t>VISTA P/ JUEGO DOMINIC</t>
  </si>
  <si>
    <t>VISTA P/ JUEGO CITY</t>
  </si>
  <si>
    <t>UNIDAD TERMOSTATICA 3/4 DUCHA</t>
  </si>
  <si>
    <t>METÁLICA P/DUCHA 150CM</t>
  </si>
  <si>
    <t>PORTAVASO Y CEPILLO</t>
  </si>
  <si>
    <t>KIT ACCESORIOS 5 PIEZAS</t>
  </si>
  <si>
    <t>KIT ACCESORIOS 6 PIEZAS</t>
  </si>
  <si>
    <t>PORTAVASO Y CEPILLO ROSA</t>
  </si>
  <si>
    <t>TAPA TECLA C/MANIJA DISCA</t>
  </si>
  <si>
    <t>TAPA TECLA ANTIVANDALICA</t>
  </si>
  <si>
    <t>VALVULA DESCARGA DE 38 MM</t>
  </si>
  <si>
    <t>TAPA CON TECLA P/0368.01</t>
  </si>
  <si>
    <t>TAPA TECLA CUADRADA DOBLE</t>
  </si>
  <si>
    <t>VALVULA SLIM EXTRA CHATA 38MM</t>
  </si>
  <si>
    <t>TAPA SLIM EXTRA CHATA 38MM</t>
  </si>
  <si>
    <t>FLEXIBLE 13-20 CM M. GIRA</t>
  </si>
  <si>
    <t>FLEXIBLE 13-25 CM M. GIRA</t>
  </si>
  <si>
    <t>FLEXIBLE 13-30 CM M. GIRA</t>
  </si>
  <si>
    <t>FLEXIBLE 13-35 CM M. GIRA</t>
  </si>
  <si>
    <t>FLEXIBLE 13-40 CM M. GIRA</t>
  </si>
  <si>
    <t>FLEXIBLE 3/4" M. GIRAT 20CM</t>
  </si>
  <si>
    <t>FLEXIBLE 1/2" M. GIRAT 20CM</t>
  </si>
  <si>
    <t>FLEXIBLE 1/2" M. GIRAT 25CM</t>
  </si>
  <si>
    <t>FLEXIBLE 1/2" M. GIRAT 30CM</t>
  </si>
  <si>
    <t>FLEXIBLE 1/2" M. GIRAT 35CM</t>
  </si>
  <si>
    <t>FLEXIBLE 1/2" M. GIRAT 40CM</t>
  </si>
  <si>
    <t>HEXA MANIJA Y CAMPANA CR</t>
  </si>
  <si>
    <t>REFORZADA MH APROBADA 13mm BR</t>
  </si>
  <si>
    <t>REFORZADA MH APROBADA 13mm CR</t>
  </si>
  <si>
    <t>REFORZADA MH APROBADA 19mm BR</t>
  </si>
  <si>
    <t>REFORZADA MH APROBADA 19mm CR</t>
  </si>
  <si>
    <t>REFORZADA MH APROBADA 25mm BR</t>
  </si>
  <si>
    <t>REFORZADA MH APROBADA 25mm CR</t>
  </si>
  <si>
    <t>REFORZADA MH C/ROSETA 13mm CR</t>
  </si>
  <si>
    <t>REFORZADA MH C/ROSETA 19mm CR</t>
  </si>
  <si>
    <t>HEXA C/ROSETA MH 13mm CR</t>
  </si>
  <si>
    <t>HEXA C/ROSETA MH 19mm CR</t>
  </si>
  <si>
    <t>MANGUERA CIERRE ESF. 13MM MARI</t>
  </si>
  <si>
    <t>MANGUERA CIERRE ESF. 19MM MARI</t>
  </si>
  <si>
    <t>MANGUERA CIERRE ESF. 25MM MARI</t>
  </si>
  <si>
    <t>COMBINADA CIERRE ESF. 13MM</t>
  </si>
  <si>
    <t>PLÁSTICA MANGUERA-RIEGO 13MM</t>
  </si>
  <si>
    <t>MANGUERA-RIEGO 13MM</t>
  </si>
  <si>
    <t>MANGUERA-RIEGO 19MM</t>
  </si>
  <si>
    <t>PASO TOTAL HH CON ROSETA 13MM</t>
  </si>
  <si>
    <t>PASO TOTAL HH CON ROSETA 19MM</t>
  </si>
  <si>
    <t>HH 32MM</t>
  </si>
  <si>
    <t>HH 38MM</t>
  </si>
  <si>
    <t>HH 50MM</t>
  </si>
  <si>
    <t>HH 63MM</t>
  </si>
  <si>
    <t>HH 75MM</t>
  </si>
  <si>
    <t>HH 13MM BRONCE</t>
  </si>
  <si>
    <t>HH 19MM BRONCE</t>
  </si>
  <si>
    <t>HH 25MM BRONCE</t>
  </si>
  <si>
    <t>P/ CANILLA 13MM</t>
  </si>
  <si>
    <t>P/ CANILLA 19MM</t>
  </si>
  <si>
    <t>P/HIERRO MH BAJO VOL. T BR 13</t>
  </si>
  <si>
    <t>P/HIERRO MH BAJO VOL. T CR 13</t>
  </si>
  <si>
    <t>P/HIERRO MH BAJO VOL. T BR 19</t>
  </si>
  <si>
    <t>P/HIERRO MH BAJO VOL. T CR 19</t>
  </si>
  <si>
    <t>P/HIERRO HH BAJO VOL. T BR 13</t>
  </si>
  <si>
    <t>P/HIERRO HH BAJO VOL. T BR 19</t>
  </si>
  <si>
    <t>HH ALTO VOL NEWPORT 13 CR</t>
  </si>
  <si>
    <t>HH ALTO VOL NEWPORT 13 DH</t>
  </si>
  <si>
    <t>HH ALTO VOL NEWPORT 19 CR</t>
  </si>
  <si>
    <t>PLAST. FUSION VOL. NEWPORT 20</t>
  </si>
  <si>
    <t>PLAST. FUSION VOL. NEWPORT 25</t>
  </si>
  <si>
    <t>VERTICAL ASIENTO DE GOMA 19MM</t>
  </si>
  <si>
    <t>VERTICAL ASIENTO DE GOMA 25MM</t>
  </si>
  <si>
    <t>VERTICAL ASIENTO DE GOMA 32MM</t>
  </si>
  <si>
    <t>VERTICAL ASIENTO DE GOMA 38MM</t>
  </si>
  <si>
    <t>VERTICAL ASIENTO DE GOMA 50MM</t>
  </si>
  <si>
    <t>P/CANO HIERRO VOL ALUMI HH 100</t>
  </si>
  <si>
    <t>P/CANO HIERRO VOL ALUMI HH 32</t>
  </si>
  <si>
    <t>P/CANO HIERRO VOL ALUMI HH 38</t>
  </si>
  <si>
    <t>P/CANO HIERRO VOL ALUMI HH 50</t>
  </si>
  <si>
    <t>P/CANO HIERRO VOL ALUMI HH 63</t>
  </si>
  <si>
    <t>P/CANO HIERRO VOL ALUMI HH 75</t>
  </si>
  <si>
    <t>HH 13MM</t>
  </si>
  <si>
    <t>HH 19MM</t>
  </si>
  <si>
    <t>HH 25MM</t>
  </si>
  <si>
    <t>TEFLON ALTA DENS. 1/2" x20M</t>
  </si>
  <si>
    <t>TEFLON ALTA DENS. 3/4" x20M</t>
  </si>
  <si>
    <t>TEFLON ALTA DENS. 3/4" x40M</t>
  </si>
  <si>
    <t>ADAPTA A ROSCAS M22x1 13MM</t>
  </si>
  <si>
    <t>HEMBRA 13MM</t>
  </si>
  <si>
    <t>HEMBRA 13MM CROMO</t>
  </si>
  <si>
    <t>HEMBRA 19MM</t>
  </si>
  <si>
    <t>KIT INSTALACION P/BANERA</t>
  </si>
  <si>
    <t>KIT INSTALACION P/DUCHA</t>
  </si>
  <si>
    <t>SOPORTE P/CODO SALIDA BANERA</t>
  </si>
  <si>
    <t>ABRAZADERA C/TRABA</t>
  </si>
  <si>
    <t>SOPORTE MADERA 360X100X12</t>
  </si>
  <si>
    <t>SOPORTE MADERA 360X300X18</t>
  </si>
  <si>
    <t>PROLONGADOR VASTAGO C/TORN</t>
  </si>
  <si>
    <t>PORTA ROSETA 30MM</t>
  </si>
  <si>
    <t>PORTA ROSETA 22MM</t>
  </si>
  <si>
    <t>ARANDELA SELLADORA AUTOADH</t>
  </si>
  <si>
    <t>PROLONGADOR DE PICO SALIDA BAN</t>
  </si>
  <si>
    <t>KIT INSTALACION P/VAL 0368.01</t>
  </si>
  <si>
    <t>CODO DOBLE P/CANO FUSION 20MM</t>
  </si>
  <si>
    <t>AIREADORA M24x1</t>
  </si>
  <si>
    <t>AIREADORA M22x1</t>
  </si>
  <si>
    <t>P/MESADA 1 AGUA CRUZ FIJA</t>
  </si>
  <si>
    <t>P/MESADA 1 AGUA VOL ALLEGRO AL</t>
  </si>
  <si>
    <t>P/MESADA 1 AGUA VOL ALLEGRO</t>
  </si>
  <si>
    <t>DESCARGA CROMADA P/LAV 0246</t>
  </si>
  <si>
    <t>DESCARGA CROMADA P/BIDET</t>
  </si>
  <si>
    <t>DESCARGA FLEXIBLE P/LAV 0246</t>
  </si>
  <si>
    <t>DESCARGA SIFON P/LAVATORIO</t>
  </si>
  <si>
    <t>DESCARGA SIFON MINIMALISTA LAV</t>
  </si>
  <si>
    <t>DESCARGA SIFON P/LAVATORIO U.</t>
  </si>
  <si>
    <t>DESCARGA SIFON P/LAV CUADRADA</t>
  </si>
  <si>
    <t>SOPAPA PLAS UNIVERSAL 1 1/4</t>
  </si>
  <si>
    <t>SOPAPA LATON UNIVERSAL 1 1/4</t>
  </si>
  <si>
    <t>PLASTICO UNIVERSAL COMPLETO</t>
  </si>
  <si>
    <t>SOFT TOUCH P/LAVAT</t>
  </si>
  <si>
    <t>SOFT TOUCH ACERO P/LAVAT</t>
  </si>
  <si>
    <t>CUBRE AGUJEROS BIDET 32MM</t>
  </si>
  <si>
    <t>LINEAL RANURADO 60 CM</t>
  </si>
  <si>
    <t>LINEAL RANURADO 80 CM</t>
  </si>
  <si>
    <t>LINEAL REVERSIBLE 60 CM</t>
  </si>
  <si>
    <t>LINEAL REVERSIBLE 80 CM</t>
  </si>
  <si>
    <t>P/BANERA C/CODO 90  1 1/4</t>
  </si>
  <si>
    <t>P/BANERA CONEXIÓN PLAST 1 1/4</t>
  </si>
  <si>
    <t>P/BANERA CODO PVC 90 1 1/4</t>
  </si>
  <si>
    <t>P/ SOPAPA LAVATORIO</t>
  </si>
  <si>
    <t>C/CADENA BOLITA CROMADA</t>
  </si>
  <si>
    <t>C/CADENA P/LAVATORIO -PAR</t>
  </si>
  <si>
    <t>P/DESAGUE BANERA</t>
  </si>
  <si>
    <t>VALVULA ANG. 1/2" M-M</t>
  </si>
  <si>
    <t>VALVULA ANG. 1/2" M-H</t>
  </si>
  <si>
    <t>PAR HORIZONTAL</t>
  </si>
  <si>
    <t>PAR VERTICAL</t>
  </si>
  <si>
    <t>1 AGUA PICO MOVIL-CRUZ INF</t>
  </si>
  <si>
    <t>1 AGUA PICO MOVIL VOL ALLEGRO</t>
  </si>
  <si>
    <t>1 AGUA PICO BAJO VOL CALIF</t>
  </si>
  <si>
    <t>1 AGUA PICO MOVIL-CRUZ SUP</t>
  </si>
  <si>
    <t>COMBINADA VOLANTE ALLEGRO</t>
  </si>
  <si>
    <t>COMBINADA VOL 75 SENIOR NEGRO</t>
  </si>
  <si>
    <t>P/MANGUERA VOLANTE T FIJO 13MM</t>
  </si>
  <si>
    <t>P/MANGUERA VOLANTE T FIJO 13CR</t>
  </si>
  <si>
    <t>P/MANGUERA VOLANTE T FIJO 19MM</t>
  </si>
  <si>
    <t>P/MANGUERA VOLANTE T FIJO 19CR</t>
  </si>
  <si>
    <t>MANGUERA VOLANTE CRUZ FIJA 13</t>
  </si>
  <si>
    <t>P/MANGUERA VOLANTE ALLEGRO</t>
  </si>
  <si>
    <t>MESADA PICO MOVIL</t>
  </si>
  <si>
    <t>COCINA MESADA 1 AGUJ.</t>
  </si>
  <si>
    <t>MESADA PICO ALTO</t>
  </si>
  <si>
    <t>COCINA PICO MÓVIL</t>
  </si>
  <si>
    <t>MESADA 1 AGUJERO SWING</t>
  </si>
  <si>
    <t>COCINA MESADA P/2 AGUJEROS</t>
  </si>
  <si>
    <t>COCINA MESADA C/ROCIADOR EXT.</t>
  </si>
  <si>
    <t>PUELO ALTO</t>
  </si>
  <si>
    <t>KIT ACCESORIOS 3 PIEZAS</t>
  </si>
  <si>
    <t>KIT ACCESORIOS 4 PIEZAS</t>
  </si>
  <si>
    <t>DUCHA C/TRANSF EXT. NEGRO</t>
  </si>
  <si>
    <t>PICO MOVIL</t>
  </si>
  <si>
    <t>PICO MOVIL C/ROCIADOR</t>
  </si>
  <si>
    <t>DUCHA C/TRANSF. EXT + TERMOST.</t>
  </si>
  <si>
    <t>AGARRADERA ANGULAR C/JAB</t>
  </si>
  <si>
    <t>ARRADERA 45CM</t>
  </si>
  <si>
    <t>PORTAROLLO DE C/CHIC</t>
  </si>
  <si>
    <t>PORTARROLLO TAPA</t>
  </si>
  <si>
    <t>PORTAVASO VASO</t>
  </si>
  <si>
    <t>TOALLERO BARRAL RECTO NEGRO</t>
  </si>
  <si>
    <t>PORTARROLLO NEGRO</t>
  </si>
  <si>
    <t>PORTAVASO Y CEPILLO NEGRO</t>
  </si>
  <si>
    <t>6280</t>
  </si>
  <si>
    <t>TAPA Y TECLA UNIV NEGRA MATE</t>
  </si>
  <si>
    <t>P/VOLANTE C/TORNILLO 0341</t>
  </si>
  <si>
    <t>P/PICO STANDARD DOBLE O'RING</t>
  </si>
  <si>
    <t>P/MANGUERA</t>
  </si>
  <si>
    <t>PLASTICO PERLATOR</t>
  </si>
  <si>
    <t>P/BOQUILLA C/3 ARANDELAS GOMA</t>
  </si>
  <si>
    <t>PLASTICO PERLATOR BOQUILLA 3/4</t>
  </si>
  <si>
    <t>OCULTO P/PICO LAV M18.5</t>
  </si>
  <si>
    <t>OCULTO CACHE JR M21.5</t>
  </si>
  <si>
    <t>P/PICO MELODY M16.5</t>
  </si>
  <si>
    <t>P/LETRA FV 16 ACABADO CR</t>
  </si>
  <si>
    <t>P/LETRA FV 16 ACABADO ORO</t>
  </si>
  <si>
    <t>RETEN C/REJ. P/CAB CERAM 1/2</t>
  </si>
  <si>
    <t>DECORATIVO P/CAMPANAS CR</t>
  </si>
  <si>
    <t>DECORATIVO P/CAMPANAS ORO</t>
  </si>
  <si>
    <t>P/LETRA 62 CRUZ ORO ANTERIOR</t>
  </si>
  <si>
    <t>P/LETRA 64 CR ANTERIOR</t>
  </si>
  <si>
    <t>P/LETRA 64 ORO ANTERIOR</t>
  </si>
  <si>
    <t>P/LETRA 64 CR</t>
  </si>
  <si>
    <t>P/LETRA 64 ORO</t>
  </si>
  <si>
    <t>DECORATIVO P/CAMPANA FV 64 CR</t>
  </si>
  <si>
    <t>DECORATIVO P/CAMPANA FV 64 ORO</t>
  </si>
  <si>
    <t>DECORATIVO P/CAMPANA FV 84 CR</t>
  </si>
  <si>
    <t>DECORATIVO P/CAMPANA FV 84 ORO</t>
  </si>
  <si>
    <t>DECORATIVO P/FIJACION</t>
  </si>
  <si>
    <t>ANILLO PLASTICO 0106.02 0216</t>
  </si>
  <si>
    <t>DECORATIVO P/FIJACION B3</t>
  </si>
  <si>
    <t>DECORATIVO P/ACC 72 ORO</t>
  </si>
  <si>
    <t>BASE P/MONOCOMANDO</t>
  </si>
  <si>
    <t>BASE MONOCOMANDO 0181/B1</t>
  </si>
  <si>
    <t>BASE MONOCOMANDO 0181/B3</t>
  </si>
  <si>
    <t>DECORATIVO P/BASE PICO LAV 46</t>
  </si>
  <si>
    <t>DECORATIVO MONOC PARED</t>
  </si>
  <si>
    <t>FIJACION PICO-TAPA MONO PARED</t>
  </si>
  <si>
    <t>FIJACION CAPUCHON MONO PARED</t>
  </si>
  <si>
    <t>PLASTICO ANTIFRICCION PARED</t>
  </si>
  <si>
    <t>DECORATIVO P/PICO BANERA 46 CR</t>
  </si>
  <si>
    <t>DECORATIVO P/PICO BANERA 46 OR</t>
  </si>
  <si>
    <t>DECORATIVO P/MONO 0411</t>
  </si>
  <si>
    <t>BASE MONO 0411/87-CR</t>
  </si>
  <si>
    <t>P/TRANSF DUCHA UNIMIX</t>
  </si>
  <si>
    <t>PLAST. 18,6x2,5 JUEGO 0412.01</t>
  </si>
  <si>
    <t>FRICCION P/CABEZAL LUJO</t>
  </si>
  <si>
    <t>DE CIERRE P/CABEZA CERAMICA</t>
  </si>
  <si>
    <t>FRICCION P/CABEZA CERAM 1/2</t>
  </si>
  <si>
    <t>DE SEGURIDAD EN ABANICO</t>
  </si>
  <si>
    <t>ANTIFRICCION P/VOL 49 Y 49L</t>
  </si>
  <si>
    <t>ACERO INOX P/LAV BIDE VARIOS</t>
  </si>
  <si>
    <t>DE CIERRE P/TRANSF  0112 NUEVO</t>
  </si>
  <si>
    <t>DE CIERRE P/TRANSF LLUVIA 0106</t>
  </si>
  <si>
    <t>DE CIERRE P/TRANSF 0112 VIEJO</t>
  </si>
  <si>
    <t>GOMA TRANSF DUCHAMATIC X10</t>
  </si>
  <si>
    <t>PLAST 18,6X2,5 X 14 P/MANGUERA</t>
  </si>
  <si>
    <t>GOMA P/LAV 92</t>
  </si>
  <si>
    <t>CHAPA P/LAV 92</t>
  </si>
  <si>
    <t>GOMA P/LAV 93</t>
  </si>
  <si>
    <t>CHAPA P/LAV 92 Y 93</t>
  </si>
  <si>
    <t>GOMA P/LAV A PISTON 92</t>
  </si>
  <si>
    <t>DE CIERRE</t>
  </si>
  <si>
    <t>ANTIFRICCION 50X35,8 P/BIDE</t>
  </si>
  <si>
    <t>GOMA P/PICO LAV + HIDRO</t>
  </si>
  <si>
    <t>CHAPA 44X29 PICO HIDRO</t>
  </si>
  <si>
    <t>PLAST P/ESQUELETO 0414-0415</t>
  </si>
  <si>
    <t>GOMA P/ESQUELETO BIDE 15</t>
  </si>
  <si>
    <t>ACERO LAV Y BIDE 15</t>
  </si>
  <si>
    <t>LATON PAR PIEZA T LAV 15 Y</t>
  </si>
  <si>
    <t>ANTIFRICCION ACERO DESC. 32</t>
  </si>
  <si>
    <t>PLASTICA CELESTE P/BIDET</t>
  </si>
  <si>
    <t>PLASTICA P/LAV Y BIDE 28,5x2,5</t>
  </si>
  <si>
    <t>P/LINEA 15 CONICA BIDE</t>
  </si>
  <si>
    <t>P/LINEA 15 CIERRE SUPL BIDE</t>
  </si>
  <si>
    <t>GOMA P/CAÑO CURVO PRESSMA 0362</t>
  </si>
  <si>
    <t>FIBRA P/ASIENTO MANIJA SLOAN</t>
  </si>
  <si>
    <t>FRICCION P/UNION VAL SLOAN 0365</t>
  </si>
  <si>
    <t>PLASTICA P/SWING VIEJO</t>
  </si>
  <si>
    <t>PLASTICA P/SWING NUEVO</t>
  </si>
  <si>
    <t>TIRADOR</t>
  </si>
  <si>
    <t>ARMADO PARA VALVULA SLIM</t>
  </si>
  <si>
    <t>PORTA ROSETA PLASTICO</t>
  </si>
  <si>
    <t>LARGA STANDARD EST.FINA P/EMB</t>
  </si>
  <si>
    <t>TRANSF STANDARD EST.FINA P/EMB</t>
  </si>
  <si>
    <t>TRANSF P/EMB L. 15-16-20P-25P</t>
  </si>
  <si>
    <t>TRANSF P/EMB L.15-16-17-38-61</t>
  </si>
  <si>
    <t>P/EMBUTIR L.15-16-20P-25P-61P</t>
  </si>
  <si>
    <t>P/EMBUTIR L.15-16-17-38-61</t>
  </si>
  <si>
    <t>TRANSF COMP. P/EMB CREIN</t>
  </si>
  <si>
    <t>P/EMBUTIR L.20N-24-27-B1-B1P</t>
  </si>
  <si>
    <t>TRANSF LUJO P/EMB 63-73-74-41</t>
  </si>
  <si>
    <t>LARGA DE LUJO P/EMB L.42-57-63</t>
  </si>
  <si>
    <t>CERAM P/EMB UNIVERSAL FRIA</t>
  </si>
  <si>
    <t>CERAM P/EMB UNIVERSAL CAL</t>
  </si>
  <si>
    <t>TRANSF P/EMB UNIERSAL</t>
  </si>
  <si>
    <t>TRANSF. ARMADA</t>
  </si>
  <si>
    <t>CORTA STANDARD 0112-0118</t>
  </si>
  <si>
    <t>CORTA STANDARD L.15-16-20P</t>
  </si>
  <si>
    <t>CORTA STANDARD CREIN LAV-BIDE</t>
  </si>
  <si>
    <t>CORTA STANDARD CREIN</t>
  </si>
  <si>
    <t>CORTA LUJO</t>
  </si>
  <si>
    <t>CORTA P/CERAMICA 1/2 FRIA</t>
  </si>
  <si>
    <t>CORTA P/CERAMICA 1/2 CALIENTE</t>
  </si>
  <si>
    <t>CERAMICA 3/4 P/HIDROMASAJE</t>
  </si>
  <si>
    <t>TRANSF BIDE STANDARD ESTR FINA</t>
  </si>
  <si>
    <t>TRANSF BIDE P/L.15-16-17-38</t>
  </si>
  <si>
    <t>TRANSF BIDE DE LUJO</t>
  </si>
  <si>
    <t>COMPLETA P/VALV 0368</t>
  </si>
  <si>
    <t>CORTA ST. ESTRIA FINA NIQUEL</t>
  </si>
  <si>
    <t>3/4 APROB ALTA C/ORING CRUZ</t>
  </si>
  <si>
    <t>3/4 C/CAMPANA ESTRIA FINA</t>
  </si>
  <si>
    <t>P/LINEA 17 CR</t>
  </si>
  <si>
    <t>P/L. 24-27 LAV-BIDE-LLUVIA EMB</t>
  </si>
  <si>
    <t>P/L. B2 Y E2 CROMO</t>
  </si>
  <si>
    <t>P/TERMOSTATICO 1/2" 0216-0218</t>
  </si>
  <si>
    <t>COMP. P/PRESSMATIC 0360-61-62</t>
  </si>
  <si>
    <t>COMP. PRESSMATIC LUJO P/0361</t>
  </si>
  <si>
    <t>UNIMIX P/LLU-LAV-BIDE-COC 41MM</t>
  </si>
  <si>
    <t>CERAMICO 35MM ALTO MONOCOMANDO</t>
  </si>
  <si>
    <t>CERAMICO 35MM BAJO MONOCOMANDO</t>
  </si>
  <si>
    <t>CERAMICO 40MM BAJO MONOCOMANDO</t>
  </si>
  <si>
    <t>PLAST. P/PRESSMATIC 0360-61-62</t>
  </si>
  <si>
    <t>P/PICO COCINA MOVIL CROMO</t>
  </si>
  <si>
    <t>COMPLETA P.LLUVIA DUCHAMATIC</t>
  </si>
  <si>
    <t>COMPLETO P/ 0368.01</t>
  </si>
  <si>
    <t>M12 P/SWING 0411.01/90 ROSCA M</t>
  </si>
  <si>
    <t>M10 P/SWING 0411.01/90 ROSCA M</t>
  </si>
  <si>
    <t>P/UNIMIX</t>
  </si>
  <si>
    <t>0361.03A.140RCR</t>
  </si>
  <si>
    <t>REPUESTO DE MANIJA Y RESORTE P</t>
  </si>
  <si>
    <t>COMPLETA L. 92 BLANCO</t>
  </si>
  <si>
    <t>COMPLETA L. 92 CROMO</t>
  </si>
  <si>
    <t>COMPLETA P/MONOCOM B1 CR</t>
  </si>
  <si>
    <t>P/LLAVE GAS 13-19MM CROMO</t>
  </si>
  <si>
    <t>8X24 P/CABEZAL LUJO L.15</t>
  </si>
  <si>
    <t>36.17 X 2.62 P/SWING</t>
  </si>
  <si>
    <t>GOMA INFERIOR SWING</t>
  </si>
  <si>
    <t>RETENES P/ART 0368.01</t>
  </si>
  <si>
    <t>P/MONOCOMANDO ARIZONA</t>
  </si>
  <si>
    <t>P/MONOCOMANDO FLOW</t>
  </si>
  <si>
    <t>P/PICO COCINA MESADA 0416</t>
  </si>
  <si>
    <t>BAÑERA 1/2 CR L. 16-17-18</t>
  </si>
  <si>
    <t>BAÑERA L. A1P-B1-E1 ROSCA M</t>
  </si>
  <si>
    <t>BAÑERA L. B2-E2-24-27 ROSCA H</t>
  </si>
  <si>
    <t>COCINA COMPLETO P/ 0406/B1</t>
  </si>
  <si>
    <t>COC EXT L. 15-17</t>
  </si>
  <si>
    <t>MOVIL P/MESADA COCINA</t>
  </si>
  <si>
    <t>CORTA PLAST P/L. A1-B1-B2 18CM</t>
  </si>
  <si>
    <t>COMPLETO P/PRESSMATIC C/ORING</t>
  </si>
  <si>
    <t>COMPLETO C/GRAMPA P/0368.01</t>
  </si>
  <si>
    <t>CIERRE P/EJE PRESSMATIC</t>
  </si>
  <si>
    <t>P/SWING ART.0412.01/90</t>
  </si>
  <si>
    <t>P/TEMPLE 0412/87 MONOCOMANDO</t>
  </si>
  <si>
    <t>P/ L.39 DUCHA LAVAT BIDE</t>
  </si>
  <si>
    <t>Y ESPARRAGOS P/0368.01</t>
  </si>
  <si>
    <t>COMPLETA P/DUCHA EXT Y EMB</t>
  </si>
  <si>
    <t>ELECTROMAGNETICA P/0363</t>
  </si>
  <si>
    <t>INTEGRADO STEM P/0364</t>
  </si>
  <si>
    <t>INTEGRADO STEM P/0366.01-AI</t>
  </si>
  <si>
    <t>P/VALV FLOXIN P/0374.01-AI</t>
  </si>
  <si>
    <t>P/ L. 15</t>
  </si>
  <si>
    <t>P/ L. 17</t>
  </si>
  <si>
    <t>P/ L. 24</t>
  </si>
  <si>
    <t>P/ L. 39</t>
  </si>
  <si>
    <t>P/ L. B1</t>
  </si>
  <si>
    <t>COLD P/L. B2</t>
  </si>
  <si>
    <t>HOT P/L. B2</t>
  </si>
  <si>
    <t>P/ L. B6</t>
  </si>
  <si>
    <t>REFLECTOR LED 20V TWLI2025</t>
  </si>
  <si>
    <t>52155</t>
  </si>
  <si>
    <t>APLICADOR SILICONA</t>
  </si>
  <si>
    <t>93636</t>
  </si>
  <si>
    <t>REPUESTO SIFON EXTERNOS</t>
  </si>
  <si>
    <t>CODO HH 50 GRIS 87°30´</t>
  </si>
  <si>
    <t>93640</t>
  </si>
  <si>
    <t>TUBO CORRUGADO 50 GRIS (42CM)</t>
  </si>
  <si>
    <t>97125</t>
  </si>
  <si>
    <t>76073</t>
  </si>
  <si>
    <t>ACm110 1.5HP M</t>
  </si>
  <si>
    <t>76083</t>
  </si>
  <si>
    <t>AC110 1.5HP T</t>
  </si>
  <si>
    <t>77040</t>
  </si>
  <si>
    <t>ELECTROB. AUTOASP.AJm45S</t>
  </si>
  <si>
    <t>77041</t>
  </si>
  <si>
    <t>ELECTROB. AUTOASP.AJm75S</t>
  </si>
  <si>
    <t>12916</t>
  </si>
  <si>
    <t>63X32</t>
  </si>
  <si>
    <t>MANGUERA CIERRE ESF. 13MM PALA</t>
  </si>
  <si>
    <t>MANGUERA CIERRE ESF. 19MM PALA</t>
  </si>
  <si>
    <t>MANGUERA CIERRE ESF. 25MM PALA</t>
  </si>
  <si>
    <t>CIRCULAR 2200W TS122235622-4</t>
  </si>
  <si>
    <t>77042</t>
  </si>
  <si>
    <t>ELECTROB. AUTOASP.AJm90</t>
  </si>
  <si>
    <t>ELEC.FUNCT.PIE 85LTS BLANCO CS</t>
  </si>
  <si>
    <t>52030</t>
  </si>
  <si>
    <t>DE BANCO 350W TDP133501-4</t>
  </si>
  <si>
    <t>52078</t>
  </si>
  <si>
    <t>CIRCULAR 1200W TS11218576</t>
  </si>
  <si>
    <t>52164</t>
  </si>
  <si>
    <t>MINI MOTOSIERRA20V 5"TGSLI2058</t>
  </si>
  <si>
    <t>74499</t>
  </si>
  <si>
    <t>ELECT.2XRM 07/38-037 2A</t>
  </si>
  <si>
    <t>PRESSCONTROL PS-04B 1.5HP</t>
  </si>
  <si>
    <t>DUCHA DE PARED C/LLUVIA MOV</t>
  </si>
  <si>
    <t>DUCHA MANUAL C/VAL Y TRANSF</t>
  </si>
  <si>
    <t>AUTOLIMPIANTE COMP</t>
  </si>
  <si>
    <t>COMPLETA MANHATTAN</t>
  </si>
  <si>
    <t>COMPLETA CALIFORNIA</t>
  </si>
  <si>
    <t>COMPLETA ARIZONA</t>
  </si>
  <si>
    <t>EN CROMO</t>
  </si>
  <si>
    <t>AUTOLIMPIANTE C/BUJE ANTIFRI</t>
  </si>
  <si>
    <t>COMBINADA POLCA II</t>
  </si>
  <si>
    <t>COMBINADA ARQUIS DUO</t>
  </si>
  <si>
    <t>PARA P/VOLANTE I.A VA-B0</t>
  </si>
  <si>
    <t>LLAVE P/VOLANTE S.E DE-B0</t>
  </si>
  <si>
    <t>P/AHORRO DE AGUA 5LTS VER L.</t>
  </si>
  <si>
    <t>P/AHORRO DE AGUA 7LTS VER L.</t>
  </si>
  <si>
    <t>TUERCA 3/8 P/CONEXION COMP</t>
  </si>
  <si>
    <t>COCINA ALLEGRO 1 AGUA</t>
  </si>
  <si>
    <t>P/ASIENTO SLOAN 0365</t>
  </si>
  <si>
    <t>DE GOMA 60,7 P/CAMPANA SLOAN</t>
  </si>
  <si>
    <t>P/L. 24 SEGURIDAD PLAST. PICO</t>
  </si>
  <si>
    <t>PLAST. P/JUEGOS 0405-08</t>
  </si>
  <si>
    <t>DE GOMA P/SWING</t>
  </si>
  <si>
    <t>METALICA P/SWING</t>
  </si>
  <si>
    <t>DE GOMA 48x33 P/BASE UNIMIX</t>
  </si>
  <si>
    <t>DE ACERO INOX</t>
  </si>
  <si>
    <t>DE GOMA P/BASE SWING PLUS</t>
  </si>
  <si>
    <t>ESPECIAL P/BASE SWING PLUS</t>
  </si>
  <si>
    <t>DE GOMA P/VALV DUCHAMATIC</t>
  </si>
  <si>
    <t>DE SEGURIDAD P/COCINA TRAD.</t>
  </si>
  <si>
    <t>PLAST 1/2</t>
  </si>
  <si>
    <t>PLAST 3/4</t>
  </si>
  <si>
    <t>PLAST 21X18,5X1,5</t>
  </si>
  <si>
    <t>DE GOMA P/VALV 9MM</t>
  </si>
  <si>
    <t>DE GOMA P/VALV 19MM</t>
  </si>
  <si>
    <t>DE GOMA P/UNION 1/2</t>
  </si>
  <si>
    <t>P/LLAVE DE GAS 13-19</t>
  </si>
  <si>
    <t>P/LLAVE DE GAS 25</t>
  </si>
  <si>
    <t>P/L. 85 Y 85L P/PICO BANERA</t>
  </si>
  <si>
    <t>SUPLEMENTO NEGRO P/0411-12-23</t>
  </si>
  <si>
    <t>P/JUEGO 0411 PLAST</t>
  </si>
  <si>
    <t>PLAST NEGRA P/L.15 P/PICO</t>
  </si>
  <si>
    <t>C/AIREADOR Y ARANDELA L.28</t>
  </si>
  <si>
    <t>P/L. 42 COMPLETA PICO</t>
  </si>
  <si>
    <t>P/L. 42 COMPLETA ORO</t>
  </si>
  <si>
    <t>PLAST. NEGRA P/PICO 0310/93</t>
  </si>
  <si>
    <t>COMPLETA ARMADA C/CORTACH</t>
  </si>
  <si>
    <t>CON AIREADOR</t>
  </si>
  <si>
    <t>P/L. 20-25-75</t>
  </si>
  <si>
    <t>COMPLETA P/PICO BACCARAT</t>
  </si>
  <si>
    <t>METALICA C/CORTACHORRO M22</t>
  </si>
  <si>
    <t>SLIM</t>
  </si>
  <si>
    <t>ARMADA CON AIREADOR L.84-87-88</t>
  </si>
  <si>
    <t>P/PICO LAV 0203 Y 0207/39</t>
  </si>
  <si>
    <t>PLAST NEGRA P/PICO B1P-B6</t>
  </si>
  <si>
    <t>P/L.49 Y 49L METALICA</t>
  </si>
  <si>
    <t>P/L. 59 Y 59L METALICA</t>
  </si>
  <si>
    <t>CORTACH. CONICA PLAST NEG.</t>
  </si>
  <si>
    <t>COMPLETA P/PICO HIDRO. CR</t>
  </si>
  <si>
    <t>COMPLETA P/PICO HIDRO. ORO</t>
  </si>
  <si>
    <t>COMPLETA P/0310 CR</t>
  </si>
  <si>
    <t>ARMADA COMPLETA P/0361 CR</t>
  </si>
  <si>
    <t>METALICA COMP. P/PICO CORTACH.</t>
  </si>
  <si>
    <t>TUERCA PICO P/L.15</t>
  </si>
  <si>
    <t>P/LINEA 18</t>
  </si>
  <si>
    <t>P/VOLANTE ARMADO L.39</t>
  </si>
  <si>
    <t>P/DOSIFICADOR JABON PRESSMATIC</t>
  </si>
  <si>
    <t>P/ART 0106.02 Y 0310/46</t>
  </si>
  <si>
    <t>P/L. 15-16-20P-38-61P-92-94</t>
  </si>
  <si>
    <t>DE GOMA P/PERCHA 0166/15</t>
  </si>
  <si>
    <t>P/TRANSF 0310/39</t>
  </si>
  <si>
    <t>P/TRANSF 0310/B3</t>
  </si>
  <si>
    <t>PRESSMATIC 34,5 P/0360-61-62</t>
  </si>
  <si>
    <t>PRESSMATIC 45,5 P/0361.01</t>
  </si>
  <si>
    <t>DE ACCIONAMIENTO P/ECOMATIC</t>
  </si>
  <si>
    <t>P/VOLANTE L.28</t>
  </si>
  <si>
    <t>P/L.57 C/BORDE P/JUEGO EMB. CR</t>
  </si>
  <si>
    <t>P/L.57 C/BORDE P/JUEGO EMB ORO</t>
  </si>
  <si>
    <t>P/VOLANTE L.59 Y 59L CROMO</t>
  </si>
  <si>
    <t>FRENO P/VOLANTE LEVER PARED</t>
  </si>
  <si>
    <t>P/L.85 Y 85L PORTA CAMPANA CR</t>
  </si>
  <si>
    <t>P/ROSETA L.N2</t>
  </si>
  <si>
    <t>DE GOMA P/PICO CAMBIADOR</t>
  </si>
  <si>
    <t>OBTURADOR P/DUCAHAMATIC</t>
  </si>
  <si>
    <t>OBTURADOR P/TRANSF BIDE MONO</t>
  </si>
  <si>
    <t>PORTA GLOBULO</t>
  </si>
  <si>
    <t>P/L.46-47 C/BORDE P/LAV-BIDE</t>
  </si>
  <si>
    <t>P/L.57 C/BORDE P/LAV-BIDE</t>
  </si>
  <si>
    <t>P/L.62-64 C/BORDE P/CAMPANA</t>
  </si>
  <si>
    <t>P/L.64 C/BORDE P/ACC.</t>
  </si>
  <si>
    <t>SOPORTE C/PRISIONERO L.87</t>
  </si>
  <si>
    <t>PORTA ROSETA PLAST. C3</t>
  </si>
  <si>
    <t>GUIA C/BORDE P/0342-43-44</t>
  </si>
  <si>
    <t>DE RED. PLASTICO P/LLAVE PASO</t>
  </si>
  <si>
    <t>DE RED. METALICO P/LLAVE PASO</t>
  </si>
  <si>
    <t>INDICADOR PLASTICO P/LLAVE GAS</t>
  </si>
  <si>
    <t>P/LLAVE DE GAS 13-19 CROMO</t>
  </si>
  <si>
    <t>TRANSF P/EMB.</t>
  </si>
  <si>
    <t>TRANSF TIRADORA P/DUCHA L.B4</t>
  </si>
  <si>
    <t>TRANSF DUCHA L.H3-H3L-C3</t>
  </si>
  <si>
    <t>P/COMPACTO JUNIOR LAVAT W18,7</t>
  </si>
  <si>
    <t>TRANSF BIDE P/L.20N-24-24P-27</t>
  </si>
  <si>
    <t>TRANSF BIDE P/L.18-B3-C3-D3-D4</t>
  </si>
  <si>
    <t>TRANSF BIDE P/L.A1P-A1N-B1-B1P</t>
  </si>
  <si>
    <t>TRANSF TIRADORA P/BIDE L.B4</t>
  </si>
  <si>
    <t>COMPLETA P/0341</t>
  </si>
  <si>
    <t>COMPLETA P/0342-43-44</t>
  </si>
  <si>
    <t>COMP BRONCE 3/4 APR. C/ORING</t>
  </si>
  <si>
    <t>COMP CROMO 3/4 APR. C/ORING</t>
  </si>
  <si>
    <t>COMPETA 1 APR. C/PRENSA ESTOPA</t>
  </si>
  <si>
    <t>COMP LIVIANA 1/2 P/0431</t>
  </si>
  <si>
    <t>COMP 1/2 APR ALTA C/ORING</t>
  </si>
  <si>
    <t>P/LAV. ELECTRONICO 0363 Y .03</t>
  </si>
  <si>
    <t>PORTA PILAS BLANCA P/0364-66</t>
  </si>
  <si>
    <t>PLASTICA P/MANIJA UNIMIX</t>
  </si>
  <si>
    <t>P/L.61-75 CROMO</t>
  </si>
  <si>
    <t>P/L.15-61P CROMO</t>
  </si>
  <si>
    <t>P/L.16 CROMO</t>
  </si>
  <si>
    <t>P/L.20P-25P CROMO</t>
  </si>
  <si>
    <t>P/L.38 CROMO</t>
  </si>
  <si>
    <t>P/L.42-72-82 BL-CR-GL-PE</t>
  </si>
  <si>
    <t>P/L.49 METALICA P/DUCHA-LAV-BI</t>
  </si>
  <si>
    <t>P/L.62 CROMO</t>
  </si>
  <si>
    <t>P/L.62 C/PORTA ROSETA Y BUJE</t>
  </si>
  <si>
    <t>P/L.64 COMPLETA CO-CR-STC</t>
  </si>
  <si>
    <t>P/L.70 CROMO</t>
  </si>
  <si>
    <t>P/L.83 QL</t>
  </si>
  <si>
    <t>P/L.84 CROMO</t>
  </si>
  <si>
    <t>P/L46-47-86 LAV-BIDE</t>
  </si>
  <si>
    <t>CURVA 3/8 P/0362 PRESSMATIC</t>
  </si>
  <si>
    <t>P/0108/92 BANERA CROMO</t>
  </si>
  <si>
    <t>P/0181/87 LAVATORIO CROMO</t>
  </si>
  <si>
    <t>P/ BANO 39-B1-B5 Y COC B1-B2</t>
  </si>
  <si>
    <t>P/ 0310/93 BANERA CROMO</t>
  </si>
  <si>
    <t>P/0406 UNIMIX PLASTICO</t>
  </si>
  <si>
    <t>P/ 0106/92 BANERA EXTERIOR</t>
  </si>
  <si>
    <t>P/ 0411.01/90 COCINA</t>
  </si>
  <si>
    <t>P/ 0411 L.UNIMIX PLASTICO</t>
  </si>
  <si>
    <t>ALTO CAUDAL P/JUEGO BAJA PRES.</t>
  </si>
  <si>
    <t>CERAMICO 35MM BASE ALTA</t>
  </si>
  <si>
    <t>CERAMICO 25MM CIERRE SUPERIOR</t>
  </si>
  <si>
    <t>CERAMICO 35MM BASE PLASTICA</t>
  </si>
  <si>
    <t>CERAMICO 25MM CIERRE INFERIOR</t>
  </si>
  <si>
    <t>P/JUEGOS 0217-0219</t>
  </si>
  <si>
    <t>COMPLETO PRESSMATIC LUJO</t>
  </si>
  <si>
    <t>CABEZA P/ECOMATIC</t>
  </si>
  <si>
    <t>CERAMICO 35MM C/BASE ALTA</t>
  </si>
  <si>
    <t>CARTUCHO AUGUSTA</t>
  </si>
  <si>
    <t>DE EXTRACCION DE JABON LIQUIDO</t>
  </si>
  <si>
    <t>PLASTICO P/PRESSMATIC DE LUJO</t>
  </si>
  <si>
    <t>PLASTICO P/ORESSMATIC 0360.01</t>
  </si>
  <si>
    <t>CILINDRO P/ECOMATIC</t>
  </si>
  <si>
    <t>DE BAJADA CORTO P/PICO BAN 3/4</t>
  </si>
  <si>
    <t>DE CONEXION C/ROSCA G 1/2 X14</t>
  </si>
  <si>
    <t>DE BAJADA P/PICO BAN.  1/2</t>
  </si>
  <si>
    <t>CORTO P/PICO COCINA 0400-01</t>
  </si>
  <si>
    <t>P/MANGUERA DE DUCHADOR 0112</t>
  </si>
  <si>
    <t>P/DUCHA MANUAL Y BARRALES</t>
  </si>
  <si>
    <t>P/MANGUERA SWING PLUS</t>
  </si>
  <si>
    <t>EXCENTRICA BANERA P/BANERA EX</t>
  </si>
  <si>
    <t>DE 13 P/VAL. FLUXIN P/LAV 0363</t>
  </si>
  <si>
    <t>EXCENTRICA P/COCINA EXT PARED</t>
  </si>
  <si>
    <t>DE FIJACION P/LAV. MONO. 92-94</t>
  </si>
  <si>
    <t>DE FIJACION P/LAV. MONOCOMANDO</t>
  </si>
  <si>
    <t>DE FIJACION P/LAV.</t>
  </si>
  <si>
    <t>DE FIJACION P/JUEGOS MONO 0189</t>
  </si>
  <si>
    <t>DE FIJACION P/JUEGOS MON 24-27</t>
  </si>
  <si>
    <t>DE FIJACION P/JUEGOS 0411.01</t>
  </si>
  <si>
    <t>DE FIJACION P/JUEGOS 0411.02</t>
  </si>
  <si>
    <t>DE FIJACION P/JUEGO 0411.01/B3</t>
  </si>
  <si>
    <t>DE FIJACION P/JUEGOS 0412.01</t>
  </si>
  <si>
    <t>DE FIJACION P/MONO CO. TEMPLE</t>
  </si>
  <si>
    <t>DE FIJACION P/JUEGOS 0413-6-8</t>
  </si>
  <si>
    <t>DE PLOMO P/SWING PLUS 0412.01</t>
  </si>
  <si>
    <t>M 28X1,5 P/ESQUELETO BIDE</t>
  </si>
  <si>
    <t>W 23,5 X 19 P/ESQUELETO BIDE</t>
  </si>
  <si>
    <t>DE 3/8 P/BEBEDERO 0245</t>
  </si>
  <si>
    <t>DE 1/2 P/ESQUELETO COC.MES.</t>
  </si>
  <si>
    <t>G 1/2X14 P/PICO LAV. A PISTON</t>
  </si>
  <si>
    <t>G 3/4 38MM P/COMPACTO 0185</t>
  </si>
  <si>
    <t>ARMADO P/PICO BAN.28 CR</t>
  </si>
  <si>
    <t>P/PICO BANERA HIDROMASAJE</t>
  </si>
  <si>
    <t>ANTIVANDALICO P/ECOMATIC</t>
  </si>
  <si>
    <t>P/LAVATORIO COMPACTO 0186</t>
  </si>
  <si>
    <t>P/0103 Y 0109 L.16</t>
  </si>
  <si>
    <t>P/L.83 CROMO</t>
  </si>
  <si>
    <t>CORTA P/0112/61P-0416</t>
  </si>
  <si>
    <t>P/ART 0418/63-73-74</t>
  </si>
  <si>
    <t>P/ 0145 CROMO</t>
  </si>
  <si>
    <t>P/0418 Y L.42</t>
  </si>
  <si>
    <t>COMP C/PORTA LLUVIA P/0118/15</t>
  </si>
  <si>
    <t>COMP P/0213/85 CROMO</t>
  </si>
  <si>
    <t>COMP P/ 0213/87</t>
  </si>
  <si>
    <t>COMP P/ 0310/39</t>
  </si>
  <si>
    <t>COMP P/DUCHA L.15-16</t>
  </si>
  <si>
    <t>DE GOMA 18X12,5 P/CIERRE T</t>
  </si>
  <si>
    <t>ESPECIAL P/PICO LAV PIEZA T</t>
  </si>
  <si>
    <t>DE GOMA 3/8 P/LLAVE LATERAL</t>
  </si>
  <si>
    <t>CONICA 47X26 P/ESQUELETO L.20</t>
  </si>
  <si>
    <t>CONICA P/CONEXION VERTICAL</t>
  </si>
  <si>
    <t>P/ART. 0726/37 GRAND HOTEL</t>
  </si>
  <si>
    <t>TRANSF SOLDADO DE CIERRE CER.</t>
  </si>
  <si>
    <t>DE 2 LLAVES SOLDADO CIERRE CER</t>
  </si>
  <si>
    <t>P/BIDE SOLDADO C/CIERRE STAND</t>
  </si>
  <si>
    <t>P/BIDE CIERRE CERAMICO</t>
  </si>
  <si>
    <t>P/CARTUCHO P/THERMOMIX</t>
  </si>
  <si>
    <t>P/LLAVE DE PASO P/THERMOMIX</t>
  </si>
  <si>
    <t>M10 TRENZ. AI 400MM</t>
  </si>
  <si>
    <t>M10 P/LAVAT. Y BIDE L-93 M</t>
  </si>
  <si>
    <t>M10 650MM</t>
  </si>
  <si>
    <t>M10 460MM</t>
  </si>
  <si>
    <t>ARTICULADA P/JUEGO 0106/B3</t>
  </si>
  <si>
    <t>CONICA P/DESCARGA 32 P/0246.06</t>
  </si>
  <si>
    <t>DE CIERRE P/LLUVIA BIDE</t>
  </si>
  <si>
    <t>CONICA DE TRANSF P/ 0295/85</t>
  </si>
  <si>
    <t>DE CIERRE P/MINGITORIO ELECT</t>
  </si>
  <si>
    <t>P/ASIENTO DE VAL. SLOAN 0365</t>
  </si>
  <si>
    <t>DE CIERRE 13MM P/CANILLA 0438</t>
  </si>
  <si>
    <t>DE CIERRE 19MM P/CANILLA 0438</t>
  </si>
  <si>
    <t>CONICA P/TAPA DE LLUVIA 0120/49</t>
  </si>
  <si>
    <t>P/DESVIADOR BIDE UNIMIX</t>
  </si>
  <si>
    <t>CONICA LLAVE LATERAL P/L.15</t>
  </si>
  <si>
    <t>P/TUERCA LLUVIA BIDE L.93</t>
  </si>
  <si>
    <t>SET PARA ECOMATIC</t>
  </si>
  <si>
    <t>P/JUEGOS 0342-43-44 ANTIVAND.</t>
  </si>
  <si>
    <t>P/CORTACHORROS DE ECOMATIC</t>
  </si>
  <si>
    <t>PLAST. P/VOLANTE L.51</t>
  </si>
  <si>
    <t>CAMBIABLE ESTRIA FINA P/VOL 25</t>
  </si>
  <si>
    <t>CAMBIABLE ESTRIA GRUE P/VOL 25</t>
  </si>
  <si>
    <t>PLAST. P/VOLANTE L.24 Y B1</t>
  </si>
  <si>
    <t>PLAST. INTERCAMBIABLE P/ L.28</t>
  </si>
  <si>
    <t>P/VOLANTE L.39 LIBBY</t>
  </si>
  <si>
    <t>P/VOLANTE L.39 LIBBY ALTO PLAS</t>
  </si>
  <si>
    <t>RAYA 16,5 X 39 L.H4 CHALTEN</t>
  </si>
  <si>
    <t>ADAPTADOR P/CARTUCHO 35MM</t>
  </si>
  <si>
    <t>BASE P/PICO BANERA HIDROMASAJE</t>
  </si>
  <si>
    <t>ACRILICA TRANSP. P/L. 42-45</t>
  </si>
  <si>
    <t>PLAST. TRANSP. P/L.B2-E2-15-31</t>
  </si>
  <si>
    <t>PLAST. P/L.06-28-37-39-50</t>
  </si>
  <si>
    <t>PLAST. P/L.17-30-33-62-64</t>
  </si>
  <si>
    <t>DE VIDRIO P/L.49-59-84-H3</t>
  </si>
  <si>
    <t>DE VIDRIO P/L.85V</t>
  </si>
  <si>
    <t>DE VIDRIO C/APLIQUE P/L.87</t>
  </si>
  <si>
    <t>LISA CR P/VOL. L.20-24-75-B1</t>
  </si>
  <si>
    <t>P/L.15 CROMO</t>
  </si>
  <si>
    <t>COLD P/VOLANTE 16-62 CRUZ</t>
  </si>
  <si>
    <t>HOT P/VOLANTE 16-62 CRUZ</t>
  </si>
  <si>
    <t>P/VOLANTE TRANSF L.165-62 CRUZ</t>
  </si>
  <si>
    <t>P/VOLANTE CALIFORNIA</t>
  </si>
  <si>
    <t>LISA DE PLAST. P/VOLANTE 42-72</t>
  </si>
  <si>
    <t>P/VOLANTE L.42-72-82 CR-ORO</t>
  </si>
  <si>
    <t>P/VOLANTE L.45-57 CROMO</t>
  </si>
  <si>
    <t>P/VOLANTE L.46-47-86 CROMO</t>
  </si>
  <si>
    <t>P/VOLANTE L.46-47-86 ORO</t>
  </si>
  <si>
    <t>COLD P/VOLANTE L.64-B2</t>
  </si>
  <si>
    <t>HOT P/VOLANTE L.64-B2</t>
  </si>
  <si>
    <t>TRANSF. P/VOL. L.64-B2</t>
  </si>
  <si>
    <t>"T" LISA PLAST. VOL. 25-61P</t>
  </si>
  <si>
    <t>P/VOLANTE L.84 CROMO</t>
  </si>
  <si>
    <t>P/VOLANTE L.84 ORO</t>
  </si>
  <si>
    <t>P/JUEGO SWING CROMO</t>
  </si>
  <si>
    <t>ARMADA P/VOLANTE L.A-B0</t>
  </si>
  <si>
    <t>C. A/E AJUSTE FVARA AIREADORPARA. PARA.87-B0</t>
  </si>
  <si>
    <t>P/VOLANTE-JR-86 CACHE JR</t>
  </si>
  <si>
    <t>AIREADOR CAC. A/E AJUSTE FVARA AIREADORPARA. PARA.28-B0</t>
  </si>
  <si>
    <t>BIDE P/VOLANTE B.E ARMADA-B0</t>
  </si>
  <si>
    <t>P/VOLANTE-REPUEST-86 CROMO</t>
  </si>
  <si>
    <t>P/VOLANTE-CROMO"-86 CROMO</t>
  </si>
  <si>
    <t>DE P/VOLANTE M.50-B0</t>
  </si>
  <si>
    <t>P/VOLANTE MANGUERA COMPLETA P.D-D-86 CROMO</t>
  </si>
  <si>
    <t>ALTO CAUDAL PLAST. L.92</t>
  </si>
  <si>
    <t>ALTO CAUDAL METAL L.94</t>
  </si>
  <si>
    <t>COMPLETA P/L.87 CROMO</t>
  </si>
  <si>
    <t>ARMADA MELINCUE EMBUTIR CROMO</t>
  </si>
  <si>
    <t>L2 EPUYEN NEGRO</t>
  </si>
  <si>
    <t>ARMADA LIBBY BANO-COCINA CROMO</t>
  </si>
  <si>
    <t>ARMADA PUELO CROMO</t>
  </si>
  <si>
    <t>ARMADA MELINCUE APOYO CROMO</t>
  </si>
  <si>
    <t>METALICA MONOCOMANDO L.D3</t>
  </si>
  <si>
    <t>ARMARADA AROMO CROMO</t>
  </si>
  <si>
    <t>ARMADA COTY CROMO</t>
  </si>
  <si>
    <t>ARMADA EPUYEN CROMO</t>
  </si>
  <si>
    <t>COMPLETA L.93 CROMO</t>
  </si>
  <si>
    <t>COMPLETA LIBBY EMBUTIR CROMO</t>
  </si>
  <si>
    <t>P/QUIROFANO CROMO</t>
  </si>
  <si>
    <t>COMPLETA P/VALV SLOAN 0365</t>
  </si>
  <si>
    <t>COMPLETA UNIMIX C/SUP. LISA CR</t>
  </si>
  <si>
    <t>COMPLETA L.94</t>
  </si>
  <si>
    <t>COMPLETA MONO. L.87 CR</t>
  </si>
  <si>
    <t>METALICA ALABAMA 0411.04</t>
  </si>
  <si>
    <t>COMPLETA MONO L.87 CROMO</t>
  </si>
  <si>
    <t>COMPLETA P/BAÑO Y COCINA B1</t>
  </si>
  <si>
    <t>LLAVE ESF. 0650 25MM</t>
  </si>
  <si>
    <t>LLAVE ESF. 0650 38MM Y 50MM</t>
  </si>
  <si>
    <t>P/LLAVE GAS 25MM BRONCE</t>
  </si>
  <si>
    <t>38X2 P/PICO HIDROMASAJE 11.02</t>
  </si>
  <si>
    <t>16,59 X 1,78 P/CAB. CORTO L.15</t>
  </si>
  <si>
    <t>1143 X 1,7 P/CAB. CORTO L.15</t>
  </si>
  <si>
    <t>12X2 P/CAB. HEXAGONAL 5U</t>
  </si>
  <si>
    <t>DE GOMA 18,77X178 P/CAB STD.</t>
  </si>
  <si>
    <t>6,07X1,78 P/CABEZAL CERAM</t>
  </si>
  <si>
    <t>15X2 P/CABEZAL TR. LUJO Y L.15</t>
  </si>
  <si>
    <t>P/ROSETA PICO SALIDA L59 Y 59L</t>
  </si>
  <si>
    <t>P/FILTRO 24X2 THERMOMIX</t>
  </si>
  <si>
    <t>P/CARTUCHO 27X2</t>
  </si>
  <si>
    <t>P/VASTAGO TRANSF 106.02 10U</t>
  </si>
  <si>
    <t>14X2 CABEZAL TRANSF UNIMIX 106</t>
  </si>
  <si>
    <t>P/FLEXIBLE SWING</t>
  </si>
  <si>
    <t>P/BUJE OBTURADOR DUCHAMATIC</t>
  </si>
  <si>
    <t>30X4,5 P/LLAVE LATERAL 0418</t>
  </si>
  <si>
    <t>ADAPTADOR P/CARTUCHO 0181/87</t>
  </si>
  <si>
    <t>7,65X1,78 P/FLEX CONEXIÓN L.92</t>
  </si>
  <si>
    <t>DE GOMA 41X4,5</t>
  </si>
  <si>
    <t>9,19X2,62 P/PIEZA T PICO LAV</t>
  </si>
  <si>
    <t>10,82X1,78</t>
  </si>
  <si>
    <t>13,11X2,62 P/0363-64-74-75</t>
  </si>
  <si>
    <t>35X2 P/0189/87-39</t>
  </si>
  <si>
    <t>Y SELLO TAPA P/0206/87</t>
  </si>
  <si>
    <t>P/PIEZA "T" LAV. L.15-16</t>
  </si>
  <si>
    <t>47,29X2,62 P/ROSETA 39-59-L</t>
  </si>
  <si>
    <t>20X1 P/BOQUILLA LAV. L.49</t>
  </si>
  <si>
    <t>DE GOMA 24X16X5 P/SELLO "T"</t>
  </si>
  <si>
    <t>DE GOMA 14X15 P/CAB CER 3/4</t>
  </si>
  <si>
    <t>DE GOMA 46,5X6 SOPAPA 0246</t>
  </si>
  <si>
    <t>11X2,4 P/LLAVE ESCLUSA</t>
  </si>
  <si>
    <t>LLAVE PASO P/VAL SLOAN 0365</t>
  </si>
  <si>
    <t>DE CUERPO PPAL VAL. SLOAN 0365</t>
  </si>
  <si>
    <t>P/CAPUCHON 37,82 X 1,78 P/0366</t>
  </si>
  <si>
    <t>P/TUBO VALV. 0368.01</t>
  </si>
  <si>
    <t>15,54 X 2,62 P/PICO LAV. L.46</t>
  </si>
  <si>
    <t>P/PICO LAV. L.24</t>
  </si>
  <si>
    <t>20X2,5 P/INSERTO PICO HIDRO</t>
  </si>
  <si>
    <t>P/JUEGO 0406/B1</t>
  </si>
  <si>
    <t>28,24X2,62 PICO 0103 Y 0203</t>
  </si>
  <si>
    <t>13,94X2,62 PICO 0411.04</t>
  </si>
  <si>
    <t>42X3,5 UNIMIX 0411</t>
  </si>
  <si>
    <t>47,2X3,5 P/PICO UNIMIX</t>
  </si>
  <si>
    <t>42,45X2,62 P/0411</t>
  </si>
  <si>
    <t>20,30X2,62 P/POSTIZO TEMPLE</t>
  </si>
  <si>
    <t>P/0412</t>
  </si>
  <si>
    <t>17,8X3,1 P/DUCHAS 0120</t>
  </si>
  <si>
    <t>23,2X2 P/PICO 0412</t>
  </si>
  <si>
    <t>21,80X2,62 PICOS 0418</t>
  </si>
  <si>
    <t>15,5X3 P/PICO SIN BUJE SOLDADO 0415</t>
  </si>
  <si>
    <t>P/ROSETA BRAZO DUCHA 59 Y 59L</t>
  </si>
  <si>
    <t>GOMA P/BUJE C/BORDE 16,29X2,19</t>
  </si>
  <si>
    <t>SIN TOPES P/0347</t>
  </si>
  <si>
    <t>SALIDA BANERA P/L.20-25-75</t>
  </si>
  <si>
    <t>SALIDA BANERA P/L.28</t>
  </si>
  <si>
    <t>BANERA C/BOQUILLA L.64 Y 72</t>
  </si>
  <si>
    <t>LAV. ARMADO PARED P/ L.28 CR</t>
  </si>
  <si>
    <t>LAV. COMP A SOPAPA L.49-49L</t>
  </si>
  <si>
    <t>LAV. COMP A SOPAPA L. 57</t>
  </si>
  <si>
    <t>LAV. ARMADO DE PARED P/L.46-47</t>
  </si>
  <si>
    <t>LAV. ARMADO DE PARED P/L.85</t>
  </si>
  <si>
    <t>REPUESTO PICO LAV. PARED L2</t>
  </si>
  <si>
    <t>LAV. ARMADO DE PARED P/L.87</t>
  </si>
  <si>
    <t>LAV. ARMADO P/L.17</t>
  </si>
  <si>
    <t>P/VOLANTE-57 CROMO</t>
  </si>
  <si>
    <t>P/LAV. ARMADO COMP L.28</t>
  </si>
  <si>
    <t>LAV. COMP A SOPAPA L.49 -49L</t>
  </si>
  <si>
    <t>LAV. COMP A SOPAPA L.57</t>
  </si>
  <si>
    <t>LAV. A SOPAPA COMP L.59</t>
  </si>
  <si>
    <t>LAV. A SOPAPA COMP L.62</t>
  </si>
  <si>
    <t>LAV. A SOPAPA COMP L.84</t>
  </si>
  <si>
    <t>LAV. A SOPAPA COMP L.84 PO</t>
  </si>
  <si>
    <t>LAV. A SOPAPA COMP L.87</t>
  </si>
  <si>
    <t>P/LAV. C/BOQUILLA P/ L.B2P-24</t>
  </si>
  <si>
    <t>REPUESTO PICO LAV. L2 EPUYEN</t>
  </si>
  <si>
    <t>COMP P/HIDROMSAJE L.46-47</t>
  </si>
  <si>
    <t>SALIDA LAVADERO P/MANG ARMADO</t>
  </si>
  <si>
    <t>COCINA CORTO 150 COMP P/0406</t>
  </si>
  <si>
    <t>COCINA COMP L.15-17</t>
  </si>
  <si>
    <t>COCINA CORTO 150MM P/B1P-B6</t>
  </si>
  <si>
    <t>COCINA P/L. A1P-B2P-C7</t>
  </si>
  <si>
    <t>COCINA P/L. B1P CROMO</t>
  </si>
  <si>
    <t>PICO P/COCINA 0416/64</t>
  </si>
  <si>
    <t>ARMADA P/JUEGOS 0423</t>
  </si>
  <si>
    <t>P/BANERA HIDROMASAJE</t>
  </si>
  <si>
    <t>P/PICO BANERA L.62 CROMO</t>
  </si>
  <si>
    <t>P/PICO BANERA L.62 ORO</t>
  </si>
  <si>
    <t>P/PICO SALIDA BANERA L.28</t>
  </si>
  <si>
    <t>P/PICO BAN L.57-72 ART 0104 CR</t>
  </si>
  <si>
    <t>P/PICO BAN L.57-72 ART 0104 OR</t>
  </si>
  <si>
    <t>P/VOLANTE TRANSF L.B4</t>
  </si>
  <si>
    <t>C/ORING P/BRAZO DUCHA 0120/57</t>
  </si>
  <si>
    <t>C/ORING P/BRAZO DUCHA 0120/83</t>
  </si>
  <si>
    <t>P/BRAZO LLUVIA L.FV 24-27</t>
  </si>
  <si>
    <t>BASE P/JUEGO 0181/87</t>
  </si>
  <si>
    <t>P/CAMPANA LAV. Y BIDE 59</t>
  </si>
  <si>
    <t>P/MEZCLADORA PARED 0341</t>
  </si>
  <si>
    <t>BRAZO DUCHA P/0119 CR</t>
  </si>
  <si>
    <t>BRAZO DUCHA P/0119 ORO</t>
  </si>
  <si>
    <t>P/LLAVE DE GAS C/INDICADOR AC</t>
  </si>
  <si>
    <t>MANUAL P/ART 0112/15 Y 0310 BL</t>
  </si>
  <si>
    <t>P/ACC. C/TARUGO Y TORN. L.39</t>
  </si>
  <si>
    <t>P/ACC. C/TARUGO Y TORN. L.46</t>
  </si>
  <si>
    <t>P/ACC. C/TARUGO Y TORN. L.33</t>
  </si>
  <si>
    <t>P/ACC. C/TARUGO Y TORN. L.62</t>
  </si>
  <si>
    <t>P/ACC. C/TARUGO Y TORN. L.64</t>
  </si>
  <si>
    <t>P/ACC. C/TARUGO Y TORN. L.28</t>
  </si>
  <si>
    <t>ORIENTABLE P/DUCHA  0310/39</t>
  </si>
  <si>
    <t>COMPLETA P/JUEGO BANERA L.93</t>
  </si>
  <si>
    <t>ORIENTABLE P/DUCHA  0310/B1</t>
  </si>
  <si>
    <t>DUCHA MANUAL 0312/B5</t>
  </si>
  <si>
    <t>COMPLETA P/L.92 ART 0106</t>
  </si>
  <si>
    <t>COMPLETA P/ 0106/B1 Y C9</t>
  </si>
  <si>
    <t>VISTA DUCHA PARED L. AROMO NG</t>
  </si>
  <si>
    <t>COMPLETA P/ 0108/39, B1-D3</t>
  </si>
  <si>
    <t>COMPLETA P/ L.92 ART 0108</t>
  </si>
  <si>
    <t>COMPLETA P/ 0108/B3</t>
  </si>
  <si>
    <t>LLUVIA P/DUCHA ART COMP. 0120</t>
  </si>
  <si>
    <t>LLUVIA P/DUCHA ANTICALCAREA</t>
  </si>
  <si>
    <t>LLUVIA P/DUCHA 0120/49 CR</t>
  </si>
  <si>
    <t>LLUVIA P/DUCHA 0120/49 ORO</t>
  </si>
  <si>
    <t>TAPA DE LLUVIA DUCHA 0120/17</t>
  </si>
  <si>
    <t>LLUVIA P/DUCHA 0120/57 CR</t>
  </si>
  <si>
    <t>LLUVIA P/DUCHA 0120/57 ORO</t>
  </si>
  <si>
    <t>PARA TERMOSTATO ART 0216-0218</t>
  </si>
  <si>
    <t>PARA MANIJA MONO L.87</t>
  </si>
  <si>
    <t>PARA MANIJA MONO L.90 Y 93</t>
  </si>
  <si>
    <t>METALICO SOPAPA C/LLAVERO</t>
  </si>
  <si>
    <t>P/MANIJA L.92</t>
  </si>
  <si>
    <t>PLAST. P/PICOS 0402 Y 0406</t>
  </si>
  <si>
    <t>PLAST. DE RESORTE X2</t>
  </si>
  <si>
    <t>W E/16" P/SUJETAR VOLANTE</t>
  </si>
  <si>
    <t>P/VOLANTE S/ARANDELA W 5/32</t>
  </si>
  <si>
    <t>P/VOLANTE C/ARANDELA W 5/32</t>
  </si>
  <si>
    <t>W 5/32 NIQUELADO P/ 0103/59</t>
  </si>
  <si>
    <t>TORNILLO 5/32 P/VOLANTES</t>
  </si>
  <si>
    <t>GOTA DE SEBO W 3/16 P/CABEZAL</t>
  </si>
  <si>
    <t>AVELLANANADO TAPA 0216-0218</t>
  </si>
  <si>
    <t>GOTA DE SEBO W 3/16</t>
  </si>
  <si>
    <t>1/4 W P/TAPA LLUVIA 0120/57 CR</t>
  </si>
  <si>
    <t>1/4 W P/TAPA LLUVIA 0120/57 OR</t>
  </si>
  <si>
    <t>PRISIONERO P/BASE DE ACC.</t>
  </si>
  <si>
    <t>M5 X 0,8 P/JUEGO LAV. L.92</t>
  </si>
  <si>
    <t>P/FIJACION TRANSF C/ORING 0189</t>
  </si>
  <si>
    <t>5/32 P/VOLANTE</t>
  </si>
  <si>
    <t>PRISIONERO P/PICO BAR 0212/42</t>
  </si>
  <si>
    <t>W 5/32 P/VOLANTE L. 49 Y 49L</t>
  </si>
  <si>
    <t>W 5/32 NIQUELADO P/ 0207/59</t>
  </si>
  <si>
    <t>PRISIONERO M8 X1,25 P/HIDRO</t>
  </si>
  <si>
    <t>P/TAPA CONJUNTO DEC. 85 Y 85L</t>
  </si>
  <si>
    <t>P/SOPAPA UNIV 0246.01 Y .06</t>
  </si>
  <si>
    <t>Y ESPARRAGOS CONJ.5 BLANCO</t>
  </si>
  <si>
    <t>Y ESPARRAGOS CONJ.5 ORO</t>
  </si>
  <si>
    <t>RETEN P/PICO COCINA ART. 0402</t>
  </si>
  <si>
    <t>PRISIONERO DIN 916 M5</t>
  </si>
  <si>
    <t>M4 X 0,7 P/MANIJA SWING</t>
  </si>
  <si>
    <t>TENSOR P/JUEGO SWING PLUS</t>
  </si>
  <si>
    <t>W 1/4 P/MANIJA LLAVE DE GAS</t>
  </si>
  <si>
    <t>PRISIONERO M4 X4 P/L.33 Y 64</t>
  </si>
  <si>
    <t>P/JUEGO COCINA MESADA UNIMIX</t>
  </si>
  <si>
    <t>COMPLETA PLAST UNIMIX Y THERMO</t>
  </si>
  <si>
    <t>COMPLETA P/JUEGO EMBUTIR L.92</t>
  </si>
  <si>
    <t>C/PROLONGADOR P/JUEGOS 0106</t>
  </si>
  <si>
    <t>ARMADA P/JUEGOS 0106/B1-B3-B4</t>
  </si>
  <si>
    <t>COMPLETA DUCHAMATIC</t>
  </si>
  <si>
    <t>P/DUCHA MANUAL HIDROMASAJE</t>
  </si>
  <si>
    <t>COMPLETA P/BIDE MONO. L.39</t>
  </si>
  <si>
    <t>P/MONOCOMANDO BIDE L.46</t>
  </si>
  <si>
    <t>DE BIDE L.85N DOMINIC NEW</t>
  </si>
  <si>
    <t>DE BIDE L.87 TEMPLE</t>
  </si>
  <si>
    <t>DE BIDE MONO L.92-93-94-B1-B3</t>
  </si>
  <si>
    <t>DE BIDE MONO L.L2 Y D8</t>
  </si>
  <si>
    <t>DE BIDE MONO L.L2 Y D8 NEGRO</t>
  </si>
  <si>
    <t>P/DUCHA MANUAL HIDRO L.85 85L</t>
  </si>
  <si>
    <t>ARMADA PARA 0310/39</t>
  </si>
  <si>
    <t>ARMADA PARA 0310/B1</t>
  </si>
  <si>
    <t>ARMADA PARA 0310/B5</t>
  </si>
  <si>
    <t>DE CONEXIÓN P/ESQUELETOS EMB</t>
  </si>
  <si>
    <t>GLOBULO P/DUCHAS ART. Y JET</t>
  </si>
  <si>
    <t>C/ORING P/VALV. 0368</t>
  </si>
  <si>
    <t>DE CONEXIÓN PLAST. C/ARAND</t>
  </si>
  <si>
    <t>TUBO PLASTICO</t>
  </si>
  <si>
    <t>DE 1/2 REFORZADO P/ESQUELETOS</t>
  </si>
  <si>
    <t>DE CIERRE P/TRANSF DUCHAMATIC</t>
  </si>
  <si>
    <t>DE FIJACION DE LAVAT UNIMIX</t>
  </si>
  <si>
    <t>M6X1 P/SUJECION FLEX L.92</t>
  </si>
  <si>
    <t>P/LAVATORIO L.93</t>
  </si>
  <si>
    <t>M5X0,8 P/SUJECION FLEX L.92</t>
  </si>
  <si>
    <t>ROSCADA P/SUJECION CART. L.93</t>
  </si>
  <si>
    <t>P/PIEZA T</t>
  </si>
  <si>
    <t>P/LLAVES Y BIDE</t>
  </si>
  <si>
    <t>DE 38MM P/TUBO UNION</t>
  </si>
  <si>
    <t>P/0411</t>
  </si>
  <si>
    <t>DE TRANSF  P/CUERPO 0106.02</t>
  </si>
  <si>
    <t>TRANSF P/EMBUTIR DUCHA L.92</t>
  </si>
  <si>
    <t>P/PICO DIVERTER</t>
  </si>
  <si>
    <t>COMPLETA P/ TRANSF 0119</t>
  </si>
  <si>
    <t>COMPLETA DE TRANSF. DE PICO 0213</t>
  </si>
  <si>
    <t>COMPLETA P/BEBEDERO 0245</t>
  </si>
  <si>
    <t>COMPLETA ANTIRETORNO 0341</t>
  </si>
  <si>
    <t>P/RUPTOR DE VACIO P/0368</t>
  </si>
  <si>
    <t>DE 13MM EN BLISTER</t>
  </si>
  <si>
    <t>ROSCADA P/SWING 0411.01/90</t>
  </si>
  <si>
    <t>P/PISTON P/LAVAT. 92</t>
  </si>
  <si>
    <t>DE VIDRIO</t>
  </si>
  <si>
    <t>DE PLAST. SATINADO P/L. 28-37</t>
  </si>
  <si>
    <t>DE VIDRIO P/L. 84</t>
  </si>
  <si>
    <t>DE VIDRIO P/L. 49-59-83-85-87</t>
  </si>
  <si>
    <t>DE PLAST. TRANSP. P/L.15-17-B1</t>
  </si>
  <si>
    <t>INTEGRADO P/LAV ELEC 0363.04A</t>
  </si>
  <si>
    <t>INTEGRADO TIPO STEM 0363</t>
  </si>
  <si>
    <t>INTEGRADO P/LAV ELECT. 0375.01</t>
  </si>
  <si>
    <t>COLD COMP. P/L 16 CUELLO CORTO</t>
  </si>
  <si>
    <t>COLD COMP. P/L 16 CUELLO LARGO</t>
  </si>
  <si>
    <t>HOT COMP. P/L 16 CUELLO CORTO</t>
  </si>
  <si>
    <t>HOT COMP. P/L 16 CUELLO LARGO</t>
  </si>
  <si>
    <t>TRANSF COMP. P/L 16 CUELLO C.</t>
  </si>
  <si>
    <t>TRANSF COMP. P/L 16 CUELLO L.</t>
  </si>
  <si>
    <t>COMPLETO P/L. 18 CR</t>
  </si>
  <si>
    <t>COMPLETO P/L. 20 NEW CR</t>
  </si>
  <si>
    <t>COMPLETO TRANSF L 25 ESTRIA FI</t>
  </si>
  <si>
    <t>COMPLETO TRANSF L 25 ESTRIA GR</t>
  </si>
  <si>
    <t>COMPLETO P/LAV L 27 CR</t>
  </si>
  <si>
    <t>COMPLETO P/L 28 CR</t>
  </si>
  <si>
    <t>TRANSF COMP P/L 38 CR</t>
  </si>
  <si>
    <t>COMPLETO L 39 CR</t>
  </si>
  <si>
    <t>COMPLETO L 42 Y 72</t>
  </si>
  <si>
    <t>CON LETRA Y ARANDELA P/L 46</t>
  </si>
  <si>
    <t>CON LETRA Y ARANDELA P/L 47</t>
  </si>
  <si>
    <t>COMPLETA L 49 CR</t>
  </si>
  <si>
    <t>TRANSF. LEVER L.49L CR</t>
  </si>
  <si>
    <t>LEVER COMPLETO L.49L CR</t>
  </si>
  <si>
    <t>COMPLETO L. 57</t>
  </si>
  <si>
    <t>CRUZ COMPLETO L. 59 CR</t>
  </si>
  <si>
    <t>TRANSF. LEVER COMP 59L CR</t>
  </si>
  <si>
    <t>LEVER COMPLETO L.59L CR</t>
  </si>
  <si>
    <t>COMPLETO L.61P</t>
  </si>
  <si>
    <t>COMPLETO LETRA COLD L.62</t>
  </si>
  <si>
    <t>COMPLETO LETRA HOT L.62</t>
  </si>
  <si>
    <t>COMPLETO TRANSF. L.62</t>
  </si>
  <si>
    <t>COMPLETO LEVER COLD L.62L</t>
  </si>
  <si>
    <t>COMPLETO LEVER HOT L.62L</t>
  </si>
  <si>
    <t>COMPLETO TRANSF LEVER 62L</t>
  </si>
  <si>
    <t>COMPLETO LETRA COLD L.64</t>
  </si>
  <si>
    <t>COMPLETO LETRA HOT L.64</t>
  </si>
  <si>
    <t>COMPLETO TRANSF. L.64</t>
  </si>
  <si>
    <t>COMPLETO LETRA COLD L.64L</t>
  </si>
  <si>
    <t>COMPLETO LETRA HOT L.64L</t>
  </si>
  <si>
    <t>COMPLETO TRANSF L.64L</t>
  </si>
  <si>
    <t>COMPLETO LETRA COLD L.83</t>
  </si>
  <si>
    <t>COMPLETO LETRA HOT L.83</t>
  </si>
  <si>
    <t>COMPLETO LEVER ARMADO L.83L</t>
  </si>
  <si>
    <t>COMPLETO LEVER TRANSF L.83L</t>
  </si>
  <si>
    <t>COMPLETO L.84</t>
  </si>
  <si>
    <t>COMPLETO L.86</t>
  </si>
  <si>
    <t>COMPLETO L.87</t>
  </si>
  <si>
    <t>COMPLETO L.88</t>
  </si>
  <si>
    <t>COMPLETO TRANSF L.B2</t>
  </si>
  <si>
    <t>ARMADO P/L.B4 LLOSA</t>
  </si>
  <si>
    <t>ARMADO P/L.C7 RADAL</t>
  </si>
  <si>
    <t>ARMADO P/L.C8 GREDOS</t>
  </si>
  <si>
    <t>ARMADO P/L.D4 BRISA</t>
  </si>
  <si>
    <t>ARMADO P/L.D5 NEBRASKA</t>
  </si>
  <si>
    <t>ARMADO P/L.D7 ALERCE</t>
  </si>
  <si>
    <t>REPUESTO ARMADO L.G5 OBERA</t>
  </si>
  <si>
    <t>ARMADO CRUZ P/L.H3</t>
  </si>
  <si>
    <t>ARMADO LEVER P/L.H3L</t>
  </si>
  <si>
    <t>DE TRANSF L2 EPUYEN</t>
  </si>
  <si>
    <t>THERMOMIX P/REGULADOR TEMP</t>
  </si>
  <si>
    <t>COMPLETO F - L. 75 ESTRIA FINA</t>
  </si>
  <si>
    <t>COMPLETO F - L. 75 ESTRIA GRUE</t>
  </si>
  <si>
    <t>COMPLETO C - L.75 ESTRIA FINA</t>
  </si>
  <si>
    <t>COMPLETO C - L.75 ESTRIA GRUE</t>
  </si>
  <si>
    <t>COMPLETO TRANSF L.75 EST FINA</t>
  </si>
  <si>
    <t>COMPLETO TRANSF L.75 EST GRUE</t>
  </si>
  <si>
    <t>ARMADO L.C3 TRIADES</t>
  </si>
  <si>
    <t>P/JUEGO 0216-0218</t>
  </si>
  <si>
    <t>P/JUEGO 0216-0218 MODERNO</t>
  </si>
  <si>
    <t>P/VOLANTE SIN VASTAGO L.20 NEW</t>
  </si>
  <si>
    <t>CRUZ NEWPORT SIN VAST. C/LETRA</t>
  </si>
  <si>
    <t>COMPLETO LEVER TRANSF L.62L</t>
  </si>
  <si>
    <t>COMPLETO TRANSF L.83</t>
  </si>
  <si>
    <t>TRANSF COMPLETA L.86</t>
  </si>
  <si>
    <t>COMP LEVER TRANSF BIDE L.85L</t>
  </si>
  <si>
    <t>COMPLETO P/MEZCLADORA 0341</t>
  </si>
  <si>
    <t>BRONCE 60 P/VALV ESCLUSA</t>
  </si>
  <si>
    <t>DE ALUMINIO 70 P/VALV ESCLUSA</t>
  </si>
  <si>
    <t>DE ALUMINIO 85 P/VALV ESCLUSA</t>
  </si>
  <si>
    <t>94100</t>
  </si>
  <si>
    <t>M.O.L. TRIPLE LABIO 110</t>
  </si>
  <si>
    <t>94101</t>
  </si>
  <si>
    <t>M.O.L. TRIPLE LABIO 160</t>
  </si>
  <si>
    <t>94120</t>
  </si>
  <si>
    <t>M.O.L. TRIPLE LABIO 200</t>
  </si>
  <si>
    <t>94122</t>
  </si>
  <si>
    <t>M.O.L. TRIPLE LABIO 63</t>
  </si>
  <si>
    <t>94199</t>
  </si>
  <si>
    <t>M.O.L. TRIPLE LABIO 100</t>
  </si>
  <si>
    <t>CORTA TUBO 3-32MM</t>
  </si>
  <si>
    <t>52115</t>
  </si>
  <si>
    <t>INAL. 20V TBLI2002</t>
  </si>
  <si>
    <t>73040</t>
  </si>
  <si>
    <t>ELECTROB.PERFOR. 3XRm3/16-0,55</t>
  </si>
  <si>
    <t>73041</t>
  </si>
  <si>
    <t>ELECTROB.PERFOR. 3XRm3/21-0,75</t>
  </si>
  <si>
    <t>DUCHA ANTIVANDALICA</t>
  </si>
  <si>
    <t>PRESSMATIC DOSIFICADOR JABON</t>
  </si>
  <si>
    <t>MEZCLADORA PARED ANTIVANDALICA</t>
  </si>
  <si>
    <t>CANILLA PARED ANTIVANDALICA</t>
  </si>
  <si>
    <t>DUCHA PARED ANTIVANDALICA</t>
  </si>
  <si>
    <t>VAL. AUTO ANTIVANDALICA MINGIT</t>
  </si>
  <si>
    <t>VAL. TECLA PARED ANTIVANDALICA</t>
  </si>
  <si>
    <t>PRESSMATIC CANILLA P/LAV. DISC</t>
  </si>
  <si>
    <t>FVTRONIC JUEGO P/LAVATORIO</t>
  </si>
  <si>
    <t>FVTRONIC JUEGO P/LAV. C/TRANSF</t>
  </si>
  <si>
    <t>FVTRONIC P/LAVATORIO C/PORTAPI</t>
  </si>
  <si>
    <t>FVTRONIC P/LAVATORIO C/TRANSF</t>
  </si>
  <si>
    <t>FVTRONIC P/LAVATORIO PRESENCIA</t>
  </si>
  <si>
    <t>FVTRONIC P/LAV. PRESENCIA Y TR</t>
  </si>
  <si>
    <t>FVTRONIC JUEGO P/MINGITORIO</t>
  </si>
  <si>
    <t>TAPA AC.INOX. P/VAL. 0366</t>
  </si>
  <si>
    <t>VAL ELECTR. P/DESC INODORO EMB</t>
  </si>
  <si>
    <t>VAL ELECTR. P/DESC MINGITORIO</t>
  </si>
  <si>
    <t>VAL ELECTR. P/DESC LAVATORIO</t>
  </si>
  <si>
    <t>PICO P/VAL. 0345-47A ANTIVAND</t>
  </si>
  <si>
    <t>VALVULA PEDAL ANTIVANDALICA</t>
  </si>
  <si>
    <t>77140</t>
  </si>
  <si>
    <t>ELECTROB.INTELIG.V.V. MAC 450</t>
  </si>
  <si>
    <t>77100</t>
  </si>
  <si>
    <t>ELECTROB. AUTOCEBANTE XKP356</t>
  </si>
  <si>
    <t>77101</t>
  </si>
  <si>
    <t>ELECTROB. AUTOCEBANTE XKP556</t>
  </si>
  <si>
    <t>77102</t>
  </si>
  <si>
    <t>ELECTROB. AUTOCEBANTE XKP756</t>
  </si>
  <si>
    <t>77020</t>
  </si>
  <si>
    <t>ELECTROBOMBA A.CAUDAL ACm110B2</t>
  </si>
  <si>
    <t>77022</t>
  </si>
  <si>
    <t>ELECTROBOMBA A.CAUDAL AC 150B2</t>
  </si>
  <si>
    <t>77024</t>
  </si>
  <si>
    <t>ELECTROBOMBA A.CAUDAL AC 220B3</t>
  </si>
  <si>
    <t>77025</t>
  </si>
  <si>
    <t>ELECTROBOMBA A.CAUDAL AC 300B4</t>
  </si>
  <si>
    <t>77050</t>
  </si>
  <si>
    <t>ELECTROBOMBA MULTIET. 3XCm100S</t>
  </si>
  <si>
    <t>77051</t>
  </si>
  <si>
    <t>ELECTROBOMBA MULTIET. 4XCm100S</t>
  </si>
  <si>
    <t>77052</t>
  </si>
  <si>
    <t>ELECTROBOMBA MULTIET. 5XCm100S</t>
  </si>
  <si>
    <t>VERTICAL 50FT 50L</t>
  </si>
  <si>
    <t>VERTICAL 100FT 100L</t>
  </si>
  <si>
    <t>77910</t>
  </si>
  <si>
    <t>VERTICAL 2VT 2L</t>
  </si>
  <si>
    <t>77911</t>
  </si>
  <si>
    <t>VERTICAL 8VT 8L</t>
  </si>
  <si>
    <t>77920</t>
  </si>
  <si>
    <t>ESFERICO 24ST</t>
  </si>
  <si>
    <t>50936</t>
  </si>
  <si>
    <t>ESCOFINAS</t>
  </si>
  <si>
    <t>SET 3 ESCOFINAS THT918326</t>
  </si>
  <si>
    <t>50939</t>
  </si>
  <si>
    <t>SET LIMAS 6U MATRICERATHT91462</t>
  </si>
  <si>
    <t>6045</t>
  </si>
  <si>
    <t>GOMA SIMPLE C/VASO</t>
  </si>
  <si>
    <t>GOMA DOBLE C/VASO</t>
  </si>
  <si>
    <t>0411/90.14.0DBL</t>
  </si>
  <si>
    <t>SWING 0411.01/90 BLANCA</t>
  </si>
  <si>
    <t>0411/90.14.0DCR</t>
  </si>
  <si>
    <t>SWING 0411.01/90 CROMO</t>
  </si>
  <si>
    <t>0295/N2.26.0-D</t>
  </si>
  <si>
    <t>REP.CONJ.PORTA ROSETA TRANF.BI</t>
  </si>
  <si>
    <t>0532.3B-D</t>
  </si>
  <si>
    <t>"REPUESTO TUERCA 1/2"" REFORZADA"</t>
  </si>
  <si>
    <t>MANUAL 260MM THT32108S</t>
  </si>
  <si>
    <t>EXTER.P/LAVAR.Y LAVAVAJ.3/4FRO</t>
  </si>
  <si>
    <t>EXT.P/LAVAR-LAVAVAJ 3/4LATERAL</t>
  </si>
  <si>
    <t>76069</t>
  </si>
  <si>
    <t>ACm25 0.3HP M</t>
  </si>
  <si>
    <t>76074</t>
  </si>
  <si>
    <t>ACm150 2HP M</t>
  </si>
  <si>
    <t>76084</t>
  </si>
  <si>
    <t>AC 150 2HP T</t>
  </si>
  <si>
    <t>76085</t>
  </si>
  <si>
    <t>AC 220 3HP T</t>
  </si>
  <si>
    <t>0103/15.14.0DBL</t>
  </si>
  <si>
    <t>P/ L. 15 C/LETRA BLANCO</t>
  </si>
  <si>
    <t>0103/15.14.0DCR</t>
  </si>
  <si>
    <t>P/ L. 15 C/LETRA CROMO</t>
  </si>
  <si>
    <t>DESBORDE P/DEP DASH (1553)</t>
  </si>
  <si>
    <t>LARGA 90º 200 MH</t>
  </si>
  <si>
    <t>52116</t>
  </si>
  <si>
    <t>INAL. 20V TBLI20025-4</t>
  </si>
  <si>
    <t>77021</t>
  </si>
  <si>
    <t>ELECTROBOMBA A.CAUDAL AC 110B2</t>
  </si>
  <si>
    <t>MINITORNO 130W/100A TG513326-4</t>
  </si>
  <si>
    <t>1/2 X 6M</t>
  </si>
  <si>
    <t>3/4 X 6M</t>
  </si>
  <si>
    <t>1 X 6M</t>
  </si>
  <si>
    <t>LAVATORIO ALTO</t>
  </si>
  <si>
    <t>LAVATORIO ALTO INCLINADO</t>
  </si>
  <si>
    <t>DUCHA C/TRANSF. P/EMB AZUL CRO</t>
  </si>
  <si>
    <t>DUCHA C/TRANS. P/EMB.BLANCO-CR</t>
  </si>
  <si>
    <t>DUCHA C/TRANSF. P/EMB GRIS CRO</t>
  </si>
  <si>
    <t>DUCHA C/TRANSF. P/EMB NEGRO CR</t>
  </si>
  <si>
    <t>DUCHA C/TRANSF. P/EMB ROJO CRO</t>
  </si>
  <si>
    <t>LAVATORIO AZUL CROMO</t>
  </si>
  <si>
    <t>LAVATORIO BLANCO CROMO</t>
  </si>
  <si>
    <t>LAVATORIO GRIS CROMO</t>
  </si>
  <si>
    <t>LAVATORIO ROJO CROMO</t>
  </si>
  <si>
    <t>BIDET TRADICIONAL AZUL CROMO</t>
  </si>
  <si>
    <t>BIDET TRADICIONAL BLANCO CROMO</t>
  </si>
  <si>
    <t>BIDET TRADICIONAL GRIS CROMO</t>
  </si>
  <si>
    <t>BIDET TRADICIONAL NEGRO CROMO</t>
  </si>
  <si>
    <t>BIDET TRADICIONAL ROJO CROMO</t>
  </si>
  <si>
    <t>KIT GRIFERIA NEGRO CROMO</t>
  </si>
  <si>
    <t>DUCHA CASCADA C/DUCHADOR NEGRO</t>
  </si>
  <si>
    <t>PARED PICO MÓVIL ARIZONA MONO.</t>
  </si>
  <si>
    <t>MESADA 1 AG. ARIZONA MONO.</t>
  </si>
  <si>
    <t>MESADA 1 AGUJERO NEWPORT MONO.</t>
  </si>
  <si>
    <t>MESADA ALTA ARIZONA MONOCOM.</t>
  </si>
  <si>
    <t>MESADA ALTA NEWPORT MONOCOM.</t>
  </si>
  <si>
    <t>MESADA 2 AGUJEROS ARIZONA MONO</t>
  </si>
  <si>
    <t>MESADA 1 AGUJERO KANSAS MONOC.</t>
  </si>
  <si>
    <t>PICO MOVIL ALTO 1 AG.ARIZONA M</t>
  </si>
  <si>
    <t>DUCHA C/TRANSF. P/EMB CROMO</t>
  </si>
  <si>
    <t>DUCHA C/TRANS. P/EMB ROSE GOLD</t>
  </si>
  <si>
    <t>DUCHA S/TRANS. P/EMB ROSE GOLD</t>
  </si>
  <si>
    <t>LAVATORIO DE PARED P/EMB CROMO</t>
  </si>
  <si>
    <t>BIDET TRADICIONAL CROMO</t>
  </si>
  <si>
    <t>BIDET TRADICIONAL ROSE GOLD</t>
  </si>
  <si>
    <t>DUCHA C/TRANSF. P/EMB. CROMO</t>
  </si>
  <si>
    <t>ARTICULADA COMPLETA</t>
  </si>
  <si>
    <t>PLASTICA REDONDA AUTOLIMPIANTE</t>
  </si>
  <si>
    <t>PLAST. REDONDA AUTOLIMP. 2 FUN</t>
  </si>
  <si>
    <t>PLAST. REDONDA AUTOLIMP. 3 FUN</t>
  </si>
  <si>
    <t>CROMO EN BLISTER</t>
  </si>
  <si>
    <t>MET. CUADRADA AUTOLIMP. 200MM</t>
  </si>
  <si>
    <t>MET. CUADRADA AUTOLIMP. 250MM</t>
  </si>
  <si>
    <t>MET. CUADRADA AUTOLIMP. 300MM</t>
  </si>
  <si>
    <t>MET. REDONDA AUTOLIMP. 200MM</t>
  </si>
  <si>
    <t>MET. REDONDA AUTOLIMP. 250MM</t>
  </si>
  <si>
    <t>MET. REDONDA AUTOLIMP. 300MM</t>
  </si>
  <si>
    <t>PLAST. CUADRADA AUTOLIMP 250MM</t>
  </si>
  <si>
    <t>PLAST. CUADRADA AUTOLIMP 300MM</t>
  </si>
  <si>
    <t>PLAST. REDONDA AUTOLIMP. 150MM</t>
  </si>
  <si>
    <t>PLAST. REDONDA AUTOLIMP. 200MM</t>
  </si>
  <si>
    <t>PLAST. REDONDA AUTOLIMP. 250MM</t>
  </si>
  <si>
    <t>PLAST. REDONDA AUTOLIMP. 300MM</t>
  </si>
  <si>
    <t>CALIFORNIA</t>
  </si>
  <si>
    <t>URBANO METALICO 400 MM</t>
  </si>
  <si>
    <t>JUEGO P/BEBEDERO</t>
  </si>
  <si>
    <t>TOALLERO BARRAL RECTO CORTO</t>
  </si>
  <si>
    <t>TOALLERO BARRAL RECTO LARGO</t>
  </si>
  <si>
    <t>JABONERA METALICA GRANDE</t>
  </si>
  <si>
    <t>JABONERA VIDRIO GRANDE</t>
  </si>
  <si>
    <t>JABONERA METALICA CHICA</t>
  </si>
  <si>
    <t>JABONERA VIDRIO CHICA</t>
  </si>
  <si>
    <t>VAL. AUTOMATICA PEDAL P/PISO</t>
  </si>
  <si>
    <t>ECOMATIC VALV. P/PARED SUAVE</t>
  </si>
  <si>
    <t>VALVULA P/ MINGITORIO ECOMATIC</t>
  </si>
  <si>
    <t>ECOMATIC CANILLA P/ LAVATORIO</t>
  </si>
  <si>
    <t>0103/17.23C-D</t>
  </si>
  <si>
    <t>PED.ESP.REPUESTO P/ROSETA</t>
  </si>
  <si>
    <t>PARA  L. L2 TRADICIONAL Y N2</t>
  </si>
  <si>
    <t>DE 13MM X 19MM CROMADA</t>
  </si>
  <si>
    <t>DE 13MM X 25MM CROMADA</t>
  </si>
  <si>
    <t>DE 13MM X 32MM CROMADA</t>
  </si>
  <si>
    <t>DE 13MM X 38MM CROMADA</t>
  </si>
  <si>
    <t>DE 13MM X 50MM CROMADA</t>
  </si>
  <si>
    <t>P/HIERRO MH ALTO CRUZ CR 13</t>
  </si>
  <si>
    <t>P/HIERRO MH ALTO CRUZ CR 19</t>
  </si>
  <si>
    <t>P/HIERRO HH ALTO CRUZ CR 13</t>
  </si>
  <si>
    <t>P/HIERRO HH ALTO CRUZ CR 19</t>
  </si>
  <si>
    <t>C. CERAMICA HH TEMPLE 19MM</t>
  </si>
  <si>
    <t>C. CERAMICA HH CITY 19MM</t>
  </si>
  <si>
    <t>C.CERAM.HH URBANO 19MM ROSE G.</t>
  </si>
  <si>
    <t>C. CERAMICA HH URB. LEVER 19MM</t>
  </si>
  <si>
    <t>C. CERAMICA HH DOMINIC</t>
  </si>
  <si>
    <t>C. CERAMICA HH DOMINIC LEVER</t>
  </si>
  <si>
    <t>COBRE ALTO CRUZ FIJA HH 13 CR</t>
  </si>
  <si>
    <t>COBRE ALTO CRUZ FIJA HH 19 CR</t>
  </si>
  <si>
    <t>COBRE CAMP. Y VOL. B2P HH 13MM</t>
  </si>
  <si>
    <t>COBRE CAMP. Y VOL.  B2P HH19MM</t>
  </si>
  <si>
    <t>0411.04/87.7DCR</t>
  </si>
  <si>
    <t>PED.ESP.BOQUILLA COMPLETA P/JU</t>
  </si>
  <si>
    <t>PARA TEMPLE 19MM</t>
  </si>
  <si>
    <t>PARA CITY 19MM</t>
  </si>
  <si>
    <t>PARA DOMINIC 19MM</t>
  </si>
  <si>
    <t>PARA DOMINIC LEVER 19MM</t>
  </si>
  <si>
    <t>SOPAPA PLAS UNIV 1 1/4 BLISTER</t>
  </si>
  <si>
    <t>CANO FLEX P/LAV-BIDET 3/8"x30</t>
  </si>
  <si>
    <t>DE SERVICIO VOL. T FIJO 13MM</t>
  </si>
  <si>
    <t>DE SERV. VOL.TE FIJO 13MM</t>
  </si>
  <si>
    <t>DE SERVICIO VOL. T FIJO 19 MM</t>
  </si>
  <si>
    <t>DE SERV. VOL.CRUZ FIJO 13MM</t>
  </si>
  <si>
    <t>DE SER. VOL 15 ALLEGRO 13MM CR</t>
  </si>
  <si>
    <t>MESADA COCINA PICO MÓVIL LEVER</t>
  </si>
  <si>
    <t>COCINA PICO MÓVIL ALTO P/EMB.</t>
  </si>
  <si>
    <t>0411.04/N2-CR</t>
  </si>
  <si>
    <t>LINEA N2 CIPRES MONOCOMANDO</t>
  </si>
  <si>
    <t>MESADA COCINA C/PICO MOVIL</t>
  </si>
  <si>
    <t>COCINA MESADA ACCION TACTIL</t>
  </si>
  <si>
    <t>LAVATORIO ALTO CROMO</t>
  </si>
  <si>
    <t>DUCHA C/TRANSF EXT. CROMO</t>
  </si>
  <si>
    <t>LAVATORIO ALTO NEGRO</t>
  </si>
  <si>
    <t>COCINA MESADA ACERO</t>
  </si>
  <si>
    <t>COCINA MESADA CROMO</t>
  </si>
  <si>
    <t>TOALLERO BARRAL NEGRO</t>
  </si>
  <si>
    <t>PERCHA NEGRO</t>
  </si>
  <si>
    <t>JABONERA NEGRO</t>
  </si>
  <si>
    <t>LAV. P/EMBUTIR C/ PICO MANGA</t>
  </si>
  <si>
    <t>DUCHA BIDET MANUAL</t>
  </si>
  <si>
    <t>P/LETRA 62 CR</t>
  </si>
  <si>
    <t>P/LETRA 62 ORO</t>
  </si>
  <si>
    <t>DE GOMA P/VAL 13MM X 10 UNI.</t>
  </si>
  <si>
    <t>DE GOMA P/VAL 13MM x 50 UNI.</t>
  </si>
  <si>
    <t>DE JAULA PLAS. LUJO PRESSMATIC</t>
  </si>
  <si>
    <t>DE JAULA PLAST. STD PRESSMATIC</t>
  </si>
  <si>
    <t>DE JAULA PLAST. STD P/0368.01</t>
  </si>
  <si>
    <t>C/BORDE CROMO P/LLAVE PASO 42</t>
  </si>
  <si>
    <t>C/BORDE ORO P/L42 P/LL.PASO 42</t>
  </si>
  <si>
    <t>C/BORDE CROMO P/CAMPANA L 42</t>
  </si>
  <si>
    <t>C/BORDE ORO P/CAMPANA L 42</t>
  </si>
  <si>
    <t>PORTA CAMPANA L 46/47/57/86 CR</t>
  </si>
  <si>
    <t>PORTA CAMPANA L46/47/57/86 ORO</t>
  </si>
  <si>
    <t>0207/N2.15.0-D2</t>
  </si>
  <si>
    <t>REP.2 PORTA ROSETA P/LAV.Y BID</t>
  </si>
  <si>
    <t>LATERAL ARMADO LAVATORIO LUJO</t>
  </si>
  <si>
    <t>LATERAL ARMADO LAVAT, STANDARD</t>
  </si>
  <si>
    <t>LAT. LAV. STD MOD.VIEJO EST-F</t>
  </si>
  <si>
    <t>LAT. LAV. STD MOD.VIEJO EST-GR</t>
  </si>
  <si>
    <t>LATERAL ARMADO LAVAT. CERAMICO</t>
  </si>
  <si>
    <t>LATERAL ARMADO LAV 15/20P/61P</t>
  </si>
  <si>
    <t>LATERAL ARMADO LAV. 18 OREGON</t>
  </si>
  <si>
    <t>LAT. ARMADA LAV B1P/B2P/B6/C7</t>
  </si>
  <si>
    <t>0295.1.0-D-CR</t>
  </si>
  <si>
    <t>COMP. CONEX PLAST ACERO INOX.</t>
  </si>
  <si>
    <t>P/ART 0400 Y 103 L.15-16-61</t>
  </si>
  <si>
    <t>BANERA C/BOQUILLA L.46-47-86</t>
  </si>
  <si>
    <t>BANERA C/BOQUILLA L.49</t>
  </si>
  <si>
    <t>BANERA C/BOQUILLA L.62</t>
  </si>
  <si>
    <t>BANERA C/BOQUILLA L.83</t>
  </si>
  <si>
    <t>BANERA C/BOQUILLA L.84</t>
  </si>
  <si>
    <t>BANERA C/BOQUILLA L.87 Y 88</t>
  </si>
  <si>
    <t>BANERA C/BOQ L.85 MODELO NUEVO</t>
  </si>
  <si>
    <t>BANERA C/BOQUILLA L.D8</t>
  </si>
  <si>
    <t>CON CAMBIADOR PARA JUEGOS 216</t>
  </si>
  <si>
    <t>CON CAMBIADOR P/JUEGOS 216/85</t>
  </si>
  <si>
    <t>LAV. PARED P/L39</t>
  </si>
  <si>
    <t>LAV.ARMADO P/L.15-16 MOD.NUEVO</t>
  </si>
  <si>
    <t>LAV ARMADO P/ L. 24, 27</t>
  </si>
  <si>
    <t>LAV. ARMADO COMP L.39</t>
  </si>
  <si>
    <t>LAV. ARMADO COMP L.42,72</t>
  </si>
  <si>
    <t>LAV. ARMADO COMP L.46-47 CROMO</t>
  </si>
  <si>
    <t>LAV ARMADO COMP L.46-47 PELTRE</t>
  </si>
  <si>
    <t>LAV. A SOPAPA COMP L.64</t>
  </si>
  <si>
    <t>LAV. A SOPAPA COMP L.85</t>
  </si>
  <si>
    <t>P/LAV. C/BOQUILLA P/ L.B1P</t>
  </si>
  <si>
    <t>P/LAV. C/BOQUILLA P/ L.17</t>
  </si>
  <si>
    <t>COCINA PARED 403/B1P-B2B-B6-C7</t>
  </si>
  <si>
    <t>COC PAR CORTO 150 COMP 0409.02</t>
  </si>
  <si>
    <t>ARMADA P/JUEGOS 0428</t>
  </si>
  <si>
    <t>CORTA MET. P/LAV. S/ORING 18CM</t>
  </si>
  <si>
    <t>LARGA MET. P/LAV. S/O'RING 30C</t>
  </si>
  <si>
    <t>LARGA PLAST P/LAV.C/ORING 30CM</t>
  </si>
  <si>
    <t>CORTA PLAST P/LAV.C/ORING 18CM</t>
  </si>
  <si>
    <t>TIPO “Y” EJE P/ART 0342 y 0344</t>
  </si>
  <si>
    <t>DE 40 SEGUNDOS PARA DUCHA 0343</t>
  </si>
  <si>
    <t>PARA VALVULA 345 Y 346</t>
  </si>
  <si>
    <t>COMP P/PRESSMATIC LUJO C/ORING</t>
  </si>
  <si>
    <t>COMPL. P/ VALV.SLOAN ART. 0365</t>
  </si>
  <si>
    <t>COMPLETO P/ VALVULA ECOMATIC</t>
  </si>
  <si>
    <t>P/ART 0363-0364-0366-0374-0375</t>
  </si>
  <si>
    <t>PARA CAMPANA L.85 85L</t>
  </si>
  <si>
    <t>P/CAMPANAS L. L2 TRAD. Y N2</t>
  </si>
  <si>
    <t>P/ L.15,31 Y B2</t>
  </si>
  <si>
    <t>PARA VASTAGOS 0103/49 Y 49L</t>
  </si>
  <si>
    <t>P/VOLANTES JUEGOS EMB 49 Y 49L</t>
  </si>
  <si>
    <t>NIQUELADO P/J.EMB. 59 Y 59L</t>
  </si>
  <si>
    <t>ARMADO C/TORNILLO P/ VOL. 87</t>
  </si>
  <si>
    <t>ARMADO S/TORNILLO P/ VOL. 85</t>
  </si>
  <si>
    <t>ARMADO C/TOR. P/0207-10-13-0295/49</t>
  </si>
  <si>
    <t>ARMADO C/TORNILLO P/59 Y 59L.</t>
  </si>
  <si>
    <t>P/PICO COCINA 0403-.02-.03</t>
  </si>
  <si>
    <t>P/PICO LAV.P. L.17-18-28-D5-D7</t>
  </si>
  <si>
    <t>DE FIJACION PARA SWING PLUS</t>
  </si>
  <si>
    <t>PARA PICO 0203/49 Y 49L</t>
  </si>
  <si>
    <t>PARA SOPAPA 246.01</t>
  </si>
  <si>
    <t>PARA LINEAS 42,45,72,82</t>
  </si>
  <si>
    <t>P/TRANSF.0106.02, 0112 Y 0310</t>
  </si>
  <si>
    <t>P/JUEGOS 0106, 0106.02 Y 0112</t>
  </si>
  <si>
    <t>PARA BOTON BEBERDERO</t>
  </si>
  <si>
    <t>Y GUI ART. 0342, 0343 Y 0344</t>
  </si>
  <si>
    <t>C/MANIJA REGUL. CAUDAL 0368.01</t>
  </si>
  <si>
    <t>RESORTE 1700 MM P/ L.AUGUSTA</t>
  </si>
  <si>
    <t>P/LLAVE GAS MODELO ACT 13-19MM</t>
  </si>
  <si>
    <t>DE CAUDAL PARA PRESSMATIC</t>
  </si>
  <si>
    <t>DE CAUDAL PARA ECOMATIC</t>
  </si>
  <si>
    <t>DE SEG. P/CABEZAS LUJO Y CER.</t>
  </si>
  <si>
    <t>P/JUEGOS MONOCOMNADO DE EMB</t>
  </si>
  <si>
    <t>CIERRE P/EJE PRESSMATIC LUJO</t>
  </si>
  <si>
    <t>PARA AUGUSTA LINEA 96</t>
  </si>
  <si>
    <t>PARA LENGA LINEA H5</t>
  </si>
  <si>
    <t>PARA 446.01/87</t>
  </si>
  <si>
    <t>P/PICO BAN Y LAV.STD 15 ANTIG</t>
  </si>
  <si>
    <t>PARA PICO BANERA L.17</t>
  </si>
  <si>
    <t>C/ORING P CAMP J.EMB. L.59-59L</t>
  </si>
  <si>
    <t>C/ORING P/PICO J.EMB. L.59-59L</t>
  </si>
  <si>
    <t>C/ORING P CAMP J.EMB. L.85-85L</t>
  </si>
  <si>
    <t>C/ORING P/PICO J.EMB. L.85-85L</t>
  </si>
  <si>
    <t>C/ORING P CAMP J.EMB. L.87-88L</t>
  </si>
  <si>
    <t>C/ORING Y P.ROSETA J.EMB 87-88</t>
  </si>
  <si>
    <t>C/ORING P/ PICOS J.EMB L.87-89</t>
  </si>
  <si>
    <t>PORTAROSETA L 85 Y 85L</t>
  </si>
  <si>
    <t>PARA PICO BANERA DIVERTER</t>
  </si>
  <si>
    <t>PLASTICA PARA DUCHA L.39</t>
  </si>
  <si>
    <t>ARMADA C/ORING BR DUCHA 140/C3</t>
  </si>
  <si>
    <t>C/ORING P/BRAZO DUCHA 0120/59</t>
  </si>
  <si>
    <t>C/ORING P/BRAZO DUCHA 0120/85</t>
  </si>
  <si>
    <t>PARA PICO LAVATORIO L 39</t>
  </si>
  <si>
    <t>PARA PICO LAV. PARED L.39</t>
  </si>
  <si>
    <t>C/BUJE SOP. PICO LAV. PARED</t>
  </si>
  <si>
    <t>P/PICO LAV.PA. C/ORING L59-59L</t>
  </si>
  <si>
    <t>C/O'RING PICO LAVATORIO L.28</t>
  </si>
  <si>
    <t>C/O'RING PICO LAVATORIO L.39</t>
  </si>
  <si>
    <t>P/VOLANTE L.C3</t>
  </si>
  <si>
    <t>P/ROCIADOR HIDRO. L.85 Y 85L.</t>
  </si>
  <si>
    <t>P/CANO CURVO CUBRE AGUJ. 0362</t>
  </si>
  <si>
    <t>P/ PICO PARED 0402-0403</t>
  </si>
  <si>
    <t>P/ART 0310-0311-0405-0406-0409</t>
  </si>
  <si>
    <t>DE CHAPA P/J.0103/24,27,B2,E2</t>
  </si>
  <si>
    <t>DE CHAPA P/J.COCINA 0413</t>
  </si>
  <si>
    <t>DE CHAPA P/ ART. 415-416</t>
  </si>
  <si>
    <t>CONICO DE GOMA PAR ART. 0416.</t>
  </si>
  <si>
    <t>AIRE 50L TCS1120508-4</t>
  </si>
  <si>
    <t>AIRE 100L TCS2241008-4</t>
  </si>
  <si>
    <t>52118</t>
  </si>
  <si>
    <t>CARGADOR</t>
  </si>
  <si>
    <t>BATERIAS 12V/24V TBC1601-4</t>
  </si>
  <si>
    <t>73043</t>
  </si>
  <si>
    <t>ELECTROB.PERFOR.3XRm3/31-1.1</t>
  </si>
  <si>
    <t>74517</t>
  </si>
  <si>
    <t>74518</t>
  </si>
  <si>
    <t>74519</t>
  </si>
  <si>
    <t>74520</t>
  </si>
  <si>
    <t>LINEA B6 PAMPA MONOCOMANDO</t>
  </si>
  <si>
    <t>0181/B6-CR</t>
  </si>
  <si>
    <t>0189/B6-CR</t>
  </si>
  <si>
    <t>50014</t>
  </si>
  <si>
    <t>ALICATE C. OBLICUO THT130606P</t>
  </si>
  <si>
    <t>50928</t>
  </si>
  <si>
    <t>MULTIMETRO DIGITAL TMT460012</t>
  </si>
  <si>
    <t>50929</t>
  </si>
  <si>
    <t>MULTIMETRO DIGITAL TMT46001</t>
  </si>
  <si>
    <t>52152</t>
  </si>
  <si>
    <t>ROTOMART.INAL.20V TRHLI20208</t>
  </si>
  <si>
    <t>52179</t>
  </si>
  <si>
    <t>MULTIFUNCION</t>
  </si>
  <si>
    <t>0108/B6-CR</t>
  </si>
  <si>
    <t>0103/N2.18.0-D</t>
  </si>
  <si>
    <t>REP.CONECTOR ARMADO CIPRES N2</t>
  </si>
  <si>
    <t>0103/N2.17.0RCR</t>
  </si>
  <si>
    <t>REP.PICO SALIDA ARMADO CIPRES</t>
  </si>
  <si>
    <t>0103/N2.13.0DCR</t>
  </si>
  <si>
    <t>REPUESTO ROSETA</t>
  </si>
  <si>
    <t>0103/N2.16-D-CR</t>
  </si>
  <si>
    <t>PARA PICO SALIDA CIPRES</t>
  </si>
  <si>
    <t>0103/39.20-D5</t>
  </si>
  <si>
    <t>PRISIONERO DIN 916 M5X6</t>
  </si>
  <si>
    <t>0103/N2.14.0DCR</t>
  </si>
  <si>
    <t>REPUESTO VOLANTE CIPRES L.N2</t>
  </si>
  <si>
    <t>92280</t>
  </si>
  <si>
    <t>SUPER EXC.P/INOD.C/GOLLETE 110</t>
  </si>
  <si>
    <t>CARG. BATERIA TCFL1865051</t>
  </si>
  <si>
    <t>PINCEL 100LX20E THT84041</t>
  </si>
  <si>
    <t>MARTILLOS ELECTRICOS</t>
  </si>
  <si>
    <t>ROSCA CON TUERCA 1/2 IPS</t>
  </si>
  <si>
    <t>ROSCA CON TUERCA 3/4 IPS</t>
  </si>
  <si>
    <t>ROSCA CON TUERCA 1 IPS</t>
  </si>
  <si>
    <t>ROSCA CON TUERCA 11/4 IPS</t>
  </si>
  <si>
    <t>ROSCA CON TUERCA  11/2 IPS</t>
  </si>
  <si>
    <t>ROSCA CON TUERCA  2 IPS</t>
  </si>
  <si>
    <t>ROSCA CON TUERCA  21/2 IPS</t>
  </si>
  <si>
    <t>3618</t>
  </si>
  <si>
    <t>R/H RED. 1/2 X 3/4</t>
  </si>
  <si>
    <t>3619</t>
  </si>
  <si>
    <t>R/H RED. 3/4 X 1/2</t>
  </si>
  <si>
    <t>3628</t>
  </si>
  <si>
    <t>R/M RED. 1/2 X 3/4</t>
  </si>
  <si>
    <t>3629</t>
  </si>
  <si>
    <t>R/M RED. 1/2 X 1</t>
  </si>
  <si>
    <t>3638</t>
  </si>
  <si>
    <t>R/H RED. 1 X 1/2</t>
  </si>
  <si>
    <t>3639</t>
  </si>
  <si>
    <t>R/H RED. 1 X 3/4</t>
  </si>
  <si>
    <t>3671</t>
  </si>
  <si>
    <t>RED 3/4. 1/2 PLT</t>
  </si>
  <si>
    <t>3672</t>
  </si>
  <si>
    <t>RED 1. 3/4 PLT</t>
  </si>
  <si>
    <t>3673</t>
  </si>
  <si>
    <t>RED 1. 1/2 PLT</t>
  </si>
  <si>
    <t>3781</t>
  </si>
  <si>
    <t>3782</t>
  </si>
  <si>
    <t>1 RH CENTRAL 3/4 PLT</t>
  </si>
  <si>
    <t>3668</t>
  </si>
  <si>
    <t>RED. 3/4 X 1/2</t>
  </si>
  <si>
    <t>8337</t>
  </si>
  <si>
    <t>3/4.60CM</t>
  </si>
  <si>
    <t>PINZA AMPEROM.TMT410004</t>
  </si>
  <si>
    <t>4XRm6/6-0.75HP M. C/T</t>
  </si>
  <si>
    <t>4XRm6/8-1HP M. C/T</t>
  </si>
  <si>
    <t>4XRm6/11-1.5HP M. C/T</t>
  </si>
  <si>
    <t>4XRm8/9-1.5HP M. C/T</t>
  </si>
  <si>
    <t>4XRm8/12-2HP M. C/T</t>
  </si>
  <si>
    <t>4XR6/8-1HP T. C/T</t>
  </si>
  <si>
    <t>4XR6/11-1.5HP T. C/T</t>
  </si>
  <si>
    <t>4XR8/12-2HP T. C/T</t>
  </si>
  <si>
    <t>4XR6/20-3HP T. C/T</t>
  </si>
  <si>
    <t>0207/M3.1.0-RCR</t>
  </si>
  <si>
    <t>REPUESTO PICO LAVATORIO ARMADO</t>
  </si>
  <si>
    <t>26020</t>
  </si>
  <si>
    <t>20LT ELECTRICO (A)</t>
  </si>
  <si>
    <t>52148</t>
  </si>
  <si>
    <t>52149</t>
  </si>
  <si>
    <t>FLEX P/JUEGO 0412/96-CR</t>
  </si>
  <si>
    <t>REP FLEX SWING PLUS 0412.01/90</t>
  </si>
  <si>
    <t>0103/M3.14.0DNG</t>
  </si>
  <si>
    <t>REPUESTO VOLANTE NEGRO</t>
  </si>
  <si>
    <t>VP487</t>
  </si>
  <si>
    <t>GUARNIC VALVULA DESCARGA  X  10  UNIDADES</t>
  </si>
  <si>
    <t>MAZA 2000 GR THSTH62000</t>
  </si>
  <si>
    <t>MAZA DEMOLICION 5K THSTH63598</t>
  </si>
  <si>
    <t>CEPILLO ELECT1050W TL1108236</t>
  </si>
  <si>
    <t>CALADORA 570W TS206656-4</t>
  </si>
  <si>
    <t>ING.TELE.10"TS421825517-4 10.5</t>
  </si>
  <si>
    <t>SOPLADOR 20V  TABLI20028</t>
  </si>
  <si>
    <t>BAT.LITIO-ION/20V TFBLI20021</t>
  </si>
  <si>
    <t>77043</t>
  </si>
  <si>
    <t>ELECTROB. AUTOASP.AJm75</t>
  </si>
  <si>
    <t>77044</t>
  </si>
  <si>
    <t>ELECTROB. AUTOASP.AJm45</t>
  </si>
  <si>
    <t>75500</t>
  </si>
  <si>
    <t>4"0.75HP (4XRm6/6-0.55) MONOF.</t>
  </si>
  <si>
    <t>75501</t>
  </si>
  <si>
    <t>4"1HP (4XRm6/8-0.75) MONOF.</t>
  </si>
  <si>
    <t>4" 1.5HP(4XRm6/11-1.1-8/9-1.1M</t>
  </si>
  <si>
    <t>4" 2HP(4XRm8/12-1.5)MONOF</t>
  </si>
  <si>
    <t>75510</t>
  </si>
  <si>
    <t>4"1HP (4XR6/8-0.75) TRIF.</t>
  </si>
  <si>
    <t>75511</t>
  </si>
  <si>
    <t>4"1.5HP (4XR6/11-1.1) TRIF.</t>
  </si>
  <si>
    <t>75512</t>
  </si>
  <si>
    <t>4"2H(4XR6/15-1.5-4XR8/12-1.5)T</t>
  </si>
  <si>
    <t>75513</t>
  </si>
  <si>
    <t>4"3H(4XR6/20-2.2-4XR12/12-2.2)</t>
  </si>
  <si>
    <t>75514</t>
  </si>
  <si>
    <t>4"5.5H(4XR12/20-4-4XR16/16-4)T</t>
  </si>
  <si>
    <t>0106/B5-NG</t>
  </si>
  <si>
    <t>0181/B5-NG</t>
  </si>
  <si>
    <t>0189/B5-NG</t>
  </si>
  <si>
    <t>87°30 C/VENT 180º110x110INTERP</t>
  </si>
  <si>
    <t>6270</t>
  </si>
  <si>
    <t>CHASIS PARA TECLA UNIVERSAL</t>
  </si>
  <si>
    <t>BOYA IDEAL PASO1/4DORADA (113)</t>
  </si>
  <si>
    <t>0210.2.0-D-K</t>
  </si>
  <si>
    <t>0480/46.27.0-DF</t>
  </si>
  <si>
    <t>CAB.CERAMICO 3/4" F P/LLAVE P.</t>
  </si>
  <si>
    <t>0480/46.27.0-DK</t>
  </si>
  <si>
    <t>CAB.CERAMICO 3/4" K P/LLAVE P.</t>
  </si>
  <si>
    <t>0103/B4.15-D-CR</t>
  </si>
  <si>
    <t>REPUESTO LETRA VOLANTE B4/B6</t>
  </si>
  <si>
    <t>0310/B1.25.0DCR</t>
  </si>
  <si>
    <t>REPUESTO MANGUERA METALICA</t>
  </si>
  <si>
    <t>0103/16.15.0DBC</t>
  </si>
  <si>
    <t>LINEA F.V. 16 COLD BLANCO</t>
  </si>
  <si>
    <t>0103/16.15.0DCR</t>
  </si>
  <si>
    <t>LINEA F.V. 16 COLD CROMO</t>
  </si>
  <si>
    <t>0103/16.16.0DBC</t>
  </si>
  <si>
    <t>LINEA F.V. 16 HOT BLANCO</t>
  </si>
  <si>
    <t>0103/16.16.0DCR</t>
  </si>
  <si>
    <t>LINEA F.V. 16 HOT CROMO</t>
  </si>
  <si>
    <t>0103/16.17.0DBC</t>
  </si>
  <si>
    <t>LINEA F.V. 16 TRANSFERENCIA</t>
  </si>
  <si>
    <t>0103/16.17.0DCR</t>
  </si>
  <si>
    <t>VTI48</t>
  </si>
  <si>
    <t>FIJACION TAPA TKXP  X  UNIDAD</t>
  </si>
  <si>
    <t>VTP01</t>
  </si>
  <si>
    <t>FIJACION INODORO - PISO  X  UN</t>
  </si>
  <si>
    <t>40X250TAC15121412</t>
  </si>
  <si>
    <t>CIN.PSDSPLUS20X250TAC15121411</t>
  </si>
  <si>
    <t>1401</t>
  </si>
  <si>
    <t>MAXUM S3.2 DIAM.20.4MTS.</t>
  </si>
  <si>
    <t>1402</t>
  </si>
  <si>
    <t>MAXUM S3.2 DIAM.25.4MTS.</t>
  </si>
  <si>
    <t>1403</t>
  </si>
  <si>
    <t>MAXUM S3.2 DIAM.32.4MTS.</t>
  </si>
  <si>
    <t>1404</t>
  </si>
  <si>
    <t>MAXUM S3.2 DIAM.40.4MTS.</t>
  </si>
  <si>
    <t>1405</t>
  </si>
  <si>
    <t>MAXUM S3.2 DIAM.50.4MTS.</t>
  </si>
  <si>
    <t>1406</t>
  </si>
  <si>
    <t>MAXUM S3.2 DIAM.63.4MTS.</t>
  </si>
  <si>
    <t>72014</t>
  </si>
  <si>
    <t>ELECT.PERIFERICA LEO APm150</t>
  </si>
  <si>
    <t>77014</t>
  </si>
  <si>
    <t>ACHIQUE AGUA SUCIA LKS-758PSW</t>
  </si>
  <si>
    <t>TUBO TOP</t>
  </si>
  <si>
    <t>40.4MTS CLOACAL(2.8)</t>
  </si>
  <si>
    <t>50.4MTS CLOACAL(2.8)</t>
  </si>
  <si>
    <t>63.4MTS CLOACAL(2.8)</t>
  </si>
  <si>
    <t>160.4MTS CLOACAL(2.8)</t>
  </si>
  <si>
    <t>110.4MTS CLOACAL(2.8)</t>
  </si>
  <si>
    <t>8975</t>
  </si>
  <si>
    <t>HID 110.6M CL4 (2.2)</t>
  </si>
  <si>
    <t>8976</t>
  </si>
  <si>
    <t>HID 140.6M CL4 (2.8)</t>
  </si>
  <si>
    <t>8977</t>
  </si>
  <si>
    <t>HID 160.6M CL4 (3.2)</t>
  </si>
  <si>
    <t>8978</t>
  </si>
  <si>
    <t>HID 200.6M CL4 (4.0)</t>
  </si>
  <si>
    <t>8979</t>
  </si>
  <si>
    <t>HID 250.6M CL4 (4.9)</t>
  </si>
  <si>
    <t>HID 315.6M CL4 (6.2)</t>
  </si>
  <si>
    <t>8981</t>
  </si>
  <si>
    <t>HID 355.6M CL4 (7.0)</t>
  </si>
  <si>
    <t>8982</t>
  </si>
  <si>
    <t>HID 400.6M CL4 (7.9)</t>
  </si>
  <si>
    <t>8983</t>
  </si>
  <si>
    <t>HID 500.6M CL4 (9.8)</t>
  </si>
  <si>
    <t>DEP. MOCHILA 3/8.UNIV.(42100)</t>
  </si>
  <si>
    <t>INODORO.comun  bajada (1559)</t>
  </si>
  <si>
    <t>EXTRA LARGA (1565)</t>
  </si>
  <si>
    <t>PICO MÓVIL ALTO EXT PARED ARIZ</t>
  </si>
  <si>
    <t>PICO MÓVIL ALTO EXT PARED PAMP</t>
  </si>
  <si>
    <t>PICO MÓVIL BAJO EXT. ARIZONA</t>
  </si>
  <si>
    <t>PICO MÓVIL BAJO EXT. PAMPA</t>
  </si>
  <si>
    <t>0411.03.6-D2</t>
  </si>
  <si>
    <t>P/ESQUELETO SWING DUO MOD.NUEV</t>
  </si>
  <si>
    <t>0103R/85.140DCR</t>
  </si>
  <si>
    <t>VOLANTE CRUZ ARMADO LINEA 85</t>
  </si>
  <si>
    <t>28507</t>
  </si>
  <si>
    <t>ELECT.COMERCIAL 255LT ALTA REC</t>
  </si>
  <si>
    <t>PHILLPS 3MMx75MTHT26PH0075</t>
  </si>
  <si>
    <t>PLANO 6MMx38MM TSDRSSL6038</t>
  </si>
  <si>
    <t>PTA.HEX.30X410MM TAC1531301</t>
  </si>
  <si>
    <t>4XR12/12-2.2 T-3HP</t>
  </si>
  <si>
    <t>4XR12/20-4 T-5.5 HP</t>
  </si>
  <si>
    <t>4XR16/16-4 T-5.5HP</t>
  </si>
  <si>
    <t>4XR16/20-5.5 T-7.5HP</t>
  </si>
  <si>
    <t>VF054-R6</t>
  </si>
  <si>
    <t>OBTURADOR VALV NEUMATICA  X  UNIDAD</t>
  </si>
  <si>
    <t>VP801</t>
  </si>
  <si>
    <t>PORTA OBTURADOR C/VASO  X  5  UNIDADES</t>
  </si>
  <si>
    <t>VTI41-01</t>
  </si>
  <si>
    <t>KIT BARI/FLORENCIA CROMO  X  UNIDAD</t>
  </si>
  <si>
    <t>77104</t>
  </si>
  <si>
    <t>ELECTROB. AUTOCEBANTE XKP554</t>
  </si>
  <si>
    <t>77105</t>
  </si>
  <si>
    <t>ELECTROB. AUTOCEBANTE XKP804</t>
  </si>
  <si>
    <t>77106</t>
  </si>
  <si>
    <t>ELECTROB. AUTOCEBANTE XKP904</t>
  </si>
  <si>
    <t>76998</t>
  </si>
  <si>
    <t>ELECTROBOMBA P/DESAG. XKS-400S</t>
  </si>
  <si>
    <t>76999</t>
  </si>
  <si>
    <t>ELECTROBOMBA P/DESAG. XKS-750S</t>
  </si>
  <si>
    <t>77002</t>
  </si>
  <si>
    <t>ELECTROBOMBA P/DESAG.XKS-410PL</t>
  </si>
  <si>
    <t>0411/B5.4-D</t>
  </si>
  <si>
    <t>REP.AIREADOR COINSLOT CACHE</t>
  </si>
  <si>
    <t>CTM25.SLS.01-BT</t>
  </si>
  <si>
    <t>CARTUCHO TEMPORIZADO ECOMATIC</t>
  </si>
  <si>
    <t>0103/28.13.0DCR</t>
  </si>
  <si>
    <t>ROSETA C/BUJE PARA JUEGOS EMBU</t>
  </si>
  <si>
    <t>0103/M3.14.0DAZ</t>
  </si>
  <si>
    <t>REPUESTO VOLANTE AZUL</t>
  </si>
  <si>
    <t>0103/M3.14.0DBL</t>
  </si>
  <si>
    <t>REPUESTO VOLANTE BLANCO</t>
  </si>
  <si>
    <t>0103/M3.14.0DGR</t>
  </si>
  <si>
    <t>REPUESTO VOLANTE GRIS</t>
  </si>
  <si>
    <t>0103/M3.14.0DRO</t>
  </si>
  <si>
    <t>REPUESTO VOLANTE ROJO</t>
  </si>
  <si>
    <t>VTC07</t>
  </si>
  <si>
    <t>CONEXION INODORO BERMEJO  X  U</t>
  </si>
  <si>
    <t>76995</t>
  </si>
  <si>
    <t>ELECTRO.P/DES.XQS22.8-12/0.75S</t>
  </si>
  <si>
    <t>77800</t>
  </si>
  <si>
    <t>TUBO FLEXIBLE 1X1 FH44-03</t>
  </si>
  <si>
    <t>52190</t>
  </si>
  <si>
    <t>CLAVADORA</t>
  </si>
  <si>
    <t>INALAMBRICA 20V TCBNLI2001</t>
  </si>
  <si>
    <t>ATOR.IMPACTO1/4INL.TIRLI2028-4</t>
  </si>
  <si>
    <t>HERR.MULTIF.INAL. 20V TMLI2022</t>
  </si>
  <si>
    <t>400 TRICAPA 25 AÑOS</t>
  </si>
  <si>
    <t>600 TRICAPA 25 AÑOS</t>
  </si>
  <si>
    <t>850 TRICAPA 25 AÑOS</t>
  </si>
  <si>
    <t>1100 TRICAPA 25 AÑOS</t>
  </si>
  <si>
    <t>2750 TRICAPA 25 AÑOS</t>
  </si>
  <si>
    <t>77019</t>
  </si>
  <si>
    <t>ACHIQUE AGUA SUCIA EKS-750PSW</t>
  </si>
  <si>
    <t>0412.01/T1-CR</t>
  </si>
  <si>
    <t>LINEA T1 TALAMPAYA MONOCOMANDO</t>
  </si>
  <si>
    <t>COCINA P/MESADA C/PICO EXTRAIB</t>
  </si>
  <si>
    <t>MEC.DES. DUALUNIV.C/PAL(51500)</t>
  </si>
  <si>
    <t>V.ENT REG.C/BZO. de BCE(1669)</t>
  </si>
  <si>
    <t>C.PLAST/PIS.BRAZO  (1344)</t>
  </si>
  <si>
    <t>MEC DESC. FLAPPER S/BOT.(1430)</t>
  </si>
  <si>
    <t>SOBRE.T.INSP.AGUJ .GRAND(4180)</t>
  </si>
  <si>
    <t>TAPA.INSP.B.BRONC.IDEAL(1248)</t>
  </si>
  <si>
    <t>MEC. PLAST.CAD.TRAD.(900)</t>
  </si>
  <si>
    <t>SOBRETAPA BCA AG.CHICO(1150)</t>
  </si>
  <si>
    <t>TAPA INSP. BOTON  PLAST.(1250)</t>
  </si>
  <si>
    <t>CADENA C/MANGO DEP.CAD (1500)</t>
  </si>
  <si>
    <t>CODO DEP.MOCHILA(1557)</t>
  </si>
  <si>
    <t>TAPA C/PULS.P/MOC.DASH(1656)</t>
  </si>
  <si>
    <t>MEC.DESC. DUAL.Y.UNIV.(51000)</t>
  </si>
  <si>
    <t>BOTON LARGO IDEAL(1251)</t>
  </si>
  <si>
    <t>26040</t>
  </si>
  <si>
    <t>CALEFON PEISA</t>
  </si>
  <si>
    <t>CALEFON DIVA ACQUA 14 F GN</t>
  </si>
  <si>
    <t>26045</t>
  </si>
  <si>
    <t>CALEFON DIVA ACQUA 17 F GN</t>
  </si>
  <si>
    <t>26046</t>
  </si>
  <si>
    <t>CALEFON DIVA ACQUA 17 F GL</t>
  </si>
  <si>
    <t>26050</t>
  </si>
  <si>
    <t>CALEFON DIVA ACQUA 22 F GN</t>
  </si>
  <si>
    <t>26060</t>
  </si>
  <si>
    <t>CALEFON 14 TBF GN</t>
  </si>
  <si>
    <t>27098</t>
  </si>
  <si>
    <t>ACCESORIOS PEISA</t>
  </si>
  <si>
    <t>CAJA MONT.TERMO.ZENTRALY WiFi</t>
  </si>
  <si>
    <t>27099</t>
  </si>
  <si>
    <t>TERMOSTATO AMB. ZENTRALY WiFi</t>
  </si>
  <si>
    <t>27100</t>
  </si>
  <si>
    <t>KIT CODO/TUBO COAX 60/100TBI14</t>
  </si>
  <si>
    <t>DEP3/8 S/BRAZO.DOB.REG.(40100)</t>
  </si>
  <si>
    <t>DEP.1/2.S/BRAZ DOB.REG.(40000)</t>
  </si>
  <si>
    <t>DUAL.DEP.MOCHI /BT. CENT(50500</t>
  </si>
  <si>
    <t>UNION GOMA BCA P/DEP CAD(1291)</t>
  </si>
  <si>
    <t>MOCHILA (1556)</t>
  </si>
  <si>
    <t>INAL.1500RPM/20V TDLI200518-4</t>
  </si>
  <si>
    <t>0412/N9-CR</t>
  </si>
  <si>
    <t>LINEA N9 HUEMUL</t>
  </si>
  <si>
    <t>JUEGO MONOCOMANDO P/COCINA</t>
  </si>
  <si>
    <t>COCINA MESADA PUELO CR</t>
  </si>
  <si>
    <t>0411.04/B5-NG</t>
  </si>
  <si>
    <t>COCINA MESADA PUELO NG</t>
  </si>
  <si>
    <t>0106/85N.T.1RCR</t>
  </si>
  <si>
    <t>BASE PARA CARTUCHO DOMINIC NEW</t>
  </si>
  <si>
    <t>0201/87.15.0DCR</t>
  </si>
  <si>
    <t>PED.ESP.PROLONGADOR CROMADO CT</t>
  </si>
  <si>
    <t>94209</t>
  </si>
  <si>
    <t>CONJ. EMB. Y MARCO HORIZ.63</t>
  </si>
  <si>
    <t>VPIAC</t>
  </si>
  <si>
    <t>ACC FIJACION INOD COLGAR  X  UNIDAD</t>
  </si>
  <si>
    <t>52144</t>
  </si>
  <si>
    <t>ATORNILLADOR 4V 43P TSDLI04062</t>
  </si>
  <si>
    <t>52129</t>
  </si>
  <si>
    <t>INAL.20V TDLI200215-4</t>
  </si>
  <si>
    <t>70052</t>
  </si>
  <si>
    <t>HYDRO MPC-E 3 CRE15-2 U2 A-A-A</t>
  </si>
  <si>
    <t>77018</t>
  </si>
  <si>
    <t>PRESURIZADOR AUT. LKSm-130</t>
  </si>
  <si>
    <t>73115</t>
  </si>
  <si>
    <t>UNILIFT AP35.40.06.3V 3X400V</t>
  </si>
  <si>
    <t>76045</t>
  </si>
  <si>
    <t>UPS40-120 3X400V PN6/10 50 HZ</t>
  </si>
  <si>
    <t>6398</t>
  </si>
  <si>
    <t>ASIENTO</t>
  </si>
  <si>
    <t>TIGRE</t>
  </si>
  <si>
    <t>0489.03/18-25CR</t>
  </si>
  <si>
    <t>0412.01/87.2.0D</t>
  </si>
  <si>
    <t>ZTDDA-B</t>
  </si>
  <si>
    <t>ZTDDM-B</t>
  </si>
  <si>
    <t>ZTDMA-AL</t>
  </si>
  <si>
    <t>ZTDML-B</t>
  </si>
  <si>
    <t>207140</t>
  </si>
  <si>
    <t>207350</t>
  </si>
  <si>
    <t>207363</t>
  </si>
  <si>
    <t>86485</t>
  </si>
  <si>
    <t>94284</t>
  </si>
  <si>
    <t>94285</t>
  </si>
  <si>
    <t>94286</t>
  </si>
  <si>
    <t>94550</t>
  </si>
  <si>
    <t>77921</t>
  </si>
  <si>
    <t>77922</t>
  </si>
  <si>
    <t>3/4 P/TERMOFUSION C/V OREGON</t>
  </si>
  <si>
    <t>TAPA Y TECLA UNIV P/DEP BLANC</t>
  </si>
  <si>
    <t>REP. MANG.C/ROCIADOR OCULTO</t>
  </si>
  <si>
    <t>TAPA DEPOSITO FERRUM</t>
  </si>
  <si>
    <t>TAPA DEPOSITO DORICA  ANTIGUO</t>
  </si>
  <si>
    <t>TAPA DEPOSITO DORICA TIRADOR</t>
  </si>
  <si>
    <t>TAPA DEPOSITO FLORENCIA TIRADO</t>
  </si>
  <si>
    <t>TAPA DEPOSITO FLORENCIA BOTON</t>
  </si>
  <si>
    <t>40 MM  FUSIOGAS</t>
  </si>
  <si>
    <t>ROSCADA 11/2"</t>
  </si>
  <si>
    <t>ROSCADA 2"</t>
  </si>
  <si>
    <t>REP.MAJILLA LLAVE PASO 11/2 2</t>
  </si>
  <si>
    <t>ACANALADO 36</t>
  </si>
  <si>
    <t>ACANALADO 46</t>
  </si>
  <si>
    <t>ACANALADO 59</t>
  </si>
  <si>
    <t>ESTUCHE 9 PIEZAS THKTHP90097</t>
  </si>
  <si>
    <t>PERCUTOR 1100W TG211166-4</t>
  </si>
  <si>
    <t>INAL.400/1500RPM TDLI12202</t>
  </si>
  <si>
    <t>32-40-50-63-110</t>
  </si>
  <si>
    <t>HORIZONTAL 50CT 50L</t>
  </si>
  <si>
    <t>HORIZONTAL 100CTT 100L</t>
  </si>
  <si>
    <t>0106/S7-CR</t>
  </si>
  <si>
    <t>LINEA S7 CHAPELCO</t>
  </si>
  <si>
    <t>MONOCOMANDO BAÑERA DUCHA</t>
  </si>
  <si>
    <t>0181.02/S7-CR</t>
  </si>
  <si>
    <t>MONOC.LAVAT.P/BACHA VESSEL</t>
  </si>
  <si>
    <t>0181/S7-CR</t>
  </si>
  <si>
    <t>MONOCOMANDO LAVATORIO</t>
  </si>
  <si>
    <t>0189/S7-CR</t>
  </si>
  <si>
    <t>MONOCOMANDO BIDE</t>
  </si>
  <si>
    <t>0310/S7-CR</t>
  </si>
  <si>
    <t>MONOCOMANDO BAÑERA DUCHA EXT.</t>
  </si>
  <si>
    <t>0103/D7.8-D5</t>
  </si>
  <si>
    <t>INSERTO PLASTICO BAJO COLAPSAB</t>
  </si>
  <si>
    <t>0411/B1.10-D</t>
  </si>
  <si>
    <t>TUERCA P/CARTUCHO MONOCOMANDO</t>
  </si>
  <si>
    <t>ZTDAC-B</t>
  </si>
  <si>
    <t>TAPA DEPOSITO ANDINA  X  UNIDAD</t>
  </si>
  <si>
    <t>ZTDAP-B</t>
  </si>
  <si>
    <t>TAPA DEP DPC/DPL/DAR/DAP  X  UNIDAD</t>
  </si>
  <si>
    <t>ZTDKM-B</t>
  </si>
  <si>
    <t>TAPA DEPOSITO BARI  X  UNIDAD</t>
  </si>
  <si>
    <t>27109</t>
  </si>
  <si>
    <t>TUBO COAX 60/100 M-H 1.00M</t>
  </si>
  <si>
    <t>1 RH CENTRAL 1/2 PLT</t>
  </si>
  <si>
    <t>SD/BR 40. 1 TIGRE</t>
  </si>
  <si>
    <t>POTENC.2000W TB20078-4</t>
  </si>
  <si>
    <t>CISTERNA CUBICA  1100 LTS</t>
  </si>
  <si>
    <t>6220</t>
  </si>
  <si>
    <t>PILETA LAVADERO SIMPLE 22LTS</t>
  </si>
  <si>
    <t>87011</t>
  </si>
  <si>
    <t>HERRAMIENTAS H3</t>
  </si>
  <si>
    <t>BOQ. MH P/KIT REPARACION</t>
  </si>
  <si>
    <t>88015</t>
  </si>
  <si>
    <t>CUCHILLO REPUESTOS HIDRO3</t>
  </si>
  <si>
    <t>12917</t>
  </si>
  <si>
    <t>90X75</t>
  </si>
  <si>
    <t>0900.03/A1N-CR</t>
  </si>
  <si>
    <t>LINEA A1N NIEVE NEW</t>
  </si>
  <si>
    <t>KIT GRIFERIA P/B A1N NIEVE NEW</t>
  </si>
  <si>
    <t>0103/49.23-D</t>
  </si>
  <si>
    <t>BUJE DE FIJACION</t>
  </si>
  <si>
    <t>240007</t>
  </si>
  <si>
    <t>VAL.DE CONO 25MM P/GAS VANTEC</t>
  </si>
  <si>
    <t>90° 110 C/DOBLE INSPECCION</t>
  </si>
  <si>
    <t>92547</t>
  </si>
  <si>
    <t>87°30´ HH 63 RIGID</t>
  </si>
  <si>
    <t>240037</t>
  </si>
  <si>
    <t>TAPA 50 P/GAS VANTEC</t>
  </si>
  <si>
    <t>2814</t>
  </si>
  <si>
    <t>COLLAR CON CUÑA</t>
  </si>
  <si>
    <t>160X110 MM</t>
  </si>
  <si>
    <t>84170</t>
  </si>
  <si>
    <t>0310/M4.5.0-DCR</t>
  </si>
  <si>
    <t>TRANSF.ARMADA P/ART310 COMP CR</t>
  </si>
  <si>
    <t>91632</t>
  </si>
  <si>
    <t>110 X 2M</t>
  </si>
  <si>
    <t>94352</t>
  </si>
  <si>
    <t>PINZA CORTATUBO</t>
  </si>
  <si>
    <t>20/32</t>
  </si>
  <si>
    <t>94353</t>
  </si>
  <si>
    <t>40/63</t>
  </si>
  <si>
    <t>94354</t>
  </si>
  <si>
    <t>4055</t>
  </si>
  <si>
    <t>CONEXION TANQUE HID</t>
  </si>
  <si>
    <t>SD - CONEXION PARA TANQUE DE 25 MM</t>
  </si>
  <si>
    <t>4056</t>
  </si>
  <si>
    <t>SD - CONEXION PARA TANQUE DE 32 MM</t>
  </si>
  <si>
    <t>4057</t>
  </si>
  <si>
    <t>SD - CONEXION PARA TANQUE DE 40 MM</t>
  </si>
  <si>
    <t>4058</t>
  </si>
  <si>
    <t>SD - CONEXION PARA TANQUE DE 50 MM</t>
  </si>
  <si>
    <t>PHILLPS 5MMx100MM TSDPH1100</t>
  </si>
  <si>
    <t>PHILLPS 6MMx125MM TSDPH2125</t>
  </si>
  <si>
    <t>KITINAL.12V 89 ACC.THKTHP10892</t>
  </si>
  <si>
    <t>98853</t>
  </si>
  <si>
    <t>TAPA H 118 MM</t>
  </si>
  <si>
    <t>CANALETA GALV. 500X100X25</t>
  </si>
  <si>
    <t>407200</t>
  </si>
  <si>
    <t>CANALETA GALV. 500X200X25</t>
  </si>
  <si>
    <t>84131</t>
  </si>
  <si>
    <t>BOQUILLA MONT.DERIV UNIV.</t>
  </si>
  <si>
    <t>84529</t>
  </si>
  <si>
    <t>84530</t>
  </si>
  <si>
    <t>87012</t>
  </si>
  <si>
    <t>TARUGOS P/KIT DE REPARACION</t>
  </si>
  <si>
    <t>89651</t>
  </si>
  <si>
    <t>TIJERA CORTATUBO 3/8 A 1</t>
  </si>
  <si>
    <t>89653</t>
  </si>
  <si>
    <t>TIJERA CORTATUBO 1 1/4 A 2 1/2</t>
  </si>
  <si>
    <t>VP731</t>
  </si>
  <si>
    <t>HORQUILLA Y PALANCA RECTO  X  5  UNIDADES</t>
  </si>
  <si>
    <t>VTA34-R6</t>
  </si>
  <si>
    <t>PALANCA MANIJA CROMADA  X  UNIDAD</t>
  </si>
  <si>
    <t>VTA36</t>
  </si>
  <si>
    <t>ACCIONAMIENTO BOTON  X  UNIDAD</t>
  </si>
  <si>
    <t>THXMS-B</t>
  </si>
  <si>
    <t>TAPA INOD HDF H-CR SUAVE MARIN</t>
  </si>
  <si>
    <t>THXUS-B</t>
  </si>
  <si>
    <t>TAPA ASIENTO CIERRE SUAVE MARI</t>
  </si>
  <si>
    <t>78031</t>
  </si>
  <si>
    <t>PRESURIZADORA VASSER</t>
  </si>
  <si>
    <t>EQUIPO PRESURIZADOR QC PRES 22</t>
  </si>
  <si>
    <t>78032</t>
  </si>
  <si>
    <t>EQUIPO PRESURIZADOR QC PRES 26</t>
  </si>
  <si>
    <t>78061</t>
  </si>
  <si>
    <t>EQUIPO PRESURIZADOR PRE 1</t>
  </si>
  <si>
    <t>78062</t>
  </si>
  <si>
    <t>EQUIPO PRESURIZADOR PRE 2</t>
  </si>
  <si>
    <t>78731</t>
  </si>
  <si>
    <t>EQUIPO PRESURIZADOR QC TE 22</t>
  </si>
  <si>
    <t>78732</t>
  </si>
  <si>
    <t>EQUIPO PRESURIZADOR QC TE 26</t>
  </si>
  <si>
    <t>78001</t>
  </si>
  <si>
    <t>CENTRIFUGA VASSER</t>
  </si>
  <si>
    <t>ELECT. CENT. VASSER QC 75</t>
  </si>
  <si>
    <t>78002</t>
  </si>
  <si>
    <t>ELECT. CENT. VASSER QC 100</t>
  </si>
  <si>
    <t>78003</t>
  </si>
  <si>
    <t>ELECT. CENT. VASSER QC 150</t>
  </si>
  <si>
    <t>78010</t>
  </si>
  <si>
    <t>PERIFERICA VASSER</t>
  </si>
  <si>
    <t>ELECT. PERIF. VASSER QB 60 M</t>
  </si>
  <si>
    <t>78008</t>
  </si>
  <si>
    <t>SUMERGIBLE VASSER</t>
  </si>
  <si>
    <t>ELECT.DESAGOTE 400 PS PLAST AS</t>
  </si>
  <si>
    <t>78009</t>
  </si>
  <si>
    <t>ELECT.DESAGOTE 750 PS PLAST AS</t>
  </si>
  <si>
    <t>78230</t>
  </si>
  <si>
    <t>ELECT. SOLAR 4" PIP 12V</t>
  </si>
  <si>
    <t>78231</t>
  </si>
  <si>
    <t>ELECT. SOLAR 4" PIP 24V</t>
  </si>
  <si>
    <t>78240</t>
  </si>
  <si>
    <t>E.SOLAR 4"PIP12V+P150W+BAT+FLO</t>
  </si>
  <si>
    <t>78241</t>
  </si>
  <si>
    <t>E.SOLAR 4"PIP24V+P140W+2BA+FLO</t>
  </si>
  <si>
    <t>78420</t>
  </si>
  <si>
    <t>ELECT.SUMERG.2"BT2-50 C/25M C.</t>
  </si>
  <si>
    <t>78421</t>
  </si>
  <si>
    <t>78422</t>
  </si>
  <si>
    <t>ELECT.SUMERG.4"BS4-100-2A 1HP</t>
  </si>
  <si>
    <t>78423</t>
  </si>
  <si>
    <t>ELECT.SUMERG.4"BS4-150-2A 1.5H</t>
  </si>
  <si>
    <t>78424</t>
  </si>
  <si>
    <t>ELECT.SUMERG.4"BS4-250-2A 2HP</t>
  </si>
  <si>
    <t>78426</t>
  </si>
  <si>
    <t>E.SUM.4"BS4-100-2A 1HP+30M CA.</t>
  </si>
  <si>
    <t>78427</t>
  </si>
  <si>
    <t>E.SUM.4"BS4-150-2A 1.5HP+40M C</t>
  </si>
  <si>
    <t>78428</t>
  </si>
  <si>
    <t>E.SUM.4"BS4-250-2A 2HP+40M CA.</t>
  </si>
  <si>
    <t>78502</t>
  </si>
  <si>
    <t>ACCES. BOMBAS VASSER</t>
  </si>
  <si>
    <t>FLOTANTE VASSER FAT 1.5M CABLE</t>
  </si>
  <si>
    <t>0181/L2.14.0RNG</t>
  </si>
  <si>
    <t>REP. MANIJA C/PRISION. NG EPUY</t>
  </si>
  <si>
    <t>25100</t>
  </si>
  <si>
    <t>CLIMATIZADOR PISCINA PEISA</t>
  </si>
  <si>
    <t>CALENTADOR PISCINA TX40 GL</t>
  </si>
  <si>
    <t>25101</t>
  </si>
  <si>
    <t>CALENTADOR PISCINA TX40 GN</t>
  </si>
  <si>
    <t>25110</t>
  </si>
  <si>
    <t>CALENTADOR PISCINA TX70 GN</t>
  </si>
  <si>
    <t>25111</t>
  </si>
  <si>
    <t>CALENTADOR PISCINA TX70 GL</t>
  </si>
  <si>
    <t>25200</t>
  </si>
  <si>
    <t>M. CLIM. DE PISCINA Mcp 30</t>
  </si>
  <si>
    <t>25300</t>
  </si>
  <si>
    <t>PISCINA Cpbc 7 - Inv.</t>
  </si>
  <si>
    <t>25301</t>
  </si>
  <si>
    <t>PISCINA Cpbc 9 - Inv.</t>
  </si>
  <si>
    <t>25302</t>
  </si>
  <si>
    <t>PISCINA Cpbc 12 - Inv.</t>
  </si>
  <si>
    <t>25150</t>
  </si>
  <si>
    <t>KIT SALIDA HUMOS P/INTER.TX 40</t>
  </si>
  <si>
    <t>25151</t>
  </si>
  <si>
    <t>KIT SALIDA HUMOS P/INTER.TX 70</t>
  </si>
  <si>
    <t>25152</t>
  </si>
  <si>
    <t>KIT SALIDA HUMOS P/INTER. T80</t>
  </si>
  <si>
    <t>25501</t>
  </si>
  <si>
    <t>CONTROL SOLAR 1SAL. 2 SENSORES</t>
  </si>
  <si>
    <t>25502</t>
  </si>
  <si>
    <t>CONTROL SOLAR 2SAL. 2 SENSORES</t>
  </si>
  <si>
    <t>25510</t>
  </si>
  <si>
    <t>VAL.PP3/4 COLEC.SOLAR PISC-REC</t>
  </si>
  <si>
    <t>25520</t>
  </si>
  <si>
    <t>COLECTOR SOLAR PISC-Nrtg 3x1.2</t>
  </si>
  <si>
    <t>25530</t>
  </si>
  <si>
    <t>ABRAZ.COL.SOLAR PISCNrtg-Pk X2</t>
  </si>
  <si>
    <t>25540</t>
  </si>
  <si>
    <t>ACC.DE INSTAL.SOLAR PISC.Nrtg</t>
  </si>
  <si>
    <t>23010</t>
  </si>
  <si>
    <t>TANQUE COLECTOR ADIT.TERM.160</t>
  </si>
  <si>
    <t>23011</t>
  </si>
  <si>
    <t>KIT INSTAL.BASE TERMOSIFON 160</t>
  </si>
  <si>
    <t>23020</t>
  </si>
  <si>
    <t>TANQUE COLECTOR ADIT.TERM.200</t>
  </si>
  <si>
    <t>23021</t>
  </si>
  <si>
    <t>KIT INSTAL.BASE TERMOSIFON 200</t>
  </si>
  <si>
    <t>23030</t>
  </si>
  <si>
    <t>TANQUE COLECTOR ADIT.TERM.300</t>
  </si>
  <si>
    <t>23031</t>
  </si>
  <si>
    <t>KIT INSTAL.BASE TERMOSIFON 300</t>
  </si>
  <si>
    <t>23801</t>
  </si>
  <si>
    <t>RESIST.ELECT.1.5Kw Ttq SOL.Atm</t>
  </si>
  <si>
    <t>23802</t>
  </si>
  <si>
    <t>RESIST.ELECT.1.5Kw Ttq SO.Pres</t>
  </si>
  <si>
    <t>23803</t>
  </si>
  <si>
    <t>VALV.MEZC.SOLAR TERM.1M S/U</t>
  </si>
  <si>
    <t>23804</t>
  </si>
  <si>
    <t>KIT SOLAR TERMOSTATICO 1"</t>
  </si>
  <si>
    <t>23805</t>
  </si>
  <si>
    <t>TANQUE DE LLENADO 5L T.SOLAR</t>
  </si>
  <si>
    <t>FLEXIBLE 3/4" M. GIRAT 25CM</t>
  </si>
  <si>
    <t>FLEXIBLE 3/4" M. GIRAT 30CM</t>
  </si>
  <si>
    <t>FLEXIBLE 3/4" M. GIRAT 35CM</t>
  </si>
  <si>
    <t>FLEXIBLE 3/4" M. GIRAT 40CM</t>
  </si>
  <si>
    <t>51003</t>
  </si>
  <si>
    <t>APLIC.SILICONA CHAPA THT21809</t>
  </si>
  <si>
    <t>MODULO CLIMATIZ. PISCINA PEISA</t>
  </si>
  <si>
    <t>BOMBAS DE CALOR PEISA</t>
  </si>
  <si>
    <t>CLIMATIZADOR-ACCESORIOS PEISA</t>
  </si>
  <si>
    <t>CLIMATIZADOR SOLAR-ACC. PEISA</t>
  </si>
  <si>
    <t>SISTEMA SOLARES TERMICOS PEISA</t>
  </si>
  <si>
    <t>ACC. TERMOTANQUE SOLAR PEISA</t>
  </si>
  <si>
    <t>CUTTER 179 MM THT511815</t>
  </si>
  <si>
    <t>CUTTER 185 MM PROF. TG5121806</t>
  </si>
  <si>
    <t>25 PZS THT121251</t>
  </si>
  <si>
    <t>8294</t>
  </si>
  <si>
    <t>CANILLA ESF. MET. DUKE</t>
  </si>
  <si>
    <t xml:space="preserve"> 1/2 MANIJA LARGA</t>
  </si>
  <si>
    <t>8295</t>
  </si>
  <si>
    <t xml:space="preserve"> 3/4 MANIJA LARGA</t>
  </si>
  <si>
    <t>8296</t>
  </si>
  <si>
    <t>1/2 MANIJA MARIPOSA</t>
  </si>
  <si>
    <t>8297</t>
  </si>
  <si>
    <t>3/4 MANIJA MARIPOSA</t>
  </si>
  <si>
    <t>93618</t>
  </si>
  <si>
    <t>PILETA EXTRA CHATA (2110)</t>
  </si>
  <si>
    <t>67043</t>
  </si>
  <si>
    <t>CENTRIFUGAS MOTORARG</t>
  </si>
  <si>
    <t>ELECT.AUTOASPIR. BF 150 M r.2</t>
  </si>
  <si>
    <t>74550</t>
  </si>
  <si>
    <t>4XRm6/6-0.55 2A SIN/T</t>
  </si>
  <si>
    <t>74551</t>
  </si>
  <si>
    <t>4XRm6/8-0.75 2A SIN/T</t>
  </si>
  <si>
    <t>74552</t>
  </si>
  <si>
    <t>4XRm6/11-1.1 2A SIN/T</t>
  </si>
  <si>
    <t>74553</t>
  </si>
  <si>
    <t>4XRm8/9-1.1 2A SIN/T</t>
  </si>
  <si>
    <t>74554</t>
  </si>
  <si>
    <t>4XRm8/12-1.5 2A SIN/T</t>
  </si>
  <si>
    <t>8390</t>
  </si>
  <si>
    <t>VALV. ESF. MET. DUKE</t>
  </si>
  <si>
    <t>1/2 HH MANIJA LARGA</t>
  </si>
  <si>
    <t>8391</t>
  </si>
  <si>
    <t>3/4 HH MANIJA LARGA</t>
  </si>
  <si>
    <t>8392</t>
  </si>
  <si>
    <t>1 HH MANIJA LARGA</t>
  </si>
  <si>
    <t>0103/M3P-CR</t>
  </si>
  <si>
    <t>BAÑERA Y DUCHA CROMO</t>
  </si>
  <si>
    <t>0207/M3P-CR</t>
  </si>
  <si>
    <t>0295/M3P-CR</t>
  </si>
  <si>
    <t>0103/85L.140DCR</t>
  </si>
  <si>
    <t>VOLANTE LEVER ARMADO LINEA 85</t>
  </si>
  <si>
    <t>3954</t>
  </si>
  <si>
    <t>HH 90</t>
  </si>
  <si>
    <t>3007</t>
  </si>
  <si>
    <t>CODO PVCR</t>
  </si>
  <si>
    <t>90º HH 21/2 TIGRE</t>
  </si>
  <si>
    <t>3008</t>
  </si>
  <si>
    <t>90º HH    3 TIGRE</t>
  </si>
  <si>
    <t>3009</t>
  </si>
  <si>
    <t>90º HH    4 TIGRE</t>
  </si>
  <si>
    <t>3177</t>
  </si>
  <si>
    <t>45º HH 21/2 TIGRE</t>
  </si>
  <si>
    <t>3178</t>
  </si>
  <si>
    <t>45º HH    3 TIGRE</t>
  </si>
  <si>
    <t>3037</t>
  </si>
  <si>
    <t>CUPLA PVCR HH</t>
  </si>
  <si>
    <t>21/2 TIGRE</t>
  </si>
  <si>
    <t>3038</t>
  </si>
  <si>
    <t>3 TIGRE</t>
  </si>
  <si>
    <t>3039</t>
  </si>
  <si>
    <t>4 TIGRE</t>
  </si>
  <si>
    <t>3047</t>
  </si>
  <si>
    <t>ROSCA C/TUERCA PVCR</t>
  </si>
  <si>
    <t>3048</t>
  </si>
  <si>
    <t>3049</t>
  </si>
  <si>
    <t>98870</t>
  </si>
  <si>
    <t>COJINETE MH(incluye 1Tapon)177</t>
  </si>
  <si>
    <t>98871</t>
  </si>
  <si>
    <t>TAPON REPUESTO CON O´RING 177</t>
  </si>
  <si>
    <t>61009</t>
  </si>
  <si>
    <t>ELECT. CENTRIFUGA BC 200 M</t>
  </si>
  <si>
    <t>61100</t>
  </si>
  <si>
    <t>ELECT.BRIDADA BCB 50-160/7.5 T</t>
  </si>
  <si>
    <t>61751</t>
  </si>
  <si>
    <t>ELEVADORA INTELIGENTE ELEMATIC</t>
  </si>
  <si>
    <t>ELECT.ELEV.AUTOMAT.ELEMATIC 20</t>
  </si>
  <si>
    <t>61752</t>
  </si>
  <si>
    <t>ELECT.ELEV.AUTOMAT.ELEMATIC 26</t>
  </si>
  <si>
    <t>63021</t>
  </si>
  <si>
    <t>SUMERGIBLE PEDROLLO</t>
  </si>
  <si>
    <t>ELECT.DESAG.CLOACAL VXm15/50-N</t>
  </si>
  <si>
    <t>63014</t>
  </si>
  <si>
    <t>DESAGOTE MOTORARG</t>
  </si>
  <si>
    <t>ELECT. DESAG. TRIT.DRT 1300M</t>
  </si>
  <si>
    <t>4167</t>
  </si>
  <si>
    <t>TAPA PVCR H</t>
  </si>
  <si>
    <t>4168</t>
  </si>
  <si>
    <t>4169</t>
  </si>
  <si>
    <t>3017</t>
  </si>
  <si>
    <t>TE PVCR</t>
  </si>
  <si>
    <t>HHH 21/2 TIGRE</t>
  </si>
  <si>
    <t>3018</t>
  </si>
  <si>
    <t>HHH    3 TIGRE</t>
  </si>
  <si>
    <t>67416</t>
  </si>
  <si>
    <t>MOTOR</t>
  </si>
  <si>
    <t>67426</t>
  </si>
  <si>
    <t>CUERPO</t>
  </si>
  <si>
    <t>BOMBA CPO 418X4/7.5 B.Inox</t>
  </si>
  <si>
    <t>1097</t>
  </si>
  <si>
    <t>TIRA PVCR</t>
  </si>
  <si>
    <t>21/2.6MTS TIGRE (A)</t>
  </si>
  <si>
    <t>1098</t>
  </si>
  <si>
    <t>3.6MTS TIGRE (A)</t>
  </si>
  <si>
    <t>1099</t>
  </si>
  <si>
    <t>4.6MTS TIGRE (A)</t>
  </si>
  <si>
    <t>3057</t>
  </si>
  <si>
    <t>UNION DOBLE PVCR HH</t>
  </si>
  <si>
    <t>3058</t>
  </si>
  <si>
    <t>3059</t>
  </si>
  <si>
    <t>3117</t>
  </si>
  <si>
    <t>BRIDA PVCR</t>
  </si>
  <si>
    <t>3118</t>
  </si>
  <si>
    <t>3119</t>
  </si>
  <si>
    <t>VPTOR-05</t>
  </si>
  <si>
    <t>3167</t>
  </si>
  <si>
    <t>3168</t>
  </si>
  <si>
    <t>3170</t>
  </si>
  <si>
    <t>3187</t>
  </si>
  <si>
    <t>BUJE PVCR MH</t>
  </si>
  <si>
    <t>UNIO DOBLE PPN MH 1IPS</t>
  </si>
  <si>
    <t>FIJ TAPA ASIENTO PLASTICA  X  UNIDAD</t>
  </si>
  <si>
    <t>TIJERA PODA 220MM THT15308</t>
  </si>
  <si>
    <t>21/2.   2 TIGRE</t>
  </si>
  <si>
    <t>3.   2 TIGRE</t>
  </si>
  <si>
    <t>4.   3 TIGRE</t>
  </si>
  <si>
    <t>3.21/2 TIGRE</t>
  </si>
  <si>
    <t>B08 HERRAMIENTAS</t>
  </si>
  <si>
    <t>A05 BOMBAS</t>
  </si>
  <si>
    <t>6644</t>
  </si>
  <si>
    <t>6645</t>
  </si>
  <si>
    <t>6660</t>
  </si>
  <si>
    <t>6671</t>
  </si>
  <si>
    <t>6672</t>
  </si>
  <si>
    <t>52076</t>
  </si>
  <si>
    <t>16215</t>
  </si>
  <si>
    <t>SIFONFLEX 50CM ALUMINIO</t>
  </si>
  <si>
    <t>SIFONFLEX 60CM ALUMINIO</t>
  </si>
  <si>
    <t>DESCARGA MING. FLEX. ALUMINIO</t>
  </si>
  <si>
    <t>DESC. LAVATORIO 25*30 ALUMINIO</t>
  </si>
  <si>
    <t>DESC. LAVATORIO 40*40 ALUMINIO</t>
  </si>
  <si>
    <t>DE PALMA 600W TLT6001-4</t>
  </si>
  <si>
    <t>RP BIODIGESTOR 2000 LTS</t>
  </si>
  <si>
    <t>63114</t>
  </si>
  <si>
    <t>63125</t>
  </si>
  <si>
    <t>6840</t>
  </si>
  <si>
    <t>DEP.MOCH UNIV SUMA 1/2 (42000)</t>
  </si>
  <si>
    <t>67018</t>
  </si>
  <si>
    <t>PRESURIZADORA MOTORARG</t>
  </si>
  <si>
    <t>63145</t>
  </si>
  <si>
    <t>CONJ DETECLAS.DEPSUMA</t>
  </si>
  <si>
    <t>80LT VELIS PRO  ALTA RECUPER.</t>
  </si>
  <si>
    <t>COMP C/CONEXIÓN PLAST ORO</t>
  </si>
  <si>
    <t>77000</t>
  </si>
  <si>
    <t>ELECT.DESAGOTE LEO XKS-810PL</t>
  </si>
  <si>
    <t>ELECT.SUMERG.2"BS2-40 C/25M C.</t>
  </si>
  <si>
    <t>CODO H CORTA H-H - 40</t>
  </si>
  <si>
    <t>63013</t>
  </si>
  <si>
    <t>ELECT.DESAG.TRIT.DRT 1100M r.2</t>
  </si>
  <si>
    <t>LLUVIA BIDE CONEX.FLEX</t>
  </si>
  <si>
    <t>52001</t>
  </si>
  <si>
    <t>SET 2 DEST(1 PL/1 PH)TKSDS0226</t>
  </si>
  <si>
    <t>71248</t>
  </si>
  <si>
    <t>CM 5-6 TRIF.</t>
  </si>
  <si>
    <t>63101</t>
  </si>
  <si>
    <t>ELECT.DESAG. SM Inox 100</t>
  </si>
  <si>
    <t>63102</t>
  </si>
  <si>
    <t>ELECT.DESAG. SM Inox 150</t>
  </si>
  <si>
    <t>70070</t>
  </si>
  <si>
    <t>AUT.SUMERG.SBA 3-35 A</t>
  </si>
  <si>
    <t>77132</t>
  </si>
  <si>
    <t>ELECT.PRES.LEO JET FJm-37SE</t>
  </si>
  <si>
    <t>E.PRES.PEDROLLO HIDROFRESH 2.0</t>
  </si>
  <si>
    <t>66012</t>
  </si>
  <si>
    <t>ELECT.RECIRC. RCL-S 25/8S 180</t>
  </si>
  <si>
    <t>0411.04.25.0-BT</t>
  </si>
  <si>
    <t>CARTUCHO Oe35 COLD START</t>
  </si>
  <si>
    <t>CARG. A PILA TFL013AAA58</t>
  </si>
  <si>
    <t>GOMA PLASTICO 40MM THRUH6940</t>
  </si>
  <si>
    <t>52027</t>
  </si>
  <si>
    <t>PERCUTOR 710W TG1071366-4</t>
  </si>
  <si>
    <t>52151</t>
  </si>
  <si>
    <t>INAL. 20V BL2000rpm TDLI205581</t>
  </si>
  <si>
    <t>6407</t>
  </si>
  <si>
    <t>DISCO CIERRE PARA ART.50000</t>
  </si>
  <si>
    <t>6408</t>
  </si>
  <si>
    <t>DISCO CIERRE PARA ART.51000</t>
  </si>
  <si>
    <t>VALV. SILEN. DEP. DASH (1657)</t>
  </si>
  <si>
    <t>CINTURON 10 PIEZAS THT16P2031</t>
  </si>
  <si>
    <t>ELECT.DESAG.CLO.(M)LEO LSW200</t>
  </si>
  <si>
    <t>77037</t>
  </si>
  <si>
    <t>ELECT.DESG.CLO.(M)LEO LSWm200A</t>
  </si>
  <si>
    <t>77036</t>
  </si>
  <si>
    <t>ELECT.DESAG.CLO.(M)LEO LSW150</t>
  </si>
  <si>
    <t>77035</t>
  </si>
  <si>
    <t>ELECT.DESAG. LEO AKS-1001PSWL</t>
  </si>
  <si>
    <t>77010</t>
  </si>
  <si>
    <t>ELECT.DES.CLO.(T)LEO LSW300C</t>
  </si>
  <si>
    <t>76986</t>
  </si>
  <si>
    <t>ELECT.DES.CLO.(T)LEO LSWm200CA</t>
  </si>
  <si>
    <t>76985</t>
  </si>
  <si>
    <t>ELECT.DES.CLO.(T)LEO LSW150C</t>
  </si>
  <si>
    <t>76984</t>
  </si>
  <si>
    <t>ELECT.DES.CLO.(T)LEO LSW200C</t>
  </si>
  <si>
    <t>76983</t>
  </si>
  <si>
    <t>ELECT.DES.CLO.(T)LEO LSWm150CA</t>
  </si>
  <si>
    <t>76982</t>
  </si>
  <si>
    <t>ELECT.DES.CLO.(T)LEO LSWm100CA</t>
  </si>
  <si>
    <t>76981</t>
  </si>
  <si>
    <t>ELE.D.CLO.(T)LEO XSP14-7/1.1ID</t>
  </si>
  <si>
    <t>76980</t>
  </si>
  <si>
    <t>63128</t>
  </si>
  <si>
    <t>MH MINI 13MM</t>
  </si>
  <si>
    <t>50945</t>
  </si>
  <si>
    <t>SET DES.31 P.MANG T TACSD30316</t>
  </si>
  <si>
    <t>50946</t>
  </si>
  <si>
    <t>DET DES.47 P.MANG T TACSD30476</t>
  </si>
  <si>
    <t>50914</t>
  </si>
  <si>
    <t>NIVEL BUR.IND.40CM TMT24028</t>
  </si>
  <si>
    <t>5183</t>
  </si>
  <si>
    <t>90º 200.100</t>
  </si>
  <si>
    <t>26070</t>
  </si>
  <si>
    <t>CALEFON 14 TBF GN NEGRO</t>
  </si>
  <si>
    <t>ANGULAR 960W TG10911576-4</t>
  </si>
  <si>
    <t>PHILLPS 6MMx150MM TSDPH2150</t>
  </si>
  <si>
    <t>CARPIN.CARBONO 450G THTCH61016</t>
  </si>
  <si>
    <t>SET 6 DEST(3 PL/3 PH)TKSDS0626</t>
  </si>
  <si>
    <t>ELC.FUN.COLGAR 85LTS BLANCO CI</t>
  </si>
  <si>
    <t>TAPA DEPOSITO MURANO  X  UNIDAD</t>
  </si>
  <si>
    <t>ZTDUR-B</t>
  </si>
  <si>
    <t>95 ELECTRICO (A)</t>
  </si>
  <si>
    <t>65 ELECTRICO (A)</t>
  </si>
  <si>
    <t>110x4MT RIGID NEGRO</t>
  </si>
  <si>
    <t>60027</t>
  </si>
  <si>
    <t>TIP TE 20 0.75HP M</t>
  </si>
  <si>
    <t>BAJO TANQUE BAT6 ST</t>
  </si>
  <si>
    <t>ASPIRADORA INAL.MAN TVLI201261</t>
  </si>
  <si>
    <t>52157</t>
  </si>
  <si>
    <t>LLAVE CRIQUE INALAMBRICA</t>
  </si>
  <si>
    <t>20V 3/8" TDRLI2060151</t>
  </si>
  <si>
    <t>92660</t>
  </si>
  <si>
    <t>BOCA ACC.HORIZ. 110X63 ACUSTIK</t>
  </si>
  <si>
    <t>O´RINGS  PARA CODO ESPIGA</t>
  </si>
  <si>
    <t>61089</t>
  </si>
  <si>
    <t>ELECT.BRIDADA BCB 40-200/7.5T</t>
  </si>
  <si>
    <t>60016</t>
  </si>
  <si>
    <t>TIP PRESS 14 0.50HP M</t>
  </si>
  <si>
    <t>60017</t>
  </si>
  <si>
    <t>TIP PRESS 20 0.75HP M</t>
  </si>
  <si>
    <t>60018</t>
  </si>
  <si>
    <t>TIP PRESS 26 1.34HP M</t>
  </si>
  <si>
    <t>60019</t>
  </si>
  <si>
    <t>TIP PRESS 30 1.74HP M</t>
  </si>
  <si>
    <t>60026</t>
  </si>
  <si>
    <t>TIP TE 14 0.50HP M</t>
  </si>
  <si>
    <t>COMP CROMO 1/2 APR. C/ORING</t>
  </si>
  <si>
    <t>VTA42-01</t>
  </si>
  <si>
    <t>BOTON ACCIONAMIENTO DUAL  X  UNIDAD</t>
  </si>
  <si>
    <t>52138</t>
  </si>
  <si>
    <t>50990</t>
  </si>
  <si>
    <t>52035</t>
  </si>
  <si>
    <t>1100W 680-RPM TD61106-4</t>
  </si>
  <si>
    <t>INALAMBRICO 20V TDLI20668-4</t>
  </si>
  <si>
    <t>52114</t>
  </si>
  <si>
    <t>MINI AMOL. 76MM 20V TAGLI7601</t>
  </si>
  <si>
    <t>52175</t>
  </si>
  <si>
    <t>PULIDORA INALAMBRICA</t>
  </si>
  <si>
    <t>PULIDORA 20V TAPLI2018</t>
  </si>
  <si>
    <t>52141</t>
  </si>
  <si>
    <t>VG015</t>
  </si>
  <si>
    <t>DESAGUE RECEP EXTRA PLAYO  X  UNIDAD</t>
  </si>
  <si>
    <t>VTI45</t>
  </si>
  <si>
    <t>JGO REP TAPA TUXUS/THXUS  X  UNIDAD</t>
  </si>
  <si>
    <t>VTI46</t>
  </si>
  <si>
    <t>FIJACION TAPA TEXUS/TRXUS  X  UNIDAD</t>
  </si>
  <si>
    <t>VTI47</t>
  </si>
  <si>
    <t>JGO REP TAPA TEXUS/TRXUS  X  UNIDAD</t>
  </si>
  <si>
    <t>VTI49</t>
  </si>
  <si>
    <t>JUEGO REPUESTO TAPA TKXP  X  UNIDAD</t>
  </si>
  <si>
    <t>94238</t>
  </si>
  <si>
    <t>REJILLAS VENTILACION</t>
  </si>
  <si>
    <t>104 REJILLA PLATEADA</t>
  </si>
  <si>
    <t>94239</t>
  </si>
  <si>
    <t>104 REGULABLE PLATEADA</t>
  </si>
  <si>
    <t>94240</t>
  </si>
  <si>
    <t>104 REJILLA BLANCA</t>
  </si>
  <si>
    <t>94241</t>
  </si>
  <si>
    <t>104 REGULABLE BLANCA</t>
  </si>
  <si>
    <t>VTI44</t>
  </si>
  <si>
    <t>FIJACION TAPA TUXUS/THXUS  X  UNIDAD</t>
  </si>
  <si>
    <t>1 K2,5</t>
  </si>
  <si>
    <t>11/4 K2,5</t>
  </si>
  <si>
    <t>11/2 K2,5</t>
  </si>
  <si>
    <t>2 K2,5 100MTS.</t>
  </si>
  <si>
    <t>RODILLO 230X12 INTER. THT85096</t>
  </si>
  <si>
    <t>ANGULAR 710W TG10711576-4</t>
  </si>
  <si>
    <t>INALAMB.90000RPM TAGLI27153</t>
  </si>
  <si>
    <t>INAL. 20V TCGLI2001</t>
  </si>
  <si>
    <t>BAT LITIO-ION/20V TFBLI20011</t>
  </si>
  <si>
    <t>BAT.DE LITIO-ION/12V TBLI12153</t>
  </si>
  <si>
    <t>20 V./ 150 PSI TACLI2018 10.5</t>
  </si>
  <si>
    <t>20 V./ 160 PSI TACLI2012 10.5</t>
  </si>
  <si>
    <t>AIRE 24L TCS1110242-4</t>
  </si>
  <si>
    <t>SET 4 DEST. MAGNET.TKSDS0426</t>
  </si>
  <si>
    <t>4 TIEMPOS TP115005-4 10.5</t>
  </si>
  <si>
    <t>ORBITAL 240W PALMA TF2241108-4</t>
  </si>
  <si>
    <t>ROTO-ORBITAL 320W TF2131256-4</t>
  </si>
  <si>
    <t>DEMOL.1300W TH2130016-4 10.5</t>
  </si>
  <si>
    <t>ROTAT.1500W TH1153256-4 10.5</t>
  </si>
  <si>
    <t>ROTATORIO 20V TRHLI20168 10.5</t>
  </si>
  <si>
    <t>TALADRO 500W TD2051026-24</t>
  </si>
  <si>
    <t>52139</t>
  </si>
  <si>
    <t>ATOR.ANAL.IMPAC.1/4TIRLI2028-4</t>
  </si>
  <si>
    <t>LL.IMPACTO1/2"INAL.TIWLI20401</t>
  </si>
  <si>
    <t>52153</t>
  </si>
  <si>
    <t>LLAVE IMP1/2. TIWLI2040-4</t>
  </si>
  <si>
    <t>52096</t>
  </si>
  <si>
    <t>800w C/MALET-BOQUIL.DTWM1L15-4</t>
  </si>
  <si>
    <t>94264</t>
  </si>
  <si>
    <t>REP. REJILLA ACERO INOX LISA</t>
  </si>
  <si>
    <t>67041</t>
  </si>
  <si>
    <t>ELECT.AUTOASPIR. BF 80 M r.2</t>
  </si>
  <si>
    <t>67042</t>
  </si>
  <si>
    <t>ELECT.AUTOASPIR. BF 100 M r.2</t>
  </si>
  <si>
    <t>ZTDMA-B</t>
  </si>
  <si>
    <t>TAPA DEPOSITO FLORENCIA  X  UNIDAD</t>
  </si>
  <si>
    <t>B04 DUKE</t>
  </si>
  <si>
    <t>52143</t>
  </si>
  <si>
    <t>PINZA PUNTA 160 THT220606S</t>
  </si>
  <si>
    <t>52154</t>
  </si>
  <si>
    <t>SOPAPAS RAO</t>
  </si>
  <si>
    <t>BAÑERA RECTA B/PVC DIAM40</t>
  </si>
  <si>
    <t>6026</t>
  </si>
  <si>
    <t>6027</t>
  </si>
  <si>
    <t>COCINA B/BRONCE CROM. C/R11/2</t>
  </si>
  <si>
    <t>0106/M5-CR</t>
  </si>
  <si>
    <t>LINEA M5 CILINDRA</t>
  </si>
  <si>
    <t>MONOC DUCH PARED C/TRANF CROMO</t>
  </si>
  <si>
    <t>0106/M5-NG</t>
  </si>
  <si>
    <t>MONOC DUCH PARED C/TRANF NEGRO</t>
  </si>
  <si>
    <t>0108/M5-CR</t>
  </si>
  <si>
    <t>MONOC P/DUCHA DE PARED CROMO</t>
  </si>
  <si>
    <t>0108/M5-NG</t>
  </si>
  <si>
    <t>MONOC P/DUCHA DE PARED NEGRO</t>
  </si>
  <si>
    <t>0181.02/M5-CR</t>
  </si>
  <si>
    <t>MONOC ALTO P/LAVAT CROMO</t>
  </si>
  <si>
    <t>0181.02/M5-NG</t>
  </si>
  <si>
    <t>MONOC ALTO P/LAVAT NEGRO</t>
  </si>
  <si>
    <t>0181/M5-CR</t>
  </si>
  <si>
    <t>MONOC P/LAVAT C/DESAG CROMO</t>
  </si>
  <si>
    <t>0181/M5-NG</t>
  </si>
  <si>
    <t>MONOC P/LAVAT C/DESAG NEGRO</t>
  </si>
  <si>
    <t>0189/M5-CR</t>
  </si>
  <si>
    <t>MONOC P/BIDE CROMO</t>
  </si>
  <si>
    <t>0189/M5-NG</t>
  </si>
  <si>
    <t>MONOC P/BIDE NEGRO</t>
  </si>
  <si>
    <t>BOYA UNIV REGUL (1470)</t>
  </si>
  <si>
    <t>67033</t>
  </si>
  <si>
    <t>ELECT.DOBLE CAM. 2BC 550/2T</t>
  </si>
  <si>
    <t>6180</t>
  </si>
  <si>
    <t>FORTEPLAS GRIS</t>
  </si>
  <si>
    <t>TANQUE 400 LTS</t>
  </si>
  <si>
    <t>6181</t>
  </si>
  <si>
    <t>TANQUE 600 LTS</t>
  </si>
  <si>
    <t>6182</t>
  </si>
  <si>
    <t>TANQUE 850 LTS</t>
  </si>
  <si>
    <t>6183</t>
  </si>
  <si>
    <t>TANQUE 1100 LTS</t>
  </si>
  <si>
    <t>6583</t>
  </si>
  <si>
    <t>ENCAST. 30CM REJ.PLENA A.I.</t>
  </si>
  <si>
    <t>6584</t>
  </si>
  <si>
    <t>ENCAST. 60CM REJ.PLENA A.I.</t>
  </si>
  <si>
    <t>6585</t>
  </si>
  <si>
    <t>ENCAST. 30CM R/PARALELA A.I.</t>
  </si>
  <si>
    <t>6586</t>
  </si>
  <si>
    <t>ENCAST. 60CM R/PARALELA A.I.</t>
  </si>
  <si>
    <t>6587</t>
  </si>
  <si>
    <t>ENCAST. 30CM R/PLENA NGR A.I.</t>
  </si>
  <si>
    <t>6588</t>
  </si>
  <si>
    <t>ENCAST. 60CM R/PLENA NGR A.I.</t>
  </si>
  <si>
    <t>6589</t>
  </si>
  <si>
    <t>ENCAST.30CM R/PARALEL NGR A.I.</t>
  </si>
  <si>
    <t>6590</t>
  </si>
  <si>
    <t>ENCAST.60CM R/PARALEL NGR A.I.</t>
  </si>
  <si>
    <t>6591</t>
  </si>
  <si>
    <t>ENCAST.30CM R/PLENA BLANC A.I.</t>
  </si>
  <si>
    <t>6592</t>
  </si>
  <si>
    <t>ENCAST.60CM R/PLENA BLANC A.I.</t>
  </si>
  <si>
    <t>6593</t>
  </si>
  <si>
    <t>ENCAST.30CM R/PARAL BLANC A.I.</t>
  </si>
  <si>
    <t>6594</t>
  </si>
  <si>
    <t>ENCAST.60CM R/PARAL BLANC A.I.</t>
  </si>
  <si>
    <t>COCINA B/BRONCE LISA REJ/AC</t>
  </si>
  <si>
    <t>FLEX ALUMINIO RAO</t>
  </si>
  <si>
    <t>6649</t>
  </si>
  <si>
    <t>CONEXION INODORO FLEX ALUMINIO</t>
  </si>
  <si>
    <t>6650</t>
  </si>
  <si>
    <t>CONEXION INOD.RIGIDA ALUMINIO</t>
  </si>
  <si>
    <t>6670</t>
  </si>
  <si>
    <t>DESC. LAVATORIO 20*25 ALUMINIO</t>
  </si>
  <si>
    <t>6673</t>
  </si>
  <si>
    <t>DESC. MING. RIGIDA ALUMINIO</t>
  </si>
  <si>
    <t>8870</t>
  </si>
  <si>
    <t>FLEXIBLE APROBADO RAO</t>
  </si>
  <si>
    <t>P/GAS EXTENSIBLE 1/2" 20-42CM</t>
  </si>
  <si>
    <t>8871</t>
  </si>
  <si>
    <t>P/GAS EXTENSIBLE 1/2" 40-90CM</t>
  </si>
  <si>
    <t>FLEXIBLE COBRE RAO</t>
  </si>
  <si>
    <t>FLOTANTE RAO</t>
  </si>
  <si>
    <t>SIFON RAO</t>
  </si>
  <si>
    <t>GOMA SIMPLE  BLANCO</t>
  </si>
  <si>
    <t>GOMA SIMPLE</t>
  </si>
  <si>
    <t>GOMA DOBLE</t>
  </si>
  <si>
    <t>6012</t>
  </si>
  <si>
    <t>LAVAT.B/BRONCE LISA R/ACERO</t>
  </si>
  <si>
    <t>6013</t>
  </si>
  <si>
    <t>LAVAT.B/BRONCE CROMADA C/R11/4</t>
  </si>
  <si>
    <t>6015</t>
  </si>
  <si>
    <t>LAVAT.B/BRON CR 11/4 ADP PVC</t>
  </si>
  <si>
    <t>6020</t>
  </si>
  <si>
    <t>BAÑERA CODO BASE PVC</t>
  </si>
  <si>
    <t>6021</t>
  </si>
  <si>
    <t>BAÑERA RECTA B/BRONC.C/AD PVC</t>
  </si>
  <si>
    <t>6023</t>
  </si>
  <si>
    <t>BAÑERA CODO BRONCE LISA</t>
  </si>
  <si>
    <t>47121</t>
  </si>
  <si>
    <t>TAPAS LLAVE PASO Y CANILLA SER</t>
  </si>
  <si>
    <t>ACERO INOXIDABLE 15X15</t>
  </si>
  <si>
    <t>47122</t>
  </si>
  <si>
    <t>ACERO INOXIDABLE 15X20</t>
  </si>
  <si>
    <t>47123</t>
  </si>
  <si>
    <t>ACERO INOXIDABLE 20X20</t>
  </si>
  <si>
    <t>47124</t>
  </si>
  <si>
    <t>ACERO INOXIDABLE 20X25</t>
  </si>
  <si>
    <t>47127</t>
  </si>
  <si>
    <t>ACERO INOXIDABLE 30X30</t>
  </si>
  <si>
    <t>47321</t>
  </si>
  <si>
    <t>CHAPA C/PINTURA ANTIOX 15X15</t>
  </si>
  <si>
    <t>47322</t>
  </si>
  <si>
    <t>CHAPA C/PINTURA ANTIOX 15X20</t>
  </si>
  <si>
    <t>47323</t>
  </si>
  <si>
    <t>CHAPA C/PINTURA ANTIOX 20X20</t>
  </si>
  <si>
    <t>47324</t>
  </si>
  <si>
    <t>CHAPA C/PINTURA ANTIOX 20X25</t>
  </si>
  <si>
    <t>47327</t>
  </si>
  <si>
    <t>CHAPA C/PINTURA ANTIOX 30X30</t>
  </si>
  <si>
    <t>4XR6/15-2HP T. C/T</t>
  </si>
  <si>
    <t>98898</t>
  </si>
  <si>
    <t>CORDON METALICA 63MM</t>
  </si>
  <si>
    <t>98899</t>
  </si>
  <si>
    <t>CORDON METALICA 100MM</t>
  </si>
  <si>
    <t>98900</t>
  </si>
  <si>
    <t>CORDON METALICA 118MM</t>
  </si>
  <si>
    <t>94113</t>
  </si>
  <si>
    <t>TAPA HERMETICA 20X20 95-100</t>
  </si>
  <si>
    <t>94152</t>
  </si>
  <si>
    <t>REJ. 15 X 15 C/SIFON 95-100</t>
  </si>
  <si>
    <t>94154</t>
  </si>
  <si>
    <t>REJ. 20 X 20 C/SIFON 95-110</t>
  </si>
  <si>
    <t>61006</t>
  </si>
  <si>
    <t>ELECT. CENTRIFUGA BC 100 M</t>
  </si>
  <si>
    <t>RECIRCULADORA MOTORARG</t>
  </si>
  <si>
    <t>0479/15-19</t>
  </si>
  <si>
    <t>P/HIERRO ALLEGRO</t>
  </si>
  <si>
    <t>SERRUCHO/YESO150MM THWBSW1508</t>
  </si>
  <si>
    <t>EQUIP.P/PNTR20V TSGLI2003 10.5</t>
  </si>
  <si>
    <t>BANCO 150W TBG15015-4 10.5</t>
  </si>
  <si>
    <t>NIVEL BURB.60CM TMT26036 10.5</t>
  </si>
  <si>
    <t>NIVEL BURB.80CM TMT28016 10.5</t>
  </si>
  <si>
    <t>DEMOL.1700W TH215456-4 10.5</t>
  </si>
  <si>
    <t>MAZA 1000 GR THSTH61000</t>
  </si>
  <si>
    <t>MAZA 1500 GR THSTH61500</t>
  </si>
  <si>
    <t>SABLE 20V 65mm TRSLI6506</t>
  </si>
  <si>
    <t>SENS 14" 2200W TS223558-4 10.5</t>
  </si>
  <si>
    <t>SABLE 750W TS100756-4</t>
  </si>
  <si>
    <t>INGLE.8" 1400w TS42142107 10.5</t>
  </si>
  <si>
    <t>SOPLADOR/ASP. 650W TB6036-4</t>
  </si>
  <si>
    <t>420 ACC.P/MINITORNO TAKMG4208</t>
  </si>
  <si>
    <t>94283</t>
  </si>
  <si>
    <t>TAPA HERMETICA 105/110</t>
  </si>
  <si>
    <t>67001</t>
  </si>
  <si>
    <t>CONTR.ELECT.PRESSCONTROL - ROJ</t>
  </si>
  <si>
    <t>V.ENTRADA CABEZA CELESTE  X  U</t>
  </si>
  <si>
    <t>PUNTA HEX.28X530MM TAC1532282</t>
  </si>
  <si>
    <t>50972</t>
  </si>
  <si>
    <t>SET 8 DEST.PRECISION THT250826</t>
  </si>
  <si>
    <t>20V 2000RPM 55Nm (CARG+BATERIA</t>
  </si>
  <si>
    <t>VP690</t>
  </si>
  <si>
    <t>OBTURADOR P/SIST TIRADOR</t>
  </si>
  <si>
    <t>52007</t>
  </si>
  <si>
    <t>Amoladora Angular 750w/115mm INDUSTRIAL TOTAL TG10711556-4</t>
  </si>
  <si>
    <t>INALAMBRICO 20V TDLI206681</t>
  </si>
  <si>
    <t>84528</t>
  </si>
  <si>
    <t>TERMOF. 800W C/SOPORTE Y MALET</t>
  </si>
  <si>
    <t>TERMOF. H3 800WTS S/SOPORTE</t>
  </si>
  <si>
    <t>TERMOF. H3 1600W S/SOPORTE</t>
  </si>
  <si>
    <t>86321</t>
  </si>
  <si>
    <t>H3 1/2 BLANCO LOZA</t>
  </si>
  <si>
    <t>86322</t>
  </si>
  <si>
    <t>H3 3/4 BLANCO LOZA</t>
  </si>
  <si>
    <t>86323</t>
  </si>
  <si>
    <t>H3 1 BCO LOZA</t>
  </si>
  <si>
    <t>0181/G9-CR</t>
  </si>
  <si>
    <t>0189.01/G9-CR</t>
  </si>
  <si>
    <t>0310/G9-CR</t>
  </si>
  <si>
    <t>0311/G9-CR</t>
  </si>
  <si>
    <t>MONOC.P/DUCHA ALBA G9 CROMO</t>
  </si>
  <si>
    <t>0411.04/G9-CR</t>
  </si>
  <si>
    <t>MONOC.COCINA ALBA G9 CROMO</t>
  </si>
  <si>
    <t>0103/L8-BB</t>
  </si>
  <si>
    <t>LINEA L8 GRIP</t>
  </si>
  <si>
    <t>BAÑERA DUCHA GRIP BRUSHED BRAS</t>
  </si>
  <si>
    <t>0103/L8-CR</t>
  </si>
  <si>
    <t>BAÑERA Y DUCHA GRIP CROMO</t>
  </si>
  <si>
    <t>0103/L8-NG</t>
  </si>
  <si>
    <t>BAÑERA DUCHA GRIP NG</t>
  </si>
  <si>
    <t>0109/L8-BB</t>
  </si>
  <si>
    <t>DUCHA 2 LLAV GRIP BRUSHED BRAS</t>
  </si>
  <si>
    <t>0109/L8-CR</t>
  </si>
  <si>
    <t>DUCHA 2 LLAVES GRIP CROMO</t>
  </si>
  <si>
    <t>0109/L8-NG</t>
  </si>
  <si>
    <t>DUCHA 2 LLAVES GRIP NG</t>
  </si>
  <si>
    <t>0203/L8-BB</t>
  </si>
  <si>
    <t>LAVAT. PARED GRIP BRUSHED BRAS</t>
  </si>
  <si>
    <t>0203/L8-CR</t>
  </si>
  <si>
    <t>LAVATORIO PARED GRIP CROMO</t>
  </si>
  <si>
    <t>0203/L8-NG</t>
  </si>
  <si>
    <t>LAVATORIO PARED GRIP NG</t>
  </si>
  <si>
    <t>0207/L8-BB</t>
  </si>
  <si>
    <t>LAVATORIO GRIP BRUSHED BRAS</t>
  </si>
  <si>
    <t>0207/L8-CR</t>
  </si>
  <si>
    <t>LAVATORIO GRIP CROMO</t>
  </si>
  <si>
    <t>0207/L8-NG</t>
  </si>
  <si>
    <t>LAVATORIO GRIP NG</t>
  </si>
  <si>
    <t>0295/L8-BB</t>
  </si>
  <si>
    <t>JUEGO BIDE GRIP BRUSHED BRAS</t>
  </si>
  <si>
    <t>0295/L8-CR</t>
  </si>
  <si>
    <t>JUEGO BIDE GRIP CROMO</t>
  </si>
  <si>
    <t>0295/L8-NG</t>
  </si>
  <si>
    <t>JUEGO BIDE GRIP NG</t>
  </si>
  <si>
    <t>0181/R2-CR</t>
  </si>
  <si>
    <t>LINEA R2 INICIA</t>
  </si>
  <si>
    <t>MONOC. LAVAT.INICIA R2 CROMO</t>
  </si>
  <si>
    <t>0189.01/R2-CR</t>
  </si>
  <si>
    <t>MONOC. BIDE INICIA R2 CROMO</t>
  </si>
  <si>
    <t>0310/R2-CR</t>
  </si>
  <si>
    <t>MONOC.EXT.C/TR.INICIA R2 CROMO</t>
  </si>
  <si>
    <t>0311/R2-CR</t>
  </si>
  <si>
    <t>MONOC.EXT.DUCHA INICIA R2 CROM</t>
  </si>
  <si>
    <t>0411.04/R2-CR</t>
  </si>
  <si>
    <t>MONOC. COCINA INICIA R2 CROMO</t>
  </si>
  <si>
    <t>B09 VARIOS</t>
  </si>
  <si>
    <t>61110</t>
  </si>
  <si>
    <t>ELECT.CENTRIF.BRID.BCM 355N T</t>
  </si>
  <si>
    <t>67431</t>
  </si>
  <si>
    <t>BOMBA CPO 428X4/7.5 B.Inox</t>
  </si>
  <si>
    <t>0441-13</t>
  </si>
  <si>
    <t>BRONCERIA PLASTICA</t>
  </si>
  <si>
    <t>CANILLA PLAST. ESF. 1/2 FV</t>
  </si>
  <si>
    <t>0441-19</t>
  </si>
  <si>
    <t>CANILLA PLAST. ESF. 3/4 FV</t>
  </si>
  <si>
    <t>0670-13</t>
  </si>
  <si>
    <t>VALVULA ESF. PLAST. 1/2 FV</t>
  </si>
  <si>
    <t>0670-19</t>
  </si>
  <si>
    <t>VALVULA ESF. PLAST. 3/4 FV</t>
  </si>
  <si>
    <t>0670-25</t>
  </si>
  <si>
    <t>VALVULA ESF. PLAST. 1 FV</t>
  </si>
  <si>
    <t>LINEA 17 CALIFORNIA ACCESORIOS</t>
  </si>
  <si>
    <t>0103/G8-BB</t>
  </si>
  <si>
    <t>LINEA G8 MAUNA</t>
  </si>
  <si>
    <t>BAÑERA DUCHA MAUNA BRUSHED BRA</t>
  </si>
  <si>
    <t>0103/G8-CR</t>
  </si>
  <si>
    <t>BAÑERA Y DUCHA MAUNA CROMO</t>
  </si>
  <si>
    <t>0103/G8-NG</t>
  </si>
  <si>
    <t>BAÑERA Y DUCHA MAUNA NG</t>
  </si>
  <si>
    <t>0109/G8-BB</t>
  </si>
  <si>
    <t>DUCHA MAUNA BRUSHED BRASS</t>
  </si>
  <si>
    <t>0109/G8-CR</t>
  </si>
  <si>
    <t>DUCHA MAUNA CROMO</t>
  </si>
  <si>
    <t>0109/G8-NG</t>
  </si>
  <si>
    <t>DUCHA MAUNA NG</t>
  </si>
  <si>
    <t>0203/G8-BB</t>
  </si>
  <si>
    <t>LAVAT.EMB.MAUNA BRUSHED BRASS</t>
  </si>
  <si>
    <t>0203/G8-CR</t>
  </si>
  <si>
    <t>LAVATORIO EMBUTIDO MAUNA CROMO</t>
  </si>
  <si>
    <t>0203/G8-NG</t>
  </si>
  <si>
    <t>LAVATORIO EMBUTIDO MAUNA NG</t>
  </si>
  <si>
    <t>0207/G8-BB</t>
  </si>
  <si>
    <t>LAVAT.A SOPA MAUNA BRUSHED BRA</t>
  </si>
  <si>
    <t>0207/G8-CR</t>
  </si>
  <si>
    <t>LAVATORIO A SOPAPA MAUNA CROMO</t>
  </si>
  <si>
    <t>0207/G8-NG</t>
  </si>
  <si>
    <t>LAVAT.A SOPAPA MAUNA NG</t>
  </si>
  <si>
    <t>0207A/G8-BB</t>
  </si>
  <si>
    <t>0207A/G8-CR</t>
  </si>
  <si>
    <t>0207A/G8-NG</t>
  </si>
  <si>
    <t>0295/G8-BB</t>
  </si>
  <si>
    <t>JUEGO BIDE MAUNA BRUSHED BRA</t>
  </si>
  <si>
    <t>0295/G8-CR</t>
  </si>
  <si>
    <t>JUEGO BIDE MAUNA CROMO</t>
  </si>
  <si>
    <t>0295/G8-NG</t>
  </si>
  <si>
    <t>JUEGO BIDE MAUNA NG</t>
  </si>
  <si>
    <t>0163/M8-CR</t>
  </si>
  <si>
    <t>LINEA M8 ARMONIA ACCESORIOS</t>
  </si>
  <si>
    <t>TOALLERO BARRAL CORTO M8 CR</t>
  </si>
  <si>
    <t>0163/M8-NG</t>
  </si>
  <si>
    <t>TOALLERO BARRAL CORTO M8 NG</t>
  </si>
  <si>
    <t>0166/M8-CR</t>
  </si>
  <si>
    <t>PERCHA M8 CR</t>
  </si>
  <si>
    <t>0166/M8-NG</t>
  </si>
  <si>
    <t>PERCHA M8 NG</t>
  </si>
  <si>
    <t>0167/M8-CR</t>
  </si>
  <si>
    <t>PORTA ROLLO M8 CR</t>
  </si>
  <si>
    <t>0167/M8-NG</t>
  </si>
  <si>
    <t>PORTA ROLLO M8 NG</t>
  </si>
  <si>
    <t>0168/M8-CR</t>
  </si>
  <si>
    <t>JABONERA P/APLICAR M8 CR</t>
  </si>
  <si>
    <t>0168/M8-NG</t>
  </si>
  <si>
    <t>JABONERA P/APLICAR M8 NG</t>
  </si>
  <si>
    <t>0169/M8-CR</t>
  </si>
  <si>
    <t>PORTACEPILLO P/APLICAR M8 CR</t>
  </si>
  <si>
    <t>0169/M8-NG</t>
  </si>
  <si>
    <t>PORTACEPILLO P/APLICAR M8 NG</t>
  </si>
  <si>
    <t>0179.03/M8-CR</t>
  </si>
  <si>
    <t>KIT ACCESORIOS 3 PIEZAS M8 CR</t>
  </si>
  <si>
    <t>0179.03/M8-NG</t>
  </si>
  <si>
    <t>KIT ACCESORIOS 3 PIEZAS M8 NG</t>
  </si>
  <si>
    <t>0179.05/M8-CR</t>
  </si>
  <si>
    <t>KIT ACCESORIOS 5 PIEZAS M8 CR</t>
  </si>
  <si>
    <t>0179.05/M8-NG</t>
  </si>
  <si>
    <t>KIT ACCESORIOS 5 PIEZAS M8 NG</t>
  </si>
  <si>
    <t>81930</t>
  </si>
  <si>
    <t>TAPON C/ROSCA MACHO H3</t>
  </si>
  <si>
    <t>1/2 C/ORING P/PRUEBAS HIDRAUL.</t>
  </si>
  <si>
    <t>67420</t>
  </si>
  <si>
    <t>BOMBA CPO 414X4/1 B.Inox</t>
  </si>
  <si>
    <t>67427</t>
  </si>
  <si>
    <t>BOMBA CPO 428X4/2 B.Inox</t>
  </si>
  <si>
    <t>67644</t>
  </si>
  <si>
    <t>BOMBA CPO 630XJ/5.5-4"</t>
  </si>
  <si>
    <t>67650</t>
  </si>
  <si>
    <t>BOMBA CPO 645XJ/7.5-4"</t>
  </si>
  <si>
    <t>67682</t>
  </si>
  <si>
    <t>BOMBA CPO 690XJ/15</t>
  </si>
  <si>
    <t>ELECT.DESAG. TRIT.DRT 1300T</t>
  </si>
  <si>
    <t>63123</t>
  </si>
  <si>
    <t>ELECT.DESAG. CLOACAL DRV 100T</t>
  </si>
  <si>
    <t>63124</t>
  </si>
  <si>
    <t>ELECT.DESAG. CLOACAL DRV 200 T</t>
  </si>
  <si>
    <t>ELECT.DESAG.CLOACAL DRV 1100T</t>
  </si>
  <si>
    <t>ELECT.DESAG. PLUVIAL DRX 1500T</t>
  </si>
  <si>
    <t>63143</t>
  </si>
  <si>
    <t>ELECT.DESAG. CLOACAL DW 220A T</t>
  </si>
  <si>
    <t>ELECT.DESAG. CLOACAL DW 400 T</t>
  </si>
  <si>
    <t>63146</t>
  </si>
  <si>
    <t>ELECT.DESAG. CLOACAL DW 550 T</t>
  </si>
  <si>
    <t>67410</t>
  </si>
  <si>
    <t>SUMERG. 4" S4-XS 1 HP T</t>
  </si>
  <si>
    <t>67412</t>
  </si>
  <si>
    <t>SUMERG. 4" S4-XS 2 HP T</t>
  </si>
  <si>
    <t>67415</t>
  </si>
  <si>
    <t>SUMERG. 4" S4-XS AE 5.5 HP T</t>
  </si>
  <si>
    <t>SUMERG. 4" S4-XS AE 7.5 HP T</t>
  </si>
  <si>
    <t>67621</t>
  </si>
  <si>
    <t>SUMERG. 6" S6-RL2 15 HP 380v</t>
  </si>
  <si>
    <t>0479/15-13</t>
  </si>
  <si>
    <t>LLAVE DE PASO 13 MM HH</t>
  </si>
  <si>
    <t>52036</t>
  </si>
  <si>
    <t>SET 25 DISCOS CORTE 115X1.0MM</t>
  </si>
  <si>
    <t>52039</t>
  </si>
  <si>
    <t>SET 10 DISCOS CORTE 115X1.2MM</t>
  </si>
  <si>
    <t>52232</t>
  </si>
  <si>
    <t>BATERIA 20V 6.0AH TFBLI2060</t>
  </si>
  <si>
    <t>52233</t>
  </si>
  <si>
    <t>BATERIA 20V 7.5AH TFBLI2075</t>
  </si>
  <si>
    <t>52234</t>
  </si>
  <si>
    <t>BATERIA 20V 8.0AH TFBLI2108</t>
  </si>
  <si>
    <t>52108</t>
  </si>
  <si>
    <t>INAL.20V CARG+2BAT.TWTLI20182</t>
  </si>
  <si>
    <t>0206/39.2.0-RCR</t>
  </si>
  <si>
    <t>REPUESTO PICO ARMADO L39</t>
  </si>
  <si>
    <t>SD/BR 50.11/2 TIGRE</t>
  </si>
  <si>
    <t>CIRCULAR 20V 6300RPM TSLI1402</t>
  </si>
  <si>
    <t>92662</t>
  </si>
  <si>
    <t>PILETA BALCON 58</t>
  </si>
  <si>
    <t>97704</t>
  </si>
  <si>
    <t>PLUVIAL VEREDA 100 X 4MTS</t>
  </si>
  <si>
    <t>97715</t>
  </si>
  <si>
    <t>PLUVIAL VEREDA 63 X 4MTS</t>
  </si>
  <si>
    <t>79401</t>
  </si>
  <si>
    <t>INLET FILTER SCALA 250MICRON</t>
  </si>
  <si>
    <t>73012</t>
  </si>
  <si>
    <t>ELECT.DESA.COLACAL(TRI)LSWm200</t>
  </si>
  <si>
    <t>LINEA 44N NUEVA 44</t>
  </si>
  <si>
    <t>4277</t>
  </si>
  <si>
    <t>VALV.ESF.COMPACTA 63 MM SD</t>
  </si>
  <si>
    <t>LLAVE IMP.20V TIWLI2085-4</t>
  </si>
  <si>
    <t>94261</t>
  </si>
  <si>
    <t>PROTECTOR OBRA DESAG.LINEAL</t>
  </si>
  <si>
    <t>94262</t>
  </si>
  <si>
    <t>MARCO INOX.C/PROLONGADOR</t>
  </si>
  <si>
    <t>94263</t>
  </si>
  <si>
    <t>MARCO PP C/PROLONGADOR</t>
  </si>
  <si>
    <t>94265</t>
  </si>
  <si>
    <t>REJILLA AC.INOX. BASTONES</t>
  </si>
  <si>
    <t>94266</t>
  </si>
  <si>
    <t>REJILLA AC.INOX. CUADRADOS</t>
  </si>
  <si>
    <t>94267</t>
  </si>
  <si>
    <t>REJILLA PP GRIS BASTONES</t>
  </si>
  <si>
    <t>94268</t>
  </si>
  <si>
    <t>REJILLA PP GRIS LISA</t>
  </si>
  <si>
    <t>94269</t>
  </si>
  <si>
    <t>REJILLA PP BLANCA BASTONES</t>
  </si>
  <si>
    <t>94270</t>
  </si>
  <si>
    <t>REJILLA PP BLANCA LISA</t>
  </si>
  <si>
    <t>94271</t>
  </si>
  <si>
    <t>COLECTOR + MARCO + REJILLA INO</t>
  </si>
  <si>
    <t>92238</t>
  </si>
  <si>
    <t>DESCARGA</t>
  </si>
  <si>
    <t>LAVATORIO 32 BLANCO</t>
  </si>
  <si>
    <t>92239</t>
  </si>
  <si>
    <t>LAVATORIO 32 PLATEADO</t>
  </si>
  <si>
    <t>INODORO BLANCO LOSA 40</t>
  </si>
  <si>
    <t>84601</t>
  </si>
  <si>
    <t>1/2 C/BASE - FRMH</t>
  </si>
  <si>
    <t>84602</t>
  </si>
  <si>
    <t>1/2 C/BASE - FRMH LARGO</t>
  </si>
  <si>
    <t>84603</t>
  </si>
  <si>
    <t>1/2 C/BASE - FRMH EXTRA LARGO</t>
  </si>
  <si>
    <t>84606</t>
  </si>
  <si>
    <t>3/4 C/BASE - FRMH</t>
  </si>
  <si>
    <t>84607</t>
  </si>
  <si>
    <t>3/4 C/BASE - FRMH LARGO</t>
  </si>
  <si>
    <t>84608</t>
  </si>
  <si>
    <t>3/4 C/BASE - FRMH EXTRA LARGO</t>
  </si>
  <si>
    <t>84623</t>
  </si>
  <si>
    <t>1/2 PROLON.C/BASE F(M) RMH</t>
  </si>
  <si>
    <t>84611</t>
  </si>
  <si>
    <t>LLAVE PASO H3</t>
  </si>
  <si>
    <t>1/2 C/BASE FUSION</t>
  </si>
  <si>
    <t>84612</t>
  </si>
  <si>
    <t>1/2 C/BASE FUSION-LARGA</t>
  </si>
  <si>
    <t>84613</t>
  </si>
  <si>
    <t>1/2 C/BASE FUSION-EXTRA LARGA</t>
  </si>
  <si>
    <t>84616</t>
  </si>
  <si>
    <t>3/4 C/BASE FUSION</t>
  </si>
  <si>
    <t>84617</t>
  </si>
  <si>
    <t>3/4 C/BASE FUSION-LARGA</t>
  </si>
  <si>
    <t>84618</t>
  </si>
  <si>
    <t>3/4 C/BASE FUSION-EXTRA LARGA</t>
  </si>
  <si>
    <t>72022</t>
  </si>
  <si>
    <t>ELECT.PERIFERICA LEO AP 75</t>
  </si>
  <si>
    <t>HH 90MM</t>
  </si>
  <si>
    <t>CEPILLO</t>
  </si>
  <si>
    <t>52161</t>
  </si>
  <si>
    <t>CEP. 20V BL 14000RPM TRLI20401</t>
  </si>
  <si>
    <t>CABEZA 1/2 CANILLA BRONCE</t>
  </si>
  <si>
    <t>ELECT.DES.CLO(VORTEX)LSWm200XA</t>
  </si>
  <si>
    <t>77017</t>
  </si>
  <si>
    <t>97886</t>
  </si>
  <si>
    <t>110X4(118)5 RANURAS (A)</t>
  </si>
  <si>
    <t>71013</t>
  </si>
  <si>
    <t>K 55/200 T</t>
  </si>
  <si>
    <t>76105</t>
  </si>
  <si>
    <t>GT-D-100 V</t>
  </si>
  <si>
    <t>2 BATER./CARG.2.0 TFBCPK2212-4</t>
  </si>
  <si>
    <t>2 BAT YCARG.4.0Ah TFBCPK2013-4</t>
  </si>
  <si>
    <t>INAL. 12 V/750RPM TDLI12456</t>
  </si>
  <si>
    <t>INAL.PERCUTOR TIDLI12206</t>
  </si>
  <si>
    <t>63104</t>
  </si>
  <si>
    <t>70056</t>
  </si>
  <si>
    <t>MULTI-E 2 CRE20-3 U2 A-A-A-AF</t>
  </si>
  <si>
    <t>ELECT.PRES.LEO LRP 15-90A/160</t>
  </si>
  <si>
    <t>ELECT.PRES.LEO LRP 25-120A/180</t>
  </si>
  <si>
    <t>60020</t>
  </si>
  <si>
    <t>ELECT. - PF PRES</t>
  </si>
  <si>
    <t>0470-19DH-B</t>
  </si>
  <si>
    <t>P/HIERRO MH 19MM BRONCE</t>
  </si>
  <si>
    <t>0479/20-19DH-CR</t>
  </si>
  <si>
    <t>P/HIERRO ALTO 19MM H-H</t>
  </si>
  <si>
    <t>A CODO IDEAL 16LTS (31010)</t>
  </si>
  <si>
    <t>0310/L6.5.10DCR</t>
  </si>
  <si>
    <t>REPUESTO BOTON TRANSFERENCIA N</t>
  </si>
  <si>
    <t>6666</t>
  </si>
  <si>
    <t>B20 ASIENTOS INODORO</t>
  </si>
  <si>
    <t>LINEA ECCO</t>
  </si>
  <si>
    <t>ASIENTO PP ECCO GREEN -P.BCO.</t>
  </si>
  <si>
    <t>6667</t>
  </si>
  <si>
    <t>ASIENTO ECO LIVIANO P.BCO.</t>
  </si>
  <si>
    <t>6668</t>
  </si>
  <si>
    <t>ASIENTO REF PACK BCO.</t>
  </si>
  <si>
    <t>6651</t>
  </si>
  <si>
    <t>LINEA MADERA TERMOMOLDEADA</t>
  </si>
  <si>
    <t>ASIENTO OPTIMO UNIVERSAL</t>
  </si>
  <si>
    <t>6652</t>
  </si>
  <si>
    <t>ASIENTO FL. HJE.NYLON BCO.</t>
  </si>
  <si>
    <t>6653</t>
  </si>
  <si>
    <t>ASIENTO BR. HJE.NYLON BCO.</t>
  </si>
  <si>
    <t>6654</t>
  </si>
  <si>
    <t>ASIENTO PL. HJE.NYLON BCO.</t>
  </si>
  <si>
    <t>6655</t>
  </si>
  <si>
    <t>ASIENTO MON. HJE.NYLON BCO.</t>
  </si>
  <si>
    <t>6656</t>
  </si>
  <si>
    <t>ASIENTO TAU. HJE.NYLON BCO.</t>
  </si>
  <si>
    <t>6657</t>
  </si>
  <si>
    <t>ASIENTO TA. HJE.NYLON (L.INF.)</t>
  </si>
  <si>
    <t>6658</t>
  </si>
  <si>
    <t>ASIENTO AMAL. HJE.NYLON BCO.</t>
  </si>
  <si>
    <t>6634</t>
  </si>
  <si>
    <t>LINEA RESINA PREMIUM</t>
  </si>
  <si>
    <t>ASIENTO DA. SE. DACCORD</t>
  </si>
  <si>
    <t>6635</t>
  </si>
  <si>
    <t>ASIENTO HA. DACCORD</t>
  </si>
  <si>
    <t>6636</t>
  </si>
  <si>
    <t>ASIENTO MON. DACCORD</t>
  </si>
  <si>
    <t>6637</t>
  </si>
  <si>
    <t>ASIENTO MR. DACCORD</t>
  </si>
  <si>
    <t>6638</t>
  </si>
  <si>
    <t>ASIENTO BR. DACCORD</t>
  </si>
  <si>
    <t>6639</t>
  </si>
  <si>
    <t>ASIENTO DA. DACCORD</t>
  </si>
  <si>
    <t>6640</t>
  </si>
  <si>
    <t>ASIENTO GA. DACCORD</t>
  </si>
  <si>
    <t>6662</t>
  </si>
  <si>
    <t>LINEA UNIVERSAL</t>
  </si>
  <si>
    <t>AS. EXCEL UNIV OVAL BLANCO</t>
  </si>
  <si>
    <t>6663</t>
  </si>
  <si>
    <t>AS. EXCEL UNIV RECT BLANCO</t>
  </si>
  <si>
    <t>MET. 20 PLENO FUSION TIGRE</t>
  </si>
  <si>
    <t>MET. 25 PLENO FUSION TIGRE</t>
  </si>
  <si>
    <t>61013</t>
  </si>
  <si>
    <t>ELECT. CENTRIFUGA BC 3 T</t>
  </si>
  <si>
    <t>61014</t>
  </si>
  <si>
    <t>ELECT. CENTRIFUGA BC 4 T</t>
  </si>
  <si>
    <t>61015</t>
  </si>
  <si>
    <t>ELECT. CENTRIFUGA BC 5 T</t>
  </si>
  <si>
    <t>61016</t>
  </si>
  <si>
    <t>ELECT. CENTRIFUGA BC 6 T</t>
  </si>
  <si>
    <t>0363.31-D</t>
  </si>
  <si>
    <t>ELECTROVALV. SELENOIDE PILAS</t>
  </si>
  <si>
    <t>VF061-R1</t>
  </si>
  <si>
    <t>OBTURADOR FLAPPER RIG  X  UNIDAD</t>
  </si>
  <si>
    <t>3705</t>
  </si>
  <si>
    <t>REJILLA 10X110 C/ MARCO</t>
  </si>
  <si>
    <t>63115</t>
  </si>
  <si>
    <t>ELECT.DESAG.TRIT.DRT 1500T</t>
  </si>
  <si>
    <t>70036</t>
  </si>
  <si>
    <t>SCALA1 5-35</t>
  </si>
  <si>
    <t>ELECT.DESAG.CLOACAL DRV 200 M</t>
  </si>
  <si>
    <t>63144</t>
  </si>
  <si>
    <t>ELECT.DESAG. CLOACAL DW 300 T</t>
  </si>
  <si>
    <t>16200</t>
  </si>
  <si>
    <t>DISP.MAX NEGRO C.U FILTRANTE</t>
  </si>
  <si>
    <t>6028</t>
  </si>
  <si>
    <t>40 CODO R/ACERO DUKE</t>
  </si>
  <si>
    <t>98185</t>
  </si>
  <si>
    <t>PINTATUBO</t>
  </si>
  <si>
    <t>P. BLANCO 1L</t>
  </si>
  <si>
    <t>98186</t>
  </si>
  <si>
    <t>P. GRIS 1L</t>
  </si>
  <si>
    <t>98187</t>
  </si>
  <si>
    <t>P. NEGRO 1L</t>
  </si>
  <si>
    <t>61200</t>
  </si>
  <si>
    <t>CENTRIFUGAS PEDROLLO</t>
  </si>
  <si>
    <t>ELECT. CENT. PEDROLLO CPm 158</t>
  </si>
  <si>
    <t>65013</t>
  </si>
  <si>
    <t>KIT SOLAR MOTORARG</t>
  </si>
  <si>
    <t>ELECT. SOLAR BMS-CC 410/1.50</t>
  </si>
  <si>
    <t>65014</t>
  </si>
  <si>
    <t>ELECT. SOLAR BMS-CC 415/1.50</t>
  </si>
  <si>
    <t>65015</t>
  </si>
  <si>
    <t>ELECT. SOLAR BMS-CC 416/2.50</t>
  </si>
  <si>
    <t>65016</t>
  </si>
  <si>
    <t>ELECT. SOLAR BMS-CC 426/2.50</t>
  </si>
  <si>
    <t>LINEA G9 ALBA MONOCOMANDO</t>
  </si>
  <si>
    <t>LAVATORIO .ALBA G9 CROMO</t>
  </si>
  <si>
    <t>BIDET ALBA G9 CROMO</t>
  </si>
  <si>
    <t>BAÑERA.DUCHA ALBA G9 CROMO</t>
  </si>
  <si>
    <t>4431</t>
  </si>
  <si>
    <t>ASPERSORES Y REGADORES</t>
  </si>
  <si>
    <t>ASPERSOR DE IMPULSO</t>
  </si>
  <si>
    <t>4432</t>
  </si>
  <si>
    <t>ASPERSOR DE IMPULSO METALICO</t>
  </si>
  <si>
    <t>4433</t>
  </si>
  <si>
    <t>ASPERSOR GIRATORIO C/ESTACA</t>
  </si>
  <si>
    <t>4434</t>
  </si>
  <si>
    <t>ASPERSOR GIRATORIO MARIPOSA</t>
  </si>
  <si>
    <t>4435</t>
  </si>
  <si>
    <t>ASPERSOR MULTIFUNCION</t>
  </si>
  <si>
    <t>4436</t>
  </si>
  <si>
    <t>ASPERSOR GIRATORIO BASE GRANDE</t>
  </si>
  <si>
    <t>4440</t>
  </si>
  <si>
    <t>CONECTORES</t>
  </si>
  <si>
    <t>CONECTOR ROSCA MACHO 3/4</t>
  </si>
  <si>
    <t>4441</t>
  </si>
  <si>
    <t>CONECTOR TRIPLE</t>
  </si>
  <si>
    <t>4442</t>
  </si>
  <si>
    <t>CONECTOR DOBLE</t>
  </si>
  <si>
    <t>4443</t>
  </si>
  <si>
    <t>CONECTOR ROSCA</t>
  </si>
  <si>
    <t>4444</t>
  </si>
  <si>
    <t>REPARADOR DE MANGUERA 1/2</t>
  </si>
  <si>
    <t>4445</t>
  </si>
  <si>
    <t>REPARADOR DE MANGUERA 3/4</t>
  </si>
  <si>
    <t>4446</t>
  </si>
  <si>
    <t>ACOPLE RAPIDO 1/2</t>
  </si>
  <si>
    <t>4447</t>
  </si>
  <si>
    <t>ACOPLE RAPIDO 3/4</t>
  </si>
  <si>
    <t>4448</t>
  </si>
  <si>
    <t>ACOPLE RAPIDO 1/2 C/AUTOSTOP</t>
  </si>
  <si>
    <t>4449</t>
  </si>
  <si>
    <t>ACOPLE RAPIDO 3/4 C/AUTOSTOP</t>
  </si>
  <si>
    <t>4410</t>
  </si>
  <si>
    <t>PISTOLAS DE RIEGO</t>
  </si>
  <si>
    <t>MULTIFUNCION PLASTICA 8F</t>
  </si>
  <si>
    <t>4411</t>
  </si>
  <si>
    <t>METALICA SIMPLE</t>
  </si>
  <si>
    <t>4412</t>
  </si>
  <si>
    <t>REGULABLE PLASTICA</t>
  </si>
  <si>
    <t>4413</t>
  </si>
  <si>
    <t>MULTIFUNCION PLASTICA 5F</t>
  </si>
  <si>
    <t>4450</t>
  </si>
  <si>
    <t>SETS DE RIEGO</t>
  </si>
  <si>
    <t>BASICO P/MANGUERA 3/4</t>
  </si>
  <si>
    <t>4451</t>
  </si>
  <si>
    <t>BASICO P/MANGUERA 1/2</t>
  </si>
  <si>
    <t>4424</t>
  </si>
  <si>
    <t>TEMPORIZADOR Y PROGRAMADOR</t>
  </si>
  <si>
    <t>TEMPORIZADOR 2 HORAS</t>
  </si>
  <si>
    <t>4425</t>
  </si>
  <si>
    <t>PROGRAMADOR DIGITAL</t>
  </si>
  <si>
    <t>77045</t>
  </si>
  <si>
    <t>ELECTROB. AUTOASP.AJm110</t>
  </si>
  <si>
    <t>77046</t>
  </si>
  <si>
    <t>ELECTROB. AUTOASP.AJ 110</t>
  </si>
  <si>
    <t>0140/H3.1-R-CR</t>
  </si>
  <si>
    <t>REPUESTO BRAZO DE DUCHA</t>
  </si>
  <si>
    <t>26140</t>
  </si>
  <si>
    <t>CALEFON</t>
  </si>
  <si>
    <t>RHEEM - 14L  TIRO NATURAL BL</t>
  </si>
  <si>
    <t>26141</t>
  </si>
  <si>
    <t>RHEEM - 14L  TIRO NATURAL GRIS</t>
  </si>
  <si>
    <t>26145</t>
  </si>
  <si>
    <t>RHEEM - 14L  TIRO FORZADO BL</t>
  </si>
  <si>
    <t>26146</t>
  </si>
  <si>
    <t>RHEEM - 14L TIRO FORZADO GRIS</t>
  </si>
  <si>
    <t>VP370</t>
  </si>
  <si>
    <t>PUENTE ACRILICO  X  10  UNIDADES</t>
  </si>
  <si>
    <t>VTI37-B</t>
  </si>
  <si>
    <t>KIT TAPA ASIENTO NACIONAL  X  UNIDAD</t>
  </si>
  <si>
    <t>VTI43-B</t>
  </si>
  <si>
    <t>BISAGRA TAPA - REPUESTOS_x001F__x001F_</t>
  </si>
  <si>
    <t>98863</t>
  </si>
  <si>
    <t>DRENA KANAL 120</t>
  </si>
  <si>
    <t>CANAL PLUVIAL 120MM 63 R.PP</t>
  </si>
  <si>
    <t>98864</t>
  </si>
  <si>
    <t>CANAL PLUVIAL 120MM 63 R.ALUM.</t>
  </si>
  <si>
    <t>98868</t>
  </si>
  <si>
    <t>REJILLA 120MM P.P.</t>
  </si>
  <si>
    <t>98869</t>
  </si>
  <si>
    <t>REJILLA 120MM ALUMINIO</t>
  </si>
  <si>
    <t>98890</t>
  </si>
  <si>
    <t>MARCO 120MM PP y ALUMINIO</t>
  </si>
  <si>
    <t>98865</t>
  </si>
  <si>
    <t>DRENA KANAL 150</t>
  </si>
  <si>
    <t>C.PLUVIAL 150MM TERRA118 63 RP</t>
  </si>
  <si>
    <t>98866</t>
  </si>
  <si>
    <t>C.PLUVIAL150MM TERRA118 63R.AL</t>
  </si>
  <si>
    <t>98867</t>
  </si>
  <si>
    <t>CANAL 150CM TERRA110 63 R.FUND</t>
  </si>
  <si>
    <t>98891</t>
  </si>
  <si>
    <t>REJILLA 150 MM P.P</t>
  </si>
  <si>
    <t>98892</t>
  </si>
  <si>
    <t>REJILLA 150 MM ALUMINIO</t>
  </si>
  <si>
    <t>98893</t>
  </si>
  <si>
    <t>TRABA MODELO 150 MM</t>
  </si>
  <si>
    <t>98894</t>
  </si>
  <si>
    <t>REJILLA 150 MM FUNDICION</t>
  </si>
  <si>
    <t>98895</t>
  </si>
  <si>
    <t>TRABA MOD. 150 STD</t>
  </si>
  <si>
    <t>64420</t>
  </si>
  <si>
    <t>SUMERGIBLE MOTORARG</t>
  </si>
  <si>
    <t>ELECT. 4PACK 80 M.r2 C/25M CAB</t>
  </si>
  <si>
    <t>64421</t>
  </si>
  <si>
    <t>ELECT.4PACK 100 M.r2 C/30M CAB</t>
  </si>
  <si>
    <t>64422</t>
  </si>
  <si>
    <t>ELECT.4PACK 120 M.r2 C/25M CAB</t>
  </si>
  <si>
    <t>64423</t>
  </si>
  <si>
    <t>ELECT.4PACK 150 M.r2 C/30M CAB</t>
  </si>
  <si>
    <t>0312/B5-NG</t>
  </si>
  <si>
    <t>DUCHA C/TRANSF. EXT PUELO NG</t>
  </si>
  <si>
    <t>INAL. 20 V / 10MM TDLI20668-4</t>
  </si>
  <si>
    <t>CU35DP.1CH-D</t>
  </si>
  <si>
    <t>REPUESTO CARTUCHO Oe35MM</t>
  </si>
</sst>
</file>

<file path=xl/styles.xml><?xml version="1.0" encoding="utf-8"?>
<styleSheet xmlns="http://schemas.openxmlformats.org/spreadsheetml/2006/main">
  <numFmts count="2">
    <numFmt numFmtId="164" formatCode="[$-2C0A]d&quot; de &quot;mmmm&quot; de &quot;yyyy;@"/>
    <numFmt numFmtId="165" formatCode="0.00000"/>
  </numFmts>
  <fonts count="35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Fira Sans"/>
      <family val="2"/>
    </font>
    <font>
      <b/>
      <sz val="10"/>
      <name val="Fira Sans"/>
      <family val="2"/>
    </font>
    <font>
      <b/>
      <sz val="8"/>
      <name val="Fira Sans"/>
      <family val="2"/>
    </font>
    <font>
      <b/>
      <sz val="9"/>
      <name val="Fira Sans"/>
      <family val="2"/>
    </font>
    <font>
      <b/>
      <sz val="8"/>
      <name val="Fira Sans ExtraLight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4"/>
      <color theme="0"/>
      <name val="Arial"/>
      <family val="2"/>
    </font>
    <font>
      <b/>
      <sz val="20"/>
      <color theme="0"/>
      <name val="Fira Sans"/>
      <family val="2"/>
    </font>
    <font>
      <i/>
      <sz val="12"/>
      <color theme="0"/>
      <name val="Fira Sans"/>
      <family val="2"/>
    </font>
    <font>
      <b/>
      <sz val="10"/>
      <color theme="0"/>
      <name val="Fira Sans"/>
      <family val="2"/>
    </font>
    <font>
      <b/>
      <sz val="10"/>
      <color theme="0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4B3E"/>
        <bgColor indexed="64"/>
      </patternFill>
    </fill>
    <fill>
      <patternFill patternType="solid">
        <fgColor rgb="FF1334E0"/>
        <bgColor indexed="64"/>
      </patternFill>
    </fill>
    <fill>
      <patternFill patternType="solid">
        <fgColor rgb="FF95CFE8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345BE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1887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20" borderId="14" applyNumberFormat="0" applyAlignment="0" applyProtection="0"/>
    <xf numFmtId="0" fontId="16" fillId="21" borderId="15" applyNumberFormat="0" applyAlignment="0" applyProtection="0"/>
    <xf numFmtId="0" fontId="17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9" fillId="28" borderId="14" applyNumberFormat="0" applyAlignment="0" applyProtection="0"/>
    <xf numFmtId="0" fontId="20" fillId="29" borderId="0" applyNumberFormat="0" applyBorder="0" applyAlignment="0" applyProtection="0"/>
    <xf numFmtId="0" fontId="21" fillId="30" borderId="0" applyNumberFormat="0" applyBorder="0" applyAlignment="0" applyProtection="0"/>
    <xf numFmtId="0" fontId="13" fillId="0" borderId="0"/>
    <xf numFmtId="0" fontId="13" fillId="31" borderId="17" applyNumberFormat="0" applyFont="0" applyAlignment="0" applyProtection="0"/>
    <xf numFmtId="0" fontId="13" fillId="31" borderId="17" applyNumberFormat="0" applyFont="0" applyAlignment="0" applyProtection="0"/>
    <xf numFmtId="0" fontId="13" fillId="31" borderId="17" applyNumberFormat="0" applyFont="0" applyAlignment="0" applyProtection="0"/>
    <xf numFmtId="0" fontId="13" fillId="31" borderId="17" applyNumberFormat="0" applyFont="0" applyAlignment="0" applyProtection="0"/>
    <xf numFmtId="9" fontId="1" fillId="0" borderId="0" applyFont="0" applyFill="0" applyBorder="0" applyAlignment="0" applyProtection="0"/>
    <xf numFmtId="0" fontId="22" fillId="20" borderId="1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9" applyNumberFormat="0" applyFill="0" applyAlignment="0" applyProtection="0"/>
    <xf numFmtId="0" fontId="18" fillId="0" borderId="20" applyNumberFormat="0" applyFill="0" applyAlignment="0" applyProtection="0"/>
    <xf numFmtId="0" fontId="27" fillId="0" borderId="21" applyNumberFormat="0" applyFill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3" fillId="32" borderId="0" xfId="0" applyFont="1" applyFill="1" applyAlignment="1">
      <alignment horizontal="center"/>
    </xf>
    <xf numFmtId="0" fontId="5" fillId="32" borderId="0" xfId="0" applyFont="1" applyFill="1" applyAlignment="1">
      <alignment vertical="center"/>
    </xf>
    <xf numFmtId="3" fontId="1" fillId="33" borderId="0" xfId="0" applyNumberFormat="1" applyFont="1" applyFill="1"/>
    <xf numFmtId="0" fontId="3" fillId="34" borderId="0" xfId="0" applyFont="1" applyFill="1" applyAlignment="1">
      <alignment horizontal="center"/>
    </xf>
    <xf numFmtId="0" fontId="28" fillId="35" borderId="1" xfId="0" applyFont="1" applyFill="1" applyBorder="1" applyAlignment="1">
      <alignment horizontal="right"/>
    </xf>
    <xf numFmtId="10" fontId="29" fillId="35" borderId="1" xfId="61" applyNumberFormat="1" applyFont="1" applyFill="1" applyBorder="1" applyAlignment="1">
      <alignment horizontal="right"/>
    </xf>
    <xf numFmtId="165" fontId="7" fillId="36" borderId="2" xfId="0" applyNumberFormat="1" applyFont="1" applyFill="1" applyBorder="1" applyAlignment="1">
      <alignment horizontal="right"/>
    </xf>
    <xf numFmtId="0" fontId="30" fillId="37" borderId="1" xfId="0" applyFont="1" applyFill="1" applyBorder="1" applyAlignment="1">
      <alignment horizontal="right"/>
    </xf>
    <xf numFmtId="4" fontId="30" fillId="37" borderId="1" xfId="0" applyNumberFormat="1" applyFont="1" applyFill="1" applyBorder="1" applyAlignment="1">
      <alignment horizontal="right"/>
    </xf>
    <xf numFmtId="10" fontId="9" fillId="38" borderId="2" xfId="61" applyNumberFormat="1" applyFont="1" applyFill="1" applyBorder="1" applyAlignment="1">
      <alignment horizontal="right"/>
    </xf>
    <xf numFmtId="165" fontId="7" fillId="39" borderId="2" xfId="0" applyNumberFormat="1" applyFont="1" applyFill="1" applyBorder="1" applyAlignment="1">
      <alignment horizontal="right"/>
    </xf>
    <xf numFmtId="0" fontId="28" fillId="35" borderId="1" xfId="0" applyFont="1" applyFill="1" applyBorder="1" applyAlignment="1">
      <alignment horizontal="left"/>
    </xf>
    <xf numFmtId="0" fontId="4" fillId="40" borderId="2" xfId="0" applyFont="1" applyFill="1" applyBorder="1" applyAlignment="1">
      <alignment horizontal="right"/>
    </xf>
    <xf numFmtId="0" fontId="4" fillId="40" borderId="1" xfId="0" applyFont="1" applyFill="1" applyBorder="1" applyAlignment="1">
      <alignment horizontal="right"/>
    </xf>
    <xf numFmtId="10" fontId="2" fillId="40" borderId="1" xfId="61" applyNumberFormat="1" applyFont="1" applyFill="1" applyBorder="1" applyAlignment="1">
      <alignment horizontal="right"/>
    </xf>
    <xf numFmtId="0" fontId="6" fillId="35" borderId="2" xfId="0" applyFont="1" applyFill="1" applyBorder="1"/>
    <xf numFmtId="0" fontId="6" fillId="35" borderId="3" xfId="0" applyFont="1" applyFill="1" applyBorder="1"/>
    <xf numFmtId="0" fontId="10" fillId="35" borderId="0" xfId="0" applyFont="1" applyFill="1" applyAlignment="1">
      <alignment horizontal="center"/>
    </xf>
    <xf numFmtId="0" fontId="10" fillId="35" borderId="0" xfId="0" applyFont="1" applyFill="1"/>
    <xf numFmtId="0" fontId="10" fillId="33" borderId="0" xfId="0" applyFont="1" applyFill="1" applyAlignment="1">
      <alignment horizontal="center"/>
    </xf>
    <xf numFmtId="0" fontId="10" fillId="38" borderId="0" xfId="0" applyFont="1" applyFill="1" applyAlignment="1">
      <alignment horizontal="center"/>
    </xf>
    <xf numFmtId="0" fontId="11" fillId="0" borderId="0" xfId="0" applyFont="1"/>
    <xf numFmtId="0" fontId="10" fillId="41" borderId="0" xfId="0" applyFont="1" applyFill="1" applyAlignment="1">
      <alignment horizontal="center"/>
    </xf>
    <xf numFmtId="10" fontId="29" fillId="35" borderId="4" xfId="61" applyNumberFormat="1" applyFont="1" applyFill="1" applyBorder="1" applyAlignment="1">
      <alignment horizontal="right"/>
    </xf>
    <xf numFmtId="10" fontId="2" fillId="42" borderId="5" xfId="61" applyNumberFormat="1" applyFont="1" applyFill="1" applyBorder="1" applyAlignment="1">
      <alignment horizontal="right"/>
    </xf>
    <xf numFmtId="0" fontId="28" fillId="35" borderId="6" xfId="0" applyFont="1" applyFill="1" applyBorder="1" applyAlignment="1">
      <alignment horizontal="left"/>
    </xf>
    <xf numFmtId="0" fontId="28" fillId="35" borderId="6" xfId="0" applyFont="1" applyFill="1" applyBorder="1" applyAlignment="1">
      <alignment horizontal="right"/>
    </xf>
    <xf numFmtId="0" fontId="4" fillId="42" borderId="7" xfId="0" applyFont="1" applyFill="1" applyBorder="1" applyAlignment="1">
      <alignment horizontal="left"/>
    </xf>
    <xf numFmtId="0" fontId="4" fillId="42" borderId="7" xfId="0" applyFont="1" applyFill="1" applyBorder="1" applyAlignment="1">
      <alignment horizontal="right"/>
    </xf>
    <xf numFmtId="0" fontId="8" fillId="36" borderId="8" xfId="0" applyFont="1" applyFill="1" applyBorder="1" applyAlignment="1">
      <alignment horizontal="right"/>
    </xf>
    <xf numFmtId="0" fontId="8" fillId="38" borderId="8" xfId="0" applyFont="1" applyFill="1" applyBorder="1" applyAlignment="1">
      <alignment horizontal="right"/>
    </xf>
    <xf numFmtId="0" fontId="8" fillId="39" borderId="8" xfId="0" applyFont="1" applyFill="1" applyBorder="1" applyAlignment="1">
      <alignment horizontal="right"/>
    </xf>
    <xf numFmtId="0" fontId="10" fillId="43" borderId="0" xfId="0" applyFont="1" applyFill="1" applyAlignment="1">
      <alignment horizontal="center"/>
    </xf>
    <xf numFmtId="9" fontId="1" fillId="41" borderId="0" xfId="61" applyFont="1" applyFill="1"/>
    <xf numFmtId="2" fontId="1" fillId="43" borderId="0" xfId="0" applyNumberFormat="1" applyFont="1" applyFill="1"/>
    <xf numFmtId="4" fontId="12" fillId="40" borderId="0" xfId="0" applyNumberFormat="1" applyFont="1" applyFill="1"/>
    <xf numFmtId="4" fontId="1" fillId="33" borderId="0" xfId="0" applyNumberFormat="1" applyFont="1" applyFill="1"/>
    <xf numFmtId="0" fontId="31" fillId="34" borderId="9" xfId="0" applyFont="1" applyFill="1" applyBorder="1" applyAlignment="1">
      <alignment horizontal="center" vertical="center"/>
    </xf>
    <xf numFmtId="0" fontId="31" fillId="34" borderId="10" xfId="0" applyFont="1" applyFill="1" applyBorder="1" applyAlignment="1">
      <alignment horizontal="center" vertical="center"/>
    </xf>
    <xf numFmtId="0" fontId="31" fillId="34" borderId="4" xfId="0" applyFont="1" applyFill="1" applyBorder="1" applyAlignment="1">
      <alignment horizontal="center" vertical="center"/>
    </xf>
    <xf numFmtId="0" fontId="31" fillId="34" borderId="11" xfId="0" applyFont="1" applyFill="1" applyBorder="1" applyAlignment="1">
      <alignment horizontal="center" vertical="center"/>
    </xf>
    <xf numFmtId="0" fontId="31" fillId="34" borderId="12" xfId="0" applyFont="1" applyFill="1" applyBorder="1" applyAlignment="1">
      <alignment horizontal="center" vertical="center"/>
    </xf>
    <xf numFmtId="0" fontId="31" fillId="34" borderId="5" xfId="0" applyFont="1" applyFill="1" applyBorder="1" applyAlignment="1">
      <alignment horizontal="center" vertical="center"/>
    </xf>
    <xf numFmtId="0" fontId="32" fillId="34" borderId="9" xfId="0" applyFont="1" applyFill="1" applyBorder="1" applyAlignment="1">
      <alignment horizontal="center" vertical="center"/>
    </xf>
    <xf numFmtId="0" fontId="32" fillId="34" borderId="10" xfId="0" applyFont="1" applyFill="1" applyBorder="1" applyAlignment="1">
      <alignment horizontal="center" vertical="center"/>
    </xf>
    <xf numFmtId="0" fontId="32" fillId="34" borderId="4" xfId="0" applyFont="1" applyFill="1" applyBorder="1" applyAlignment="1">
      <alignment horizontal="center" vertical="center"/>
    </xf>
    <xf numFmtId="0" fontId="32" fillId="34" borderId="11" xfId="0" applyFont="1" applyFill="1" applyBorder="1" applyAlignment="1">
      <alignment horizontal="center" vertical="center"/>
    </xf>
    <xf numFmtId="0" fontId="32" fillId="34" borderId="12" xfId="0" applyFont="1" applyFill="1" applyBorder="1" applyAlignment="1">
      <alignment horizontal="center" vertical="center"/>
    </xf>
    <xf numFmtId="0" fontId="32" fillId="34" borderId="5" xfId="0" applyFont="1" applyFill="1" applyBorder="1" applyAlignment="1">
      <alignment horizontal="center" vertical="center"/>
    </xf>
    <xf numFmtId="164" fontId="33" fillId="34" borderId="2" xfId="0" applyNumberFormat="1" applyFont="1" applyFill="1" applyBorder="1" applyAlignment="1">
      <alignment horizontal="center"/>
    </xf>
    <xf numFmtId="164" fontId="33" fillId="34" borderId="3" xfId="0" applyNumberFormat="1" applyFont="1" applyFill="1" applyBorder="1" applyAlignment="1">
      <alignment horizontal="center"/>
    </xf>
    <xf numFmtId="164" fontId="33" fillId="34" borderId="1" xfId="0" applyNumberFormat="1" applyFont="1" applyFill="1" applyBorder="1" applyAlignment="1">
      <alignment horizontal="center"/>
    </xf>
    <xf numFmtId="0" fontId="34" fillId="44" borderId="13" xfId="0" applyFont="1" applyFill="1" applyBorder="1" applyAlignment="1">
      <alignment horizontal="center" vertical="center" wrapText="1"/>
    </xf>
  </cellXfs>
  <cellStyles count="69">
    <cellStyle name="20% - Énfasis1 2" xfId="1"/>
    <cellStyle name="20% - Énfasis1 3" xfId="2"/>
    <cellStyle name="20% - Énfasis1 4" xfId="3"/>
    <cellStyle name="20% - Énfasis1 5" xfId="4"/>
    <cellStyle name="20% - Énfasis2 2" xfId="5"/>
    <cellStyle name="20% - Énfasis2 3" xfId="6"/>
    <cellStyle name="20% - Énfasis2 4" xfId="7"/>
    <cellStyle name="20% - Énfasis2 5" xfId="8"/>
    <cellStyle name="20% - Énfasis3 2" xfId="9"/>
    <cellStyle name="20% - Énfasis3 3" xfId="10"/>
    <cellStyle name="20% - Énfasis3 4" xfId="11"/>
    <cellStyle name="20% - Énfasis3 5" xfId="12"/>
    <cellStyle name="20% - Énfasis4 2" xfId="13"/>
    <cellStyle name="20% - Énfasis4 3" xfId="14"/>
    <cellStyle name="20% - Énfasis4 4" xfId="15"/>
    <cellStyle name="20% - Énfasis4 5" xfId="16"/>
    <cellStyle name="20% - Énfasis5" xfId="17" builtinId="46" customBuiltin="1"/>
    <cellStyle name="20% - Énfasis6" xfId="18" builtinId="50" customBuiltin="1"/>
    <cellStyle name="40% - Énfasis1" xfId="19" builtinId="31" customBuiltin="1"/>
    <cellStyle name="40% - Énfasis2" xfId="20" builtinId="35" customBuiltin="1"/>
    <cellStyle name="40% - Énfasis3 2" xfId="21"/>
    <cellStyle name="40% - Énfasis3 3" xfId="22"/>
    <cellStyle name="40% - Énfasis3 4" xfId="23"/>
    <cellStyle name="40% - Énfasis3 5" xfId="24"/>
    <cellStyle name="40% - Énfasis4" xfId="25" builtinId="43" customBuiltin="1"/>
    <cellStyle name="40% - Énfasis5" xfId="26" builtinId="47" customBuiltin="1"/>
    <cellStyle name="40% - Énfasis6" xfId="27" builtinId="51" customBuiltin="1"/>
    <cellStyle name="60% - Énfasis1" xfId="28" builtinId="32" customBuiltin="1"/>
    <cellStyle name="60% - Énfasis2" xfId="29" builtinId="36" customBuiltin="1"/>
    <cellStyle name="60% - Énfasis3 2" xfId="30"/>
    <cellStyle name="60% - Énfasis3 3" xfId="31"/>
    <cellStyle name="60% - Énfasis3 4" xfId="32"/>
    <cellStyle name="60% - Énfasis3 5" xfId="33"/>
    <cellStyle name="60% - Énfasis4 2" xfId="34"/>
    <cellStyle name="60% - Énfasis4 3" xfId="35"/>
    <cellStyle name="60% - Énfasis4 4" xfId="36"/>
    <cellStyle name="60% - Énfasis4 5" xfId="37"/>
    <cellStyle name="60% - Énfasis5" xfId="38" builtinId="48" customBuiltin="1"/>
    <cellStyle name="60% - Énfasis6 2" xfId="39"/>
    <cellStyle name="60% - Énfasis6 3" xfId="40"/>
    <cellStyle name="60% - Énfasis6 4" xfId="41"/>
    <cellStyle name="60% - Énfasis6 5" xfId="42"/>
    <cellStyle name="Cálculo" xfId="43" builtinId="22" customBuiltin="1"/>
    <cellStyle name="Celda de comprobación" xfId="44" builtinId="23" customBuiltin="1"/>
    <cellStyle name="Celda vinculada" xfId="45" builtinId="24" customBuiltin="1"/>
    <cellStyle name="Encabezado 4" xfId="46" builtinId="19" customBuiltin="1"/>
    <cellStyle name="Énfasis1" xfId="47" builtinId="29" customBuiltin="1"/>
    <cellStyle name="Énfasis2" xfId="48" builtinId="33" customBuiltin="1"/>
    <cellStyle name="Énfasis3" xfId="49" builtinId="37" customBuiltin="1"/>
    <cellStyle name="Énfasis4" xfId="50" builtinId="41" customBuiltin="1"/>
    <cellStyle name="Énfasis5" xfId="51" builtinId="45" customBuiltin="1"/>
    <cellStyle name="Énfasis6" xfId="52" builtinId="49" customBuiltin="1"/>
    <cellStyle name="Entrada" xfId="53" builtinId="20" customBuiltin="1"/>
    <cellStyle name="Incorrecto" xfId="54" builtinId="27" customBuiltin="1"/>
    <cellStyle name="Neutral" xfId="55" builtinId="28" customBuiltin="1"/>
    <cellStyle name="Normal" xfId="0" builtinId="0"/>
    <cellStyle name="Normal 2" xfId="56"/>
    <cellStyle name="Notas 2" xfId="57"/>
    <cellStyle name="Notas 3" xfId="58"/>
    <cellStyle name="Notas 4" xfId="59"/>
    <cellStyle name="Notas 5" xfId="60"/>
    <cellStyle name="Porcentual" xfId="61" builtinId="5"/>
    <cellStyle name="Salida" xfId="62" builtinId="21" customBuiltin="1"/>
    <cellStyle name="Texto de advertencia" xfId="63" builtinId="11" customBuiltin="1"/>
    <cellStyle name="Texto explicativo" xfId="64" builtinId="53" customBuiltin="1"/>
    <cellStyle name="Título" xfId="65" builtinId="15" customBuiltin="1"/>
    <cellStyle name="Título 2" xfId="66" builtinId="17" customBuiltin="1"/>
    <cellStyle name="Título 3" xfId="67" builtinId="18" customBuiltin="1"/>
    <cellStyle name="Total" xfId="6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95250</xdr:rowOff>
    </xdr:from>
    <xdr:to>
      <xdr:col>1</xdr:col>
      <xdr:colOff>28575</xdr:colOff>
      <xdr:row>4</xdr:row>
      <xdr:rowOff>114300</xdr:rowOff>
    </xdr:to>
    <xdr:pic>
      <xdr:nvPicPr>
        <xdr:cNvPr id="1493" name="Imagen 2">
          <a:extLst>
            <a:ext uri="{FF2B5EF4-FFF2-40B4-BE49-F238E27FC236}">
              <a16:creationId xmlns="" xmlns:a16="http://schemas.microsoft.com/office/drawing/2014/main" id="{00000000-0008-0000-0000-0000D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5250"/>
          <a:ext cx="1447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93"/>
  <sheetViews>
    <sheetView tabSelected="1" zoomScaleNormal="100" workbookViewId="0">
      <pane ySplit="6" topLeftCell="A10" activePane="bottomLeft" state="frozen"/>
      <selection pane="bottomLeft" activeCell="N20" sqref="N20"/>
    </sheetView>
  </sheetViews>
  <sheetFormatPr baseColWidth="10" defaultRowHeight="12.75"/>
  <cols>
    <col min="1" max="1" width="21.85546875" style="1" customWidth="1"/>
    <col min="2" max="2" width="28.28515625" customWidth="1"/>
    <col min="3" max="3" width="31.85546875" customWidth="1"/>
    <col min="4" max="4" width="36.42578125" customWidth="1"/>
    <col min="5" max="5" width="9.140625" bestFit="1" customWidth="1"/>
    <col min="6" max="6" width="1.28515625" customWidth="1"/>
    <col min="7" max="7" width="9.85546875" customWidth="1"/>
    <col min="8" max="8" width="12.5703125" bestFit="1" customWidth="1"/>
    <col min="9" max="9" width="13.7109375" bestFit="1" customWidth="1"/>
    <col min="10" max="10" width="7.28515625" customWidth="1"/>
    <col min="11" max="11" width="13.28515625" bestFit="1" customWidth="1"/>
    <col min="12" max="12" width="10.85546875" customWidth="1"/>
    <col min="13" max="13" width="15.85546875" customWidth="1"/>
  </cols>
  <sheetData>
    <row r="1" spans="1:11" ht="12.75" customHeight="1">
      <c r="A1" s="5"/>
      <c r="B1" s="54" t="s">
        <v>9753</v>
      </c>
      <c r="C1" s="45" t="s">
        <v>11</v>
      </c>
      <c r="D1" s="46"/>
      <c r="E1" s="47"/>
      <c r="F1" s="2"/>
      <c r="G1" s="31" t="s">
        <v>9731</v>
      </c>
      <c r="H1" s="8">
        <f>+(1-K1)*(1-K2)*(1+K3)*(1-K4)</f>
        <v>0.63</v>
      </c>
      <c r="I1" s="13"/>
      <c r="J1" s="6" t="s">
        <v>9732</v>
      </c>
      <c r="K1" s="7">
        <v>0.3</v>
      </c>
    </row>
    <row r="2" spans="1:11" ht="12.75" customHeight="1">
      <c r="A2" s="5"/>
      <c r="B2" s="54"/>
      <c r="C2" s="48"/>
      <c r="D2" s="49"/>
      <c r="E2" s="50"/>
      <c r="F2" s="2"/>
      <c r="G2" s="32" t="s">
        <v>2</v>
      </c>
      <c r="H2" s="11"/>
      <c r="I2" s="27"/>
      <c r="J2" s="28" t="s">
        <v>9733</v>
      </c>
      <c r="K2" s="25">
        <v>0.1</v>
      </c>
    </row>
    <row r="3" spans="1:11" ht="12.75" customHeight="1">
      <c r="A3" s="5"/>
      <c r="B3" s="54"/>
      <c r="C3" s="39" t="s">
        <v>15</v>
      </c>
      <c r="D3" s="40"/>
      <c r="E3" s="41"/>
      <c r="F3" s="3"/>
      <c r="G3" s="32" t="s">
        <v>4</v>
      </c>
      <c r="H3" s="11"/>
      <c r="I3" s="14"/>
      <c r="J3" s="15" t="s">
        <v>3</v>
      </c>
      <c r="K3" s="16"/>
    </row>
    <row r="4" spans="1:11" ht="12.75" customHeight="1">
      <c r="A4" s="5"/>
      <c r="B4" s="54"/>
      <c r="C4" s="42"/>
      <c r="D4" s="43"/>
      <c r="E4" s="44"/>
      <c r="F4" s="3"/>
      <c r="G4" s="33" t="s">
        <v>9</v>
      </c>
      <c r="H4" s="12">
        <f>(1+H2)*(1+H3)</f>
        <v>1</v>
      </c>
      <c r="I4" s="29"/>
      <c r="J4" s="30" t="s">
        <v>9734</v>
      </c>
      <c r="K4" s="26"/>
    </row>
    <row r="5" spans="1:11" ht="18" customHeight="1">
      <c r="A5" s="5"/>
      <c r="B5" s="54"/>
      <c r="C5" s="51">
        <v>46113</v>
      </c>
      <c r="D5" s="52"/>
      <c r="E5" s="53"/>
      <c r="F5" s="2"/>
      <c r="G5" s="17" t="s">
        <v>12</v>
      </c>
      <c r="H5" s="17"/>
      <c r="I5" s="18"/>
      <c r="J5" s="9" t="s">
        <v>10</v>
      </c>
      <c r="K5" s="10">
        <f>+SUM(K7:K6312)</f>
        <v>0</v>
      </c>
    </row>
    <row r="6" spans="1:11" s="23" customFormat="1" ht="11.25">
      <c r="A6" s="19" t="s">
        <v>10088</v>
      </c>
      <c r="B6" s="19" t="s">
        <v>14</v>
      </c>
      <c r="C6" s="19" t="s">
        <v>9632</v>
      </c>
      <c r="D6" s="19" t="s">
        <v>9631</v>
      </c>
      <c r="E6" s="19" t="s">
        <v>0</v>
      </c>
      <c r="F6" s="20"/>
      <c r="G6" s="24" t="s">
        <v>1</v>
      </c>
      <c r="H6" s="34" t="s">
        <v>5</v>
      </c>
      <c r="I6" s="22" t="s">
        <v>6</v>
      </c>
      <c r="J6" s="21" t="s">
        <v>7</v>
      </c>
      <c r="K6" s="21" t="s">
        <v>8</v>
      </c>
    </row>
    <row r="7" spans="1:11">
      <c r="A7" t="s">
        <v>633</v>
      </c>
      <c r="B7" t="s">
        <v>16</v>
      </c>
      <c r="C7" t="s">
        <v>10091</v>
      </c>
      <c r="D7" t="s">
        <v>6287</v>
      </c>
      <c r="E7">
        <v>2972.54</v>
      </c>
      <c r="G7" s="35"/>
      <c r="H7" s="36">
        <f t="shared" ref="H7:H70" si="0">+E7*$H$1*(1-G7)</f>
        <v>1872.7002</v>
      </c>
      <c r="I7" s="37">
        <f t="shared" ref="I7:I70" si="1">H7*$H$4</f>
        <v>1872.7002</v>
      </c>
      <c r="J7" s="4"/>
      <c r="K7" s="38">
        <f t="shared" ref="K7:K70" si="2">J7*I7</f>
        <v>0</v>
      </c>
    </row>
    <row r="8" spans="1:11">
      <c r="A8" t="s">
        <v>634</v>
      </c>
      <c r="B8" t="s">
        <v>16</v>
      </c>
      <c r="C8" t="s">
        <v>10091</v>
      </c>
      <c r="D8" t="s">
        <v>6288</v>
      </c>
      <c r="E8">
        <v>7608.84</v>
      </c>
      <c r="G8" s="35"/>
      <c r="H8" s="36">
        <f t="shared" si="0"/>
        <v>4793.5691999999999</v>
      </c>
      <c r="I8" s="37">
        <f t="shared" si="1"/>
        <v>4793.5691999999999</v>
      </c>
      <c r="J8" s="4"/>
      <c r="K8" s="38">
        <f t="shared" si="2"/>
        <v>0</v>
      </c>
    </row>
    <row r="9" spans="1:11">
      <c r="A9" t="s">
        <v>635</v>
      </c>
      <c r="B9" t="s">
        <v>16</v>
      </c>
      <c r="C9" t="s">
        <v>10091</v>
      </c>
      <c r="D9" t="s">
        <v>6289</v>
      </c>
      <c r="E9">
        <v>6388.88</v>
      </c>
      <c r="G9" s="35"/>
      <c r="H9" s="36">
        <f t="shared" si="0"/>
        <v>4024.9944</v>
      </c>
      <c r="I9" s="37">
        <f t="shared" si="1"/>
        <v>4024.9944</v>
      </c>
      <c r="J9" s="4"/>
      <c r="K9" s="38">
        <f t="shared" si="2"/>
        <v>0</v>
      </c>
    </row>
    <row r="10" spans="1:11">
      <c r="A10" t="s">
        <v>636</v>
      </c>
      <c r="B10" t="s">
        <v>16</v>
      </c>
      <c r="C10" t="s">
        <v>10091</v>
      </c>
      <c r="D10" t="s">
        <v>6290</v>
      </c>
      <c r="E10">
        <v>6522.71</v>
      </c>
      <c r="G10" s="35"/>
      <c r="H10" s="36">
        <f t="shared" si="0"/>
        <v>4109.3073000000004</v>
      </c>
      <c r="I10" s="37">
        <f t="shared" si="1"/>
        <v>4109.3073000000004</v>
      </c>
      <c r="J10" s="4"/>
      <c r="K10" s="38">
        <f t="shared" si="2"/>
        <v>0</v>
      </c>
    </row>
    <row r="11" spans="1:11">
      <c r="A11" t="s">
        <v>637</v>
      </c>
      <c r="B11" t="s">
        <v>16</v>
      </c>
      <c r="C11" t="s">
        <v>10091</v>
      </c>
      <c r="D11" t="s">
        <v>6291</v>
      </c>
      <c r="E11">
        <v>1201.1400000000001</v>
      </c>
      <c r="G11" s="35"/>
      <c r="H11" s="36">
        <f t="shared" si="0"/>
        <v>756.71820000000002</v>
      </c>
      <c r="I11" s="37">
        <f t="shared" si="1"/>
        <v>756.71820000000002</v>
      </c>
      <c r="J11" s="4"/>
      <c r="K11" s="38">
        <f t="shared" si="2"/>
        <v>0</v>
      </c>
    </row>
    <row r="12" spans="1:11">
      <c r="A12" t="s">
        <v>738</v>
      </c>
      <c r="B12" t="s">
        <v>16</v>
      </c>
      <c r="C12" t="s">
        <v>6391</v>
      </c>
      <c r="D12" t="s">
        <v>6392</v>
      </c>
      <c r="E12">
        <v>4839.63</v>
      </c>
      <c r="G12" s="35"/>
      <c r="H12" s="36">
        <f t="shared" si="0"/>
        <v>3048.9668999999999</v>
      </c>
      <c r="I12" s="37">
        <f t="shared" si="1"/>
        <v>3048.9668999999999</v>
      </c>
      <c r="J12" s="4"/>
      <c r="K12" s="38">
        <f t="shared" si="2"/>
        <v>0</v>
      </c>
    </row>
    <row r="13" spans="1:11">
      <c r="A13" t="s">
        <v>739</v>
      </c>
      <c r="B13" t="s">
        <v>16</v>
      </c>
      <c r="C13" t="s">
        <v>6391</v>
      </c>
      <c r="D13" t="s">
        <v>6393</v>
      </c>
      <c r="E13">
        <v>11424.23</v>
      </c>
      <c r="G13" s="35"/>
      <c r="H13" s="36">
        <f t="shared" si="0"/>
        <v>7197.2649000000001</v>
      </c>
      <c r="I13" s="37">
        <f t="shared" si="1"/>
        <v>7197.2649000000001</v>
      </c>
      <c r="J13" s="4"/>
      <c r="K13" s="38">
        <f t="shared" si="2"/>
        <v>0</v>
      </c>
    </row>
    <row r="14" spans="1:11">
      <c r="A14" t="s">
        <v>740</v>
      </c>
      <c r="B14" t="s">
        <v>16</v>
      </c>
      <c r="C14" t="s">
        <v>6391</v>
      </c>
      <c r="D14" t="s">
        <v>6394</v>
      </c>
      <c r="E14">
        <v>4839.63</v>
      </c>
      <c r="G14" s="35"/>
      <c r="H14" s="36">
        <f t="shared" si="0"/>
        <v>3048.9668999999999</v>
      </c>
      <c r="I14" s="37">
        <f t="shared" si="1"/>
        <v>3048.9668999999999</v>
      </c>
      <c r="J14" s="4"/>
      <c r="K14" s="38">
        <f t="shared" si="2"/>
        <v>0</v>
      </c>
    </row>
    <row r="15" spans="1:11">
      <c r="A15" t="s">
        <v>741</v>
      </c>
      <c r="B15" t="s">
        <v>16</v>
      </c>
      <c r="C15" t="s">
        <v>6391</v>
      </c>
      <c r="D15" t="s">
        <v>6395</v>
      </c>
      <c r="E15">
        <v>12687.78</v>
      </c>
      <c r="G15" s="35"/>
      <c r="H15" s="36">
        <f t="shared" si="0"/>
        <v>7993.3014000000003</v>
      </c>
      <c r="I15" s="37">
        <f t="shared" si="1"/>
        <v>7993.3014000000003</v>
      </c>
      <c r="J15" s="4"/>
      <c r="K15" s="38">
        <f t="shared" si="2"/>
        <v>0</v>
      </c>
    </row>
    <row r="16" spans="1:11">
      <c r="A16" t="s">
        <v>742</v>
      </c>
      <c r="B16" t="s">
        <v>16</v>
      </c>
      <c r="C16" t="s">
        <v>6391</v>
      </c>
      <c r="D16" t="s">
        <v>6396</v>
      </c>
      <c r="E16">
        <v>6319.46</v>
      </c>
      <c r="G16" s="35"/>
      <c r="H16" s="36">
        <f t="shared" si="0"/>
        <v>3981.2598000000003</v>
      </c>
      <c r="I16" s="37">
        <f t="shared" si="1"/>
        <v>3981.2598000000003</v>
      </c>
      <c r="J16" s="4"/>
      <c r="K16" s="38">
        <f t="shared" si="2"/>
        <v>0</v>
      </c>
    </row>
    <row r="17" spans="1:11">
      <c r="A17" t="s">
        <v>743</v>
      </c>
      <c r="B17" t="s">
        <v>16</v>
      </c>
      <c r="C17" t="s">
        <v>6391</v>
      </c>
      <c r="D17" t="s">
        <v>6397</v>
      </c>
      <c r="E17">
        <v>6319.41</v>
      </c>
      <c r="G17" s="35"/>
      <c r="H17" s="36">
        <f t="shared" si="0"/>
        <v>3981.2282999999998</v>
      </c>
      <c r="I17" s="37">
        <f t="shared" si="1"/>
        <v>3981.2282999999998</v>
      </c>
      <c r="J17" s="4"/>
      <c r="K17" s="38">
        <f t="shared" si="2"/>
        <v>0</v>
      </c>
    </row>
    <row r="18" spans="1:11">
      <c r="A18" t="s">
        <v>744</v>
      </c>
      <c r="B18" t="s">
        <v>16</v>
      </c>
      <c r="C18" t="s">
        <v>6391</v>
      </c>
      <c r="D18" t="s">
        <v>6398</v>
      </c>
      <c r="E18">
        <v>15745.03</v>
      </c>
      <c r="G18" s="35"/>
      <c r="H18" s="36">
        <f t="shared" si="0"/>
        <v>9919.3689000000013</v>
      </c>
      <c r="I18" s="37">
        <f t="shared" si="1"/>
        <v>9919.3689000000013</v>
      </c>
      <c r="J18" s="4"/>
      <c r="K18" s="38">
        <f t="shared" si="2"/>
        <v>0</v>
      </c>
    </row>
    <row r="19" spans="1:11">
      <c r="A19" t="s">
        <v>745</v>
      </c>
      <c r="B19" t="s">
        <v>16</v>
      </c>
      <c r="C19" t="s">
        <v>6391</v>
      </c>
      <c r="D19" t="s">
        <v>6399</v>
      </c>
      <c r="E19">
        <v>14583.48</v>
      </c>
      <c r="G19" s="35"/>
      <c r="H19" s="36">
        <f t="shared" si="0"/>
        <v>9187.5923999999995</v>
      </c>
      <c r="I19" s="37">
        <f t="shared" si="1"/>
        <v>9187.5923999999995</v>
      </c>
      <c r="J19" s="4"/>
      <c r="K19" s="38">
        <f t="shared" si="2"/>
        <v>0</v>
      </c>
    </row>
    <row r="20" spans="1:11">
      <c r="A20" t="s">
        <v>746</v>
      </c>
      <c r="B20" t="s">
        <v>16</v>
      </c>
      <c r="C20" t="s">
        <v>6391</v>
      </c>
      <c r="D20" t="s">
        <v>6400</v>
      </c>
      <c r="E20">
        <v>31687.98</v>
      </c>
      <c r="G20" s="35"/>
      <c r="H20" s="36">
        <f t="shared" si="0"/>
        <v>19963.4274</v>
      </c>
      <c r="I20" s="37">
        <f t="shared" si="1"/>
        <v>19963.4274</v>
      </c>
      <c r="J20" s="4"/>
      <c r="K20" s="38">
        <f t="shared" si="2"/>
        <v>0</v>
      </c>
    </row>
    <row r="21" spans="1:11">
      <c r="A21" t="s">
        <v>747</v>
      </c>
      <c r="B21" t="s">
        <v>16</v>
      </c>
      <c r="C21" t="s">
        <v>6391</v>
      </c>
      <c r="D21" t="s">
        <v>6401</v>
      </c>
      <c r="E21">
        <v>11526.11</v>
      </c>
      <c r="G21" s="35"/>
      <c r="H21" s="36">
        <f t="shared" si="0"/>
        <v>7261.4493000000002</v>
      </c>
      <c r="I21" s="37">
        <f t="shared" si="1"/>
        <v>7261.4493000000002</v>
      </c>
      <c r="J21" s="4"/>
      <c r="K21" s="38">
        <f t="shared" si="2"/>
        <v>0</v>
      </c>
    </row>
    <row r="22" spans="1:11">
      <c r="A22" t="s">
        <v>748</v>
      </c>
      <c r="B22" t="s">
        <v>16</v>
      </c>
      <c r="C22" t="s">
        <v>6391</v>
      </c>
      <c r="D22" t="s">
        <v>6402</v>
      </c>
      <c r="E22">
        <v>18467.66</v>
      </c>
      <c r="G22" s="35"/>
      <c r="H22" s="36">
        <f t="shared" si="0"/>
        <v>11634.6258</v>
      </c>
      <c r="I22" s="37">
        <f t="shared" si="1"/>
        <v>11634.6258</v>
      </c>
      <c r="J22" s="4"/>
      <c r="K22" s="38">
        <f t="shared" si="2"/>
        <v>0</v>
      </c>
    </row>
    <row r="23" spans="1:11">
      <c r="A23" t="s">
        <v>749</v>
      </c>
      <c r="B23" t="s">
        <v>16</v>
      </c>
      <c r="C23" t="s">
        <v>6391</v>
      </c>
      <c r="D23" t="s">
        <v>6403</v>
      </c>
      <c r="E23">
        <v>24577.66</v>
      </c>
      <c r="G23" s="35"/>
      <c r="H23" s="36">
        <f t="shared" si="0"/>
        <v>15483.925800000001</v>
      </c>
      <c r="I23" s="37">
        <f t="shared" si="1"/>
        <v>15483.925800000001</v>
      </c>
      <c r="J23" s="4"/>
      <c r="K23" s="38">
        <f t="shared" si="2"/>
        <v>0</v>
      </c>
    </row>
    <row r="24" spans="1:11">
      <c r="A24" t="s">
        <v>750</v>
      </c>
      <c r="B24" t="s">
        <v>16</v>
      </c>
      <c r="C24" t="s">
        <v>6391</v>
      </c>
      <c r="D24" t="s">
        <v>6404</v>
      </c>
      <c r="E24">
        <v>21606.39</v>
      </c>
      <c r="G24" s="35"/>
      <c r="H24" s="36">
        <f t="shared" si="0"/>
        <v>13612.0257</v>
      </c>
      <c r="I24" s="37">
        <f t="shared" si="1"/>
        <v>13612.0257</v>
      </c>
      <c r="J24" s="4"/>
      <c r="K24" s="38">
        <f t="shared" si="2"/>
        <v>0</v>
      </c>
    </row>
    <row r="25" spans="1:11">
      <c r="A25" t="s">
        <v>751</v>
      </c>
      <c r="B25" t="s">
        <v>16</v>
      </c>
      <c r="C25" t="s">
        <v>6391</v>
      </c>
      <c r="D25" t="s">
        <v>6405</v>
      </c>
      <c r="E25">
        <v>20688.189999999999</v>
      </c>
      <c r="G25" s="35"/>
      <c r="H25" s="36">
        <f t="shared" si="0"/>
        <v>13033.5597</v>
      </c>
      <c r="I25" s="37">
        <f t="shared" si="1"/>
        <v>13033.5597</v>
      </c>
      <c r="J25" s="4"/>
      <c r="K25" s="38">
        <f t="shared" si="2"/>
        <v>0</v>
      </c>
    </row>
    <row r="26" spans="1:11">
      <c r="A26" t="s">
        <v>752</v>
      </c>
      <c r="B26" t="s">
        <v>16</v>
      </c>
      <c r="C26" t="s">
        <v>6391</v>
      </c>
      <c r="D26" t="s">
        <v>6406</v>
      </c>
      <c r="E26">
        <v>9970.5400000000009</v>
      </c>
      <c r="G26" s="35"/>
      <c r="H26" s="36">
        <f t="shared" si="0"/>
        <v>6281.4402000000009</v>
      </c>
      <c r="I26" s="37">
        <f t="shared" si="1"/>
        <v>6281.4402000000009</v>
      </c>
      <c r="J26" s="4"/>
      <c r="K26" s="38">
        <f t="shared" si="2"/>
        <v>0</v>
      </c>
    </row>
    <row r="27" spans="1:11">
      <c r="A27" t="s">
        <v>753</v>
      </c>
      <c r="B27" t="s">
        <v>16</v>
      </c>
      <c r="C27" t="s">
        <v>6391</v>
      </c>
      <c r="D27" t="s">
        <v>6407</v>
      </c>
      <c r="E27">
        <v>16852.330000000002</v>
      </c>
      <c r="G27" s="35"/>
      <c r="H27" s="36">
        <f t="shared" si="0"/>
        <v>10616.967900000001</v>
      </c>
      <c r="I27" s="37">
        <f t="shared" si="1"/>
        <v>10616.967900000001</v>
      </c>
      <c r="J27" s="4"/>
      <c r="K27" s="38">
        <f t="shared" si="2"/>
        <v>0</v>
      </c>
    </row>
    <row r="28" spans="1:11">
      <c r="A28" t="s">
        <v>754</v>
      </c>
      <c r="B28" t="s">
        <v>16</v>
      </c>
      <c r="C28" t="s">
        <v>6391</v>
      </c>
      <c r="D28" t="s">
        <v>6408</v>
      </c>
      <c r="E28">
        <v>8636.52</v>
      </c>
      <c r="G28" s="35"/>
      <c r="H28" s="36">
        <f t="shared" si="0"/>
        <v>5441.0075999999999</v>
      </c>
      <c r="I28" s="37">
        <f t="shared" si="1"/>
        <v>5441.0075999999999</v>
      </c>
      <c r="J28" s="4"/>
      <c r="K28" s="38">
        <f t="shared" si="2"/>
        <v>0</v>
      </c>
    </row>
    <row r="29" spans="1:11">
      <c r="A29" t="s">
        <v>755</v>
      </c>
      <c r="B29" t="s">
        <v>16</v>
      </c>
      <c r="C29" t="s">
        <v>6391</v>
      </c>
      <c r="D29" t="s">
        <v>6409</v>
      </c>
      <c r="E29">
        <v>31707.41</v>
      </c>
      <c r="G29" s="35"/>
      <c r="H29" s="36">
        <f t="shared" si="0"/>
        <v>19975.668300000001</v>
      </c>
      <c r="I29" s="37">
        <f t="shared" si="1"/>
        <v>19975.668300000001</v>
      </c>
      <c r="J29" s="4"/>
      <c r="K29" s="38">
        <f t="shared" si="2"/>
        <v>0</v>
      </c>
    </row>
    <row r="30" spans="1:11">
      <c r="A30" t="s">
        <v>756</v>
      </c>
      <c r="B30" t="s">
        <v>16</v>
      </c>
      <c r="C30" t="s">
        <v>6391</v>
      </c>
      <c r="D30" t="s">
        <v>6410</v>
      </c>
      <c r="E30">
        <v>112360.41</v>
      </c>
      <c r="G30" s="35"/>
      <c r="H30" s="36">
        <f t="shared" si="0"/>
        <v>70787.058300000004</v>
      </c>
      <c r="I30" s="37">
        <f t="shared" si="1"/>
        <v>70787.058300000004</v>
      </c>
      <c r="J30" s="4"/>
      <c r="K30" s="38">
        <f t="shared" si="2"/>
        <v>0</v>
      </c>
    </row>
    <row r="31" spans="1:11">
      <c r="A31" t="s">
        <v>757</v>
      </c>
      <c r="B31" t="s">
        <v>16</v>
      </c>
      <c r="C31" t="s">
        <v>6391</v>
      </c>
      <c r="D31" t="s">
        <v>6411</v>
      </c>
      <c r="E31">
        <v>21000.38</v>
      </c>
      <c r="G31" s="35"/>
      <c r="H31" s="36">
        <f t="shared" si="0"/>
        <v>13230.2394</v>
      </c>
      <c r="I31" s="37">
        <f t="shared" si="1"/>
        <v>13230.2394</v>
      </c>
      <c r="J31" s="4"/>
      <c r="K31" s="38">
        <f t="shared" si="2"/>
        <v>0</v>
      </c>
    </row>
    <row r="32" spans="1:11">
      <c r="A32" t="s">
        <v>758</v>
      </c>
      <c r="B32" t="s">
        <v>16</v>
      </c>
      <c r="C32" t="s">
        <v>6391</v>
      </c>
      <c r="D32" t="s">
        <v>6412</v>
      </c>
      <c r="E32">
        <v>22065.24</v>
      </c>
      <c r="G32" s="35"/>
      <c r="H32" s="36">
        <f t="shared" si="0"/>
        <v>13901.101200000001</v>
      </c>
      <c r="I32" s="37">
        <f t="shared" si="1"/>
        <v>13901.101200000001</v>
      </c>
      <c r="J32" s="4"/>
      <c r="K32" s="38">
        <f t="shared" si="2"/>
        <v>0</v>
      </c>
    </row>
    <row r="33" spans="1:11">
      <c r="A33" t="s">
        <v>759</v>
      </c>
      <c r="B33" t="s">
        <v>16</v>
      </c>
      <c r="C33" t="s">
        <v>6391</v>
      </c>
      <c r="D33" t="s">
        <v>6413</v>
      </c>
      <c r="E33">
        <v>24015.08</v>
      </c>
      <c r="G33" s="35"/>
      <c r="H33" s="36">
        <f t="shared" si="0"/>
        <v>15129.500400000001</v>
      </c>
      <c r="I33" s="37">
        <f t="shared" si="1"/>
        <v>15129.500400000001</v>
      </c>
      <c r="J33" s="4"/>
      <c r="K33" s="38">
        <f t="shared" si="2"/>
        <v>0</v>
      </c>
    </row>
    <row r="34" spans="1:11">
      <c r="A34" t="s">
        <v>12363</v>
      </c>
      <c r="B34" t="s">
        <v>16</v>
      </c>
      <c r="C34" t="s">
        <v>6391</v>
      </c>
      <c r="D34" t="s">
        <v>12364</v>
      </c>
      <c r="E34">
        <v>19969.43</v>
      </c>
      <c r="G34" s="35"/>
      <c r="H34" s="36">
        <f t="shared" si="0"/>
        <v>12580.740900000001</v>
      </c>
      <c r="I34" s="37">
        <f t="shared" si="1"/>
        <v>12580.740900000001</v>
      </c>
      <c r="J34" s="4"/>
      <c r="K34" s="38">
        <f t="shared" si="2"/>
        <v>0</v>
      </c>
    </row>
    <row r="35" spans="1:11">
      <c r="A35" t="s">
        <v>12806</v>
      </c>
      <c r="B35" t="s">
        <v>16</v>
      </c>
      <c r="C35" t="s">
        <v>6391</v>
      </c>
      <c r="D35" t="s">
        <v>12807</v>
      </c>
      <c r="E35">
        <v>13703.44</v>
      </c>
      <c r="G35" s="35"/>
      <c r="H35" s="36">
        <f t="shared" si="0"/>
        <v>8633.1671999999999</v>
      </c>
      <c r="I35" s="37">
        <f t="shared" si="1"/>
        <v>8633.1671999999999</v>
      </c>
      <c r="J35" s="4"/>
      <c r="K35" s="38">
        <f t="shared" si="2"/>
        <v>0</v>
      </c>
    </row>
    <row r="36" spans="1:11">
      <c r="A36" t="s">
        <v>760</v>
      </c>
      <c r="B36" t="s">
        <v>16</v>
      </c>
      <c r="C36" t="s">
        <v>6391</v>
      </c>
      <c r="D36" t="s">
        <v>6414</v>
      </c>
      <c r="E36">
        <v>50663.519999999997</v>
      </c>
      <c r="G36" s="35"/>
      <c r="H36" s="36">
        <f t="shared" si="0"/>
        <v>31918.017599999999</v>
      </c>
      <c r="I36" s="37">
        <f t="shared" si="1"/>
        <v>31918.017599999999</v>
      </c>
      <c r="J36" s="4"/>
      <c r="K36" s="38">
        <f t="shared" si="2"/>
        <v>0</v>
      </c>
    </row>
    <row r="37" spans="1:11">
      <c r="A37" t="s">
        <v>761</v>
      </c>
      <c r="B37" t="s">
        <v>16</v>
      </c>
      <c r="C37" t="s">
        <v>6391</v>
      </c>
      <c r="D37" t="s">
        <v>6415</v>
      </c>
      <c r="E37">
        <v>25116.880000000001</v>
      </c>
      <c r="G37" s="35"/>
      <c r="H37" s="36">
        <f t="shared" si="0"/>
        <v>15823.634400000001</v>
      </c>
      <c r="I37" s="37">
        <f t="shared" si="1"/>
        <v>15823.634400000001</v>
      </c>
      <c r="J37" s="4"/>
      <c r="K37" s="38">
        <f t="shared" si="2"/>
        <v>0</v>
      </c>
    </row>
    <row r="38" spans="1:11">
      <c r="A38" t="s">
        <v>762</v>
      </c>
      <c r="B38" t="s">
        <v>16</v>
      </c>
      <c r="C38" t="s">
        <v>6391</v>
      </c>
      <c r="D38" t="s">
        <v>6416</v>
      </c>
      <c r="E38">
        <v>3116.31</v>
      </c>
      <c r="G38" s="35"/>
      <c r="H38" s="36">
        <f t="shared" si="0"/>
        <v>1963.2753</v>
      </c>
      <c r="I38" s="37">
        <f t="shared" si="1"/>
        <v>1963.2753</v>
      </c>
      <c r="J38" s="4"/>
      <c r="K38" s="38">
        <f t="shared" si="2"/>
        <v>0</v>
      </c>
    </row>
    <row r="39" spans="1:11">
      <c r="A39" t="s">
        <v>763</v>
      </c>
      <c r="B39" t="s">
        <v>16</v>
      </c>
      <c r="C39" t="s">
        <v>6391</v>
      </c>
      <c r="D39" t="s">
        <v>6417</v>
      </c>
      <c r="E39">
        <v>3158.61</v>
      </c>
      <c r="G39" s="35"/>
      <c r="H39" s="36">
        <f t="shared" si="0"/>
        <v>1989.9243000000001</v>
      </c>
      <c r="I39" s="37">
        <f t="shared" si="1"/>
        <v>1989.9243000000001</v>
      </c>
      <c r="J39" s="4"/>
      <c r="K39" s="38">
        <f t="shared" si="2"/>
        <v>0</v>
      </c>
    </row>
    <row r="40" spans="1:11">
      <c r="A40" t="s">
        <v>764</v>
      </c>
      <c r="B40" t="s">
        <v>16</v>
      </c>
      <c r="C40" t="s">
        <v>6391</v>
      </c>
      <c r="D40" t="s">
        <v>6418</v>
      </c>
      <c r="E40">
        <v>4045.93</v>
      </c>
      <c r="G40" s="35"/>
      <c r="H40" s="36">
        <f t="shared" si="0"/>
        <v>2548.9358999999999</v>
      </c>
      <c r="I40" s="37">
        <f t="shared" si="1"/>
        <v>2548.9358999999999</v>
      </c>
      <c r="J40" s="4"/>
      <c r="K40" s="38">
        <f t="shared" si="2"/>
        <v>0</v>
      </c>
    </row>
    <row r="41" spans="1:11">
      <c r="A41" t="s">
        <v>765</v>
      </c>
      <c r="B41" t="s">
        <v>16</v>
      </c>
      <c r="C41" t="s">
        <v>6391</v>
      </c>
      <c r="D41" t="s">
        <v>6419</v>
      </c>
      <c r="E41">
        <v>194187.88</v>
      </c>
      <c r="G41" s="35"/>
      <c r="H41" s="36">
        <f t="shared" si="0"/>
        <v>122338.36440000001</v>
      </c>
      <c r="I41" s="37">
        <f t="shared" si="1"/>
        <v>122338.36440000001</v>
      </c>
      <c r="J41" s="4"/>
      <c r="K41" s="38">
        <f t="shared" si="2"/>
        <v>0</v>
      </c>
    </row>
    <row r="42" spans="1:11">
      <c r="A42" t="s">
        <v>766</v>
      </c>
      <c r="B42" t="s">
        <v>16</v>
      </c>
      <c r="C42" t="s">
        <v>6391</v>
      </c>
      <c r="D42" t="s">
        <v>6420</v>
      </c>
      <c r="E42">
        <v>210691.17</v>
      </c>
      <c r="G42" s="35"/>
      <c r="H42" s="36">
        <f t="shared" si="0"/>
        <v>132735.43710000001</v>
      </c>
      <c r="I42" s="37">
        <f t="shared" si="1"/>
        <v>132735.43710000001</v>
      </c>
      <c r="J42" s="4"/>
      <c r="K42" s="38">
        <f t="shared" si="2"/>
        <v>0</v>
      </c>
    </row>
    <row r="43" spans="1:11">
      <c r="A43" t="s">
        <v>767</v>
      </c>
      <c r="B43" t="s">
        <v>16</v>
      </c>
      <c r="C43" t="s">
        <v>6391</v>
      </c>
      <c r="D43" t="s">
        <v>6421</v>
      </c>
      <c r="E43">
        <v>237007.43</v>
      </c>
      <c r="G43" s="35"/>
      <c r="H43" s="36">
        <f t="shared" si="0"/>
        <v>149314.68090000001</v>
      </c>
      <c r="I43" s="37">
        <f t="shared" si="1"/>
        <v>149314.68090000001</v>
      </c>
      <c r="J43" s="4"/>
      <c r="K43" s="38">
        <f t="shared" si="2"/>
        <v>0</v>
      </c>
    </row>
    <row r="44" spans="1:11">
      <c r="A44" t="s">
        <v>768</v>
      </c>
      <c r="B44" t="s">
        <v>16</v>
      </c>
      <c r="C44" t="s">
        <v>6391</v>
      </c>
      <c r="D44" t="s">
        <v>6422</v>
      </c>
      <c r="E44">
        <v>318872.88</v>
      </c>
      <c r="G44" s="35"/>
      <c r="H44" s="36">
        <f t="shared" si="0"/>
        <v>200889.91440000001</v>
      </c>
      <c r="I44" s="37">
        <f t="shared" si="1"/>
        <v>200889.91440000001</v>
      </c>
      <c r="J44" s="4"/>
      <c r="K44" s="38">
        <f t="shared" si="2"/>
        <v>0</v>
      </c>
    </row>
    <row r="45" spans="1:11">
      <c r="A45" t="s">
        <v>769</v>
      </c>
      <c r="B45" t="s">
        <v>16</v>
      </c>
      <c r="C45" t="s">
        <v>6391</v>
      </c>
      <c r="D45" t="s">
        <v>6423</v>
      </c>
      <c r="E45">
        <v>637168.62</v>
      </c>
      <c r="G45" s="35"/>
      <c r="H45" s="36">
        <f t="shared" si="0"/>
        <v>401416.23060000001</v>
      </c>
      <c r="I45" s="37">
        <f t="shared" si="1"/>
        <v>401416.23060000001</v>
      </c>
      <c r="J45" s="4"/>
      <c r="K45" s="38">
        <f t="shared" si="2"/>
        <v>0</v>
      </c>
    </row>
    <row r="46" spans="1:11">
      <c r="A46" t="s">
        <v>770</v>
      </c>
      <c r="B46" t="s">
        <v>16</v>
      </c>
      <c r="C46" t="s">
        <v>6391</v>
      </c>
      <c r="D46" t="s">
        <v>6424</v>
      </c>
      <c r="E46">
        <v>2659.52</v>
      </c>
      <c r="G46" s="35"/>
      <c r="H46" s="36">
        <f t="shared" si="0"/>
        <v>1675.4975999999999</v>
      </c>
      <c r="I46" s="37">
        <f t="shared" si="1"/>
        <v>1675.4975999999999</v>
      </c>
      <c r="J46" s="4"/>
      <c r="K46" s="38">
        <f t="shared" si="2"/>
        <v>0</v>
      </c>
    </row>
    <row r="47" spans="1:11">
      <c r="A47" t="s">
        <v>771</v>
      </c>
      <c r="B47" t="s">
        <v>16</v>
      </c>
      <c r="C47" t="s">
        <v>6391</v>
      </c>
      <c r="D47" t="s">
        <v>6425</v>
      </c>
      <c r="E47">
        <v>5227.1499999999996</v>
      </c>
      <c r="G47" s="35"/>
      <c r="H47" s="36">
        <f t="shared" si="0"/>
        <v>3293.1044999999999</v>
      </c>
      <c r="I47" s="37">
        <f t="shared" si="1"/>
        <v>3293.1044999999999</v>
      </c>
      <c r="J47" s="4"/>
      <c r="K47" s="38">
        <f t="shared" si="2"/>
        <v>0</v>
      </c>
    </row>
    <row r="48" spans="1:11">
      <c r="A48" t="s">
        <v>772</v>
      </c>
      <c r="B48" t="s">
        <v>16</v>
      </c>
      <c r="C48" t="s">
        <v>6391</v>
      </c>
      <c r="D48" t="s">
        <v>6426</v>
      </c>
      <c r="E48">
        <v>2681.43</v>
      </c>
      <c r="G48" s="35"/>
      <c r="H48" s="36">
        <f t="shared" si="0"/>
        <v>1689.3009</v>
      </c>
      <c r="I48" s="37">
        <f t="shared" si="1"/>
        <v>1689.3009</v>
      </c>
      <c r="J48" s="4"/>
      <c r="K48" s="38">
        <f t="shared" si="2"/>
        <v>0</v>
      </c>
    </row>
    <row r="49" spans="1:11">
      <c r="A49" t="s">
        <v>773</v>
      </c>
      <c r="B49" t="s">
        <v>16</v>
      </c>
      <c r="C49" t="s">
        <v>6391</v>
      </c>
      <c r="D49" t="s">
        <v>6427</v>
      </c>
      <c r="E49">
        <v>1618.22</v>
      </c>
      <c r="G49" s="35"/>
      <c r="H49" s="36">
        <f t="shared" si="0"/>
        <v>1019.4786</v>
      </c>
      <c r="I49" s="37">
        <f t="shared" si="1"/>
        <v>1019.4786</v>
      </c>
      <c r="J49" s="4"/>
      <c r="K49" s="38">
        <f t="shared" si="2"/>
        <v>0</v>
      </c>
    </row>
    <row r="50" spans="1:11">
      <c r="A50" t="s">
        <v>774</v>
      </c>
      <c r="B50" t="s">
        <v>16</v>
      </c>
      <c r="C50" t="s">
        <v>6391</v>
      </c>
      <c r="D50" t="s">
        <v>6428</v>
      </c>
      <c r="E50">
        <v>23487.51</v>
      </c>
      <c r="G50" s="35"/>
      <c r="H50" s="36">
        <f t="shared" si="0"/>
        <v>14797.131299999999</v>
      </c>
      <c r="I50" s="37">
        <f t="shared" si="1"/>
        <v>14797.131299999999</v>
      </c>
      <c r="J50" s="4"/>
      <c r="K50" s="38">
        <f t="shared" si="2"/>
        <v>0</v>
      </c>
    </row>
    <row r="51" spans="1:11">
      <c r="A51" t="s">
        <v>775</v>
      </c>
      <c r="B51" t="s">
        <v>16</v>
      </c>
      <c r="C51" t="s">
        <v>6391</v>
      </c>
      <c r="D51" t="s">
        <v>6429</v>
      </c>
      <c r="E51">
        <v>22007.64</v>
      </c>
      <c r="G51" s="35"/>
      <c r="H51" s="36">
        <f t="shared" si="0"/>
        <v>13864.813200000001</v>
      </c>
      <c r="I51" s="37">
        <f t="shared" si="1"/>
        <v>13864.813200000001</v>
      </c>
      <c r="J51" s="4"/>
      <c r="K51" s="38">
        <f t="shared" si="2"/>
        <v>0</v>
      </c>
    </row>
    <row r="52" spans="1:11">
      <c r="A52" t="s">
        <v>776</v>
      </c>
      <c r="B52" t="s">
        <v>16</v>
      </c>
      <c r="C52" t="s">
        <v>6391</v>
      </c>
      <c r="D52" t="s">
        <v>6430</v>
      </c>
      <c r="E52">
        <v>118829.52</v>
      </c>
      <c r="G52" s="35"/>
      <c r="H52" s="36">
        <f t="shared" si="0"/>
        <v>74862.597600000008</v>
      </c>
      <c r="I52" s="37">
        <f t="shared" si="1"/>
        <v>74862.597600000008</v>
      </c>
      <c r="J52" s="4"/>
      <c r="K52" s="38">
        <f t="shared" si="2"/>
        <v>0</v>
      </c>
    </row>
    <row r="53" spans="1:11">
      <c r="A53" t="s">
        <v>777</v>
      </c>
      <c r="B53" t="s">
        <v>16</v>
      </c>
      <c r="C53" t="s">
        <v>6391</v>
      </c>
      <c r="D53" t="s">
        <v>6431</v>
      </c>
      <c r="E53">
        <v>2654.33</v>
      </c>
      <c r="G53" s="35"/>
      <c r="H53" s="36">
        <f t="shared" si="0"/>
        <v>1672.2278999999999</v>
      </c>
      <c r="I53" s="37">
        <f t="shared" si="1"/>
        <v>1672.2278999999999</v>
      </c>
      <c r="J53" s="4"/>
      <c r="K53" s="38">
        <f t="shared" si="2"/>
        <v>0</v>
      </c>
    </row>
    <row r="54" spans="1:11">
      <c r="A54" t="s">
        <v>778</v>
      </c>
      <c r="B54" t="s">
        <v>16</v>
      </c>
      <c r="C54" t="s">
        <v>6391</v>
      </c>
      <c r="D54" t="s">
        <v>6432</v>
      </c>
      <c r="E54">
        <v>4083.86</v>
      </c>
      <c r="G54" s="35"/>
      <c r="H54" s="36">
        <f t="shared" si="0"/>
        <v>2572.8317999999999</v>
      </c>
      <c r="I54" s="37">
        <f t="shared" si="1"/>
        <v>2572.8317999999999</v>
      </c>
      <c r="J54" s="4"/>
      <c r="K54" s="38">
        <f t="shared" si="2"/>
        <v>0</v>
      </c>
    </row>
    <row r="55" spans="1:11">
      <c r="A55" t="s">
        <v>779</v>
      </c>
      <c r="B55" t="s">
        <v>16</v>
      </c>
      <c r="C55" t="s">
        <v>6391</v>
      </c>
      <c r="D55" t="s">
        <v>6433</v>
      </c>
      <c r="E55">
        <v>25427.87</v>
      </c>
      <c r="G55" s="35"/>
      <c r="H55" s="36">
        <f t="shared" si="0"/>
        <v>16019.5581</v>
      </c>
      <c r="I55" s="37">
        <f t="shared" si="1"/>
        <v>16019.5581</v>
      </c>
      <c r="J55" s="4"/>
      <c r="K55" s="38">
        <f t="shared" si="2"/>
        <v>0</v>
      </c>
    </row>
    <row r="56" spans="1:11">
      <c r="A56" t="s">
        <v>780</v>
      </c>
      <c r="B56" t="s">
        <v>16</v>
      </c>
      <c r="C56" t="s">
        <v>6391</v>
      </c>
      <c r="D56" t="s">
        <v>6434</v>
      </c>
      <c r="E56">
        <v>33005.22</v>
      </c>
      <c r="G56" s="35"/>
      <c r="H56" s="36">
        <f t="shared" si="0"/>
        <v>20793.2886</v>
      </c>
      <c r="I56" s="37">
        <f t="shared" si="1"/>
        <v>20793.2886</v>
      </c>
      <c r="J56" s="4"/>
      <c r="K56" s="38">
        <f t="shared" si="2"/>
        <v>0</v>
      </c>
    </row>
    <row r="57" spans="1:11">
      <c r="A57" t="s">
        <v>781</v>
      </c>
      <c r="B57" t="s">
        <v>16</v>
      </c>
      <c r="C57" t="s">
        <v>6391</v>
      </c>
      <c r="D57" t="s">
        <v>6435</v>
      </c>
      <c r="E57">
        <v>63197.66</v>
      </c>
      <c r="G57" s="35"/>
      <c r="H57" s="36">
        <f t="shared" si="0"/>
        <v>39814.525800000003</v>
      </c>
      <c r="I57" s="37">
        <f t="shared" si="1"/>
        <v>39814.525800000003</v>
      </c>
      <c r="J57" s="4"/>
      <c r="K57" s="38">
        <f t="shared" si="2"/>
        <v>0</v>
      </c>
    </row>
    <row r="58" spans="1:11">
      <c r="A58" t="s">
        <v>782</v>
      </c>
      <c r="B58" t="s">
        <v>16</v>
      </c>
      <c r="C58" t="s">
        <v>6391</v>
      </c>
      <c r="D58" t="s">
        <v>6436</v>
      </c>
      <c r="E58">
        <v>58876.36</v>
      </c>
      <c r="G58" s="35"/>
      <c r="H58" s="36">
        <f t="shared" si="0"/>
        <v>37092.106800000001</v>
      </c>
      <c r="I58" s="37">
        <f t="shared" si="1"/>
        <v>37092.106800000001</v>
      </c>
      <c r="J58" s="4"/>
      <c r="K58" s="38">
        <f t="shared" si="2"/>
        <v>0</v>
      </c>
    </row>
    <row r="59" spans="1:11">
      <c r="A59" t="s">
        <v>783</v>
      </c>
      <c r="B59" t="s">
        <v>16</v>
      </c>
      <c r="C59" t="s">
        <v>6391</v>
      </c>
      <c r="D59" t="s">
        <v>6437</v>
      </c>
      <c r="E59">
        <v>91831.63</v>
      </c>
      <c r="G59" s="35"/>
      <c r="H59" s="36">
        <f t="shared" si="0"/>
        <v>57853.926900000006</v>
      </c>
      <c r="I59" s="37">
        <f t="shared" si="1"/>
        <v>57853.926900000006</v>
      </c>
      <c r="J59" s="4"/>
      <c r="K59" s="38">
        <f t="shared" si="2"/>
        <v>0</v>
      </c>
    </row>
    <row r="60" spans="1:11">
      <c r="A60" t="s">
        <v>784</v>
      </c>
      <c r="B60" t="s">
        <v>16</v>
      </c>
      <c r="C60" t="s">
        <v>6391</v>
      </c>
      <c r="D60" t="s">
        <v>6438</v>
      </c>
      <c r="E60">
        <v>69943.39</v>
      </c>
      <c r="G60" s="35"/>
      <c r="H60" s="36">
        <f t="shared" si="0"/>
        <v>44064.335700000003</v>
      </c>
      <c r="I60" s="37">
        <f t="shared" si="1"/>
        <v>44064.335700000003</v>
      </c>
      <c r="J60" s="4"/>
      <c r="K60" s="38">
        <f t="shared" si="2"/>
        <v>0</v>
      </c>
    </row>
    <row r="61" spans="1:11">
      <c r="A61" t="s">
        <v>785</v>
      </c>
      <c r="B61" t="s">
        <v>16</v>
      </c>
      <c r="C61" t="s">
        <v>6391</v>
      </c>
      <c r="D61" t="s">
        <v>6439</v>
      </c>
      <c r="E61">
        <v>63197.66</v>
      </c>
      <c r="G61" s="35"/>
      <c r="H61" s="36">
        <f t="shared" si="0"/>
        <v>39814.525800000003</v>
      </c>
      <c r="I61" s="37">
        <f t="shared" si="1"/>
        <v>39814.525800000003</v>
      </c>
      <c r="J61" s="4"/>
      <c r="K61" s="38">
        <f t="shared" si="2"/>
        <v>0</v>
      </c>
    </row>
    <row r="62" spans="1:11">
      <c r="A62" t="s">
        <v>786</v>
      </c>
      <c r="B62" t="s">
        <v>16</v>
      </c>
      <c r="C62" t="s">
        <v>6391</v>
      </c>
      <c r="D62" t="s">
        <v>6440</v>
      </c>
      <c r="E62">
        <v>42671.31</v>
      </c>
      <c r="G62" s="35"/>
      <c r="H62" s="36">
        <f t="shared" si="0"/>
        <v>26882.925299999999</v>
      </c>
      <c r="I62" s="37">
        <f t="shared" si="1"/>
        <v>26882.925299999999</v>
      </c>
      <c r="J62" s="4"/>
      <c r="K62" s="38">
        <f t="shared" si="2"/>
        <v>0</v>
      </c>
    </row>
    <row r="63" spans="1:11">
      <c r="A63" t="s">
        <v>787</v>
      </c>
      <c r="B63" t="s">
        <v>16</v>
      </c>
      <c r="C63" t="s">
        <v>6391</v>
      </c>
      <c r="D63" t="s">
        <v>6441</v>
      </c>
      <c r="E63">
        <v>150648.38</v>
      </c>
      <c r="G63" s="35"/>
      <c r="H63" s="36">
        <f t="shared" si="0"/>
        <v>94908.479399999997</v>
      </c>
      <c r="I63" s="37">
        <f t="shared" si="1"/>
        <v>94908.479399999997</v>
      </c>
      <c r="J63" s="4"/>
      <c r="K63" s="38">
        <f t="shared" si="2"/>
        <v>0</v>
      </c>
    </row>
    <row r="64" spans="1:11">
      <c r="A64" t="s">
        <v>788</v>
      </c>
      <c r="B64" t="s">
        <v>16</v>
      </c>
      <c r="C64" t="s">
        <v>6391</v>
      </c>
      <c r="D64" t="s">
        <v>6442</v>
      </c>
      <c r="E64">
        <v>50369.53</v>
      </c>
      <c r="G64" s="35"/>
      <c r="H64" s="36">
        <f t="shared" si="0"/>
        <v>31732.803899999999</v>
      </c>
      <c r="I64" s="37">
        <f t="shared" si="1"/>
        <v>31732.803899999999</v>
      </c>
      <c r="J64" s="4"/>
      <c r="K64" s="38">
        <f t="shared" si="2"/>
        <v>0</v>
      </c>
    </row>
    <row r="65" spans="1:11">
      <c r="A65" t="s">
        <v>789</v>
      </c>
      <c r="B65" t="s">
        <v>16</v>
      </c>
      <c r="C65" t="s">
        <v>6391</v>
      </c>
      <c r="D65" t="s">
        <v>6443</v>
      </c>
      <c r="E65">
        <v>81570.95</v>
      </c>
      <c r="G65" s="35"/>
      <c r="H65" s="36">
        <f t="shared" si="0"/>
        <v>51389.698499999999</v>
      </c>
      <c r="I65" s="37">
        <f t="shared" si="1"/>
        <v>51389.698499999999</v>
      </c>
      <c r="J65" s="4"/>
      <c r="K65" s="38">
        <f t="shared" si="2"/>
        <v>0</v>
      </c>
    </row>
    <row r="66" spans="1:11">
      <c r="A66" t="s">
        <v>790</v>
      </c>
      <c r="B66" t="s">
        <v>16</v>
      </c>
      <c r="C66" t="s">
        <v>6391</v>
      </c>
      <c r="D66" t="s">
        <v>6444</v>
      </c>
      <c r="E66">
        <v>76505.8</v>
      </c>
      <c r="G66" s="35"/>
      <c r="H66" s="36">
        <f t="shared" si="0"/>
        <v>48198.654000000002</v>
      </c>
      <c r="I66" s="37">
        <f t="shared" si="1"/>
        <v>48198.654000000002</v>
      </c>
      <c r="J66" s="4"/>
      <c r="K66" s="38">
        <f t="shared" si="2"/>
        <v>0</v>
      </c>
    </row>
    <row r="67" spans="1:11">
      <c r="A67" t="s">
        <v>791</v>
      </c>
      <c r="B67" t="s">
        <v>16</v>
      </c>
      <c r="C67" t="s">
        <v>6391</v>
      </c>
      <c r="D67" t="s">
        <v>6445</v>
      </c>
      <c r="E67">
        <v>82140.25</v>
      </c>
      <c r="G67" s="35"/>
      <c r="H67" s="36">
        <f t="shared" si="0"/>
        <v>51748.357499999998</v>
      </c>
      <c r="I67" s="37">
        <f t="shared" si="1"/>
        <v>51748.357499999998</v>
      </c>
      <c r="J67" s="4"/>
      <c r="K67" s="38">
        <f t="shared" si="2"/>
        <v>0</v>
      </c>
    </row>
    <row r="68" spans="1:11">
      <c r="A68" t="s">
        <v>792</v>
      </c>
      <c r="B68" t="s">
        <v>16</v>
      </c>
      <c r="C68" t="s">
        <v>6391</v>
      </c>
      <c r="D68" t="s">
        <v>6446</v>
      </c>
      <c r="E68">
        <v>59602.73</v>
      </c>
      <c r="G68" s="35"/>
      <c r="H68" s="36">
        <f t="shared" si="0"/>
        <v>37549.719900000004</v>
      </c>
      <c r="I68" s="37">
        <f t="shared" si="1"/>
        <v>37549.719900000004</v>
      </c>
      <c r="J68" s="4"/>
      <c r="K68" s="38">
        <f t="shared" si="2"/>
        <v>0</v>
      </c>
    </row>
    <row r="69" spans="1:11">
      <c r="A69" t="s">
        <v>793</v>
      </c>
      <c r="B69" t="s">
        <v>16</v>
      </c>
      <c r="C69" t="s">
        <v>6391</v>
      </c>
      <c r="D69" t="s">
        <v>6447</v>
      </c>
      <c r="E69">
        <v>139477.99</v>
      </c>
      <c r="G69" s="35"/>
      <c r="H69" s="36">
        <f t="shared" si="0"/>
        <v>87871.133699999991</v>
      </c>
      <c r="I69" s="37">
        <f t="shared" si="1"/>
        <v>87871.133699999991</v>
      </c>
      <c r="J69" s="4"/>
      <c r="K69" s="38">
        <f t="shared" si="2"/>
        <v>0</v>
      </c>
    </row>
    <row r="70" spans="1:11">
      <c r="A70" t="s">
        <v>794</v>
      </c>
      <c r="B70" t="s">
        <v>16</v>
      </c>
      <c r="C70" t="s">
        <v>6391</v>
      </c>
      <c r="D70" t="s">
        <v>6448</v>
      </c>
      <c r="E70">
        <v>140859.01999999999</v>
      </c>
      <c r="G70" s="35"/>
      <c r="H70" s="36">
        <f t="shared" si="0"/>
        <v>88741.1826</v>
      </c>
      <c r="I70" s="37">
        <f t="shared" si="1"/>
        <v>88741.1826</v>
      </c>
      <c r="J70" s="4"/>
      <c r="K70" s="38">
        <f t="shared" si="2"/>
        <v>0</v>
      </c>
    </row>
    <row r="71" spans="1:11">
      <c r="A71" t="s">
        <v>795</v>
      </c>
      <c r="B71" t="s">
        <v>16</v>
      </c>
      <c r="C71" t="s">
        <v>6391</v>
      </c>
      <c r="D71" t="s">
        <v>6449</v>
      </c>
      <c r="E71">
        <v>142239.81</v>
      </c>
      <c r="G71" s="35"/>
      <c r="H71" s="36">
        <f t="shared" ref="H71:H134" si="3">+E71*$H$1*(1-G71)</f>
        <v>89611.080300000001</v>
      </c>
      <c r="I71" s="37">
        <f t="shared" ref="I71:I134" si="4">H71*$H$4</f>
        <v>89611.080300000001</v>
      </c>
      <c r="J71" s="4"/>
      <c r="K71" s="38">
        <f t="shared" ref="K71:K134" si="5">J71*I71</f>
        <v>0</v>
      </c>
    </row>
    <row r="72" spans="1:11">
      <c r="A72" t="s">
        <v>796</v>
      </c>
      <c r="B72" t="s">
        <v>16</v>
      </c>
      <c r="C72" t="s">
        <v>6391</v>
      </c>
      <c r="D72" t="s">
        <v>6450</v>
      </c>
      <c r="E72">
        <v>9699.51</v>
      </c>
      <c r="G72" s="35"/>
      <c r="H72" s="36">
        <f t="shared" si="3"/>
        <v>6110.6913000000004</v>
      </c>
      <c r="I72" s="37">
        <f t="shared" si="4"/>
        <v>6110.6913000000004</v>
      </c>
      <c r="J72" s="4"/>
      <c r="K72" s="38">
        <f t="shared" si="5"/>
        <v>0</v>
      </c>
    </row>
    <row r="73" spans="1:11">
      <c r="A73" t="s">
        <v>797</v>
      </c>
      <c r="B73" t="s">
        <v>16</v>
      </c>
      <c r="C73" t="s">
        <v>6391</v>
      </c>
      <c r="D73" t="s">
        <v>6451</v>
      </c>
      <c r="E73">
        <v>19609.96</v>
      </c>
      <c r="G73" s="35"/>
      <c r="H73" s="36">
        <f t="shared" si="3"/>
        <v>12354.274799999999</v>
      </c>
      <c r="I73" s="37">
        <f t="shared" si="4"/>
        <v>12354.274799999999</v>
      </c>
      <c r="J73" s="4"/>
      <c r="K73" s="38">
        <f t="shared" si="5"/>
        <v>0</v>
      </c>
    </row>
    <row r="74" spans="1:11">
      <c r="A74" t="s">
        <v>798</v>
      </c>
      <c r="B74" t="s">
        <v>16</v>
      </c>
      <c r="C74" t="s">
        <v>6391</v>
      </c>
      <c r="D74" t="s">
        <v>6452</v>
      </c>
      <c r="E74">
        <v>28447.93</v>
      </c>
      <c r="G74" s="35"/>
      <c r="H74" s="36">
        <f t="shared" si="3"/>
        <v>17922.195899999999</v>
      </c>
      <c r="I74" s="37">
        <f t="shared" si="4"/>
        <v>17922.195899999999</v>
      </c>
      <c r="J74" s="4"/>
      <c r="K74" s="38">
        <f t="shared" si="5"/>
        <v>0</v>
      </c>
    </row>
    <row r="75" spans="1:11">
      <c r="A75" t="s">
        <v>799</v>
      </c>
      <c r="B75" t="s">
        <v>16</v>
      </c>
      <c r="C75" t="s">
        <v>6391</v>
      </c>
      <c r="D75" t="s">
        <v>6453</v>
      </c>
      <c r="E75">
        <v>35573.83</v>
      </c>
      <c r="G75" s="35"/>
      <c r="H75" s="36">
        <f t="shared" si="3"/>
        <v>22411.512900000002</v>
      </c>
      <c r="I75" s="37">
        <f t="shared" si="4"/>
        <v>22411.512900000002</v>
      </c>
      <c r="J75" s="4"/>
      <c r="K75" s="38">
        <f t="shared" si="5"/>
        <v>0</v>
      </c>
    </row>
    <row r="76" spans="1:11">
      <c r="A76" t="s">
        <v>4134</v>
      </c>
      <c r="B76" t="s">
        <v>16</v>
      </c>
      <c r="C76" t="s">
        <v>7056</v>
      </c>
      <c r="D76" t="s">
        <v>9590</v>
      </c>
      <c r="E76">
        <v>3107.88</v>
      </c>
      <c r="G76" s="35"/>
      <c r="H76" s="36">
        <f t="shared" si="3"/>
        <v>1957.9644000000001</v>
      </c>
      <c r="I76" s="37">
        <f t="shared" si="4"/>
        <v>1957.9644000000001</v>
      </c>
      <c r="J76" s="4"/>
      <c r="K76" s="38">
        <f t="shared" si="5"/>
        <v>0</v>
      </c>
    </row>
    <row r="77" spans="1:11">
      <c r="A77" t="s">
        <v>4135</v>
      </c>
      <c r="B77" t="s">
        <v>16</v>
      </c>
      <c r="C77" t="s">
        <v>7056</v>
      </c>
      <c r="D77" t="s">
        <v>9591</v>
      </c>
      <c r="E77">
        <v>7456.31</v>
      </c>
      <c r="G77" s="35"/>
      <c r="H77" s="36">
        <f t="shared" si="3"/>
        <v>4697.4753000000001</v>
      </c>
      <c r="I77" s="37">
        <f t="shared" si="4"/>
        <v>4697.4753000000001</v>
      </c>
      <c r="J77" s="4"/>
      <c r="K77" s="38">
        <f t="shared" si="5"/>
        <v>0</v>
      </c>
    </row>
    <row r="78" spans="1:11">
      <c r="A78" t="s">
        <v>4136</v>
      </c>
      <c r="B78" t="s">
        <v>16</v>
      </c>
      <c r="C78" t="s">
        <v>7056</v>
      </c>
      <c r="D78" t="s">
        <v>9592</v>
      </c>
      <c r="E78">
        <v>12213.35</v>
      </c>
      <c r="G78" s="35"/>
      <c r="H78" s="36">
        <f t="shared" si="3"/>
        <v>7694.4105</v>
      </c>
      <c r="I78" s="37">
        <f t="shared" si="4"/>
        <v>7694.4105</v>
      </c>
      <c r="J78" s="4"/>
      <c r="K78" s="38">
        <f t="shared" si="5"/>
        <v>0</v>
      </c>
    </row>
    <row r="79" spans="1:11">
      <c r="A79" t="s">
        <v>4137</v>
      </c>
      <c r="B79" t="s">
        <v>16</v>
      </c>
      <c r="C79" t="s">
        <v>7056</v>
      </c>
      <c r="D79" t="s">
        <v>9593</v>
      </c>
      <c r="E79">
        <v>2650.45</v>
      </c>
      <c r="G79" s="35"/>
      <c r="H79" s="36">
        <f t="shared" si="3"/>
        <v>1669.7835</v>
      </c>
      <c r="I79" s="37">
        <f t="shared" si="4"/>
        <v>1669.7835</v>
      </c>
      <c r="J79" s="4"/>
      <c r="K79" s="38">
        <f t="shared" si="5"/>
        <v>0</v>
      </c>
    </row>
    <row r="80" spans="1:11">
      <c r="A80" t="s">
        <v>4138</v>
      </c>
      <c r="B80" t="s">
        <v>16</v>
      </c>
      <c r="C80" t="s">
        <v>7056</v>
      </c>
      <c r="D80" t="s">
        <v>9594</v>
      </c>
      <c r="E80">
        <v>3193.46</v>
      </c>
      <c r="G80" s="35"/>
      <c r="H80" s="36">
        <f t="shared" si="3"/>
        <v>2011.8797999999999</v>
      </c>
      <c r="I80" s="37">
        <f t="shared" si="4"/>
        <v>2011.8797999999999</v>
      </c>
      <c r="J80" s="4"/>
      <c r="K80" s="38">
        <f t="shared" si="5"/>
        <v>0</v>
      </c>
    </row>
    <row r="81" spans="1:11">
      <c r="A81" t="s">
        <v>4139</v>
      </c>
      <c r="B81" t="s">
        <v>16</v>
      </c>
      <c r="C81" t="s">
        <v>7056</v>
      </c>
      <c r="D81" t="s">
        <v>9595</v>
      </c>
      <c r="E81">
        <v>7545.41</v>
      </c>
      <c r="G81" s="35"/>
      <c r="H81" s="36">
        <f t="shared" si="3"/>
        <v>4753.6082999999999</v>
      </c>
      <c r="I81" s="37">
        <f t="shared" si="4"/>
        <v>4753.6082999999999</v>
      </c>
      <c r="J81" s="4"/>
      <c r="K81" s="38">
        <f t="shared" si="5"/>
        <v>0</v>
      </c>
    </row>
    <row r="82" spans="1:11">
      <c r="A82" t="s">
        <v>4140</v>
      </c>
      <c r="B82" t="s">
        <v>16</v>
      </c>
      <c r="C82" t="s">
        <v>7056</v>
      </c>
      <c r="D82" t="s">
        <v>9596</v>
      </c>
      <c r="E82">
        <v>1683.31</v>
      </c>
      <c r="G82" s="35"/>
      <c r="H82" s="36">
        <f t="shared" si="3"/>
        <v>1060.4853000000001</v>
      </c>
      <c r="I82" s="37">
        <f t="shared" si="4"/>
        <v>1060.4853000000001</v>
      </c>
      <c r="J82" s="4"/>
      <c r="K82" s="38">
        <f t="shared" si="5"/>
        <v>0</v>
      </c>
    </row>
    <row r="83" spans="1:11">
      <c r="A83" t="s">
        <v>4141</v>
      </c>
      <c r="B83" t="s">
        <v>16</v>
      </c>
      <c r="C83" t="s">
        <v>7056</v>
      </c>
      <c r="D83" t="s">
        <v>9597</v>
      </c>
      <c r="E83">
        <v>8914.11</v>
      </c>
      <c r="G83" s="35"/>
      <c r="H83" s="36">
        <f t="shared" si="3"/>
        <v>5615.8893000000007</v>
      </c>
      <c r="I83" s="37">
        <f t="shared" si="4"/>
        <v>5615.8893000000007</v>
      </c>
      <c r="J83" s="4"/>
      <c r="K83" s="38">
        <f t="shared" si="5"/>
        <v>0</v>
      </c>
    </row>
    <row r="84" spans="1:11">
      <c r="A84" t="s">
        <v>4142</v>
      </c>
      <c r="B84" t="s">
        <v>16</v>
      </c>
      <c r="C84" t="s">
        <v>7056</v>
      </c>
      <c r="D84" t="s">
        <v>9598</v>
      </c>
      <c r="E84">
        <v>2062.1799999999998</v>
      </c>
      <c r="G84" s="35"/>
      <c r="H84" s="36">
        <f t="shared" si="3"/>
        <v>1299.1733999999999</v>
      </c>
      <c r="I84" s="37">
        <f t="shared" si="4"/>
        <v>1299.1733999999999</v>
      </c>
      <c r="J84" s="4"/>
      <c r="K84" s="38">
        <f t="shared" si="5"/>
        <v>0</v>
      </c>
    </row>
    <row r="85" spans="1:11">
      <c r="A85" t="s">
        <v>4143</v>
      </c>
      <c r="B85" t="s">
        <v>16</v>
      </c>
      <c r="C85" t="s">
        <v>7056</v>
      </c>
      <c r="D85" t="s">
        <v>9599</v>
      </c>
      <c r="E85">
        <v>5542.76</v>
      </c>
      <c r="G85" s="35"/>
      <c r="H85" s="36">
        <f t="shared" si="3"/>
        <v>3491.9388000000004</v>
      </c>
      <c r="I85" s="37">
        <f t="shared" si="4"/>
        <v>3491.9388000000004</v>
      </c>
      <c r="J85" s="4"/>
      <c r="K85" s="38">
        <f t="shared" si="5"/>
        <v>0</v>
      </c>
    </row>
    <row r="86" spans="1:11">
      <c r="A86" t="s">
        <v>4144</v>
      </c>
      <c r="B86" t="s">
        <v>16</v>
      </c>
      <c r="C86" t="s">
        <v>7056</v>
      </c>
      <c r="D86" t="s">
        <v>9600</v>
      </c>
      <c r="E86">
        <v>6306.85</v>
      </c>
      <c r="G86" s="35"/>
      <c r="H86" s="36">
        <f t="shared" si="3"/>
        <v>3973.3155000000002</v>
      </c>
      <c r="I86" s="37">
        <f t="shared" si="4"/>
        <v>3973.3155000000002</v>
      </c>
      <c r="J86" s="4"/>
      <c r="K86" s="38">
        <f t="shared" si="5"/>
        <v>0</v>
      </c>
    </row>
    <row r="87" spans="1:11">
      <c r="A87" t="s">
        <v>4145</v>
      </c>
      <c r="B87" t="s">
        <v>16</v>
      </c>
      <c r="C87" t="s">
        <v>7056</v>
      </c>
      <c r="D87" t="s">
        <v>9601</v>
      </c>
      <c r="E87">
        <v>11917.14</v>
      </c>
      <c r="G87" s="35"/>
      <c r="H87" s="36">
        <f t="shared" si="3"/>
        <v>7507.7981999999993</v>
      </c>
      <c r="I87" s="37">
        <f t="shared" si="4"/>
        <v>7507.7981999999993</v>
      </c>
      <c r="J87" s="4"/>
      <c r="K87" s="38">
        <f t="shared" si="5"/>
        <v>0</v>
      </c>
    </row>
    <row r="88" spans="1:11">
      <c r="A88" t="s">
        <v>4146</v>
      </c>
      <c r="B88" t="s">
        <v>16</v>
      </c>
      <c r="C88" t="s">
        <v>7056</v>
      </c>
      <c r="D88" t="s">
        <v>9602</v>
      </c>
      <c r="E88">
        <v>5067.22</v>
      </c>
      <c r="G88" s="35"/>
      <c r="H88" s="36">
        <f t="shared" si="3"/>
        <v>3192.3486000000003</v>
      </c>
      <c r="I88" s="37">
        <f t="shared" si="4"/>
        <v>3192.3486000000003</v>
      </c>
      <c r="J88" s="4"/>
      <c r="K88" s="38">
        <f t="shared" si="5"/>
        <v>0</v>
      </c>
    </row>
    <row r="89" spans="1:11">
      <c r="A89" t="s">
        <v>4147</v>
      </c>
      <c r="B89" t="s">
        <v>16</v>
      </c>
      <c r="C89" t="s">
        <v>7056</v>
      </c>
      <c r="D89" t="s">
        <v>9603</v>
      </c>
      <c r="E89">
        <v>9654.23</v>
      </c>
      <c r="G89" s="35"/>
      <c r="H89" s="36">
        <f t="shared" si="3"/>
        <v>6082.1648999999998</v>
      </c>
      <c r="I89" s="37">
        <f t="shared" si="4"/>
        <v>6082.1648999999998</v>
      </c>
      <c r="J89" s="4"/>
      <c r="K89" s="38">
        <f t="shared" si="5"/>
        <v>0</v>
      </c>
    </row>
    <row r="90" spans="1:11">
      <c r="A90" t="s">
        <v>1693</v>
      </c>
      <c r="B90" t="s">
        <v>16</v>
      </c>
      <c r="C90" t="s">
        <v>7283</v>
      </c>
      <c r="D90" t="s">
        <v>7284</v>
      </c>
      <c r="E90">
        <v>7017.44</v>
      </c>
      <c r="G90" s="35"/>
      <c r="H90" s="36">
        <f t="shared" si="3"/>
        <v>4420.9871999999996</v>
      </c>
      <c r="I90" s="37">
        <f t="shared" si="4"/>
        <v>4420.9871999999996</v>
      </c>
      <c r="J90" s="4"/>
      <c r="K90" s="38">
        <f t="shared" si="5"/>
        <v>0</v>
      </c>
    </row>
    <row r="91" spans="1:11">
      <c r="A91" t="s">
        <v>1694</v>
      </c>
      <c r="B91" t="s">
        <v>16</v>
      </c>
      <c r="C91" t="s">
        <v>7283</v>
      </c>
      <c r="D91" t="s">
        <v>7285</v>
      </c>
      <c r="E91">
        <v>7308.17</v>
      </c>
      <c r="G91" s="35"/>
      <c r="H91" s="36">
        <f t="shared" si="3"/>
        <v>4604.1471000000001</v>
      </c>
      <c r="I91" s="37">
        <f t="shared" si="4"/>
        <v>4604.1471000000001</v>
      </c>
      <c r="J91" s="4"/>
      <c r="K91" s="38">
        <f t="shared" si="5"/>
        <v>0</v>
      </c>
    </row>
    <row r="92" spans="1:11">
      <c r="A92" t="s">
        <v>1695</v>
      </c>
      <c r="B92" t="s">
        <v>16</v>
      </c>
      <c r="C92" t="s">
        <v>7283</v>
      </c>
      <c r="D92" t="s">
        <v>7286</v>
      </c>
      <c r="E92">
        <v>613.54</v>
      </c>
      <c r="G92" s="35"/>
      <c r="H92" s="36">
        <f t="shared" si="3"/>
        <v>386.53019999999998</v>
      </c>
      <c r="I92" s="37">
        <f t="shared" si="4"/>
        <v>386.53019999999998</v>
      </c>
      <c r="J92" s="4"/>
      <c r="K92" s="38">
        <f t="shared" si="5"/>
        <v>0</v>
      </c>
    </row>
    <row r="93" spans="1:11">
      <c r="A93" t="s">
        <v>1696</v>
      </c>
      <c r="B93" t="s">
        <v>16</v>
      </c>
      <c r="C93" t="s">
        <v>7283</v>
      </c>
      <c r="D93" t="s">
        <v>7287</v>
      </c>
      <c r="E93">
        <v>6796.03</v>
      </c>
      <c r="G93" s="35"/>
      <c r="H93" s="36">
        <f t="shared" si="3"/>
        <v>4281.4988999999996</v>
      </c>
      <c r="I93" s="37">
        <f t="shared" si="4"/>
        <v>4281.4988999999996</v>
      </c>
      <c r="J93" s="4"/>
      <c r="K93" s="38">
        <f t="shared" si="5"/>
        <v>0</v>
      </c>
    </row>
    <row r="94" spans="1:11">
      <c r="A94" t="s">
        <v>1697</v>
      </c>
      <c r="B94" t="s">
        <v>16</v>
      </c>
      <c r="C94" t="s">
        <v>7283</v>
      </c>
      <c r="D94" t="s">
        <v>7288</v>
      </c>
      <c r="E94">
        <v>7017.44</v>
      </c>
      <c r="G94" s="35"/>
      <c r="H94" s="36">
        <f t="shared" si="3"/>
        <v>4420.9871999999996</v>
      </c>
      <c r="I94" s="37">
        <f t="shared" si="4"/>
        <v>4420.9871999999996</v>
      </c>
      <c r="J94" s="4"/>
      <c r="K94" s="38">
        <f t="shared" si="5"/>
        <v>0</v>
      </c>
    </row>
    <row r="95" spans="1:11">
      <c r="A95" t="s">
        <v>1698</v>
      </c>
      <c r="B95" t="s">
        <v>16</v>
      </c>
      <c r="C95" t="s">
        <v>7283</v>
      </c>
      <c r="D95" t="s">
        <v>7289</v>
      </c>
      <c r="E95">
        <v>7459.6</v>
      </c>
      <c r="G95" s="35"/>
      <c r="H95" s="36">
        <f t="shared" si="3"/>
        <v>4699.5480000000007</v>
      </c>
      <c r="I95" s="37">
        <f t="shared" si="4"/>
        <v>4699.5480000000007</v>
      </c>
      <c r="J95" s="4"/>
      <c r="K95" s="38">
        <f t="shared" si="5"/>
        <v>0</v>
      </c>
    </row>
    <row r="96" spans="1:11">
      <c r="A96" t="s">
        <v>1699</v>
      </c>
      <c r="B96" t="s">
        <v>16</v>
      </c>
      <c r="C96" t="s">
        <v>7283</v>
      </c>
      <c r="D96" t="s">
        <v>7290</v>
      </c>
      <c r="E96">
        <v>544.97</v>
      </c>
      <c r="G96" s="35"/>
      <c r="H96" s="36">
        <f t="shared" si="3"/>
        <v>343.33109999999999</v>
      </c>
      <c r="I96" s="37">
        <f t="shared" si="4"/>
        <v>343.33109999999999</v>
      </c>
      <c r="J96" s="4"/>
      <c r="K96" s="38">
        <f t="shared" si="5"/>
        <v>0</v>
      </c>
    </row>
    <row r="97" spans="1:11">
      <c r="A97" t="s">
        <v>1700</v>
      </c>
      <c r="B97" t="s">
        <v>16</v>
      </c>
      <c r="C97" t="s">
        <v>7283</v>
      </c>
      <c r="D97" t="s">
        <v>7291</v>
      </c>
      <c r="E97">
        <v>544.97</v>
      </c>
      <c r="G97" s="35"/>
      <c r="H97" s="36">
        <f t="shared" si="3"/>
        <v>343.33109999999999</v>
      </c>
      <c r="I97" s="37">
        <f t="shared" si="4"/>
        <v>343.33109999999999</v>
      </c>
      <c r="J97" s="4"/>
      <c r="K97" s="38">
        <f t="shared" si="5"/>
        <v>0</v>
      </c>
    </row>
    <row r="98" spans="1:11">
      <c r="A98" t="s">
        <v>1701</v>
      </c>
      <c r="B98" t="s">
        <v>16</v>
      </c>
      <c r="C98" t="s">
        <v>7283</v>
      </c>
      <c r="D98" t="s">
        <v>7292</v>
      </c>
      <c r="E98">
        <v>7017.44</v>
      </c>
      <c r="G98" s="35"/>
      <c r="H98" s="36">
        <f t="shared" si="3"/>
        <v>4420.9871999999996</v>
      </c>
      <c r="I98" s="37">
        <f t="shared" si="4"/>
        <v>4420.9871999999996</v>
      </c>
      <c r="J98" s="4"/>
      <c r="K98" s="38">
        <f t="shared" si="5"/>
        <v>0</v>
      </c>
    </row>
    <row r="99" spans="1:11">
      <c r="A99" t="s">
        <v>1702</v>
      </c>
      <c r="B99" t="s">
        <v>16</v>
      </c>
      <c r="C99" t="s">
        <v>7283</v>
      </c>
      <c r="D99" t="s">
        <v>7293</v>
      </c>
      <c r="E99">
        <v>7267.95</v>
      </c>
      <c r="G99" s="35"/>
      <c r="H99" s="36">
        <f t="shared" si="3"/>
        <v>4578.8085000000001</v>
      </c>
      <c r="I99" s="37">
        <f t="shared" si="4"/>
        <v>4578.8085000000001</v>
      </c>
      <c r="J99" s="4"/>
      <c r="K99" s="38">
        <f t="shared" si="5"/>
        <v>0</v>
      </c>
    </row>
    <row r="100" spans="1:11">
      <c r="A100" t="s">
        <v>11566</v>
      </c>
      <c r="B100" t="s">
        <v>16</v>
      </c>
      <c r="C100" t="s">
        <v>7283</v>
      </c>
      <c r="D100" t="s">
        <v>11567</v>
      </c>
      <c r="E100">
        <v>7595.54</v>
      </c>
      <c r="G100" s="35"/>
      <c r="H100" s="36">
        <f t="shared" si="3"/>
        <v>4785.1902</v>
      </c>
      <c r="I100" s="37">
        <f t="shared" si="4"/>
        <v>4785.1902</v>
      </c>
      <c r="J100" s="4"/>
      <c r="K100" s="38">
        <f t="shared" si="5"/>
        <v>0</v>
      </c>
    </row>
    <row r="101" spans="1:11">
      <c r="A101" t="s">
        <v>1703</v>
      </c>
      <c r="B101" t="s">
        <v>16</v>
      </c>
      <c r="C101" t="s">
        <v>7283</v>
      </c>
      <c r="D101" t="s">
        <v>7294</v>
      </c>
      <c r="E101">
        <v>544.97</v>
      </c>
      <c r="G101" s="35"/>
      <c r="H101" s="36">
        <f t="shared" si="3"/>
        <v>343.33109999999999</v>
      </c>
      <c r="I101" s="37">
        <f t="shared" si="4"/>
        <v>343.33109999999999</v>
      </c>
      <c r="J101" s="4"/>
      <c r="K101" s="38">
        <f t="shared" si="5"/>
        <v>0</v>
      </c>
    </row>
    <row r="102" spans="1:11">
      <c r="A102" t="s">
        <v>1704</v>
      </c>
      <c r="B102" t="s">
        <v>16</v>
      </c>
      <c r="C102" t="s">
        <v>7283</v>
      </c>
      <c r="D102" t="s">
        <v>7295</v>
      </c>
      <c r="E102">
        <v>456.27</v>
      </c>
      <c r="G102" s="35"/>
      <c r="H102" s="36">
        <f t="shared" si="3"/>
        <v>287.45009999999996</v>
      </c>
      <c r="I102" s="37">
        <f t="shared" si="4"/>
        <v>287.45009999999996</v>
      </c>
      <c r="J102" s="4"/>
      <c r="K102" s="38">
        <f t="shared" si="5"/>
        <v>0</v>
      </c>
    </row>
    <row r="103" spans="1:11">
      <c r="A103" t="s">
        <v>1705</v>
      </c>
      <c r="B103" t="s">
        <v>16</v>
      </c>
      <c r="C103" t="s">
        <v>7283</v>
      </c>
      <c r="D103" t="s">
        <v>7296</v>
      </c>
      <c r="E103">
        <v>550.54999999999995</v>
      </c>
      <c r="G103" s="35"/>
      <c r="H103" s="36">
        <f t="shared" si="3"/>
        <v>346.84649999999999</v>
      </c>
      <c r="I103" s="37">
        <f t="shared" si="4"/>
        <v>346.84649999999999</v>
      </c>
      <c r="J103" s="4"/>
      <c r="K103" s="38">
        <f t="shared" si="5"/>
        <v>0</v>
      </c>
    </row>
    <row r="104" spans="1:11">
      <c r="A104" t="s">
        <v>1706</v>
      </c>
      <c r="B104" t="s">
        <v>16</v>
      </c>
      <c r="C104" t="s">
        <v>7283</v>
      </c>
      <c r="D104" t="s">
        <v>7297</v>
      </c>
      <c r="E104">
        <v>456.27</v>
      </c>
      <c r="G104" s="35"/>
      <c r="H104" s="36">
        <f t="shared" si="3"/>
        <v>287.45009999999996</v>
      </c>
      <c r="I104" s="37">
        <f t="shared" si="4"/>
        <v>287.45009999999996</v>
      </c>
      <c r="J104" s="4"/>
      <c r="K104" s="38">
        <f t="shared" si="5"/>
        <v>0</v>
      </c>
    </row>
    <row r="105" spans="1:11">
      <c r="A105" t="s">
        <v>1707</v>
      </c>
      <c r="B105" t="s">
        <v>16</v>
      </c>
      <c r="C105" t="s">
        <v>7283</v>
      </c>
      <c r="D105" t="s">
        <v>7298</v>
      </c>
      <c r="E105">
        <v>544.97</v>
      </c>
      <c r="G105" s="35"/>
      <c r="H105" s="36">
        <f t="shared" si="3"/>
        <v>343.33109999999999</v>
      </c>
      <c r="I105" s="37">
        <f t="shared" si="4"/>
        <v>343.33109999999999</v>
      </c>
      <c r="J105" s="4"/>
      <c r="K105" s="38">
        <f t="shared" si="5"/>
        <v>0</v>
      </c>
    </row>
    <row r="106" spans="1:11">
      <c r="A106" t="s">
        <v>1708</v>
      </c>
      <c r="B106" t="s">
        <v>16</v>
      </c>
      <c r="C106" t="s">
        <v>7283</v>
      </c>
      <c r="D106" t="s">
        <v>7299</v>
      </c>
      <c r="E106">
        <v>489.59</v>
      </c>
      <c r="G106" s="35"/>
      <c r="H106" s="36">
        <f t="shared" si="3"/>
        <v>308.44169999999997</v>
      </c>
      <c r="I106" s="37">
        <f t="shared" si="4"/>
        <v>308.44169999999997</v>
      </c>
      <c r="J106" s="4"/>
      <c r="K106" s="38">
        <f t="shared" si="5"/>
        <v>0</v>
      </c>
    </row>
    <row r="107" spans="1:11">
      <c r="A107" t="s">
        <v>1709</v>
      </c>
      <c r="B107" t="s">
        <v>16</v>
      </c>
      <c r="C107" t="s">
        <v>7283</v>
      </c>
      <c r="D107" t="s">
        <v>7300</v>
      </c>
      <c r="E107">
        <v>4893.26</v>
      </c>
      <c r="G107" s="35"/>
      <c r="H107" s="36">
        <f t="shared" si="3"/>
        <v>3082.7538</v>
      </c>
      <c r="I107" s="37">
        <f t="shared" si="4"/>
        <v>3082.7538</v>
      </c>
      <c r="J107" s="4"/>
      <c r="K107" s="38">
        <f t="shared" si="5"/>
        <v>0</v>
      </c>
    </row>
    <row r="108" spans="1:11">
      <c r="A108" t="s">
        <v>2509</v>
      </c>
      <c r="B108" t="s">
        <v>16</v>
      </c>
      <c r="C108" t="s">
        <v>8030</v>
      </c>
      <c r="D108" t="s">
        <v>8031</v>
      </c>
      <c r="E108">
        <v>884.39</v>
      </c>
      <c r="G108" s="35"/>
      <c r="H108" s="36">
        <f t="shared" si="3"/>
        <v>557.16570000000002</v>
      </c>
      <c r="I108" s="37">
        <f t="shared" si="4"/>
        <v>557.16570000000002</v>
      </c>
      <c r="J108" s="4"/>
      <c r="K108" s="38">
        <f t="shared" si="5"/>
        <v>0</v>
      </c>
    </row>
    <row r="109" spans="1:11">
      <c r="A109" t="s">
        <v>2683</v>
      </c>
      <c r="B109" t="s">
        <v>16</v>
      </c>
      <c r="C109" t="s">
        <v>8206</v>
      </c>
      <c r="D109" t="s">
        <v>8207</v>
      </c>
      <c r="E109">
        <v>8336.11</v>
      </c>
      <c r="G109" s="35"/>
      <c r="H109" s="36">
        <f t="shared" si="3"/>
        <v>5251.7493000000004</v>
      </c>
      <c r="I109" s="37">
        <f t="shared" si="4"/>
        <v>5251.7493000000004</v>
      </c>
      <c r="J109" s="4"/>
      <c r="K109" s="38">
        <f t="shared" si="5"/>
        <v>0</v>
      </c>
    </row>
    <row r="110" spans="1:11">
      <c r="A110" t="s">
        <v>2684</v>
      </c>
      <c r="B110" t="s">
        <v>16</v>
      </c>
      <c r="C110" t="s">
        <v>8206</v>
      </c>
      <c r="D110" t="s">
        <v>8208</v>
      </c>
      <c r="E110">
        <v>6997.14</v>
      </c>
      <c r="G110" s="35"/>
      <c r="H110" s="36">
        <f t="shared" si="3"/>
        <v>4408.1981999999998</v>
      </c>
      <c r="I110" s="37">
        <f t="shared" si="4"/>
        <v>4408.1981999999998</v>
      </c>
      <c r="J110" s="4"/>
      <c r="K110" s="38">
        <f t="shared" si="5"/>
        <v>0</v>
      </c>
    </row>
    <row r="111" spans="1:11">
      <c r="A111" t="s">
        <v>2685</v>
      </c>
      <c r="B111" t="s">
        <v>16</v>
      </c>
      <c r="C111" t="s">
        <v>8206</v>
      </c>
      <c r="D111" t="s">
        <v>8209</v>
      </c>
      <c r="E111">
        <v>8746.59</v>
      </c>
      <c r="G111" s="35"/>
      <c r="H111" s="36">
        <f t="shared" si="3"/>
        <v>5510.3517000000002</v>
      </c>
      <c r="I111" s="37">
        <f t="shared" si="4"/>
        <v>5510.3517000000002</v>
      </c>
      <c r="J111" s="4"/>
      <c r="K111" s="38">
        <f t="shared" si="5"/>
        <v>0</v>
      </c>
    </row>
    <row r="112" spans="1:11">
      <c r="A112" t="s">
        <v>2686</v>
      </c>
      <c r="B112" t="s">
        <v>16</v>
      </c>
      <c r="C112" t="s">
        <v>8206</v>
      </c>
      <c r="D112" t="s">
        <v>8210</v>
      </c>
      <c r="E112">
        <v>6623.29</v>
      </c>
      <c r="G112" s="35"/>
      <c r="H112" s="36">
        <f t="shared" si="3"/>
        <v>4172.6727000000001</v>
      </c>
      <c r="I112" s="37">
        <f t="shared" si="4"/>
        <v>4172.6727000000001</v>
      </c>
      <c r="J112" s="4"/>
      <c r="K112" s="38">
        <f t="shared" si="5"/>
        <v>0</v>
      </c>
    </row>
    <row r="113" spans="1:11">
      <c r="A113" t="s">
        <v>2687</v>
      </c>
      <c r="B113" t="s">
        <v>16</v>
      </c>
      <c r="C113" t="s">
        <v>8206</v>
      </c>
      <c r="D113" t="s">
        <v>7233</v>
      </c>
      <c r="E113">
        <v>9586.42</v>
      </c>
      <c r="G113" s="35"/>
      <c r="H113" s="36">
        <f t="shared" si="3"/>
        <v>6039.4445999999998</v>
      </c>
      <c r="I113" s="37">
        <f t="shared" si="4"/>
        <v>6039.4445999999998</v>
      </c>
      <c r="J113" s="4"/>
      <c r="K113" s="38">
        <f t="shared" si="5"/>
        <v>0</v>
      </c>
    </row>
    <row r="114" spans="1:11">
      <c r="A114" t="s">
        <v>2688</v>
      </c>
      <c r="B114" t="s">
        <v>16</v>
      </c>
      <c r="C114" t="s">
        <v>8206</v>
      </c>
      <c r="D114" t="s">
        <v>7232</v>
      </c>
      <c r="E114">
        <v>10058.36</v>
      </c>
      <c r="G114" s="35"/>
      <c r="H114" s="36">
        <f t="shared" si="3"/>
        <v>6336.7668000000003</v>
      </c>
      <c r="I114" s="37">
        <f t="shared" si="4"/>
        <v>6336.7668000000003</v>
      </c>
      <c r="J114" s="4"/>
      <c r="K114" s="38">
        <f t="shared" si="5"/>
        <v>0</v>
      </c>
    </row>
    <row r="115" spans="1:11">
      <c r="A115" t="s">
        <v>2689</v>
      </c>
      <c r="B115" t="s">
        <v>16</v>
      </c>
      <c r="C115" t="s">
        <v>8206</v>
      </c>
      <c r="D115" t="s">
        <v>8211</v>
      </c>
      <c r="E115">
        <v>7087.28</v>
      </c>
      <c r="G115" s="35"/>
      <c r="H115" s="36">
        <f t="shared" si="3"/>
        <v>4464.9863999999998</v>
      </c>
      <c r="I115" s="37">
        <f t="shared" si="4"/>
        <v>4464.9863999999998</v>
      </c>
      <c r="J115" s="4"/>
      <c r="K115" s="38">
        <f t="shared" si="5"/>
        <v>0</v>
      </c>
    </row>
    <row r="116" spans="1:11">
      <c r="A116" t="s">
        <v>2690</v>
      </c>
      <c r="B116" t="s">
        <v>16</v>
      </c>
      <c r="C116" t="s">
        <v>8206</v>
      </c>
      <c r="D116" t="s">
        <v>8212</v>
      </c>
      <c r="E116">
        <v>7285.85</v>
      </c>
      <c r="G116" s="35"/>
      <c r="H116" s="36">
        <f t="shared" si="3"/>
        <v>4590.0855000000001</v>
      </c>
      <c r="I116" s="37">
        <f t="shared" si="4"/>
        <v>4590.0855000000001</v>
      </c>
      <c r="J116" s="4"/>
      <c r="K116" s="38">
        <f t="shared" si="5"/>
        <v>0</v>
      </c>
    </row>
    <row r="117" spans="1:11">
      <c r="A117" t="s">
        <v>2691</v>
      </c>
      <c r="B117" t="s">
        <v>16</v>
      </c>
      <c r="C117" t="s">
        <v>8206</v>
      </c>
      <c r="D117" t="s">
        <v>8213</v>
      </c>
      <c r="E117">
        <v>8919.5400000000009</v>
      </c>
      <c r="G117" s="35"/>
      <c r="H117" s="36">
        <f t="shared" si="3"/>
        <v>5619.3102000000008</v>
      </c>
      <c r="I117" s="37">
        <f t="shared" si="4"/>
        <v>5619.3102000000008</v>
      </c>
      <c r="J117" s="4"/>
      <c r="K117" s="38">
        <f t="shared" si="5"/>
        <v>0</v>
      </c>
    </row>
    <row r="118" spans="1:11">
      <c r="A118" t="s">
        <v>2692</v>
      </c>
      <c r="B118" t="s">
        <v>16</v>
      </c>
      <c r="C118" t="s">
        <v>8206</v>
      </c>
      <c r="D118" t="s">
        <v>8214</v>
      </c>
      <c r="E118">
        <v>8042.99</v>
      </c>
      <c r="G118" s="35"/>
      <c r="H118" s="36">
        <f t="shared" si="3"/>
        <v>5067.0837000000001</v>
      </c>
      <c r="I118" s="37">
        <f t="shared" si="4"/>
        <v>5067.0837000000001</v>
      </c>
      <c r="J118" s="4"/>
      <c r="K118" s="38">
        <f t="shared" si="5"/>
        <v>0</v>
      </c>
    </row>
    <row r="119" spans="1:11">
      <c r="A119" t="s">
        <v>2693</v>
      </c>
      <c r="B119" t="s">
        <v>16</v>
      </c>
      <c r="C119" t="s">
        <v>8206</v>
      </c>
      <c r="D119" t="s">
        <v>8215</v>
      </c>
      <c r="E119">
        <v>9359.0499999999993</v>
      </c>
      <c r="G119" s="35"/>
      <c r="H119" s="36">
        <f t="shared" si="3"/>
        <v>5896.2014999999992</v>
      </c>
      <c r="I119" s="37">
        <f t="shared" si="4"/>
        <v>5896.2014999999992</v>
      </c>
      <c r="J119" s="4"/>
      <c r="K119" s="38">
        <f t="shared" si="5"/>
        <v>0</v>
      </c>
    </row>
    <row r="120" spans="1:11">
      <c r="A120" t="s">
        <v>2694</v>
      </c>
      <c r="B120" t="s">
        <v>16</v>
      </c>
      <c r="C120" t="s">
        <v>8206</v>
      </c>
      <c r="D120" t="s">
        <v>8216</v>
      </c>
      <c r="E120">
        <v>14799.78</v>
      </c>
      <c r="G120" s="35"/>
      <c r="H120" s="36">
        <f t="shared" si="3"/>
        <v>9323.8613999999998</v>
      </c>
      <c r="I120" s="37">
        <f t="shared" si="4"/>
        <v>9323.8613999999998</v>
      </c>
      <c r="J120" s="4"/>
      <c r="K120" s="38">
        <f t="shared" si="5"/>
        <v>0</v>
      </c>
    </row>
    <row r="121" spans="1:11">
      <c r="A121" t="s">
        <v>2695</v>
      </c>
      <c r="B121" t="s">
        <v>16</v>
      </c>
      <c r="C121" t="s">
        <v>8206</v>
      </c>
      <c r="D121" t="s">
        <v>8217</v>
      </c>
      <c r="E121">
        <v>51348.68</v>
      </c>
      <c r="G121" s="35"/>
      <c r="H121" s="36">
        <f t="shared" si="3"/>
        <v>32349.668399999999</v>
      </c>
      <c r="I121" s="37">
        <f t="shared" si="4"/>
        <v>32349.668399999999</v>
      </c>
      <c r="J121" s="4"/>
      <c r="K121" s="38">
        <f t="shared" si="5"/>
        <v>0</v>
      </c>
    </row>
    <row r="122" spans="1:11">
      <c r="A122" t="s">
        <v>4158</v>
      </c>
      <c r="B122" t="s">
        <v>16</v>
      </c>
      <c r="C122" t="s">
        <v>8206</v>
      </c>
      <c r="D122" t="s">
        <v>9616</v>
      </c>
      <c r="E122">
        <v>6620.99</v>
      </c>
      <c r="G122" s="35"/>
      <c r="H122" s="36">
        <f t="shared" si="3"/>
        <v>4171.2236999999996</v>
      </c>
      <c r="I122" s="37">
        <f t="shared" si="4"/>
        <v>4171.2236999999996</v>
      </c>
      <c r="J122" s="4"/>
      <c r="K122" s="38">
        <f t="shared" si="5"/>
        <v>0</v>
      </c>
    </row>
    <row r="123" spans="1:11">
      <c r="A123" t="s">
        <v>4159</v>
      </c>
      <c r="B123" t="s">
        <v>16</v>
      </c>
      <c r="C123" t="s">
        <v>8206</v>
      </c>
      <c r="D123" t="s">
        <v>9617</v>
      </c>
      <c r="E123">
        <v>47324.15</v>
      </c>
      <c r="G123" s="35"/>
      <c r="H123" s="36">
        <f t="shared" si="3"/>
        <v>29814.214500000002</v>
      </c>
      <c r="I123" s="37">
        <f t="shared" si="4"/>
        <v>29814.214500000002</v>
      </c>
      <c r="J123" s="4"/>
      <c r="K123" s="38">
        <f t="shared" si="5"/>
        <v>0</v>
      </c>
    </row>
    <row r="124" spans="1:11">
      <c r="A124" t="s">
        <v>1650</v>
      </c>
      <c r="B124" t="s">
        <v>16</v>
      </c>
      <c r="C124" t="s">
        <v>7241</v>
      </c>
      <c r="D124" t="s">
        <v>7242</v>
      </c>
      <c r="E124">
        <v>7234.74</v>
      </c>
      <c r="G124" s="35"/>
      <c r="H124" s="36">
        <f t="shared" si="3"/>
        <v>4557.8861999999999</v>
      </c>
      <c r="I124" s="37">
        <f t="shared" si="4"/>
        <v>4557.8861999999999</v>
      </c>
      <c r="J124" s="4"/>
      <c r="K124" s="38">
        <f t="shared" si="5"/>
        <v>0</v>
      </c>
    </row>
    <row r="125" spans="1:11">
      <c r="A125" t="s">
        <v>1651</v>
      </c>
      <c r="B125" t="s">
        <v>16</v>
      </c>
      <c r="C125" t="s">
        <v>7241</v>
      </c>
      <c r="D125" t="s">
        <v>7243</v>
      </c>
      <c r="E125">
        <v>7109.57</v>
      </c>
      <c r="G125" s="35"/>
      <c r="H125" s="36">
        <f t="shared" si="3"/>
        <v>4479.0290999999997</v>
      </c>
      <c r="I125" s="37">
        <f t="shared" si="4"/>
        <v>4479.0290999999997</v>
      </c>
      <c r="J125" s="4"/>
      <c r="K125" s="38">
        <f t="shared" si="5"/>
        <v>0</v>
      </c>
    </row>
    <row r="126" spans="1:11">
      <c r="A126" t="s">
        <v>4031</v>
      </c>
      <c r="B126" t="s">
        <v>16</v>
      </c>
      <c r="C126" t="s">
        <v>9501</v>
      </c>
      <c r="D126" t="s">
        <v>7885</v>
      </c>
      <c r="E126">
        <v>1035.73</v>
      </c>
      <c r="G126" s="35"/>
      <c r="H126" s="36">
        <f t="shared" si="3"/>
        <v>652.50990000000002</v>
      </c>
      <c r="I126" s="37">
        <f t="shared" si="4"/>
        <v>652.50990000000002</v>
      </c>
      <c r="J126" s="4"/>
      <c r="K126" s="38">
        <f t="shared" si="5"/>
        <v>0</v>
      </c>
    </row>
    <row r="127" spans="1:11">
      <c r="A127" t="s">
        <v>4032</v>
      </c>
      <c r="B127" t="s">
        <v>16</v>
      </c>
      <c r="C127" t="s">
        <v>9501</v>
      </c>
      <c r="D127" t="s">
        <v>6735</v>
      </c>
      <c r="E127">
        <v>1053.6400000000001</v>
      </c>
      <c r="G127" s="35"/>
      <c r="H127" s="36">
        <f t="shared" si="3"/>
        <v>663.79320000000007</v>
      </c>
      <c r="I127" s="37">
        <f t="shared" si="4"/>
        <v>663.79320000000007</v>
      </c>
      <c r="J127" s="4"/>
      <c r="K127" s="38">
        <f t="shared" si="5"/>
        <v>0</v>
      </c>
    </row>
    <row r="128" spans="1:11">
      <c r="A128" t="s">
        <v>4033</v>
      </c>
      <c r="B128" t="s">
        <v>16</v>
      </c>
      <c r="C128" t="s">
        <v>9501</v>
      </c>
      <c r="D128" t="s">
        <v>9502</v>
      </c>
      <c r="E128">
        <v>2357.9299999999998</v>
      </c>
      <c r="G128" s="35"/>
      <c r="H128" s="36">
        <f t="shared" si="3"/>
        <v>1485.4958999999999</v>
      </c>
      <c r="I128" s="37">
        <f t="shared" si="4"/>
        <v>1485.4958999999999</v>
      </c>
      <c r="J128" s="4"/>
      <c r="K128" s="38">
        <f t="shared" si="5"/>
        <v>0</v>
      </c>
    </row>
    <row r="129" spans="1:11">
      <c r="A129" t="s">
        <v>4034</v>
      </c>
      <c r="B129" t="s">
        <v>16</v>
      </c>
      <c r="C129" t="s">
        <v>9501</v>
      </c>
      <c r="D129" t="s">
        <v>9503</v>
      </c>
      <c r="E129">
        <v>2462.6799999999998</v>
      </c>
      <c r="G129" s="35"/>
      <c r="H129" s="36">
        <f t="shared" si="3"/>
        <v>1551.4884</v>
      </c>
      <c r="I129" s="37">
        <f t="shared" si="4"/>
        <v>1551.4884</v>
      </c>
      <c r="J129" s="4"/>
      <c r="K129" s="38">
        <f t="shared" si="5"/>
        <v>0</v>
      </c>
    </row>
    <row r="130" spans="1:11">
      <c r="A130" t="s">
        <v>4035</v>
      </c>
      <c r="B130" t="s">
        <v>16</v>
      </c>
      <c r="C130" t="s">
        <v>9501</v>
      </c>
      <c r="D130" t="s">
        <v>6736</v>
      </c>
      <c r="E130">
        <v>2584.62</v>
      </c>
      <c r="G130" s="35"/>
      <c r="H130" s="36">
        <f t="shared" si="3"/>
        <v>1628.3106</v>
      </c>
      <c r="I130" s="37">
        <f t="shared" si="4"/>
        <v>1628.3106</v>
      </c>
      <c r="J130" s="4"/>
      <c r="K130" s="38">
        <f t="shared" si="5"/>
        <v>0</v>
      </c>
    </row>
    <row r="131" spans="1:11">
      <c r="A131" t="s">
        <v>4036</v>
      </c>
      <c r="B131" t="s">
        <v>16</v>
      </c>
      <c r="C131" t="s">
        <v>9501</v>
      </c>
      <c r="D131" t="s">
        <v>7899</v>
      </c>
      <c r="E131">
        <v>1348.4</v>
      </c>
      <c r="G131" s="35"/>
      <c r="H131" s="36">
        <f t="shared" si="3"/>
        <v>849.49200000000008</v>
      </c>
      <c r="I131" s="37">
        <f t="shared" si="4"/>
        <v>849.49200000000008</v>
      </c>
      <c r="J131" s="4"/>
      <c r="K131" s="38">
        <f t="shared" si="5"/>
        <v>0</v>
      </c>
    </row>
    <row r="132" spans="1:11">
      <c r="A132" t="s">
        <v>4037</v>
      </c>
      <c r="B132" t="s">
        <v>16</v>
      </c>
      <c r="C132" t="s">
        <v>9501</v>
      </c>
      <c r="D132" t="s">
        <v>9504</v>
      </c>
      <c r="E132">
        <v>3594.61</v>
      </c>
      <c r="G132" s="35"/>
      <c r="H132" s="36">
        <f t="shared" si="3"/>
        <v>2264.6043</v>
      </c>
      <c r="I132" s="37">
        <f t="shared" si="4"/>
        <v>2264.6043</v>
      </c>
      <c r="J132" s="4"/>
      <c r="K132" s="38">
        <f t="shared" si="5"/>
        <v>0</v>
      </c>
    </row>
    <row r="133" spans="1:11">
      <c r="A133" t="s">
        <v>4038</v>
      </c>
      <c r="B133" t="s">
        <v>16</v>
      </c>
      <c r="C133" t="s">
        <v>9501</v>
      </c>
      <c r="D133" t="s">
        <v>6734</v>
      </c>
      <c r="E133">
        <v>951.34</v>
      </c>
      <c r="G133" s="35"/>
      <c r="H133" s="36">
        <f t="shared" si="3"/>
        <v>599.3442</v>
      </c>
      <c r="I133" s="37">
        <f t="shared" si="4"/>
        <v>599.3442</v>
      </c>
      <c r="J133" s="4"/>
      <c r="K133" s="38">
        <f t="shared" si="5"/>
        <v>0</v>
      </c>
    </row>
    <row r="134" spans="1:11">
      <c r="A134" t="s">
        <v>4039</v>
      </c>
      <c r="B134" t="s">
        <v>16</v>
      </c>
      <c r="C134" t="s">
        <v>9501</v>
      </c>
      <c r="D134" t="s">
        <v>9283</v>
      </c>
      <c r="E134">
        <v>920.91</v>
      </c>
      <c r="G134" s="35"/>
      <c r="H134" s="36">
        <f t="shared" si="3"/>
        <v>580.17330000000004</v>
      </c>
      <c r="I134" s="37">
        <f t="shared" si="4"/>
        <v>580.17330000000004</v>
      </c>
      <c r="J134" s="4"/>
      <c r="K134" s="38">
        <f t="shared" si="5"/>
        <v>0</v>
      </c>
    </row>
    <row r="135" spans="1:11">
      <c r="A135" t="s">
        <v>1192</v>
      </c>
      <c r="B135" t="s">
        <v>16</v>
      </c>
      <c r="C135" t="s">
        <v>6770</v>
      </c>
      <c r="D135" t="s">
        <v>6771</v>
      </c>
      <c r="E135">
        <v>3000.63</v>
      </c>
      <c r="G135" s="35"/>
      <c r="H135" s="36">
        <f t="shared" ref="H135:H198" si="6">+E135*$H$1*(1-G135)</f>
        <v>1890.3969000000002</v>
      </c>
      <c r="I135" s="37">
        <f t="shared" ref="I135:I198" si="7">H135*$H$4</f>
        <v>1890.3969000000002</v>
      </c>
      <c r="J135" s="4"/>
      <c r="K135" s="38">
        <f t="shared" ref="K135:K198" si="8">J135*I135</f>
        <v>0</v>
      </c>
    </row>
    <row r="136" spans="1:11">
      <c r="A136" t="s">
        <v>348</v>
      </c>
      <c r="B136" t="s">
        <v>16</v>
      </c>
      <c r="C136" t="s">
        <v>6012</v>
      </c>
      <c r="D136" t="s">
        <v>6013</v>
      </c>
      <c r="E136">
        <v>44868.86</v>
      </c>
      <c r="G136" s="35"/>
      <c r="H136" s="36">
        <f t="shared" si="6"/>
        <v>28267.381799999999</v>
      </c>
      <c r="I136" s="37">
        <f t="shared" si="7"/>
        <v>28267.381799999999</v>
      </c>
      <c r="J136" s="4"/>
      <c r="K136" s="38">
        <f t="shared" si="8"/>
        <v>0</v>
      </c>
    </row>
    <row r="137" spans="1:11">
      <c r="A137" t="s">
        <v>349</v>
      </c>
      <c r="B137" t="s">
        <v>16</v>
      </c>
      <c r="C137" t="s">
        <v>6012</v>
      </c>
      <c r="D137" t="s">
        <v>6014</v>
      </c>
      <c r="E137">
        <v>90574.26</v>
      </c>
      <c r="G137" s="35"/>
      <c r="H137" s="36">
        <f t="shared" si="6"/>
        <v>57061.783799999997</v>
      </c>
      <c r="I137" s="37">
        <f t="shared" si="7"/>
        <v>57061.783799999997</v>
      </c>
      <c r="J137" s="4"/>
      <c r="K137" s="38">
        <f t="shared" si="8"/>
        <v>0</v>
      </c>
    </row>
    <row r="138" spans="1:11">
      <c r="A138" t="s">
        <v>2594</v>
      </c>
      <c r="B138" t="s">
        <v>16</v>
      </c>
      <c r="C138" t="s">
        <v>8126</v>
      </c>
      <c r="D138" t="s">
        <v>8127</v>
      </c>
      <c r="E138">
        <v>19438.12</v>
      </c>
      <c r="G138" s="35"/>
      <c r="H138" s="36">
        <f t="shared" si="6"/>
        <v>12246.015599999999</v>
      </c>
      <c r="I138" s="37">
        <f t="shared" si="7"/>
        <v>12246.015599999999</v>
      </c>
      <c r="J138" s="4"/>
      <c r="K138" s="38">
        <f t="shared" si="8"/>
        <v>0</v>
      </c>
    </row>
    <row r="139" spans="1:11">
      <c r="A139" t="s">
        <v>2595</v>
      </c>
      <c r="B139" t="s">
        <v>16</v>
      </c>
      <c r="C139" t="s">
        <v>8126</v>
      </c>
      <c r="D139" t="s">
        <v>8128</v>
      </c>
      <c r="E139">
        <v>8816.48</v>
      </c>
      <c r="G139" s="35"/>
      <c r="H139" s="36">
        <f t="shared" si="6"/>
        <v>5554.3823999999995</v>
      </c>
      <c r="I139" s="37">
        <f t="shared" si="7"/>
        <v>5554.3823999999995</v>
      </c>
      <c r="J139" s="4"/>
      <c r="K139" s="38">
        <f t="shared" si="8"/>
        <v>0</v>
      </c>
    </row>
    <row r="140" spans="1:11">
      <c r="A140" t="s">
        <v>2596</v>
      </c>
      <c r="B140" t="s">
        <v>16</v>
      </c>
      <c r="C140" t="s">
        <v>8126</v>
      </c>
      <c r="D140" t="s">
        <v>8129</v>
      </c>
      <c r="E140">
        <v>14571.93</v>
      </c>
      <c r="G140" s="35"/>
      <c r="H140" s="36">
        <f t="shared" si="6"/>
        <v>9180.3158999999996</v>
      </c>
      <c r="I140" s="37">
        <f t="shared" si="7"/>
        <v>9180.3158999999996</v>
      </c>
      <c r="J140" s="4"/>
      <c r="K140" s="38">
        <f t="shared" si="8"/>
        <v>0</v>
      </c>
    </row>
    <row r="141" spans="1:11">
      <c r="A141" t="s">
        <v>2597</v>
      </c>
      <c r="B141" t="s">
        <v>16</v>
      </c>
      <c r="C141" t="s">
        <v>8126</v>
      </c>
      <c r="D141" t="s">
        <v>8130</v>
      </c>
      <c r="E141">
        <v>24984.41</v>
      </c>
      <c r="G141" s="35"/>
      <c r="H141" s="36">
        <f t="shared" si="6"/>
        <v>15740.1783</v>
      </c>
      <c r="I141" s="37">
        <f t="shared" si="7"/>
        <v>15740.1783</v>
      </c>
      <c r="J141" s="4"/>
      <c r="K141" s="38">
        <f t="shared" si="8"/>
        <v>0</v>
      </c>
    </row>
    <row r="142" spans="1:11">
      <c r="A142" t="s">
        <v>2598</v>
      </c>
      <c r="B142" t="s">
        <v>16</v>
      </c>
      <c r="C142" t="s">
        <v>8126</v>
      </c>
      <c r="D142" t="s">
        <v>8131</v>
      </c>
      <c r="E142">
        <v>26344.78</v>
      </c>
      <c r="G142" s="35"/>
      <c r="H142" s="36">
        <f t="shared" si="6"/>
        <v>16597.2114</v>
      </c>
      <c r="I142" s="37">
        <f t="shared" si="7"/>
        <v>16597.2114</v>
      </c>
      <c r="J142" s="4"/>
      <c r="K142" s="38">
        <f t="shared" si="8"/>
        <v>0</v>
      </c>
    </row>
    <row r="143" spans="1:11">
      <c r="A143" t="s">
        <v>2599</v>
      </c>
      <c r="B143" t="s">
        <v>16</v>
      </c>
      <c r="C143" t="s">
        <v>8126</v>
      </c>
      <c r="D143" t="s">
        <v>8132</v>
      </c>
      <c r="E143">
        <v>4369.1000000000004</v>
      </c>
      <c r="G143" s="35"/>
      <c r="H143" s="36">
        <f t="shared" si="6"/>
        <v>2752.5330000000004</v>
      </c>
      <c r="I143" s="37">
        <f t="shared" si="7"/>
        <v>2752.5330000000004</v>
      </c>
      <c r="J143" s="4"/>
      <c r="K143" s="38">
        <f t="shared" si="8"/>
        <v>0</v>
      </c>
    </row>
    <row r="144" spans="1:11">
      <c r="A144" t="s">
        <v>2600</v>
      </c>
      <c r="B144" t="s">
        <v>16</v>
      </c>
      <c r="C144" t="s">
        <v>8126</v>
      </c>
      <c r="D144" t="s">
        <v>8133</v>
      </c>
      <c r="E144">
        <v>55201.2</v>
      </c>
      <c r="G144" s="35"/>
      <c r="H144" s="36">
        <f t="shared" si="6"/>
        <v>34776.756000000001</v>
      </c>
      <c r="I144" s="37">
        <f t="shared" si="7"/>
        <v>34776.756000000001</v>
      </c>
      <c r="J144" s="4"/>
      <c r="K144" s="38">
        <f t="shared" si="8"/>
        <v>0</v>
      </c>
    </row>
    <row r="145" spans="1:11">
      <c r="A145" t="s">
        <v>2601</v>
      </c>
      <c r="B145" t="s">
        <v>16</v>
      </c>
      <c r="C145" t="s">
        <v>8126</v>
      </c>
      <c r="D145" t="s">
        <v>8134</v>
      </c>
      <c r="E145">
        <v>7516.09</v>
      </c>
      <c r="G145" s="35"/>
      <c r="H145" s="36">
        <f t="shared" si="6"/>
        <v>4735.1367</v>
      </c>
      <c r="I145" s="37">
        <f t="shared" si="7"/>
        <v>4735.1367</v>
      </c>
      <c r="J145" s="4"/>
      <c r="K145" s="38">
        <f t="shared" si="8"/>
        <v>0</v>
      </c>
    </row>
    <row r="146" spans="1:11">
      <c r="A146" t="s">
        <v>2602</v>
      </c>
      <c r="B146" t="s">
        <v>16</v>
      </c>
      <c r="C146" t="s">
        <v>8126</v>
      </c>
      <c r="D146" t="s">
        <v>8135</v>
      </c>
      <c r="E146">
        <v>10222.66</v>
      </c>
      <c r="G146" s="35"/>
      <c r="H146" s="36">
        <f t="shared" si="6"/>
        <v>6440.2758000000003</v>
      </c>
      <c r="I146" s="37">
        <f t="shared" si="7"/>
        <v>6440.2758000000003</v>
      </c>
      <c r="J146" s="4"/>
      <c r="K146" s="38">
        <f t="shared" si="8"/>
        <v>0</v>
      </c>
    </row>
    <row r="147" spans="1:11">
      <c r="A147" t="s">
        <v>2603</v>
      </c>
      <c r="B147" t="s">
        <v>16</v>
      </c>
      <c r="C147" t="s">
        <v>8126</v>
      </c>
      <c r="D147" t="s">
        <v>8136</v>
      </c>
      <c r="E147">
        <v>13080.82</v>
      </c>
      <c r="G147" s="35"/>
      <c r="H147" s="36">
        <f t="shared" si="6"/>
        <v>8240.9166000000005</v>
      </c>
      <c r="I147" s="37">
        <f t="shared" si="7"/>
        <v>8240.9166000000005</v>
      </c>
      <c r="J147" s="4"/>
      <c r="K147" s="38">
        <f t="shared" si="8"/>
        <v>0</v>
      </c>
    </row>
    <row r="148" spans="1:11">
      <c r="A148" t="s">
        <v>11975</v>
      </c>
      <c r="B148" t="s">
        <v>16</v>
      </c>
      <c r="C148" t="s">
        <v>8126</v>
      </c>
      <c r="D148" t="s">
        <v>11976</v>
      </c>
      <c r="E148">
        <v>1519.81</v>
      </c>
      <c r="G148" s="35"/>
      <c r="H148" s="36">
        <f t="shared" si="6"/>
        <v>957.48029999999994</v>
      </c>
      <c r="I148" s="37">
        <f t="shared" si="7"/>
        <v>957.48029999999994</v>
      </c>
      <c r="J148" s="4"/>
      <c r="K148" s="38">
        <f t="shared" si="8"/>
        <v>0</v>
      </c>
    </row>
    <row r="149" spans="1:11">
      <c r="A149" t="s">
        <v>2604</v>
      </c>
      <c r="B149" t="s">
        <v>16</v>
      </c>
      <c r="C149" t="s">
        <v>8126</v>
      </c>
      <c r="D149" t="s">
        <v>8137</v>
      </c>
      <c r="E149">
        <v>57668.41</v>
      </c>
      <c r="G149" s="35"/>
      <c r="H149" s="36">
        <f t="shared" si="6"/>
        <v>36331.098300000005</v>
      </c>
      <c r="I149" s="37">
        <f t="shared" si="7"/>
        <v>36331.098300000005</v>
      </c>
      <c r="J149" s="4"/>
      <c r="K149" s="38">
        <f t="shared" si="8"/>
        <v>0</v>
      </c>
    </row>
    <row r="150" spans="1:11">
      <c r="A150" t="s">
        <v>2605</v>
      </c>
      <c r="B150" t="s">
        <v>16</v>
      </c>
      <c r="C150" t="s">
        <v>8126</v>
      </c>
      <c r="D150" t="s">
        <v>8138</v>
      </c>
      <c r="E150">
        <v>2255.2600000000002</v>
      </c>
      <c r="G150" s="35"/>
      <c r="H150" s="36">
        <f t="shared" si="6"/>
        <v>1420.8138000000001</v>
      </c>
      <c r="I150" s="37">
        <f t="shared" si="7"/>
        <v>1420.8138000000001</v>
      </c>
      <c r="J150" s="4"/>
      <c r="K150" s="38">
        <f t="shared" si="8"/>
        <v>0</v>
      </c>
    </row>
    <row r="151" spans="1:11">
      <c r="A151" t="s">
        <v>2606</v>
      </c>
      <c r="B151" t="s">
        <v>16</v>
      </c>
      <c r="C151" t="s">
        <v>8126</v>
      </c>
      <c r="D151" t="s">
        <v>8139</v>
      </c>
      <c r="E151">
        <v>28420.27</v>
      </c>
      <c r="G151" s="35"/>
      <c r="H151" s="36">
        <f t="shared" si="6"/>
        <v>17904.770100000002</v>
      </c>
      <c r="I151" s="37">
        <f t="shared" si="7"/>
        <v>17904.770100000002</v>
      </c>
      <c r="J151" s="4"/>
      <c r="K151" s="38">
        <f t="shared" si="8"/>
        <v>0</v>
      </c>
    </row>
    <row r="152" spans="1:11">
      <c r="A152" t="s">
        <v>2607</v>
      </c>
      <c r="B152" t="s">
        <v>16</v>
      </c>
      <c r="C152" t="s">
        <v>8126</v>
      </c>
      <c r="D152" t="s">
        <v>8140</v>
      </c>
      <c r="E152">
        <v>24899.59</v>
      </c>
      <c r="G152" s="35"/>
      <c r="H152" s="36">
        <f t="shared" si="6"/>
        <v>15686.7417</v>
      </c>
      <c r="I152" s="37">
        <f t="shared" si="7"/>
        <v>15686.7417</v>
      </c>
      <c r="J152" s="4"/>
      <c r="K152" s="38">
        <f t="shared" si="8"/>
        <v>0</v>
      </c>
    </row>
    <row r="153" spans="1:11">
      <c r="A153" t="s">
        <v>2608</v>
      </c>
      <c r="B153" t="s">
        <v>16</v>
      </c>
      <c r="C153" t="s">
        <v>8126</v>
      </c>
      <c r="D153" t="s">
        <v>8141</v>
      </c>
      <c r="E153">
        <v>22529.4</v>
      </c>
      <c r="G153" s="35"/>
      <c r="H153" s="36">
        <f t="shared" si="6"/>
        <v>14193.522000000001</v>
      </c>
      <c r="I153" s="37">
        <f t="shared" si="7"/>
        <v>14193.522000000001</v>
      </c>
      <c r="J153" s="4"/>
      <c r="K153" s="38">
        <f t="shared" si="8"/>
        <v>0</v>
      </c>
    </row>
    <row r="154" spans="1:11">
      <c r="A154" t="s">
        <v>12189</v>
      </c>
      <c r="B154" t="s">
        <v>16</v>
      </c>
      <c r="C154" t="s">
        <v>8126</v>
      </c>
      <c r="D154" t="s">
        <v>12190</v>
      </c>
      <c r="E154">
        <v>83359.41</v>
      </c>
      <c r="G154" s="35"/>
      <c r="H154" s="36">
        <f t="shared" si="6"/>
        <v>52516.4283</v>
      </c>
      <c r="I154" s="37">
        <f t="shared" si="7"/>
        <v>52516.4283</v>
      </c>
      <c r="J154" s="4"/>
      <c r="K154" s="38">
        <f t="shared" si="8"/>
        <v>0</v>
      </c>
    </row>
    <row r="155" spans="1:11">
      <c r="A155" t="s">
        <v>12191</v>
      </c>
      <c r="B155" t="s">
        <v>16</v>
      </c>
      <c r="C155" t="s">
        <v>8126</v>
      </c>
      <c r="D155" t="s">
        <v>12192</v>
      </c>
      <c r="E155">
        <v>7768.43</v>
      </c>
      <c r="G155" s="35"/>
      <c r="H155" s="36">
        <f t="shared" si="6"/>
        <v>4894.1109000000006</v>
      </c>
      <c r="I155" s="37">
        <f t="shared" si="7"/>
        <v>4894.1109000000006</v>
      </c>
      <c r="J155" s="4"/>
      <c r="K155" s="38">
        <f t="shared" si="8"/>
        <v>0</v>
      </c>
    </row>
    <row r="156" spans="1:11">
      <c r="A156" t="s">
        <v>2609</v>
      </c>
      <c r="B156" t="s">
        <v>16</v>
      </c>
      <c r="C156" t="s">
        <v>8126</v>
      </c>
      <c r="D156" t="s">
        <v>8142</v>
      </c>
      <c r="E156">
        <v>58790.39</v>
      </c>
      <c r="G156" s="35"/>
      <c r="H156" s="36">
        <f t="shared" si="6"/>
        <v>37037.945699999997</v>
      </c>
      <c r="I156" s="37">
        <f t="shared" si="7"/>
        <v>37037.945699999997</v>
      </c>
      <c r="J156" s="4"/>
      <c r="K156" s="38">
        <f t="shared" si="8"/>
        <v>0</v>
      </c>
    </row>
    <row r="157" spans="1:11">
      <c r="A157" t="s">
        <v>2610</v>
      </c>
      <c r="B157" t="s">
        <v>16</v>
      </c>
      <c r="C157" t="s">
        <v>8126</v>
      </c>
      <c r="D157" t="s">
        <v>8143</v>
      </c>
      <c r="E157">
        <v>15704.06</v>
      </c>
      <c r="G157" s="35"/>
      <c r="H157" s="36">
        <f t="shared" si="6"/>
        <v>9893.5578000000005</v>
      </c>
      <c r="I157" s="37">
        <f t="shared" si="7"/>
        <v>9893.5578000000005</v>
      </c>
      <c r="J157" s="4"/>
      <c r="K157" s="38">
        <f t="shared" si="8"/>
        <v>0</v>
      </c>
    </row>
    <row r="158" spans="1:11">
      <c r="A158" t="s">
        <v>2611</v>
      </c>
      <c r="B158" t="s">
        <v>16</v>
      </c>
      <c r="C158" t="s">
        <v>8126</v>
      </c>
      <c r="D158" t="s">
        <v>8144</v>
      </c>
      <c r="E158">
        <v>82001.320000000007</v>
      </c>
      <c r="G158" s="35"/>
      <c r="H158" s="36">
        <f t="shared" si="6"/>
        <v>51660.831600000005</v>
      </c>
      <c r="I158" s="37">
        <f t="shared" si="7"/>
        <v>51660.831600000005</v>
      </c>
      <c r="J158" s="4"/>
      <c r="K158" s="38">
        <f t="shared" si="8"/>
        <v>0</v>
      </c>
    </row>
    <row r="159" spans="1:11">
      <c r="A159" t="s">
        <v>2612</v>
      </c>
      <c r="B159" t="s">
        <v>16</v>
      </c>
      <c r="C159" t="s">
        <v>8126</v>
      </c>
      <c r="D159" t="s">
        <v>8145</v>
      </c>
      <c r="E159">
        <v>36777.71</v>
      </c>
      <c r="G159" s="35"/>
      <c r="H159" s="36">
        <f t="shared" si="6"/>
        <v>23169.957299999998</v>
      </c>
      <c r="I159" s="37">
        <f t="shared" si="7"/>
        <v>23169.957299999998</v>
      </c>
      <c r="J159" s="4"/>
      <c r="K159" s="38">
        <f t="shared" si="8"/>
        <v>0</v>
      </c>
    </row>
    <row r="160" spans="1:11">
      <c r="A160" t="s">
        <v>2613</v>
      </c>
      <c r="B160" t="s">
        <v>16</v>
      </c>
      <c r="C160" t="s">
        <v>8126</v>
      </c>
      <c r="D160" t="s">
        <v>8146</v>
      </c>
      <c r="E160">
        <v>26588.94</v>
      </c>
      <c r="G160" s="35"/>
      <c r="H160" s="36">
        <f t="shared" si="6"/>
        <v>16751.032199999998</v>
      </c>
      <c r="I160" s="37">
        <f t="shared" si="7"/>
        <v>16751.032199999998</v>
      </c>
      <c r="J160" s="4"/>
      <c r="K160" s="38">
        <f t="shared" si="8"/>
        <v>0</v>
      </c>
    </row>
    <row r="161" spans="1:11">
      <c r="A161" t="s">
        <v>4064</v>
      </c>
      <c r="B161" t="s">
        <v>16</v>
      </c>
      <c r="C161" t="s">
        <v>5993</v>
      </c>
      <c r="D161" t="s">
        <v>8189</v>
      </c>
      <c r="E161">
        <v>7936.93</v>
      </c>
      <c r="G161" s="35"/>
      <c r="H161" s="36">
        <f t="shared" si="6"/>
        <v>5000.2659000000003</v>
      </c>
      <c r="I161" s="37">
        <f t="shared" si="7"/>
        <v>5000.2659000000003</v>
      </c>
      <c r="J161" s="4"/>
      <c r="K161" s="38">
        <f t="shared" si="8"/>
        <v>0</v>
      </c>
    </row>
    <row r="162" spans="1:11">
      <c r="A162" t="s">
        <v>4065</v>
      </c>
      <c r="B162" t="s">
        <v>16</v>
      </c>
      <c r="C162" t="s">
        <v>5993</v>
      </c>
      <c r="D162" t="s">
        <v>9523</v>
      </c>
      <c r="E162">
        <v>9123.1200000000008</v>
      </c>
      <c r="G162" s="35"/>
      <c r="H162" s="36">
        <f t="shared" si="6"/>
        <v>5747.5656000000008</v>
      </c>
      <c r="I162" s="37">
        <f t="shared" si="7"/>
        <v>5747.5656000000008</v>
      </c>
      <c r="J162" s="4"/>
      <c r="K162" s="38">
        <f t="shared" si="8"/>
        <v>0</v>
      </c>
    </row>
    <row r="163" spans="1:11">
      <c r="A163" t="s">
        <v>4066</v>
      </c>
      <c r="B163" t="s">
        <v>16</v>
      </c>
      <c r="C163" t="s">
        <v>5993</v>
      </c>
      <c r="D163" t="s">
        <v>8191</v>
      </c>
      <c r="E163">
        <v>34484.42</v>
      </c>
      <c r="G163" s="35"/>
      <c r="H163" s="36">
        <f t="shared" si="6"/>
        <v>21725.184600000001</v>
      </c>
      <c r="I163" s="37">
        <f t="shared" si="7"/>
        <v>21725.184600000001</v>
      </c>
      <c r="J163" s="4"/>
      <c r="K163" s="38">
        <f t="shared" si="8"/>
        <v>0</v>
      </c>
    </row>
    <row r="164" spans="1:11">
      <c r="A164" t="s">
        <v>268</v>
      </c>
      <c r="B164" t="s">
        <v>16</v>
      </c>
      <c r="C164" t="s">
        <v>5838</v>
      </c>
      <c r="D164" t="s">
        <v>5839</v>
      </c>
      <c r="E164">
        <v>50654.02</v>
      </c>
      <c r="G164" s="35"/>
      <c r="H164" s="36">
        <f t="shared" si="6"/>
        <v>31912.032599999999</v>
      </c>
      <c r="I164" s="37">
        <f t="shared" si="7"/>
        <v>31912.032599999999</v>
      </c>
      <c r="J164" s="4"/>
      <c r="K164" s="38">
        <f t="shared" si="8"/>
        <v>0</v>
      </c>
    </row>
    <row r="165" spans="1:11">
      <c r="A165" t="s">
        <v>269</v>
      </c>
      <c r="B165" t="s">
        <v>16</v>
      </c>
      <c r="C165" t="s">
        <v>5838</v>
      </c>
      <c r="D165" t="s">
        <v>5840</v>
      </c>
      <c r="E165">
        <v>108704.49</v>
      </c>
      <c r="G165" s="35"/>
      <c r="H165" s="36">
        <f t="shared" si="6"/>
        <v>68483.828699999998</v>
      </c>
      <c r="I165" s="37">
        <f t="shared" si="7"/>
        <v>68483.828699999998</v>
      </c>
      <c r="J165" s="4"/>
      <c r="K165" s="38">
        <f t="shared" si="8"/>
        <v>0</v>
      </c>
    </row>
    <row r="166" spans="1:11">
      <c r="A166" t="s">
        <v>270</v>
      </c>
      <c r="B166" t="s">
        <v>16</v>
      </c>
      <c r="C166" t="s">
        <v>5838</v>
      </c>
      <c r="D166" t="s">
        <v>5841</v>
      </c>
      <c r="E166">
        <v>223.78</v>
      </c>
      <c r="G166" s="35"/>
      <c r="H166" s="36">
        <f t="shared" si="6"/>
        <v>140.98140000000001</v>
      </c>
      <c r="I166" s="37">
        <f t="shared" si="7"/>
        <v>140.98140000000001</v>
      </c>
      <c r="J166" s="4"/>
      <c r="K166" s="38">
        <f t="shared" si="8"/>
        <v>0</v>
      </c>
    </row>
    <row r="167" spans="1:11">
      <c r="A167" t="s">
        <v>271</v>
      </c>
      <c r="B167" t="s">
        <v>16</v>
      </c>
      <c r="C167" t="s">
        <v>5838</v>
      </c>
      <c r="D167" t="s">
        <v>5842</v>
      </c>
      <c r="E167">
        <v>16714.97</v>
      </c>
      <c r="G167" s="35"/>
      <c r="H167" s="36">
        <f t="shared" si="6"/>
        <v>10530.431100000002</v>
      </c>
      <c r="I167" s="37">
        <f t="shared" si="7"/>
        <v>10530.431100000002</v>
      </c>
      <c r="J167" s="4"/>
      <c r="K167" s="38">
        <f t="shared" si="8"/>
        <v>0</v>
      </c>
    </row>
    <row r="168" spans="1:11">
      <c r="A168" t="s">
        <v>272</v>
      </c>
      <c r="B168" t="s">
        <v>16</v>
      </c>
      <c r="C168" t="s">
        <v>5838</v>
      </c>
      <c r="D168" t="s">
        <v>5843</v>
      </c>
      <c r="E168">
        <v>30391.919999999998</v>
      </c>
      <c r="G168" s="35"/>
      <c r="H168" s="36">
        <f t="shared" si="6"/>
        <v>19146.909599999999</v>
      </c>
      <c r="I168" s="37">
        <f t="shared" si="7"/>
        <v>19146.909599999999</v>
      </c>
      <c r="J168" s="4"/>
      <c r="K168" s="38">
        <f t="shared" si="8"/>
        <v>0</v>
      </c>
    </row>
    <row r="169" spans="1:11">
      <c r="A169" t="s">
        <v>2444</v>
      </c>
      <c r="B169" t="s">
        <v>16</v>
      </c>
      <c r="C169" t="s">
        <v>7966</v>
      </c>
      <c r="D169" t="s">
        <v>6378</v>
      </c>
      <c r="E169">
        <v>3244.73</v>
      </c>
      <c r="G169" s="35"/>
      <c r="H169" s="36">
        <f t="shared" si="6"/>
        <v>2044.1799000000001</v>
      </c>
      <c r="I169" s="37">
        <f t="shared" si="7"/>
        <v>2044.1799000000001</v>
      </c>
      <c r="J169" s="4"/>
      <c r="K169" s="38">
        <f t="shared" si="8"/>
        <v>0</v>
      </c>
    </row>
    <row r="170" spans="1:11">
      <c r="A170" t="s">
        <v>2445</v>
      </c>
      <c r="B170" t="s">
        <v>16</v>
      </c>
      <c r="C170" t="s">
        <v>7966</v>
      </c>
      <c r="D170" t="s">
        <v>7967</v>
      </c>
      <c r="E170">
        <v>4208.2299999999996</v>
      </c>
      <c r="G170" s="35"/>
      <c r="H170" s="36">
        <f t="shared" si="6"/>
        <v>2651.1848999999997</v>
      </c>
      <c r="I170" s="37">
        <f t="shared" si="7"/>
        <v>2651.1848999999997</v>
      </c>
      <c r="J170" s="4"/>
      <c r="K170" s="38">
        <f t="shared" si="8"/>
        <v>0</v>
      </c>
    </row>
    <row r="171" spans="1:11">
      <c r="A171" t="s">
        <v>581</v>
      </c>
      <c r="B171" t="s">
        <v>16</v>
      </c>
      <c r="C171" t="s">
        <v>6235</v>
      </c>
      <c r="D171" t="s">
        <v>6236</v>
      </c>
      <c r="E171">
        <v>644.13</v>
      </c>
      <c r="G171" s="35"/>
      <c r="H171" s="36">
        <f t="shared" si="6"/>
        <v>405.80189999999999</v>
      </c>
      <c r="I171" s="37">
        <f t="shared" si="7"/>
        <v>405.80189999999999</v>
      </c>
      <c r="J171" s="4"/>
      <c r="K171" s="38">
        <f t="shared" si="8"/>
        <v>0</v>
      </c>
    </row>
    <row r="172" spans="1:11">
      <c r="A172" t="s">
        <v>582</v>
      </c>
      <c r="B172" t="s">
        <v>16</v>
      </c>
      <c r="C172" t="s">
        <v>6235</v>
      </c>
      <c r="D172" t="s">
        <v>6237</v>
      </c>
      <c r="E172">
        <v>921.98</v>
      </c>
      <c r="G172" s="35"/>
      <c r="H172" s="36">
        <f t="shared" si="6"/>
        <v>580.84739999999999</v>
      </c>
      <c r="I172" s="37">
        <f t="shared" si="7"/>
        <v>580.84739999999999</v>
      </c>
      <c r="J172" s="4"/>
      <c r="K172" s="38">
        <f t="shared" si="8"/>
        <v>0</v>
      </c>
    </row>
    <row r="173" spans="1:11">
      <c r="A173" t="s">
        <v>583</v>
      </c>
      <c r="B173" t="s">
        <v>16</v>
      </c>
      <c r="C173" t="s">
        <v>6235</v>
      </c>
      <c r="D173" t="s">
        <v>6238</v>
      </c>
      <c r="E173">
        <v>1548.93</v>
      </c>
      <c r="G173" s="35"/>
      <c r="H173" s="36">
        <f t="shared" si="6"/>
        <v>975.82590000000005</v>
      </c>
      <c r="I173" s="37">
        <f t="shared" si="7"/>
        <v>975.82590000000005</v>
      </c>
      <c r="J173" s="4"/>
      <c r="K173" s="38">
        <f t="shared" si="8"/>
        <v>0</v>
      </c>
    </row>
    <row r="174" spans="1:11">
      <c r="A174" t="s">
        <v>584</v>
      </c>
      <c r="B174" t="s">
        <v>16</v>
      </c>
      <c r="C174" t="s">
        <v>6235</v>
      </c>
      <c r="D174" t="s">
        <v>6239</v>
      </c>
      <c r="E174">
        <v>3332.4</v>
      </c>
      <c r="G174" s="35"/>
      <c r="H174" s="36">
        <f t="shared" si="6"/>
        <v>2099.4120000000003</v>
      </c>
      <c r="I174" s="37">
        <f t="shared" si="7"/>
        <v>2099.4120000000003</v>
      </c>
      <c r="J174" s="4"/>
      <c r="K174" s="38">
        <f t="shared" si="8"/>
        <v>0</v>
      </c>
    </row>
    <row r="175" spans="1:11">
      <c r="A175" t="s">
        <v>585</v>
      </c>
      <c r="B175" t="s">
        <v>16</v>
      </c>
      <c r="C175" t="s">
        <v>6235</v>
      </c>
      <c r="D175" t="s">
        <v>6240</v>
      </c>
      <c r="E175">
        <v>696.71</v>
      </c>
      <c r="G175" s="35"/>
      <c r="H175" s="36">
        <f t="shared" si="6"/>
        <v>438.9273</v>
      </c>
      <c r="I175" s="37">
        <f t="shared" si="7"/>
        <v>438.9273</v>
      </c>
      <c r="J175" s="4"/>
      <c r="K175" s="38">
        <f t="shared" si="8"/>
        <v>0</v>
      </c>
    </row>
    <row r="176" spans="1:11">
      <c r="A176" t="s">
        <v>586</v>
      </c>
      <c r="B176" t="s">
        <v>16</v>
      </c>
      <c r="C176" t="s">
        <v>6235</v>
      </c>
      <c r="D176" t="s">
        <v>6241</v>
      </c>
      <c r="E176">
        <v>921.98</v>
      </c>
      <c r="G176" s="35"/>
      <c r="H176" s="36">
        <f t="shared" si="6"/>
        <v>580.84739999999999</v>
      </c>
      <c r="I176" s="37">
        <f t="shared" si="7"/>
        <v>580.84739999999999</v>
      </c>
      <c r="J176" s="4"/>
      <c r="K176" s="38">
        <f t="shared" si="8"/>
        <v>0</v>
      </c>
    </row>
    <row r="177" spans="1:11">
      <c r="A177" t="s">
        <v>587</v>
      </c>
      <c r="B177" t="s">
        <v>16</v>
      </c>
      <c r="C177" t="s">
        <v>6235</v>
      </c>
      <c r="D177" t="s">
        <v>6242</v>
      </c>
      <c r="E177">
        <v>1635.59</v>
      </c>
      <c r="G177" s="35"/>
      <c r="H177" s="36">
        <f t="shared" si="6"/>
        <v>1030.4216999999999</v>
      </c>
      <c r="I177" s="37">
        <f t="shared" si="7"/>
        <v>1030.4216999999999</v>
      </c>
      <c r="J177" s="4"/>
      <c r="K177" s="38">
        <f t="shared" si="8"/>
        <v>0</v>
      </c>
    </row>
    <row r="178" spans="1:11">
      <c r="A178" t="s">
        <v>588</v>
      </c>
      <c r="B178" t="s">
        <v>16</v>
      </c>
      <c r="C178" t="s">
        <v>6235</v>
      </c>
      <c r="D178" t="s">
        <v>6243</v>
      </c>
      <c r="E178">
        <v>3619.87</v>
      </c>
      <c r="G178" s="35"/>
      <c r="H178" s="36">
        <f t="shared" si="6"/>
        <v>2280.5180999999998</v>
      </c>
      <c r="I178" s="37">
        <f t="shared" si="7"/>
        <v>2280.5180999999998</v>
      </c>
      <c r="J178" s="4"/>
      <c r="K178" s="38">
        <f t="shared" si="8"/>
        <v>0</v>
      </c>
    </row>
    <row r="179" spans="1:11">
      <c r="A179" t="s">
        <v>589</v>
      </c>
      <c r="B179" t="s">
        <v>16</v>
      </c>
      <c r="C179" t="s">
        <v>6235</v>
      </c>
      <c r="D179" t="s">
        <v>6244</v>
      </c>
      <c r="E179">
        <v>2273.29</v>
      </c>
      <c r="G179" s="35"/>
      <c r="H179" s="36">
        <f t="shared" si="6"/>
        <v>1432.1727000000001</v>
      </c>
      <c r="I179" s="37">
        <f t="shared" si="7"/>
        <v>1432.1727000000001</v>
      </c>
      <c r="J179" s="4"/>
      <c r="K179" s="38">
        <f t="shared" si="8"/>
        <v>0</v>
      </c>
    </row>
    <row r="180" spans="1:11">
      <c r="A180" t="s">
        <v>590</v>
      </c>
      <c r="B180" t="s">
        <v>16</v>
      </c>
      <c r="C180" t="s">
        <v>6235</v>
      </c>
      <c r="D180" t="s">
        <v>6245</v>
      </c>
      <c r="E180">
        <v>4811.87</v>
      </c>
      <c r="G180" s="35"/>
      <c r="H180" s="36">
        <f t="shared" si="6"/>
        <v>3031.4780999999998</v>
      </c>
      <c r="I180" s="37">
        <f t="shared" si="7"/>
        <v>3031.4780999999998</v>
      </c>
      <c r="J180" s="4"/>
      <c r="K180" s="38">
        <f t="shared" si="8"/>
        <v>0</v>
      </c>
    </row>
    <row r="181" spans="1:11">
      <c r="A181" t="s">
        <v>591</v>
      </c>
      <c r="B181" t="s">
        <v>16</v>
      </c>
      <c r="C181" t="s">
        <v>6235</v>
      </c>
      <c r="D181" t="s">
        <v>6246</v>
      </c>
      <c r="E181">
        <v>818.16</v>
      </c>
      <c r="G181" s="35"/>
      <c r="H181" s="36">
        <f t="shared" si="6"/>
        <v>515.44079999999997</v>
      </c>
      <c r="I181" s="37">
        <f t="shared" si="7"/>
        <v>515.44079999999997</v>
      </c>
      <c r="J181" s="4"/>
      <c r="K181" s="38">
        <f t="shared" si="8"/>
        <v>0</v>
      </c>
    </row>
    <row r="182" spans="1:11">
      <c r="A182" t="s">
        <v>592</v>
      </c>
      <c r="B182" t="s">
        <v>16</v>
      </c>
      <c r="C182" t="s">
        <v>6235</v>
      </c>
      <c r="D182" t="s">
        <v>6247</v>
      </c>
      <c r="E182">
        <v>1140.22</v>
      </c>
      <c r="G182" s="35"/>
      <c r="H182" s="36">
        <f t="shared" si="6"/>
        <v>718.33860000000004</v>
      </c>
      <c r="I182" s="37">
        <f t="shared" si="7"/>
        <v>718.33860000000004</v>
      </c>
      <c r="J182" s="4"/>
      <c r="K182" s="38">
        <f t="shared" si="8"/>
        <v>0</v>
      </c>
    </row>
    <row r="183" spans="1:11">
      <c r="A183" t="s">
        <v>593</v>
      </c>
      <c r="B183" t="s">
        <v>16</v>
      </c>
      <c r="C183" t="s">
        <v>6235</v>
      </c>
      <c r="D183" t="s">
        <v>6248</v>
      </c>
      <c r="E183">
        <v>1826.84</v>
      </c>
      <c r="G183" s="35"/>
      <c r="H183" s="36">
        <f t="shared" si="6"/>
        <v>1150.9092000000001</v>
      </c>
      <c r="I183" s="37">
        <f t="shared" si="7"/>
        <v>1150.9092000000001</v>
      </c>
      <c r="J183" s="4"/>
      <c r="K183" s="38">
        <f t="shared" si="8"/>
        <v>0</v>
      </c>
    </row>
    <row r="184" spans="1:11">
      <c r="A184" t="s">
        <v>594</v>
      </c>
      <c r="B184" t="s">
        <v>16</v>
      </c>
      <c r="C184" t="s">
        <v>6235</v>
      </c>
      <c r="D184" t="s">
        <v>6249</v>
      </c>
      <c r="E184">
        <v>862.48</v>
      </c>
      <c r="G184" s="35"/>
      <c r="H184" s="36">
        <f t="shared" si="6"/>
        <v>543.36239999999998</v>
      </c>
      <c r="I184" s="37">
        <f t="shared" si="7"/>
        <v>543.36239999999998</v>
      </c>
      <c r="J184" s="4"/>
      <c r="K184" s="38">
        <f t="shared" si="8"/>
        <v>0</v>
      </c>
    </row>
    <row r="185" spans="1:11">
      <c r="A185" t="s">
        <v>595</v>
      </c>
      <c r="B185" t="s">
        <v>16</v>
      </c>
      <c r="C185" t="s">
        <v>6235</v>
      </c>
      <c r="D185" t="s">
        <v>6250</v>
      </c>
      <c r="E185">
        <v>1140.22</v>
      </c>
      <c r="G185" s="35"/>
      <c r="H185" s="36">
        <f t="shared" si="6"/>
        <v>718.33860000000004</v>
      </c>
      <c r="I185" s="37">
        <f t="shared" si="7"/>
        <v>718.33860000000004</v>
      </c>
      <c r="J185" s="4"/>
      <c r="K185" s="38">
        <f t="shared" si="8"/>
        <v>0</v>
      </c>
    </row>
    <row r="186" spans="1:11">
      <c r="A186" t="s">
        <v>596</v>
      </c>
      <c r="B186" t="s">
        <v>16</v>
      </c>
      <c r="C186" t="s">
        <v>6235</v>
      </c>
      <c r="D186" t="s">
        <v>6251</v>
      </c>
      <c r="E186">
        <v>1913.66</v>
      </c>
      <c r="G186" s="35"/>
      <c r="H186" s="36">
        <f t="shared" si="6"/>
        <v>1205.6058</v>
      </c>
      <c r="I186" s="37">
        <f t="shared" si="7"/>
        <v>1205.6058</v>
      </c>
      <c r="J186" s="4"/>
      <c r="K186" s="38">
        <f t="shared" si="8"/>
        <v>0</v>
      </c>
    </row>
    <row r="187" spans="1:11">
      <c r="A187" t="s">
        <v>597</v>
      </c>
      <c r="B187" t="s">
        <v>16</v>
      </c>
      <c r="C187" t="s">
        <v>6235</v>
      </c>
      <c r="D187" t="s">
        <v>6252</v>
      </c>
      <c r="E187">
        <v>9623.94</v>
      </c>
      <c r="G187" s="35"/>
      <c r="H187" s="36">
        <f t="shared" si="6"/>
        <v>6063.0822000000007</v>
      </c>
      <c r="I187" s="37">
        <f t="shared" si="7"/>
        <v>6063.0822000000007</v>
      </c>
      <c r="J187" s="4"/>
      <c r="K187" s="38">
        <f t="shared" si="8"/>
        <v>0</v>
      </c>
    </row>
    <row r="188" spans="1:11">
      <c r="A188" t="s">
        <v>598</v>
      </c>
      <c r="B188" t="s">
        <v>16</v>
      </c>
      <c r="C188" t="s">
        <v>6235</v>
      </c>
      <c r="D188" t="s">
        <v>6253</v>
      </c>
      <c r="E188">
        <v>1219.1600000000001</v>
      </c>
      <c r="G188" s="35"/>
      <c r="H188" s="36">
        <f t="shared" si="6"/>
        <v>768.07080000000008</v>
      </c>
      <c r="I188" s="37">
        <f t="shared" si="7"/>
        <v>768.07080000000008</v>
      </c>
      <c r="J188" s="4"/>
      <c r="K188" s="38">
        <f t="shared" si="8"/>
        <v>0</v>
      </c>
    </row>
    <row r="189" spans="1:11">
      <c r="A189" t="s">
        <v>599</v>
      </c>
      <c r="B189" t="s">
        <v>16</v>
      </c>
      <c r="C189" t="s">
        <v>6235</v>
      </c>
      <c r="D189" t="s">
        <v>6254</v>
      </c>
      <c r="E189">
        <v>6107.37</v>
      </c>
      <c r="G189" s="35"/>
      <c r="H189" s="36">
        <f t="shared" si="6"/>
        <v>3847.6430999999998</v>
      </c>
      <c r="I189" s="37">
        <f t="shared" si="7"/>
        <v>3847.6430999999998</v>
      </c>
      <c r="J189" s="4"/>
      <c r="K189" s="38">
        <f t="shared" si="8"/>
        <v>0</v>
      </c>
    </row>
    <row r="190" spans="1:11">
      <c r="A190" t="s">
        <v>600</v>
      </c>
      <c r="B190" t="s">
        <v>16</v>
      </c>
      <c r="C190" t="s">
        <v>6235</v>
      </c>
      <c r="D190" t="s">
        <v>6255</v>
      </c>
      <c r="E190">
        <v>6107.37</v>
      </c>
      <c r="G190" s="35"/>
      <c r="H190" s="36">
        <f t="shared" si="6"/>
        <v>3847.6430999999998</v>
      </c>
      <c r="I190" s="37">
        <f t="shared" si="7"/>
        <v>3847.6430999999998</v>
      </c>
      <c r="J190" s="4"/>
      <c r="K190" s="38">
        <f t="shared" si="8"/>
        <v>0</v>
      </c>
    </row>
    <row r="191" spans="1:11">
      <c r="A191" t="s">
        <v>601</v>
      </c>
      <c r="B191" t="s">
        <v>16</v>
      </c>
      <c r="C191" t="s">
        <v>6235</v>
      </c>
      <c r="D191" t="s">
        <v>6256</v>
      </c>
      <c r="E191">
        <v>6107.37</v>
      </c>
      <c r="G191" s="35"/>
      <c r="H191" s="36">
        <f t="shared" si="6"/>
        <v>3847.6430999999998</v>
      </c>
      <c r="I191" s="37">
        <f t="shared" si="7"/>
        <v>3847.6430999999998</v>
      </c>
      <c r="J191" s="4"/>
      <c r="K191" s="38">
        <f t="shared" si="8"/>
        <v>0</v>
      </c>
    </row>
    <row r="192" spans="1:11">
      <c r="A192" t="s">
        <v>602</v>
      </c>
      <c r="B192" t="s">
        <v>16</v>
      </c>
      <c r="C192" t="s">
        <v>6235</v>
      </c>
      <c r="D192" t="s">
        <v>6257</v>
      </c>
      <c r="E192">
        <v>1679.03</v>
      </c>
      <c r="G192" s="35"/>
      <c r="H192" s="36">
        <f t="shared" si="6"/>
        <v>1057.7889</v>
      </c>
      <c r="I192" s="37">
        <f t="shared" si="7"/>
        <v>1057.7889</v>
      </c>
      <c r="J192" s="4"/>
      <c r="K192" s="38">
        <f t="shared" si="8"/>
        <v>0</v>
      </c>
    </row>
    <row r="193" spans="1:11">
      <c r="A193" t="s">
        <v>603</v>
      </c>
      <c r="B193" t="s">
        <v>16</v>
      </c>
      <c r="C193" t="s">
        <v>6235</v>
      </c>
      <c r="D193" t="s">
        <v>6258</v>
      </c>
      <c r="E193">
        <v>1679.03</v>
      </c>
      <c r="G193" s="35"/>
      <c r="H193" s="36">
        <f t="shared" si="6"/>
        <v>1057.7889</v>
      </c>
      <c r="I193" s="37">
        <f t="shared" si="7"/>
        <v>1057.7889</v>
      </c>
      <c r="J193" s="4"/>
      <c r="K193" s="38">
        <f t="shared" si="8"/>
        <v>0</v>
      </c>
    </row>
    <row r="194" spans="1:11">
      <c r="A194" t="s">
        <v>604</v>
      </c>
      <c r="B194" t="s">
        <v>16</v>
      </c>
      <c r="C194" t="s">
        <v>6235</v>
      </c>
      <c r="D194" t="s">
        <v>6259</v>
      </c>
      <c r="E194">
        <v>1915.54</v>
      </c>
      <c r="G194" s="35"/>
      <c r="H194" s="36">
        <f t="shared" si="6"/>
        <v>1206.7901999999999</v>
      </c>
      <c r="I194" s="37">
        <f t="shared" si="7"/>
        <v>1206.7901999999999</v>
      </c>
      <c r="J194" s="4"/>
      <c r="K194" s="38">
        <f t="shared" si="8"/>
        <v>0</v>
      </c>
    </row>
    <row r="195" spans="1:11">
      <c r="A195" t="s">
        <v>605</v>
      </c>
      <c r="B195" t="s">
        <v>16</v>
      </c>
      <c r="C195" t="s">
        <v>6235</v>
      </c>
      <c r="D195" t="s">
        <v>6260</v>
      </c>
      <c r="E195">
        <v>1915.54</v>
      </c>
      <c r="G195" s="35"/>
      <c r="H195" s="36">
        <f t="shared" si="6"/>
        <v>1206.7901999999999</v>
      </c>
      <c r="I195" s="37">
        <f t="shared" si="7"/>
        <v>1206.7901999999999</v>
      </c>
      <c r="J195" s="4"/>
      <c r="K195" s="38">
        <f t="shared" si="8"/>
        <v>0</v>
      </c>
    </row>
    <row r="196" spans="1:11">
      <c r="A196" t="s">
        <v>606</v>
      </c>
      <c r="B196" t="s">
        <v>16</v>
      </c>
      <c r="C196" t="s">
        <v>6235</v>
      </c>
      <c r="D196" t="s">
        <v>6261</v>
      </c>
      <c r="E196">
        <v>3244.38</v>
      </c>
      <c r="G196" s="35"/>
      <c r="H196" s="36">
        <f t="shared" si="6"/>
        <v>2043.9594000000002</v>
      </c>
      <c r="I196" s="37">
        <f t="shared" si="7"/>
        <v>2043.9594000000002</v>
      </c>
      <c r="J196" s="4"/>
      <c r="K196" s="38">
        <f t="shared" si="8"/>
        <v>0</v>
      </c>
    </row>
    <row r="197" spans="1:11">
      <c r="A197" t="s">
        <v>607</v>
      </c>
      <c r="B197" t="s">
        <v>16</v>
      </c>
      <c r="C197" t="s">
        <v>6235</v>
      </c>
      <c r="D197" t="s">
        <v>6262</v>
      </c>
      <c r="E197">
        <v>3244.38</v>
      </c>
      <c r="G197" s="35"/>
      <c r="H197" s="36">
        <f t="shared" si="6"/>
        <v>2043.9594000000002</v>
      </c>
      <c r="I197" s="37">
        <f t="shared" si="7"/>
        <v>2043.9594000000002</v>
      </c>
      <c r="J197" s="4"/>
      <c r="K197" s="38">
        <f t="shared" si="8"/>
        <v>0</v>
      </c>
    </row>
    <row r="198" spans="1:11">
      <c r="A198" t="s">
        <v>608</v>
      </c>
      <c r="B198" t="s">
        <v>16</v>
      </c>
      <c r="C198" t="s">
        <v>6235</v>
      </c>
      <c r="D198" t="s">
        <v>6263</v>
      </c>
      <c r="E198">
        <v>1063.56</v>
      </c>
      <c r="G198" s="35"/>
      <c r="H198" s="36">
        <f t="shared" si="6"/>
        <v>670.04279999999994</v>
      </c>
      <c r="I198" s="37">
        <f t="shared" si="7"/>
        <v>670.04279999999994</v>
      </c>
      <c r="J198" s="4"/>
      <c r="K198" s="38">
        <f t="shared" si="8"/>
        <v>0</v>
      </c>
    </row>
    <row r="199" spans="1:11">
      <c r="A199" t="s">
        <v>609</v>
      </c>
      <c r="B199" t="s">
        <v>16</v>
      </c>
      <c r="C199" t="s">
        <v>6235</v>
      </c>
      <c r="D199" t="s">
        <v>6264</v>
      </c>
      <c r="E199">
        <v>1482.17</v>
      </c>
      <c r="G199" s="35"/>
      <c r="H199" s="36">
        <f t="shared" ref="H199:H262" si="9">+E199*$H$1*(1-G199)</f>
        <v>933.76710000000003</v>
      </c>
      <c r="I199" s="37">
        <f t="shared" ref="I199:I262" si="10">H199*$H$4</f>
        <v>933.76710000000003</v>
      </c>
      <c r="J199" s="4"/>
      <c r="K199" s="38">
        <f t="shared" ref="K199:K262" si="11">J199*I199</f>
        <v>0</v>
      </c>
    </row>
    <row r="200" spans="1:11">
      <c r="A200" t="s">
        <v>610</v>
      </c>
      <c r="B200" t="s">
        <v>16</v>
      </c>
      <c r="C200" t="s">
        <v>6235</v>
      </c>
      <c r="D200" t="s">
        <v>6265</v>
      </c>
      <c r="E200">
        <v>2374.81</v>
      </c>
      <c r="G200" s="35"/>
      <c r="H200" s="36">
        <f t="shared" si="9"/>
        <v>1496.1303</v>
      </c>
      <c r="I200" s="37">
        <f t="shared" si="10"/>
        <v>1496.1303</v>
      </c>
      <c r="J200" s="4"/>
      <c r="K200" s="38">
        <f t="shared" si="11"/>
        <v>0</v>
      </c>
    </row>
    <row r="201" spans="1:11">
      <c r="A201" t="s">
        <v>611</v>
      </c>
      <c r="B201" t="s">
        <v>16</v>
      </c>
      <c r="C201" t="s">
        <v>6235</v>
      </c>
      <c r="D201" t="s">
        <v>6266</v>
      </c>
      <c r="E201">
        <v>3993.78</v>
      </c>
      <c r="G201" s="35"/>
      <c r="H201" s="36">
        <f t="shared" si="9"/>
        <v>2516.0814</v>
      </c>
      <c r="I201" s="37">
        <f t="shared" si="10"/>
        <v>2516.0814</v>
      </c>
      <c r="J201" s="4"/>
      <c r="K201" s="38">
        <f t="shared" si="11"/>
        <v>0</v>
      </c>
    </row>
    <row r="202" spans="1:11">
      <c r="A202" t="s">
        <v>612</v>
      </c>
      <c r="B202" t="s">
        <v>16</v>
      </c>
      <c r="C202" t="s">
        <v>6235</v>
      </c>
      <c r="D202" t="s">
        <v>6267</v>
      </c>
      <c r="E202">
        <v>1120.96</v>
      </c>
      <c r="G202" s="35"/>
      <c r="H202" s="36">
        <f t="shared" si="9"/>
        <v>706.20479999999998</v>
      </c>
      <c r="I202" s="37">
        <f t="shared" si="10"/>
        <v>706.20479999999998</v>
      </c>
      <c r="J202" s="4"/>
      <c r="K202" s="38">
        <f t="shared" si="11"/>
        <v>0</v>
      </c>
    </row>
    <row r="203" spans="1:11">
      <c r="A203" t="s">
        <v>613</v>
      </c>
      <c r="B203" t="s">
        <v>16</v>
      </c>
      <c r="C203" t="s">
        <v>6235</v>
      </c>
      <c r="D203" t="s">
        <v>6268</v>
      </c>
      <c r="E203">
        <v>1482.17</v>
      </c>
      <c r="G203" s="35"/>
      <c r="H203" s="36">
        <f t="shared" si="9"/>
        <v>933.76710000000003</v>
      </c>
      <c r="I203" s="37">
        <f t="shared" si="10"/>
        <v>933.76710000000003</v>
      </c>
      <c r="J203" s="4"/>
      <c r="K203" s="38">
        <f t="shared" si="11"/>
        <v>0</v>
      </c>
    </row>
    <row r="204" spans="1:11">
      <c r="A204" t="s">
        <v>614</v>
      </c>
      <c r="B204" t="s">
        <v>16</v>
      </c>
      <c r="C204" t="s">
        <v>6235</v>
      </c>
      <c r="D204" t="s">
        <v>6269</v>
      </c>
      <c r="E204">
        <v>2487.66</v>
      </c>
      <c r="G204" s="35"/>
      <c r="H204" s="36">
        <f t="shared" si="9"/>
        <v>1567.2257999999999</v>
      </c>
      <c r="I204" s="37">
        <f t="shared" si="10"/>
        <v>1567.2257999999999</v>
      </c>
      <c r="J204" s="4"/>
      <c r="K204" s="38">
        <f t="shared" si="11"/>
        <v>0</v>
      </c>
    </row>
    <row r="205" spans="1:11">
      <c r="A205" t="s">
        <v>615</v>
      </c>
      <c r="B205" t="s">
        <v>16</v>
      </c>
      <c r="C205" t="s">
        <v>6235</v>
      </c>
      <c r="D205" t="s">
        <v>6270</v>
      </c>
      <c r="E205">
        <v>4331.47</v>
      </c>
      <c r="G205" s="35"/>
      <c r="H205" s="36">
        <f t="shared" si="9"/>
        <v>2728.8261000000002</v>
      </c>
      <c r="I205" s="37">
        <f t="shared" si="10"/>
        <v>2728.8261000000002</v>
      </c>
      <c r="J205" s="4"/>
      <c r="K205" s="38">
        <f t="shared" si="11"/>
        <v>0</v>
      </c>
    </row>
    <row r="206" spans="1:11">
      <c r="A206" t="s">
        <v>616</v>
      </c>
      <c r="B206" t="s">
        <v>16</v>
      </c>
      <c r="C206" t="s">
        <v>6235</v>
      </c>
      <c r="D206" t="s">
        <v>6271</v>
      </c>
      <c r="E206">
        <v>730.37</v>
      </c>
      <c r="G206" s="35"/>
      <c r="H206" s="36">
        <f t="shared" si="9"/>
        <v>460.13310000000001</v>
      </c>
      <c r="I206" s="37">
        <f t="shared" si="10"/>
        <v>460.13310000000001</v>
      </c>
      <c r="J206" s="4"/>
      <c r="K206" s="38">
        <f t="shared" si="11"/>
        <v>0</v>
      </c>
    </row>
    <row r="207" spans="1:11">
      <c r="A207" t="s">
        <v>617</v>
      </c>
      <c r="B207" t="s">
        <v>16</v>
      </c>
      <c r="C207" t="s">
        <v>6235</v>
      </c>
      <c r="D207" t="s">
        <v>11944</v>
      </c>
      <c r="E207">
        <v>11995.24</v>
      </c>
      <c r="G207" s="35"/>
      <c r="H207" s="36">
        <f t="shared" si="9"/>
        <v>7557.0011999999997</v>
      </c>
      <c r="I207" s="37">
        <f t="shared" si="10"/>
        <v>7557.0011999999997</v>
      </c>
      <c r="J207" s="4"/>
      <c r="K207" s="38">
        <f t="shared" si="11"/>
        <v>0</v>
      </c>
    </row>
    <row r="208" spans="1:11">
      <c r="A208" t="s">
        <v>618</v>
      </c>
      <c r="B208" t="s">
        <v>16</v>
      </c>
      <c r="C208" t="s">
        <v>6235</v>
      </c>
      <c r="D208" t="s">
        <v>6272</v>
      </c>
      <c r="E208">
        <v>8663.77</v>
      </c>
      <c r="G208" s="35"/>
      <c r="H208" s="36">
        <f t="shared" si="9"/>
        <v>5458.1751000000004</v>
      </c>
      <c r="I208" s="37">
        <f t="shared" si="10"/>
        <v>5458.1751000000004</v>
      </c>
      <c r="J208" s="4"/>
      <c r="K208" s="38">
        <f t="shared" si="11"/>
        <v>0</v>
      </c>
    </row>
    <row r="209" spans="1:11">
      <c r="A209" t="s">
        <v>619</v>
      </c>
      <c r="B209" t="s">
        <v>16</v>
      </c>
      <c r="C209" t="s">
        <v>6235</v>
      </c>
      <c r="D209" t="s">
        <v>6273</v>
      </c>
      <c r="E209">
        <v>730.37</v>
      </c>
      <c r="G209" s="35"/>
      <c r="H209" s="36">
        <f t="shared" si="9"/>
        <v>460.13310000000001</v>
      </c>
      <c r="I209" s="37">
        <f t="shared" si="10"/>
        <v>460.13310000000001</v>
      </c>
      <c r="J209" s="4"/>
      <c r="K209" s="38">
        <f t="shared" si="11"/>
        <v>0</v>
      </c>
    </row>
    <row r="210" spans="1:11">
      <c r="A210" t="s">
        <v>620</v>
      </c>
      <c r="B210" t="s">
        <v>16</v>
      </c>
      <c r="C210" t="s">
        <v>6235</v>
      </c>
      <c r="D210" t="s">
        <v>6274</v>
      </c>
      <c r="E210">
        <v>1779.51</v>
      </c>
      <c r="G210" s="35"/>
      <c r="H210" s="36">
        <f t="shared" si="9"/>
        <v>1121.0913</v>
      </c>
      <c r="I210" s="37">
        <f t="shared" si="10"/>
        <v>1121.0913</v>
      </c>
      <c r="J210" s="4"/>
      <c r="K210" s="38">
        <f t="shared" si="11"/>
        <v>0</v>
      </c>
    </row>
    <row r="211" spans="1:11">
      <c r="A211" t="s">
        <v>621</v>
      </c>
      <c r="B211" t="s">
        <v>16</v>
      </c>
      <c r="C211" t="s">
        <v>6235</v>
      </c>
      <c r="D211" t="s">
        <v>6275</v>
      </c>
      <c r="E211">
        <v>3833.14</v>
      </c>
      <c r="G211" s="35"/>
      <c r="H211" s="36">
        <f t="shared" si="9"/>
        <v>2414.8782000000001</v>
      </c>
      <c r="I211" s="37">
        <f t="shared" si="10"/>
        <v>2414.8782000000001</v>
      </c>
      <c r="J211" s="4"/>
      <c r="K211" s="38">
        <f t="shared" si="11"/>
        <v>0</v>
      </c>
    </row>
    <row r="212" spans="1:11">
      <c r="A212" t="s">
        <v>622</v>
      </c>
      <c r="B212" t="s">
        <v>16</v>
      </c>
      <c r="C212" t="s">
        <v>6235</v>
      </c>
      <c r="D212" t="s">
        <v>6276</v>
      </c>
      <c r="E212">
        <v>1062.04</v>
      </c>
      <c r="G212" s="35"/>
      <c r="H212" s="36">
        <f t="shared" si="9"/>
        <v>669.08519999999999</v>
      </c>
      <c r="I212" s="37">
        <f t="shared" si="10"/>
        <v>669.08519999999999</v>
      </c>
      <c r="J212" s="4"/>
      <c r="K212" s="38">
        <f t="shared" si="11"/>
        <v>0</v>
      </c>
    </row>
    <row r="213" spans="1:11">
      <c r="A213" t="s">
        <v>623</v>
      </c>
      <c r="B213" t="s">
        <v>16</v>
      </c>
      <c r="C213" t="s">
        <v>6235</v>
      </c>
      <c r="D213" t="s">
        <v>6277</v>
      </c>
      <c r="E213">
        <v>1880.97</v>
      </c>
      <c r="G213" s="35"/>
      <c r="H213" s="36">
        <f t="shared" si="9"/>
        <v>1185.0110999999999</v>
      </c>
      <c r="I213" s="37">
        <f t="shared" si="10"/>
        <v>1185.0110999999999</v>
      </c>
      <c r="J213" s="4"/>
      <c r="K213" s="38">
        <f t="shared" si="11"/>
        <v>0</v>
      </c>
    </row>
    <row r="214" spans="1:11">
      <c r="A214" t="s">
        <v>624</v>
      </c>
      <c r="B214" t="s">
        <v>16</v>
      </c>
      <c r="C214" t="s">
        <v>6235</v>
      </c>
      <c r="D214" t="s">
        <v>6278</v>
      </c>
      <c r="E214">
        <v>4161.7</v>
      </c>
      <c r="G214" s="35"/>
      <c r="H214" s="36">
        <f t="shared" si="9"/>
        <v>2621.8710000000001</v>
      </c>
      <c r="I214" s="37">
        <f t="shared" si="10"/>
        <v>2621.8710000000001</v>
      </c>
      <c r="J214" s="4"/>
      <c r="K214" s="38">
        <f t="shared" si="11"/>
        <v>0</v>
      </c>
    </row>
    <row r="215" spans="1:11">
      <c r="A215" t="s">
        <v>625</v>
      </c>
      <c r="B215" t="s">
        <v>16</v>
      </c>
      <c r="C215" t="s">
        <v>6235</v>
      </c>
      <c r="D215" t="s">
        <v>6279</v>
      </c>
      <c r="E215">
        <v>5530.52</v>
      </c>
      <c r="G215" s="35"/>
      <c r="H215" s="36">
        <f t="shared" si="9"/>
        <v>3484.2276000000002</v>
      </c>
      <c r="I215" s="37">
        <f t="shared" si="10"/>
        <v>3484.2276000000002</v>
      </c>
      <c r="J215" s="4"/>
      <c r="K215" s="38">
        <f t="shared" si="11"/>
        <v>0</v>
      </c>
    </row>
    <row r="216" spans="1:11">
      <c r="A216" t="s">
        <v>626</v>
      </c>
      <c r="B216" t="s">
        <v>16</v>
      </c>
      <c r="C216" t="s">
        <v>6235</v>
      </c>
      <c r="D216" t="s">
        <v>6280</v>
      </c>
      <c r="E216">
        <v>1310.95</v>
      </c>
      <c r="G216" s="35"/>
      <c r="H216" s="36">
        <f t="shared" si="9"/>
        <v>825.89850000000001</v>
      </c>
      <c r="I216" s="37">
        <f t="shared" si="10"/>
        <v>825.89850000000001</v>
      </c>
      <c r="J216" s="4"/>
      <c r="K216" s="38">
        <f t="shared" si="11"/>
        <v>0</v>
      </c>
    </row>
    <row r="217" spans="1:11">
      <c r="A217" t="s">
        <v>627</v>
      </c>
      <c r="B217" t="s">
        <v>16</v>
      </c>
      <c r="C217" t="s">
        <v>6235</v>
      </c>
      <c r="D217" t="s">
        <v>6281</v>
      </c>
      <c r="E217">
        <v>2104.8200000000002</v>
      </c>
      <c r="G217" s="35"/>
      <c r="H217" s="36">
        <f t="shared" si="9"/>
        <v>1326.0366000000001</v>
      </c>
      <c r="I217" s="37">
        <f t="shared" si="10"/>
        <v>1326.0366000000001</v>
      </c>
      <c r="J217" s="4"/>
      <c r="K217" s="38">
        <f t="shared" si="11"/>
        <v>0</v>
      </c>
    </row>
    <row r="218" spans="1:11">
      <c r="A218" t="s">
        <v>11945</v>
      </c>
      <c r="B218" t="s">
        <v>16</v>
      </c>
      <c r="C218" t="s">
        <v>6235</v>
      </c>
      <c r="D218" t="s">
        <v>11946</v>
      </c>
      <c r="E218">
        <v>2198.09</v>
      </c>
      <c r="G218" s="35"/>
      <c r="H218" s="36">
        <f t="shared" si="9"/>
        <v>1384.7967000000001</v>
      </c>
      <c r="I218" s="37">
        <f t="shared" si="10"/>
        <v>1384.7967000000001</v>
      </c>
      <c r="J218" s="4"/>
      <c r="K218" s="38">
        <f t="shared" si="11"/>
        <v>0</v>
      </c>
    </row>
    <row r="219" spans="1:11">
      <c r="A219" t="s">
        <v>628</v>
      </c>
      <c r="B219" t="s">
        <v>16</v>
      </c>
      <c r="C219" t="s">
        <v>6235</v>
      </c>
      <c r="D219" t="s">
        <v>6282</v>
      </c>
      <c r="E219">
        <v>4592.59</v>
      </c>
      <c r="G219" s="35"/>
      <c r="H219" s="36">
        <f t="shared" si="9"/>
        <v>2893.3317000000002</v>
      </c>
      <c r="I219" s="37">
        <f t="shared" si="10"/>
        <v>2893.3317000000002</v>
      </c>
      <c r="J219" s="4"/>
      <c r="K219" s="38">
        <f t="shared" si="11"/>
        <v>0</v>
      </c>
    </row>
    <row r="220" spans="1:11">
      <c r="A220" t="s">
        <v>629</v>
      </c>
      <c r="B220" t="s">
        <v>16</v>
      </c>
      <c r="C220" t="s">
        <v>6235</v>
      </c>
      <c r="D220" t="s">
        <v>6283</v>
      </c>
      <c r="E220">
        <v>33256</v>
      </c>
      <c r="G220" s="35"/>
      <c r="H220" s="36">
        <f t="shared" si="9"/>
        <v>20951.28</v>
      </c>
      <c r="I220" s="37">
        <f t="shared" si="10"/>
        <v>20951.28</v>
      </c>
      <c r="J220" s="4"/>
      <c r="K220" s="38">
        <f t="shared" si="11"/>
        <v>0</v>
      </c>
    </row>
    <row r="221" spans="1:11">
      <c r="A221" t="s">
        <v>630</v>
      </c>
      <c r="B221" t="s">
        <v>16</v>
      </c>
      <c r="C221" t="s">
        <v>6235</v>
      </c>
      <c r="D221" t="s">
        <v>6284</v>
      </c>
      <c r="E221">
        <v>23944.92</v>
      </c>
      <c r="G221" s="35"/>
      <c r="H221" s="36">
        <f t="shared" si="9"/>
        <v>15085.299599999998</v>
      </c>
      <c r="I221" s="37">
        <f t="shared" si="10"/>
        <v>15085.299599999998</v>
      </c>
      <c r="J221" s="4"/>
      <c r="K221" s="38">
        <f t="shared" si="11"/>
        <v>0</v>
      </c>
    </row>
    <row r="222" spans="1:11">
      <c r="A222" t="s">
        <v>631</v>
      </c>
      <c r="B222" t="s">
        <v>16</v>
      </c>
      <c r="C222" t="s">
        <v>6235</v>
      </c>
      <c r="D222" t="s">
        <v>6285</v>
      </c>
      <c r="E222">
        <v>35640.29</v>
      </c>
      <c r="G222" s="35"/>
      <c r="H222" s="36">
        <f t="shared" si="9"/>
        <v>22453.382700000002</v>
      </c>
      <c r="I222" s="37">
        <f t="shared" si="10"/>
        <v>22453.382700000002</v>
      </c>
      <c r="J222" s="4"/>
      <c r="K222" s="38">
        <f t="shared" si="11"/>
        <v>0</v>
      </c>
    </row>
    <row r="223" spans="1:11">
      <c r="A223" t="s">
        <v>9873</v>
      </c>
      <c r="B223" t="s">
        <v>16</v>
      </c>
      <c r="C223" t="s">
        <v>6235</v>
      </c>
      <c r="D223" t="s">
        <v>9874</v>
      </c>
      <c r="E223">
        <v>27536.65</v>
      </c>
      <c r="G223" s="35"/>
      <c r="H223" s="36">
        <f t="shared" si="9"/>
        <v>17348.089500000002</v>
      </c>
      <c r="I223" s="37">
        <f t="shared" si="10"/>
        <v>17348.089500000002</v>
      </c>
      <c r="J223" s="4"/>
      <c r="K223" s="38">
        <f t="shared" si="11"/>
        <v>0</v>
      </c>
    </row>
    <row r="224" spans="1:11">
      <c r="A224" t="s">
        <v>711</v>
      </c>
      <c r="B224" t="s">
        <v>16</v>
      </c>
      <c r="C224" t="s">
        <v>6365</v>
      </c>
      <c r="D224" t="s">
        <v>6366</v>
      </c>
      <c r="E224">
        <v>1490.57</v>
      </c>
      <c r="G224" s="35"/>
      <c r="H224" s="36">
        <f t="shared" si="9"/>
        <v>939.05909999999994</v>
      </c>
      <c r="I224" s="37">
        <f t="shared" si="10"/>
        <v>939.05909999999994</v>
      </c>
      <c r="J224" s="4"/>
      <c r="K224" s="38">
        <f t="shared" si="11"/>
        <v>0</v>
      </c>
    </row>
    <row r="225" spans="1:11">
      <c r="A225" t="s">
        <v>837</v>
      </c>
      <c r="B225" t="s">
        <v>16</v>
      </c>
      <c r="C225" t="s">
        <v>6486</v>
      </c>
      <c r="D225" t="s">
        <v>6487</v>
      </c>
      <c r="E225">
        <v>969.57</v>
      </c>
      <c r="G225" s="35"/>
      <c r="H225" s="36">
        <f t="shared" si="9"/>
        <v>610.82910000000004</v>
      </c>
      <c r="I225" s="37">
        <f t="shared" si="10"/>
        <v>610.82910000000004</v>
      </c>
      <c r="J225" s="4"/>
      <c r="K225" s="38">
        <f t="shared" si="11"/>
        <v>0</v>
      </c>
    </row>
    <row r="226" spans="1:11">
      <c r="A226" t="s">
        <v>864</v>
      </c>
      <c r="B226" t="s">
        <v>16</v>
      </c>
      <c r="C226" t="s">
        <v>6512</v>
      </c>
      <c r="D226" t="s">
        <v>6513</v>
      </c>
      <c r="E226">
        <v>2707.3</v>
      </c>
      <c r="G226" s="35"/>
      <c r="H226" s="36">
        <f t="shared" si="9"/>
        <v>1705.5990000000002</v>
      </c>
      <c r="I226" s="37">
        <f t="shared" si="10"/>
        <v>1705.5990000000002</v>
      </c>
      <c r="J226" s="4"/>
      <c r="K226" s="38">
        <f t="shared" si="11"/>
        <v>0</v>
      </c>
    </row>
    <row r="227" spans="1:11">
      <c r="A227" t="s">
        <v>865</v>
      </c>
      <c r="B227" t="s">
        <v>16</v>
      </c>
      <c r="C227" t="s">
        <v>6512</v>
      </c>
      <c r="D227" t="s">
        <v>6514</v>
      </c>
      <c r="E227">
        <v>3262.06</v>
      </c>
      <c r="G227" s="35"/>
      <c r="H227" s="36">
        <f t="shared" si="9"/>
        <v>2055.0978</v>
      </c>
      <c r="I227" s="37">
        <f t="shared" si="10"/>
        <v>2055.0978</v>
      </c>
      <c r="J227" s="4"/>
      <c r="K227" s="38">
        <f t="shared" si="11"/>
        <v>0</v>
      </c>
    </row>
    <row r="228" spans="1:11">
      <c r="A228" t="s">
        <v>866</v>
      </c>
      <c r="B228" t="s">
        <v>16</v>
      </c>
      <c r="C228" t="s">
        <v>6512</v>
      </c>
      <c r="D228" t="s">
        <v>6515</v>
      </c>
      <c r="E228">
        <v>23115.360000000001</v>
      </c>
      <c r="G228" s="35"/>
      <c r="H228" s="36">
        <f t="shared" si="9"/>
        <v>14562.676800000001</v>
      </c>
      <c r="I228" s="37">
        <f t="shared" si="10"/>
        <v>14562.676800000001</v>
      </c>
      <c r="J228" s="4"/>
      <c r="K228" s="38">
        <f t="shared" si="11"/>
        <v>0</v>
      </c>
    </row>
    <row r="229" spans="1:11">
      <c r="A229" t="s">
        <v>867</v>
      </c>
      <c r="B229" t="s">
        <v>16</v>
      </c>
      <c r="C229" t="s">
        <v>6512</v>
      </c>
      <c r="D229" t="s">
        <v>6516</v>
      </c>
      <c r="E229">
        <v>37106.050000000003</v>
      </c>
      <c r="G229" s="35"/>
      <c r="H229" s="36">
        <f t="shared" si="9"/>
        <v>23376.811500000003</v>
      </c>
      <c r="I229" s="37">
        <f t="shared" si="10"/>
        <v>23376.811500000003</v>
      </c>
      <c r="J229" s="4"/>
      <c r="K229" s="38">
        <f t="shared" si="11"/>
        <v>0</v>
      </c>
    </row>
    <row r="230" spans="1:11">
      <c r="A230" t="s">
        <v>868</v>
      </c>
      <c r="B230" t="s">
        <v>16</v>
      </c>
      <c r="C230" t="s">
        <v>6512</v>
      </c>
      <c r="D230" t="s">
        <v>6517</v>
      </c>
      <c r="E230">
        <v>9195.18</v>
      </c>
      <c r="G230" s="35"/>
      <c r="H230" s="36">
        <f t="shared" si="9"/>
        <v>5792.9634000000005</v>
      </c>
      <c r="I230" s="37">
        <f t="shared" si="10"/>
        <v>5792.9634000000005</v>
      </c>
      <c r="J230" s="4"/>
      <c r="K230" s="38">
        <f t="shared" si="11"/>
        <v>0</v>
      </c>
    </row>
    <row r="231" spans="1:11">
      <c r="A231" t="s">
        <v>869</v>
      </c>
      <c r="B231" t="s">
        <v>16</v>
      </c>
      <c r="C231" t="s">
        <v>6512</v>
      </c>
      <c r="D231" t="s">
        <v>6518</v>
      </c>
      <c r="E231">
        <v>42526.080000000002</v>
      </c>
      <c r="G231" s="35"/>
      <c r="H231" s="36">
        <f t="shared" si="9"/>
        <v>26791.430400000001</v>
      </c>
      <c r="I231" s="37">
        <f t="shared" si="10"/>
        <v>26791.430400000001</v>
      </c>
      <c r="J231" s="4"/>
      <c r="K231" s="38">
        <f t="shared" si="11"/>
        <v>0</v>
      </c>
    </row>
    <row r="232" spans="1:11">
      <c r="A232" t="s">
        <v>1428</v>
      </c>
      <c r="B232" t="s">
        <v>16</v>
      </c>
      <c r="C232" t="s">
        <v>7006</v>
      </c>
      <c r="D232" t="s">
        <v>7007</v>
      </c>
      <c r="E232">
        <v>3716</v>
      </c>
      <c r="G232" s="35"/>
      <c r="H232" s="36">
        <f t="shared" si="9"/>
        <v>2341.08</v>
      </c>
      <c r="I232" s="37">
        <f t="shared" si="10"/>
        <v>2341.08</v>
      </c>
      <c r="J232" s="4"/>
      <c r="K232" s="38">
        <f t="shared" si="11"/>
        <v>0</v>
      </c>
    </row>
    <row r="233" spans="1:11">
      <c r="A233" t="s">
        <v>881</v>
      </c>
      <c r="B233" t="s">
        <v>16</v>
      </c>
      <c r="C233" t="s">
        <v>6533</v>
      </c>
      <c r="D233" t="s">
        <v>6534</v>
      </c>
      <c r="E233">
        <v>29898.560000000001</v>
      </c>
      <c r="G233" s="35"/>
      <c r="H233" s="36">
        <f t="shared" si="9"/>
        <v>18836.092800000002</v>
      </c>
      <c r="I233" s="37">
        <f t="shared" si="10"/>
        <v>18836.092800000002</v>
      </c>
      <c r="J233" s="4"/>
      <c r="K233" s="38">
        <f t="shared" si="11"/>
        <v>0</v>
      </c>
    </row>
    <row r="234" spans="1:11">
      <c r="A234" t="s">
        <v>882</v>
      </c>
      <c r="B234" t="s">
        <v>16</v>
      </c>
      <c r="C234" t="s">
        <v>6533</v>
      </c>
      <c r="D234" t="s">
        <v>6535</v>
      </c>
      <c r="E234">
        <v>31345.48</v>
      </c>
      <c r="G234" s="35"/>
      <c r="H234" s="36">
        <f t="shared" si="9"/>
        <v>19747.652399999999</v>
      </c>
      <c r="I234" s="37">
        <f t="shared" si="10"/>
        <v>19747.652399999999</v>
      </c>
      <c r="J234" s="4"/>
      <c r="K234" s="38">
        <f t="shared" si="11"/>
        <v>0</v>
      </c>
    </row>
    <row r="235" spans="1:11">
      <c r="A235" t="s">
        <v>883</v>
      </c>
      <c r="B235" t="s">
        <v>16</v>
      </c>
      <c r="C235" t="s">
        <v>6533</v>
      </c>
      <c r="D235" t="s">
        <v>6536</v>
      </c>
      <c r="E235">
        <v>32792.26</v>
      </c>
      <c r="G235" s="35"/>
      <c r="H235" s="36">
        <f t="shared" si="9"/>
        <v>20659.123800000001</v>
      </c>
      <c r="I235" s="37">
        <f t="shared" si="10"/>
        <v>20659.123800000001</v>
      </c>
      <c r="J235" s="4"/>
      <c r="K235" s="38">
        <f t="shared" si="11"/>
        <v>0</v>
      </c>
    </row>
    <row r="236" spans="1:11">
      <c r="A236" t="s">
        <v>884</v>
      </c>
      <c r="B236" t="s">
        <v>16</v>
      </c>
      <c r="C236" t="s">
        <v>6533</v>
      </c>
      <c r="D236" t="s">
        <v>6537</v>
      </c>
      <c r="E236">
        <v>47259.06</v>
      </c>
      <c r="G236" s="35"/>
      <c r="H236" s="36">
        <f t="shared" si="9"/>
        <v>29773.2078</v>
      </c>
      <c r="I236" s="37">
        <f t="shared" si="10"/>
        <v>29773.2078</v>
      </c>
      <c r="J236" s="4"/>
      <c r="K236" s="38">
        <f t="shared" si="11"/>
        <v>0</v>
      </c>
    </row>
    <row r="237" spans="1:11">
      <c r="A237" t="s">
        <v>885</v>
      </c>
      <c r="B237" t="s">
        <v>16</v>
      </c>
      <c r="C237" t="s">
        <v>6533</v>
      </c>
      <c r="D237" t="s">
        <v>6538</v>
      </c>
      <c r="E237">
        <v>5830.53</v>
      </c>
      <c r="G237" s="35"/>
      <c r="H237" s="36">
        <f t="shared" si="9"/>
        <v>3673.2338999999997</v>
      </c>
      <c r="I237" s="37">
        <f t="shared" si="10"/>
        <v>3673.2338999999997</v>
      </c>
      <c r="J237" s="4"/>
      <c r="K237" s="38">
        <f t="shared" si="11"/>
        <v>0</v>
      </c>
    </row>
    <row r="238" spans="1:11">
      <c r="A238" t="s">
        <v>886</v>
      </c>
      <c r="B238" t="s">
        <v>16</v>
      </c>
      <c r="C238" t="s">
        <v>6533</v>
      </c>
      <c r="D238" t="s">
        <v>6539</v>
      </c>
      <c r="E238">
        <v>5324.04</v>
      </c>
      <c r="G238" s="35"/>
      <c r="H238" s="36">
        <f t="shared" si="9"/>
        <v>3354.1451999999999</v>
      </c>
      <c r="I238" s="37">
        <f t="shared" si="10"/>
        <v>3354.1451999999999</v>
      </c>
      <c r="J238" s="4"/>
      <c r="K238" s="38">
        <f t="shared" si="11"/>
        <v>0</v>
      </c>
    </row>
    <row r="239" spans="1:11">
      <c r="A239" t="s">
        <v>887</v>
      </c>
      <c r="B239" t="s">
        <v>16</v>
      </c>
      <c r="C239" t="s">
        <v>6533</v>
      </c>
      <c r="D239" t="s">
        <v>6540</v>
      </c>
      <c r="E239">
        <v>7088.76</v>
      </c>
      <c r="G239" s="35"/>
      <c r="H239" s="36">
        <f t="shared" si="9"/>
        <v>4465.9188000000004</v>
      </c>
      <c r="I239" s="37">
        <f t="shared" si="10"/>
        <v>4465.9188000000004</v>
      </c>
      <c r="J239" s="4"/>
      <c r="K239" s="38">
        <f t="shared" si="11"/>
        <v>0</v>
      </c>
    </row>
    <row r="240" spans="1:11">
      <c r="A240" t="s">
        <v>1149</v>
      </c>
      <c r="B240" t="s">
        <v>16</v>
      </c>
      <c r="C240" t="s">
        <v>6733</v>
      </c>
      <c r="D240" t="s">
        <v>6734</v>
      </c>
      <c r="E240">
        <v>1000.89</v>
      </c>
      <c r="G240" s="35"/>
      <c r="H240" s="36">
        <f t="shared" si="9"/>
        <v>630.5607</v>
      </c>
      <c r="I240" s="37">
        <f t="shared" si="10"/>
        <v>630.5607</v>
      </c>
      <c r="J240" s="4"/>
      <c r="K240" s="38">
        <f t="shared" si="11"/>
        <v>0</v>
      </c>
    </row>
    <row r="241" spans="1:11">
      <c r="A241" t="s">
        <v>1150</v>
      </c>
      <c r="B241" t="s">
        <v>16</v>
      </c>
      <c r="C241" t="s">
        <v>6733</v>
      </c>
      <c r="D241" t="s">
        <v>6735</v>
      </c>
      <c r="E241">
        <v>1148.3900000000001</v>
      </c>
      <c r="G241" s="35"/>
      <c r="H241" s="36">
        <f t="shared" si="9"/>
        <v>723.48570000000007</v>
      </c>
      <c r="I241" s="37">
        <f t="shared" si="10"/>
        <v>723.48570000000007</v>
      </c>
      <c r="J241" s="4"/>
      <c r="K241" s="38">
        <f t="shared" si="11"/>
        <v>0</v>
      </c>
    </row>
    <row r="242" spans="1:11">
      <c r="A242" t="s">
        <v>1151</v>
      </c>
      <c r="B242" t="s">
        <v>16</v>
      </c>
      <c r="C242" t="s">
        <v>6733</v>
      </c>
      <c r="D242" t="s">
        <v>6736</v>
      </c>
      <c r="E242">
        <v>2827.68</v>
      </c>
      <c r="G242" s="35"/>
      <c r="H242" s="36">
        <f t="shared" si="9"/>
        <v>1781.4384</v>
      </c>
      <c r="I242" s="37">
        <f t="shared" si="10"/>
        <v>1781.4384</v>
      </c>
      <c r="J242" s="4"/>
      <c r="K242" s="38">
        <f t="shared" si="11"/>
        <v>0</v>
      </c>
    </row>
    <row r="243" spans="1:11">
      <c r="A243" t="s">
        <v>1152</v>
      </c>
      <c r="B243" t="s">
        <v>16</v>
      </c>
      <c r="C243" t="s">
        <v>6733</v>
      </c>
      <c r="D243" t="s">
        <v>6737</v>
      </c>
      <c r="E243">
        <v>3522</v>
      </c>
      <c r="G243" s="35"/>
      <c r="H243" s="36">
        <f t="shared" si="9"/>
        <v>2218.86</v>
      </c>
      <c r="I243" s="37">
        <f t="shared" si="10"/>
        <v>2218.86</v>
      </c>
      <c r="J243" s="4"/>
      <c r="K243" s="38">
        <f t="shared" si="11"/>
        <v>0</v>
      </c>
    </row>
    <row r="244" spans="1:11">
      <c r="A244" t="s">
        <v>1153</v>
      </c>
      <c r="B244" t="s">
        <v>16</v>
      </c>
      <c r="C244" t="s">
        <v>6733</v>
      </c>
      <c r="D244" t="s">
        <v>6738</v>
      </c>
      <c r="E244">
        <v>3739.48</v>
      </c>
      <c r="G244" s="35"/>
      <c r="H244" s="36">
        <f t="shared" si="9"/>
        <v>2355.8724000000002</v>
      </c>
      <c r="I244" s="37">
        <f t="shared" si="10"/>
        <v>2355.8724000000002</v>
      </c>
      <c r="J244" s="4"/>
      <c r="K244" s="38">
        <f t="shared" si="11"/>
        <v>0</v>
      </c>
    </row>
    <row r="245" spans="1:11">
      <c r="A245" t="s">
        <v>1154</v>
      </c>
      <c r="B245" t="s">
        <v>16</v>
      </c>
      <c r="C245" t="s">
        <v>6733</v>
      </c>
      <c r="D245" t="s">
        <v>6739</v>
      </c>
      <c r="E245">
        <v>4039.53</v>
      </c>
      <c r="G245" s="35"/>
      <c r="H245" s="36">
        <f t="shared" si="9"/>
        <v>2544.9039000000002</v>
      </c>
      <c r="I245" s="37">
        <f t="shared" si="10"/>
        <v>2544.9039000000002</v>
      </c>
      <c r="J245" s="4"/>
      <c r="K245" s="38">
        <f t="shared" si="11"/>
        <v>0</v>
      </c>
    </row>
    <row r="246" spans="1:11">
      <c r="A246" t="s">
        <v>1155</v>
      </c>
      <c r="B246" t="s">
        <v>16</v>
      </c>
      <c r="C246" t="s">
        <v>6733</v>
      </c>
      <c r="D246" t="s">
        <v>6740</v>
      </c>
      <c r="E246">
        <v>4153.29</v>
      </c>
      <c r="G246" s="35"/>
      <c r="H246" s="36">
        <f t="shared" si="9"/>
        <v>2616.5727000000002</v>
      </c>
      <c r="I246" s="37">
        <f t="shared" si="10"/>
        <v>2616.5727000000002</v>
      </c>
      <c r="J246" s="4"/>
      <c r="K246" s="38">
        <f t="shared" si="11"/>
        <v>0</v>
      </c>
    </row>
    <row r="247" spans="1:11">
      <c r="A247" t="s">
        <v>1156</v>
      </c>
      <c r="B247" t="s">
        <v>16</v>
      </c>
      <c r="C247" t="s">
        <v>6733</v>
      </c>
      <c r="D247" t="s">
        <v>6741</v>
      </c>
      <c r="E247">
        <v>3251.46</v>
      </c>
      <c r="G247" s="35"/>
      <c r="H247" s="36">
        <f t="shared" si="9"/>
        <v>2048.4198000000001</v>
      </c>
      <c r="I247" s="37">
        <f t="shared" si="10"/>
        <v>2048.4198000000001</v>
      </c>
      <c r="J247" s="4"/>
      <c r="K247" s="38">
        <f t="shared" si="11"/>
        <v>0</v>
      </c>
    </row>
    <row r="248" spans="1:11">
      <c r="A248" t="s">
        <v>1157</v>
      </c>
      <c r="B248" t="s">
        <v>16</v>
      </c>
      <c r="C248" t="s">
        <v>6733</v>
      </c>
      <c r="D248" t="s">
        <v>6742</v>
      </c>
      <c r="E248">
        <v>21065.94</v>
      </c>
      <c r="G248" s="35"/>
      <c r="H248" s="36">
        <f t="shared" si="9"/>
        <v>13271.5422</v>
      </c>
      <c r="I248" s="37">
        <f t="shared" si="10"/>
        <v>13271.5422</v>
      </c>
      <c r="J248" s="4"/>
      <c r="K248" s="38">
        <f t="shared" si="11"/>
        <v>0</v>
      </c>
    </row>
    <row r="249" spans="1:11">
      <c r="A249" t="s">
        <v>1158</v>
      </c>
      <c r="B249" t="s">
        <v>16</v>
      </c>
      <c r="C249" t="s">
        <v>6733</v>
      </c>
      <c r="D249" t="s">
        <v>6743</v>
      </c>
      <c r="E249">
        <v>24225.53</v>
      </c>
      <c r="G249" s="35"/>
      <c r="H249" s="36">
        <f t="shared" si="9"/>
        <v>15262.0839</v>
      </c>
      <c r="I249" s="37">
        <f t="shared" si="10"/>
        <v>15262.0839</v>
      </c>
      <c r="J249" s="4"/>
      <c r="K249" s="38">
        <f t="shared" si="11"/>
        <v>0</v>
      </c>
    </row>
    <row r="250" spans="1:11">
      <c r="A250" t="s">
        <v>1193</v>
      </c>
      <c r="B250" t="s">
        <v>16</v>
      </c>
      <c r="C250" t="s">
        <v>6772</v>
      </c>
      <c r="D250" t="s">
        <v>6773</v>
      </c>
      <c r="E250">
        <v>19048.71</v>
      </c>
      <c r="G250" s="35"/>
      <c r="H250" s="36">
        <f t="shared" si="9"/>
        <v>12000.6873</v>
      </c>
      <c r="I250" s="37">
        <f t="shared" si="10"/>
        <v>12000.6873</v>
      </c>
      <c r="J250" s="4"/>
      <c r="K250" s="38">
        <f t="shared" si="11"/>
        <v>0</v>
      </c>
    </row>
    <row r="251" spans="1:11">
      <c r="A251" t="s">
        <v>1194</v>
      </c>
      <c r="B251" t="s">
        <v>16</v>
      </c>
      <c r="C251" t="s">
        <v>6772</v>
      </c>
      <c r="D251" t="s">
        <v>6774</v>
      </c>
      <c r="E251">
        <v>28285.08</v>
      </c>
      <c r="G251" s="35"/>
      <c r="H251" s="36">
        <f t="shared" si="9"/>
        <v>17819.600400000003</v>
      </c>
      <c r="I251" s="37">
        <f t="shared" si="10"/>
        <v>17819.600400000003</v>
      </c>
      <c r="J251" s="4"/>
      <c r="K251" s="38">
        <f t="shared" si="11"/>
        <v>0</v>
      </c>
    </row>
    <row r="252" spans="1:11">
      <c r="A252" t="s">
        <v>1195</v>
      </c>
      <c r="B252" t="s">
        <v>16</v>
      </c>
      <c r="C252" t="s">
        <v>6772</v>
      </c>
      <c r="D252" t="s">
        <v>6775</v>
      </c>
      <c r="E252">
        <v>28066.35</v>
      </c>
      <c r="G252" s="35"/>
      <c r="H252" s="36">
        <f t="shared" si="9"/>
        <v>17681.800499999998</v>
      </c>
      <c r="I252" s="37">
        <f t="shared" si="10"/>
        <v>17681.800499999998</v>
      </c>
      <c r="J252" s="4"/>
      <c r="K252" s="38">
        <f t="shared" si="11"/>
        <v>0</v>
      </c>
    </row>
    <row r="253" spans="1:11">
      <c r="A253" t="s">
        <v>1196</v>
      </c>
      <c r="B253" t="s">
        <v>16</v>
      </c>
      <c r="C253" t="s">
        <v>6772</v>
      </c>
      <c r="D253" t="s">
        <v>6776</v>
      </c>
      <c r="E253">
        <v>19368.439999999999</v>
      </c>
      <c r="G253" s="35"/>
      <c r="H253" s="36">
        <f t="shared" si="9"/>
        <v>12202.117199999999</v>
      </c>
      <c r="I253" s="37">
        <f t="shared" si="10"/>
        <v>12202.117199999999</v>
      </c>
      <c r="J253" s="4"/>
      <c r="K253" s="38">
        <f t="shared" si="11"/>
        <v>0</v>
      </c>
    </row>
    <row r="254" spans="1:11">
      <c r="A254" t="s">
        <v>1197</v>
      </c>
      <c r="B254" t="s">
        <v>16</v>
      </c>
      <c r="C254" t="s">
        <v>6772</v>
      </c>
      <c r="D254" t="s">
        <v>6777</v>
      </c>
      <c r="E254">
        <v>19368.439999999999</v>
      </c>
      <c r="G254" s="35"/>
      <c r="H254" s="36">
        <f t="shared" si="9"/>
        <v>12202.117199999999</v>
      </c>
      <c r="I254" s="37">
        <f t="shared" si="10"/>
        <v>12202.117199999999</v>
      </c>
      <c r="J254" s="4"/>
      <c r="K254" s="38">
        <f t="shared" si="11"/>
        <v>0</v>
      </c>
    </row>
    <row r="255" spans="1:11">
      <c r="A255" t="s">
        <v>1198</v>
      </c>
      <c r="B255" t="s">
        <v>16</v>
      </c>
      <c r="C255" t="s">
        <v>6772</v>
      </c>
      <c r="D255" t="s">
        <v>6778</v>
      </c>
      <c r="E255">
        <v>3107.88</v>
      </c>
      <c r="G255" s="35"/>
      <c r="H255" s="36">
        <f t="shared" si="9"/>
        <v>1957.9644000000001</v>
      </c>
      <c r="I255" s="37">
        <f t="shared" si="10"/>
        <v>1957.9644000000001</v>
      </c>
      <c r="J255" s="4"/>
      <c r="K255" s="38">
        <f t="shared" si="11"/>
        <v>0</v>
      </c>
    </row>
    <row r="256" spans="1:11">
      <c r="A256" t="s">
        <v>1199</v>
      </c>
      <c r="B256" t="s">
        <v>16</v>
      </c>
      <c r="C256" t="s">
        <v>6772</v>
      </c>
      <c r="D256" t="s">
        <v>6779</v>
      </c>
      <c r="E256">
        <v>7456.31</v>
      </c>
      <c r="G256" s="35"/>
      <c r="H256" s="36">
        <f t="shared" si="9"/>
        <v>4697.4753000000001</v>
      </c>
      <c r="I256" s="37">
        <f t="shared" si="10"/>
        <v>4697.4753000000001</v>
      </c>
      <c r="J256" s="4"/>
      <c r="K256" s="38">
        <f t="shared" si="11"/>
        <v>0</v>
      </c>
    </row>
    <row r="257" spans="1:11">
      <c r="A257" t="s">
        <v>1200</v>
      </c>
      <c r="B257" t="s">
        <v>16</v>
      </c>
      <c r="C257" t="s">
        <v>6772</v>
      </c>
      <c r="D257" t="s">
        <v>6780</v>
      </c>
      <c r="E257">
        <v>12213.35</v>
      </c>
      <c r="G257" s="35"/>
      <c r="H257" s="36">
        <f t="shared" si="9"/>
        <v>7694.4105</v>
      </c>
      <c r="I257" s="37">
        <f t="shared" si="10"/>
        <v>7694.4105</v>
      </c>
      <c r="J257" s="4"/>
      <c r="K257" s="38">
        <f t="shared" si="11"/>
        <v>0</v>
      </c>
    </row>
    <row r="258" spans="1:11">
      <c r="A258" t="s">
        <v>12570</v>
      </c>
      <c r="B258" t="s">
        <v>16</v>
      </c>
      <c r="C258" t="s">
        <v>6772</v>
      </c>
      <c r="D258" t="s">
        <v>12571</v>
      </c>
      <c r="E258">
        <v>13632.41</v>
      </c>
      <c r="G258" s="35"/>
      <c r="H258" s="36">
        <f t="shared" si="9"/>
        <v>8588.4182999999994</v>
      </c>
      <c r="I258" s="37">
        <f t="shared" si="10"/>
        <v>8588.4182999999994</v>
      </c>
      <c r="J258" s="4"/>
      <c r="K258" s="38">
        <f t="shared" si="11"/>
        <v>0</v>
      </c>
    </row>
    <row r="259" spans="1:11">
      <c r="A259" t="s">
        <v>12572</v>
      </c>
      <c r="B259" t="s">
        <v>16</v>
      </c>
      <c r="C259" t="s">
        <v>6772</v>
      </c>
      <c r="D259" t="s">
        <v>12573</v>
      </c>
      <c r="E259">
        <v>16943.14</v>
      </c>
      <c r="G259" s="35"/>
      <c r="H259" s="36">
        <f t="shared" si="9"/>
        <v>10674.1782</v>
      </c>
      <c r="I259" s="37">
        <f t="shared" si="10"/>
        <v>10674.1782</v>
      </c>
      <c r="J259" s="4"/>
      <c r="K259" s="38">
        <f t="shared" si="11"/>
        <v>0</v>
      </c>
    </row>
    <row r="260" spans="1:11">
      <c r="A260" t="s">
        <v>12574</v>
      </c>
      <c r="B260" t="s">
        <v>16</v>
      </c>
      <c r="C260" t="s">
        <v>6772</v>
      </c>
      <c r="D260" t="s">
        <v>12575</v>
      </c>
      <c r="E260">
        <v>24863.02</v>
      </c>
      <c r="G260" s="35"/>
      <c r="H260" s="36">
        <f t="shared" si="9"/>
        <v>15663.702600000001</v>
      </c>
      <c r="I260" s="37">
        <f t="shared" si="10"/>
        <v>15663.702600000001</v>
      </c>
      <c r="J260" s="4"/>
      <c r="K260" s="38">
        <f t="shared" si="11"/>
        <v>0</v>
      </c>
    </row>
    <row r="261" spans="1:11">
      <c r="A261" t="s">
        <v>1201</v>
      </c>
      <c r="B261" t="s">
        <v>16</v>
      </c>
      <c r="C261" t="s">
        <v>6772</v>
      </c>
      <c r="D261" t="s">
        <v>6781</v>
      </c>
      <c r="E261">
        <v>9030.43</v>
      </c>
      <c r="G261" s="35"/>
      <c r="H261" s="36">
        <f t="shared" si="9"/>
        <v>5689.1709000000001</v>
      </c>
      <c r="I261" s="37">
        <f t="shared" si="10"/>
        <v>5689.1709000000001</v>
      </c>
      <c r="J261" s="4"/>
      <c r="K261" s="38">
        <f t="shared" si="11"/>
        <v>0</v>
      </c>
    </row>
    <row r="262" spans="1:11">
      <c r="A262" t="s">
        <v>1202</v>
      </c>
      <c r="B262" t="s">
        <v>16</v>
      </c>
      <c r="C262" t="s">
        <v>6772</v>
      </c>
      <c r="D262" t="s">
        <v>6782</v>
      </c>
      <c r="E262">
        <v>15479.65</v>
      </c>
      <c r="G262" s="35"/>
      <c r="H262" s="36">
        <f t="shared" si="9"/>
        <v>9752.1795000000002</v>
      </c>
      <c r="I262" s="37">
        <f t="shared" si="10"/>
        <v>9752.1795000000002</v>
      </c>
      <c r="J262" s="4"/>
      <c r="K262" s="38">
        <f t="shared" si="11"/>
        <v>0</v>
      </c>
    </row>
    <row r="263" spans="1:11">
      <c r="A263" t="s">
        <v>1205</v>
      </c>
      <c r="B263" t="s">
        <v>16</v>
      </c>
      <c r="C263" t="s">
        <v>6785</v>
      </c>
      <c r="D263" t="s">
        <v>6243</v>
      </c>
      <c r="E263">
        <v>5428.92</v>
      </c>
      <c r="G263" s="35"/>
      <c r="H263" s="36">
        <f t="shared" ref="H263:H326" si="12">+E263*$H$1*(1-G263)</f>
        <v>3420.2195999999999</v>
      </c>
      <c r="I263" s="37">
        <f t="shared" ref="I263:I326" si="13">H263*$H$4</f>
        <v>3420.2195999999999</v>
      </c>
      <c r="J263" s="4"/>
      <c r="K263" s="38">
        <f t="shared" ref="K263:K326" si="14">J263*I263</f>
        <v>0</v>
      </c>
    </row>
    <row r="264" spans="1:11">
      <c r="A264" t="s">
        <v>1206</v>
      </c>
      <c r="B264" t="s">
        <v>16</v>
      </c>
      <c r="C264" t="s">
        <v>6785</v>
      </c>
      <c r="D264" t="s">
        <v>6786</v>
      </c>
      <c r="E264">
        <v>1036.77</v>
      </c>
      <c r="G264" s="35"/>
      <c r="H264" s="36">
        <f t="shared" si="12"/>
        <v>653.16509999999994</v>
      </c>
      <c r="I264" s="37">
        <f t="shared" si="13"/>
        <v>653.16509999999994</v>
      </c>
      <c r="J264" s="4"/>
      <c r="K264" s="38">
        <f t="shared" si="14"/>
        <v>0</v>
      </c>
    </row>
    <row r="265" spans="1:11">
      <c r="A265" t="s">
        <v>1207</v>
      </c>
      <c r="B265" t="s">
        <v>16</v>
      </c>
      <c r="C265" t="s">
        <v>6785</v>
      </c>
      <c r="D265" t="s">
        <v>6787</v>
      </c>
      <c r="E265">
        <v>1374.47</v>
      </c>
      <c r="G265" s="35"/>
      <c r="H265" s="36">
        <f t="shared" si="12"/>
        <v>865.91610000000003</v>
      </c>
      <c r="I265" s="37">
        <f t="shared" si="13"/>
        <v>865.91610000000003</v>
      </c>
      <c r="J265" s="4"/>
      <c r="K265" s="38">
        <f t="shared" si="14"/>
        <v>0</v>
      </c>
    </row>
    <row r="266" spans="1:11">
      <c r="A266" t="s">
        <v>1208</v>
      </c>
      <c r="B266" t="s">
        <v>16</v>
      </c>
      <c r="C266" t="s">
        <v>6785</v>
      </c>
      <c r="D266" t="s">
        <v>6242</v>
      </c>
      <c r="E266">
        <v>2437.17</v>
      </c>
      <c r="G266" s="35"/>
      <c r="H266" s="36">
        <f t="shared" si="12"/>
        <v>1535.4171000000001</v>
      </c>
      <c r="I266" s="37">
        <f t="shared" si="13"/>
        <v>1535.4171000000001</v>
      </c>
      <c r="J266" s="4"/>
      <c r="K266" s="38">
        <f t="shared" si="14"/>
        <v>0</v>
      </c>
    </row>
    <row r="267" spans="1:11">
      <c r="A267" t="s">
        <v>1209</v>
      </c>
      <c r="B267" t="s">
        <v>16</v>
      </c>
      <c r="C267" t="s">
        <v>6785</v>
      </c>
      <c r="D267" t="s">
        <v>6788</v>
      </c>
      <c r="E267">
        <v>1060.01</v>
      </c>
      <c r="G267" s="35"/>
      <c r="H267" s="36">
        <f t="shared" si="12"/>
        <v>667.80629999999996</v>
      </c>
      <c r="I267" s="37">
        <f t="shared" si="13"/>
        <v>667.80629999999996</v>
      </c>
      <c r="J267" s="4"/>
      <c r="K267" s="38">
        <f t="shared" si="14"/>
        <v>0</v>
      </c>
    </row>
    <row r="268" spans="1:11">
      <c r="A268" t="s">
        <v>863</v>
      </c>
      <c r="B268" t="s">
        <v>16</v>
      </c>
      <c r="C268" t="s">
        <v>6510</v>
      </c>
      <c r="D268" t="s">
        <v>6511</v>
      </c>
      <c r="E268">
        <v>5324.02</v>
      </c>
      <c r="G268" s="35"/>
      <c r="H268" s="36">
        <f t="shared" si="12"/>
        <v>3354.1326000000004</v>
      </c>
      <c r="I268" s="37">
        <f t="shared" si="13"/>
        <v>3354.1326000000004</v>
      </c>
      <c r="J268" s="4"/>
      <c r="K268" s="38">
        <f t="shared" si="14"/>
        <v>0</v>
      </c>
    </row>
    <row r="269" spans="1:11">
      <c r="A269" t="s">
        <v>1437</v>
      </c>
      <c r="B269" t="s">
        <v>16</v>
      </c>
      <c r="C269" t="s">
        <v>7018</v>
      </c>
      <c r="D269" t="s">
        <v>7019</v>
      </c>
      <c r="E269">
        <v>5169.47</v>
      </c>
      <c r="G269" s="35"/>
      <c r="H269" s="36">
        <f t="shared" si="12"/>
        <v>3256.7661000000003</v>
      </c>
      <c r="I269" s="37">
        <f t="shared" si="13"/>
        <v>3256.7661000000003</v>
      </c>
      <c r="J269" s="4"/>
      <c r="K269" s="38">
        <f t="shared" si="14"/>
        <v>0</v>
      </c>
    </row>
    <row r="270" spans="1:11">
      <c r="A270" t="s">
        <v>1438</v>
      </c>
      <c r="B270" t="s">
        <v>16</v>
      </c>
      <c r="C270" t="s">
        <v>7018</v>
      </c>
      <c r="D270" t="s">
        <v>7020</v>
      </c>
      <c r="E270">
        <v>22570.49</v>
      </c>
      <c r="G270" s="35"/>
      <c r="H270" s="36">
        <f t="shared" si="12"/>
        <v>14219.408700000002</v>
      </c>
      <c r="I270" s="37">
        <f t="shared" si="13"/>
        <v>14219.408700000002</v>
      </c>
      <c r="J270" s="4"/>
      <c r="K270" s="38">
        <f t="shared" si="14"/>
        <v>0</v>
      </c>
    </row>
    <row r="271" spans="1:11">
      <c r="A271" t="s">
        <v>1439</v>
      </c>
      <c r="B271" t="s">
        <v>16</v>
      </c>
      <c r="C271" t="s">
        <v>7018</v>
      </c>
      <c r="D271" t="s">
        <v>7021</v>
      </c>
      <c r="E271">
        <v>56449.85</v>
      </c>
      <c r="G271" s="35"/>
      <c r="H271" s="36">
        <f t="shared" si="12"/>
        <v>35563.405500000001</v>
      </c>
      <c r="I271" s="37">
        <f t="shared" si="13"/>
        <v>35563.405500000001</v>
      </c>
      <c r="J271" s="4"/>
      <c r="K271" s="38">
        <f t="shared" si="14"/>
        <v>0</v>
      </c>
    </row>
    <row r="272" spans="1:11">
      <c r="A272" t="s">
        <v>1440</v>
      </c>
      <c r="B272" t="s">
        <v>16</v>
      </c>
      <c r="C272" t="s">
        <v>7018</v>
      </c>
      <c r="D272" t="s">
        <v>7022</v>
      </c>
      <c r="E272">
        <v>56449.85</v>
      </c>
      <c r="G272" s="35"/>
      <c r="H272" s="36">
        <f t="shared" si="12"/>
        <v>35563.405500000001</v>
      </c>
      <c r="I272" s="37">
        <f t="shared" si="13"/>
        <v>35563.405500000001</v>
      </c>
      <c r="J272" s="4"/>
      <c r="K272" s="38">
        <f t="shared" si="14"/>
        <v>0</v>
      </c>
    </row>
    <row r="273" spans="1:11">
      <c r="A273" t="s">
        <v>1441</v>
      </c>
      <c r="B273" t="s">
        <v>16</v>
      </c>
      <c r="C273" t="s">
        <v>7018</v>
      </c>
      <c r="D273" t="s">
        <v>7023</v>
      </c>
      <c r="E273">
        <v>56449.85</v>
      </c>
      <c r="G273" s="35"/>
      <c r="H273" s="36">
        <f t="shared" si="12"/>
        <v>35563.405500000001</v>
      </c>
      <c r="I273" s="37">
        <f t="shared" si="13"/>
        <v>35563.405500000001</v>
      </c>
      <c r="J273" s="4"/>
      <c r="K273" s="38">
        <f t="shared" si="14"/>
        <v>0</v>
      </c>
    </row>
    <row r="274" spans="1:11">
      <c r="A274" t="s">
        <v>1442</v>
      </c>
      <c r="B274" t="s">
        <v>16</v>
      </c>
      <c r="C274" t="s">
        <v>7018</v>
      </c>
      <c r="D274" t="s">
        <v>7024</v>
      </c>
      <c r="E274">
        <v>5169.47</v>
      </c>
      <c r="G274" s="35"/>
      <c r="H274" s="36">
        <f t="shared" si="12"/>
        <v>3256.7661000000003</v>
      </c>
      <c r="I274" s="37">
        <f t="shared" si="13"/>
        <v>3256.7661000000003</v>
      </c>
      <c r="J274" s="4"/>
      <c r="K274" s="38">
        <f t="shared" si="14"/>
        <v>0</v>
      </c>
    </row>
    <row r="275" spans="1:11">
      <c r="A275" t="s">
        <v>1443</v>
      </c>
      <c r="B275" t="s">
        <v>16</v>
      </c>
      <c r="C275" t="s">
        <v>7018</v>
      </c>
      <c r="D275" t="s">
        <v>7025</v>
      </c>
      <c r="E275">
        <v>13556.28</v>
      </c>
      <c r="G275" s="35"/>
      <c r="H275" s="36">
        <f t="shared" si="12"/>
        <v>8540.4564000000009</v>
      </c>
      <c r="I275" s="37">
        <f t="shared" si="13"/>
        <v>8540.4564000000009</v>
      </c>
      <c r="J275" s="4"/>
      <c r="K275" s="38">
        <f t="shared" si="14"/>
        <v>0</v>
      </c>
    </row>
    <row r="276" spans="1:11">
      <c r="A276" t="s">
        <v>1444</v>
      </c>
      <c r="B276" t="s">
        <v>16</v>
      </c>
      <c r="C276" t="s">
        <v>7018</v>
      </c>
      <c r="D276" t="s">
        <v>7026</v>
      </c>
      <c r="E276">
        <v>13556.28</v>
      </c>
      <c r="G276" s="35"/>
      <c r="H276" s="36">
        <f t="shared" si="12"/>
        <v>8540.4564000000009</v>
      </c>
      <c r="I276" s="37">
        <f t="shared" si="13"/>
        <v>8540.4564000000009</v>
      </c>
      <c r="J276" s="4"/>
      <c r="K276" s="38">
        <f t="shared" si="14"/>
        <v>0</v>
      </c>
    </row>
    <row r="277" spans="1:11">
      <c r="A277" t="s">
        <v>1445</v>
      </c>
      <c r="B277" t="s">
        <v>16</v>
      </c>
      <c r="C277" t="s">
        <v>7018</v>
      </c>
      <c r="D277" t="s">
        <v>7027</v>
      </c>
      <c r="E277">
        <v>13556.28</v>
      </c>
      <c r="G277" s="35"/>
      <c r="H277" s="36">
        <f t="shared" si="12"/>
        <v>8540.4564000000009</v>
      </c>
      <c r="I277" s="37">
        <f t="shared" si="13"/>
        <v>8540.4564000000009</v>
      </c>
      <c r="J277" s="4"/>
      <c r="K277" s="38">
        <f t="shared" si="14"/>
        <v>0</v>
      </c>
    </row>
    <row r="278" spans="1:11">
      <c r="A278" t="s">
        <v>1446</v>
      </c>
      <c r="B278" t="s">
        <v>16</v>
      </c>
      <c r="C278" t="s">
        <v>7018</v>
      </c>
      <c r="D278" t="s">
        <v>7028</v>
      </c>
      <c r="E278">
        <v>13556.28</v>
      </c>
      <c r="G278" s="35"/>
      <c r="H278" s="36">
        <f t="shared" si="12"/>
        <v>8540.4564000000009</v>
      </c>
      <c r="I278" s="37">
        <f t="shared" si="13"/>
        <v>8540.4564000000009</v>
      </c>
      <c r="J278" s="4"/>
      <c r="K278" s="38">
        <f t="shared" si="14"/>
        <v>0</v>
      </c>
    </row>
    <row r="279" spans="1:11">
      <c r="A279" t="s">
        <v>12820</v>
      </c>
      <c r="B279" t="s">
        <v>16</v>
      </c>
      <c r="C279" t="s">
        <v>7018</v>
      </c>
      <c r="D279" t="s">
        <v>12821</v>
      </c>
      <c r="E279">
        <v>5474.58</v>
      </c>
      <c r="G279" s="35"/>
      <c r="H279" s="36">
        <f t="shared" si="12"/>
        <v>3448.9854</v>
      </c>
      <c r="I279" s="37">
        <f t="shared" si="13"/>
        <v>3448.9854</v>
      </c>
      <c r="J279" s="4"/>
      <c r="K279" s="38">
        <f t="shared" si="14"/>
        <v>0</v>
      </c>
    </row>
    <row r="280" spans="1:11">
      <c r="A280" t="s">
        <v>12822</v>
      </c>
      <c r="B280" t="s">
        <v>16</v>
      </c>
      <c r="C280" t="s">
        <v>7018</v>
      </c>
      <c r="D280" t="s">
        <v>12823</v>
      </c>
      <c r="E280">
        <v>38389.620000000003</v>
      </c>
      <c r="G280" s="35"/>
      <c r="H280" s="36">
        <f t="shared" si="12"/>
        <v>24185.460600000002</v>
      </c>
      <c r="I280" s="37">
        <f t="shared" si="13"/>
        <v>24185.460600000002</v>
      </c>
      <c r="J280" s="4"/>
      <c r="K280" s="38">
        <f t="shared" si="14"/>
        <v>0</v>
      </c>
    </row>
    <row r="281" spans="1:11">
      <c r="A281" t="s">
        <v>12824</v>
      </c>
      <c r="B281" t="s">
        <v>16</v>
      </c>
      <c r="C281" t="s">
        <v>7018</v>
      </c>
      <c r="D281" t="s">
        <v>12825</v>
      </c>
      <c r="E281">
        <v>9105.73</v>
      </c>
      <c r="G281" s="35"/>
      <c r="H281" s="36">
        <f t="shared" si="12"/>
        <v>5736.6098999999995</v>
      </c>
      <c r="I281" s="37">
        <f t="shared" si="13"/>
        <v>5736.6098999999995</v>
      </c>
      <c r="J281" s="4"/>
      <c r="K281" s="38">
        <f t="shared" si="14"/>
        <v>0</v>
      </c>
    </row>
    <row r="282" spans="1:11">
      <c r="A282" t="s">
        <v>12441</v>
      </c>
      <c r="B282" t="s">
        <v>16</v>
      </c>
      <c r="C282" t="s">
        <v>7018</v>
      </c>
      <c r="D282" t="s">
        <v>12442</v>
      </c>
      <c r="E282">
        <v>24485.37</v>
      </c>
      <c r="G282" s="35"/>
      <c r="H282" s="36">
        <f t="shared" si="12"/>
        <v>15425.783099999999</v>
      </c>
      <c r="I282" s="37">
        <f t="shared" si="13"/>
        <v>15425.783099999999</v>
      </c>
      <c r="J282" s="4"/>
      <c r="K282" s="38">
        <f t="shared" si="14"/>
        <v>0</v>
      </c>
    </row>
    <row r="283" spans="1:11">
      <c r="A283" t="s">
        <v>12826</v>
      </c>
      <c r="B283" t="s">
        <v>16</v>
      </c>
      <c r="C283" t="s">
        <v>7018</v>
      </c>
      <c r="D283" t="s">
        <v>12827</v>
      </c>
      <c r="E283">
        <v>24485.48</v>
      </c>
      <c r="G283" s="35"/>
      <c r="H283" s="36">
        <f t="shared" si="12"/>
        <v>15425.8524</v>
      </c>
      <c r="I283" s="37">
        <f t="shared" si="13"/>
        <v>15425.8524</v>
      </c>
      <c r="J283" s="4"/>
      <c r="K283" s="38">
        <f t="shared" si="14"/>
        <v>0</v>
      </c>
    </row>
    <row r="284" spans="1:11">
      <c r="A284" t="s">
        <v>12828</v>
      </c>
      <c r="B284" t="s">
        <v>16</v>
      </c>
      <c r="C284" t="s">
        <v>7018</v>
      </c>
      <c r="D284" t="s">
        <v>12829</v>
      </c>
      <c r="E284">
        <v>24485.48</v>
      </c>
      <c r="G284" s="35"/>
      <c r="H284" s="36">
        <f t="shared" si="12"/>
        <v>15425.8524</v>
      </c>
      <c r="I284" s="37">
        <f t="shared" si="13"/>
        <v>15425.8524</v>
      </c>
      <c r="J284" s="4"/>
      <c r="K284" s="38">
        <f t="shared" si="14"/>
        <v>0</v>
      </c>
    </row>
    <row r="285" spans="1:11">
      <c r="A285" t="s">
        <v>12830</v>
      </c>
      <c r="B285" t="s">
        <v>16</v>
      </c>
      <c r="C285" t="s">
        <v>7018</v>
      </c>
      <c r="D285" t="s">
        <v>12831</v>
      </c>
      <c r="E285">
        <v>6463.76</v>
      </c>
      <c r="G285" s="35"/>
      <c r="H285" s="36">
        <f t="shared" si="12"/>
        <v>4072.1688000000004</v>
      </c>
      <c r="I285" s="37">
        <f t="shared" si="13"/>
        <v>4072.1688000000004</v>
      </c>
      <c r="J285" s="4"/>
      <c r="K285" s="38">
        <f t="shared" si="14"/>
        <v>0</v>
      </c>
    </row>
    <row r="286" spans="1:11">
      <c r="A286" t="s">
        <v>12832</v>
      </c>
      <c r="B286" t="s">
        <v>16</v>
      </c>
      <c r="C286" t="s">
        <v>7018</v>
      </c>
      <c r="D286" t="s">
        <v>12833</v>
      </c>
      <c r="E286">
        <v>6463.76</v>
      </c>
      <c r="G286" s="35"/>
      <c r="H286" s="36">
        <f t="shared" si="12"/>
        <v>4072.1688000000004</v>
      </c>
      <c r="I286" s="37">
        <f t="shared" si="13"/>
        <v>4072.1688000000004</v>
      </c>
      <c r="J286" s="4"/>
      <c r="K286" s="38">
        <f t="shared" si="14"/>
        <v>0</v>
      </c>
    </row>
    <row r="287" spans="1:11">
      <c r="A287" t="s">
        <v>12834</v>
      </c>
      <c r="B287" t="s">
        <v>16</v>
      </c>
      <c r="C287" t="s">
        <v>7018</v>
      </c>
      <c r="D287" t="s">
        <v>12835</v>
      </c>
      <c r="E287">
        <v>6463.76</v>
      </c>
      <c r="G287" s="35"/>
      <c r="H287" s="36">
        <f t="shared" si="12"/>
        <v>4072.1688000000004</v>
      </c>
      <c r="I287" s="37">
        <f t="shared" si="13"/>
        <v>4072.1688000000004</v>
      </c>
      <c r="J287" s="4"/>
      <c r="K287" s="38">
        <f t="shared" si="14"/>
        <v>0</v>
      </c>
    </row>
    <row r="288" spans="1:11">
      <c r="A288" t="s">
        <v>12836</v>
      </c>
      <c r="B288" t="s">
        <v>16</v>
      </c>
      <c r="C288" t="s">
        <v>7018</v>
      </c>
      <c r="D288" t="s">
        <v>12837</v>
      </c>
      <c r="E288">
        <v>6463.76</v>
      </c>
      <c r="G288" s="35"/>
      <c r="H288" s="36">
        <f t="shared" si="12"/>
        <v>4072.1688000000004</v>
      </c>
      <c r="I288" s="37">
        <f t="shared" si="13"/>
        <v>4072.1688000000004</v>
      </c>
      <c r="J288" s="4"/>
      <c r="K288" s="38">
        <f t="shared" si="14"/>
        <v>0</v>
      </c>
    </row>
    <row r="289" spans="1:11">
      <c r="A289" t="s">
        <v>12838</v>
      </c>
      <c r="B289" t="s">
        <v>16</v>
      </c>
      <c r="C289" t="s">
        <v>7018</v>
      </c>
      <c r="D289" t="s">
        <v>12839</v>
      </c>
      <c r="E289">
        <v>63983.68</v>
      </c>
      <c r="G289" s="35"/>
      <c r="H289" s="36">
        <f t="shared" si="12"/>
        <v>40309.718399999998</v>
      </c>
      <c r="I289" s="37">
        <f t="shared" si="13"/>
        <v>40309.718399999998</v>
      </c>
      <c r="J289" s="4"/>
      <c r="K289" s="38">
        <f t="shared" si="14"/>
        <v>0</v>
      </c>
    </row>
    <row r="290" spans="1:11">
      <c r="A290" t="s">
        <v>12840</v>
      </c>
      <c r="B290" t="s">
        <v>16</v>
      </c>
      <c r="C290" t="s">
        <v>12841</v>
      </c>
      <c r="D290" t="s">
        <v>12842</v>
      </c>
      <c r="E290">
        <v>2942.65</v>
      </c>
      <c r="G290" s="35"/>
      <c r="H290" s="36">
        <f t="shared" si="12"/>
        <v>1853.8695</v>
      </c>
      <c r="I290" s="37">
        <f t="shared" si="13"/>
        <v>1853.8695</v>
      </c>
      <c r="J290" s="4"/>
      <c r="K290" s="38">
        <f t="shared" si="14"/>
        <v>0</v>
      </c>
    </row>
    <row r="291" spans="1:11">
      <c r="A291" t="s">
        <v>12843</v>
      </c>
      <c r="B291" t="s">
        <v>16</v>
      </c>
      <c r="C291" t="s">
        <v>12841</v>
      </c>
      <c r="D291" t="s">
        <v>12844</v>
      </c>
      <c r="E291">
        <v>2942.65</v>
      </c>
      <c r="G291" s="35"/>
      <c r="H291" s="36">
        <f t="shared" si="12"/>
        <v>1853.8695</v>
      </c>
      <c r="I291" s="37">
        <f t="shared" si="13"/>
        <v>1853.8695</v>
      </c>
      <c r="J291" s="4"/>
      <c r="K291" s="38">
        <f t="shared" si="14"/>
        <v>0</v>
      </c>
    </row>
    <row r="292" spans="1:11">
      <c r="A292" t="s">
        <v>1504</v>
      </c>
      <c r="B292" t="s">
        <v>16</v>
      </c>
      <c r="C292" t="s">
        <v>12841</v>
      </c>
      <c r="D292" t="s">
        <v>12845</v>
      </c>
      <c r="E292">
        <v>8941.84</v>
      </c>
      <c r="G292" s="35"/>
      <c r="H292" s="36">
        <f t="shared" si="12"/>
        <v>5633.3591999999999</v>
      </c>
      <c r="I292" s="37">
        <f t="shared" si="13"/>
        <v>5633.3591999999999</v>
      </c>
      <c r="J292" s="4"/>
      <c r="K292" s="38">
        <f t="shared" si="14"/>
        <v>0</v>
      </c>
    </row>
    <row r="293" spans="1:11">
      <c r="A293" t="s">
        <v>1325</v>
      </c>
      <c r="B293" t="s">
        <v>16</v>
      </c>
      <c r="C293" t="s">
        <v>6901</v>
      </c>
      <c r="D293" t="s">
        <v>6378</v>
      </c>
      <c r="E293">
        <v>4065.66</v>
      </c>
      <c r="G293" s="35"/>
      <c r="H293" s="36">
        <f t="shared" si="12"/>
        <v>2561.3658</v>
      </c>
      <c r="I293" s="37">
        <f t="shared" si="13"/>
        <v>2561.3658</v>
      </c>
      <c r="J293" s="4"/>
      <c r="K293" s="38">
        <f t="shared" si="14"/>
        <v>0</v>
      </c>
    </row>
    <row r="294" spans="1:11">
      <c r="A294" t="s">
        <v>1326</v>
      </c>
      <c r="B294" t="s">
        <v>16</v>
      </c>
      <c r="C294" t="s">
        <v>6901</v>
      </c>
      <c r="D294" t="s">
        <v>6902</v>
      </c>
      <c r="E294">
        <v>20156.63</v>
      </c>
      <c r="G294" s="35"/>
      <c r="H294" s="36">
        <f t="shared" si="12"/>
        <v>12698.6769</v>
      </c>
      <c r="I294" s="37">
        <f t="shared" si="13"/>
        <v>12698.6769</v>
      </c>
      <c r="J294" s="4"/>
      <c r="K294" s="38">
        <f t="shared" si="14"/>
        <v>0</v>
      </c>
    </row>
    <row r="295" spans="1:11">
      <c r="A295" t="s">
        <v>1327</v>
      </c>
      <c r="B295" t="s">
        <v>16</v>
      </c>
      <c r="C295" t="s">
        <v>6901</v>
      </c>
      <c r="D295" t="s">
        <v>6903</v>
      </c>
      <c r="E295">
        <v>6375.91</v>
      </c>
      <c r="G295" s="35"/>
      <c r="H295" s="36">
        <f t="shared" si="12"/>
        <v>4016.8233</v>
      </c>
      <c r="I295" s="37">
        <f t="shared" si="13"/>
        <v>4016.8233</v>
      </c>
      <c r="J295" s="4"/>
      <c r="K295" s="38">
        <f t="shared" si="14"/>
        <v>0</v>
      </c>
    </row>
    <row r="296" spans="1:11">
      <c r="A296" t="s">
        <v>1328</v>
      </c>
      <c r="B296" t="s">
        <v>16</v>
      </c>
      <c r="C296" t="s">
        <v>6901</v>
      </c>
      <c r="D296" t="s">
        <v>6904</v>
      </c>
      <c r="E296">
        <v>7334.06</v>
      </c>
      <c r="G296" s="35"/>
      <c r="H296" s="36">
        <f t="shared" si="12"/>
        <v>4620.4578000000001</v>
      </c>
      <c r="I296" s="37">
        <f t="shared" si="13"/>
        <v>4620.4578000000001</v>
      </c>
      <c r="J296" s="4"/>
      <c r="K296" s="38">
        <f t="shared" si="14"/>
        <v>0</v>
      </c>
    </row>
    <row r="297" spans="1:11">
      <c r="A297" t="s">
        <v>1329</v>
      </c>
      <c r="B297" t="s">
        <v>16</v>
      </c>
      <c r="C297" t="s">
        <v>6901</v>
      </c>
      <c r="D297" t="s">
        <v>6905</v>
      </c>
      <c r="E297">
        <v>7972.56</v>
      </c>
      <c r="G297" s="35"/>
      <c r="H297" s="36">
        <f t="shared" si="12"/>
        <v>5022.7128000000002</v>
      </c>
      <c r="I297" s="37">
        <f t="shared" si="13"/>
        <v>5022.7128000000002</v>
      </c>
      <c r="J297" s="4"/>
      <c r="K297" s="38">
        <f t="shared" si="14"/>
        <v>0</v>
      </c>
    </row>
    <row r="298" spans="1:11">
      <c r="A298" t="s">
        <v>1330</v>
      </c>
      <c r="B298" t="s">
        <v>16</v>
      </c>
      <c r="C298" t="s">
        <v>6901</v>
      </c>
      <c r="D298" t="s">
        <v>6906</v>
      </c>
      <c r="E298">
        <v>8707.4599999999991</v>
      </c>
      <c r="G298" s="35"/>
      <c r="H298" s="36">
        <f t="shared" si="12"/>
        <v>5485.6997999999994</v>
      </c>
      <c r="I298" s="37">
        <f t="shared" si="13"/>
        <v>5485.6997999999994</v>
      </c>
      <c r="J298" s="4"/>
      <c r="K298" s="38">
        <f t="shared" si="14"/>
        <v>0</v>
      </c>
    </row>
    <row r="299" spans="1:11">
      <c r="A299" t="s">
        <v>1331</v>
      </c>
      <c r="B299" t="s">
        <v>16</v>
      </c>
      <c r="C299" t="s">
        <v>6907</v>
      </c>
      <c r="D299" t="s">
        <v>6908</v>
      </c>
      <c r="E299">
        <v>9000.9</v>
      </c>
      <c r="G299" s="35"/>
      <c r="H299" s="36">
        <f t="shared" si="12"/>
        <v>5670.567</v>
      </c>
      <c r="I299" s="37">
        <f t="shared" si="13"/>
        <v>5670.567</v>
      </c>
      <c r="J299" s="4"/>
      <c r="K299" s="38">
        <f t="shared" si="14"/>
        <v>0</v>
      </c>
    </row>
    <row r="300" spans="1:11">
      <c r="A300" t="s">
        <v>1332</v>
      </c>
      <c r="B300" t="s">
        <v>16</v>
      </c>
      <c r="C300" t="s">
        <v>6907</v>
      </c>
      <c r="D300" t="s">
        <v>6909</v>
      </c>
      <c r="E300">
        <v>9677.49</v>
      </c>
      <c r="G300" s="35"/>
      <c r="H300" s="36">
        <f t="shared" si="12"/>
        <v>6096.8186999999998</v>
      </c>
      <c r="I300" s="37">
        <f t="shared" si="13"/>
        <v>6096.8186999999998</v>
      </c>
      <c r="J300" s="4"/>
      <c r="K300" s="38">
        <f t="shared" si="14"/>
        <v>0</v>
      </c>
    </row>
    <row r="301" spans="1:11">
      <c r="A301" t="s">
        <v>1333</v>
      </c>
      <c r="B301" t="s">
        <v>16</v>
      </c>
      <c r="C301" t="s">
        <v>6907</v>
      </c>
      <c r="D301" t="s">
        <v>6910</v>
      </c>
      <c r="E301">
        <v>10564.95</v>
      </c>
      <c r="G301" s="35"/>
      <c r="H301" s="36">
        <f t="shared" si="12"/>
        <v>6655.9185000000007</v>
      </c>
      <c r="I301" s="37">
        <f t="shared" si="13"/>
        <v>6655.9185000000007</v>
      </c>
      <c r="J301" s="4"/>
      <c r="K301" s="38">
        <f t="shared" si="14"/>
        <v>0</v>
      </c>
    </row>
    <row r="302" spans="1:11">
      <c r="A302" t="s">
        <v>1334</v>
      </c>
      <c r="B302" t="s">
        <v>16</v>
      </c>
      <c r="C302" t="s">
        <v>6907</v>
      </c>
      <c r="D302" t="s">
        <v>6911</v>
      </c>
      <c r="E302">
        <v>15017.7</v>
      </c>
      <c r="G302" s="35"/>
      <c r="H302" s="36">
        <f t="shared" si="12"/>
        <v>9461.1509999999998</v>
      </c>
      <c r="I302" s="37">
        <f t="shared" si="13"/>
        <v>9461.1509999999998</v>
      </c>
      <c r="J302" s="4"/>
      <c r="K302" s="38">
        <f t="shared" si="14"/>
        <v>0</v>
      </c>
    </row>
    <row r="303" spans="1:11">
      <c r="A303" t="s">
        <v>13075</v>
      </c>
      <c r="B303" t="s">
        <v>16</v>
      </c>
      <c r="C303" t="s">
        <v>13076</v>
      </c>
      <c r="D303" t="s">
        <v>13077</v>
      </c>
      <c r="E303">
        <v>50340.71</v>
      </c>
      <c r="G303" s="35"/>
      <c r="H303" s="36">
        <f t="shared" si="12"/>
        <v>31714.647300000001</v>
      </c>
      <c r="I303" s="37">
        <f t="shared" si="13"/>
        <v>31714.647300000001</v>
      </c>
      <c r="J303" s="4"/>
      <c r="K303" s="38">
        <f t="shared" si="14"/>
        <v>0</v>
      </c>
    </row>
    <row r="304" spans="1:11">
      <c r="A304" t="s">
        <v>13078</v>
      </c>
      <c r="B304" t="s">
        <v>16</v>
      </c>
      <c r="C304" t="s">
        <v>13076</v>
      </c>
      <c r="D304" t="s">
        <v>13079</v>
      </c>
      <c r="E304">
        <v>86157.29</v>
      </c>
      <c r="G304" s="35"/>
      <c r="H304" s="36">
        <f t="shared" si="12"/>
        <v>54279.092699999994</v>
      </c>
      <c r="I304" s="37">
        <f t="shared" si="13"/>
        <v>54279.092699999994</v>
      </c>
      <c r="J304" s="4"/>
      <c r="K304" s="38">
        <f t="shared" si="14"/>
        <v>0</v>
      </c>
    </row>
    <row r="305" spans="1:11">
      <c r="A305" t="s">
        <v>13080</v>
      </c>
      <c r="B305" t="s">
        <v>16</v>
      </c>
      <c r="C305" t="s">
        <v>13076</v>
      </c>
      <c r="D305" t="s">
        <v>13081</v>
      </c>
      <c r="E305">
        <v>15229.11</v>
      </c>
      <c r="G305" s="35"/>
      <c r="H305" s="36">
        <f t="shared" si="12"/>
        <v>9594.3392999999996</v>
      </c>
      <c r="I305" s="37">
        <f t="shared" si="13"/>
        <v>9594.3392999999996</v>
      </c>
      <c r="J305" s="4"/>
      <c r="K305" s="38">
        <f t="shared" si="14"/>
        <v>0</v>
      </c>
    </row>
    <row r="306" spans="1:11">
      <c r="A306" t="s">
        <v>13082</v>
      </c>
      <c r="B306" t="s">
        <v>16</v>
      </c>
      <c r="C306" t="s">
        <v>13076</v>
      </c>
      <c r="D306" t="s">
        <v>13083</v>
      </c>
      <c r="E306">
        <v>37960</v>
      </c>
      <c r="G306" s="35"/>
      <c r="H306" s="36">
        <f t="shared" si="12"/>
        <v>23914.799999999999</v>
      </c>
      <c r="I306" s="37">
        <f t="shared" si="13"/>
        <v>23914.799999999999</v>
      </c>
      <c r="J306" s="4"/>
      <c r="K306" s="38">
        <f t="shared" si="14"/>
        <v>0</v>
      </c>
    </row>
    <row r="307" spans="1:11">
      <c r="A307" t="s">
        <v>13084</v>
      </c>
      <c r="B307" t="s">
        <v>16</v>
      </c>
      <c r="C307" t="s">
        <v>13076</v>
      </c>
      <c r="D307" t="s">
        <v>13085</v>
      </c>
      <c r="E307">
        <v>1128.0899999999999</v>
      </c>
      <c r="G307" s="35"/>
      <c r="H307" s="36">
        <f t="shared" si="12"/>
        <v>710.69669999999996</v>
      </c>
      <c r="I307" s="37">
        <f t="shared" si="13"/>
        <v>710.69669999999996</v>
      </c>
      <c r="J307" s="4"/>
      <c r="K307" s="38">
        <f t="shared" si="14"/>
        <v>0</v>
      </c>
    </row>
    <row r="308" spans="1:11">
      <c r="A308" t="s">
        <v>13086</v>
      </c>
      <c r="B308" t="s">
        <v>16</v>
      </c>
      <c r="C308" t="s">
        <v>13087</v>
      </c>
      <c r="D308" t="s">
        <v>13088</v>
      </c>
      <c r="E308">
        <v>100850.56</v>
      </c>
      <c r="G308" s="35"/>
      <c r="H308" s="36">
        <f t="shared" si="12"/>
        <v>63535.852800000001</v>
      </c>
      <c r="I308" s="37">
        <f t="shared" si="13"/>
        <v>63535.852800000001</v>
      </c>
      <c r="J308" s="4"/>
      <c r="K308" s="38">
        <f t="shared" si="14"/>
        <v>0</v>
      </c>
    </row>
    <row r="309" spans="1:11">
      <c r="A309" t="s">
        <v>13089</v>
      </c>
      <c r="B309" t="s">
        <v>16</v>
      </c>
      <c r="C309" t="s">
        <v>13087</v>
      </c>
      <c r="D309" t="s">
        <v>13090</v>
      </c>
      <c r="E309">
        <v>157649.54</v>
      </c>
      <c r="G309" s="35"/>
      <c r="H309" s="36">
        <f t="shared" si="12"/>
        <v>99319.210200000001</v>
      </c>
      <c r="I309" s="37">
        <f t="shared" si="13"/>
        <v>99319.210200000001</v>
      </c>
      <c r="J309" s="4"/>
      <c r="K309" s="38">
        <f t="shared" si="14"/>
        <v>0</v>
      </c>
    </row>
    <row r="310" spans="1:11">
      <c r="A310" t="s">
        <v>13091</v>
      </c>
      <c r="B310" t="s">
        <v>16</v>
      </c>
      <c r="C310" t="s">
        <v>13087</v>
      </c>
      <c r="D310" t="s">
        <v>13092</v>
      </c>
      <c r="E310">
        <v>189174.32</v>
      </c>
      <c r="G310" s="35"/>
      <c r="H310" s="36">
        <f t="shared" si="12"/>
        <v>119179.82160000001</v>
      </c>
      <c r="I310" s="37">
        <f t="shared" si="13"/>
        <v>119179.82160000001</v>
      </c>
      <c r="J310" s="4"/>
      <c r="K310" s="38">
        <f t="shared" si="14"/>
        <v>0</v>
      </c>
    </row>
    <row r="311" spans="1:11">
      <c r="A311" t="s">
        <v>13093</v>
      </c>
      <c r="B311" t="s">
        <v>16</v>
      </c>
      <c r="C311" t="s">
        <v>13087</v>
      </c>
      <c r="D311" t="s">
        <v>13094</v>
      </c>
      <c r="E311">
        <v>16921.25</v>
      </c>
      <c r="G311" s="35"/>
      <c r="H311" s="36">
        <f t="shared" si="12"/>
        <v>10660.387500000001</v>
      </c>
      <c r="I311" s="37">
        <f t="shared" si="13"/>
        <v>10660.387500000001</v>
      </c>
      <c r="J311" s="4"/>
      <c r="K311" s="38">
        <f t="shared" si="14"/>
        <v>0</v>
      </c>
    </row>
    <row r="312" spans="1:11">
      <c r="A312" t="s">
        <v>13095</v>
      </c>
      <c r="B312" t="s">
        <v>16</v>
      </c>
      <c r="C312" t="s">
        <v>13087</v>
      </c>
      <c r="D312" t="s">
        <v>13096</v>
      </c>
      <c r="E312">
        <v>42726.12</v>
      </c>
      <c r="G312" s="35"/>
      <c r="H312" s="36">
        <f t="shared" si="12"/>
        <v>26917.455600000001</v>
      </c>
      <c r="I312" s="37">
        <f t="shared" si="13"/>
        <v>26917.455600000001</v>
      </c>
      <c r="J312" s="4"/>
      <c r="K312" s="38">
        <f t="shared" si="14"/>
        <v>0</v>
      </c>
    </row>
    <row r="313" spans="1:11">
      <c r="A313" t="s">
        <v>13097</v>
      </c>
      <c r="B313" t="s">
        <v>16</v>
      </c>
      <c r="C313" t="s">
        <v>13087</v>
      </c>
      <c r="D313" t="s">
        <v>13098</v>
      </c>
      <c r="E313">
        <v>3102.22</v>
      </c>
      <c r="G313" s="35"/>
      <c r="H313" s="36">
        <f t="shared" si="12"/>
        <v>1954.3986</v>
      </c>
      <c r="I313" s="37">
        <f t="shared" si="13"/>
        <v>1954.3986</v>
      </c>
      <c r="J313" s="4"/>
      <c r="K313" s="38">
        <f t="shared" si="14"/>
        <v>0</v>
      </c>
    </row>
    <row r="314" spans="1:11">
      <c r="A314" t="s">
        <v>13099</v>
      </c>
      <c r="B314" t="s">
        <v>16</v>
      </c>
      <c r="C314" t="s">
        <v>13087</v>
      </c>
      <c r="D314" t="s">
        <v>13100</v>
      </c>
      <c r="E314">
        <v>75732.41</v>
      </c>
      <c r="G314" s="35"/>
      <c r="H314" s="36">
        <f t="shared" si="12"/>
        <v>47711.418300000005</v>
      </c>
      <c r="I314" s="37">
        <f t="shared" si="13"/>
        <v>47711.418300000005</v>
      </c>
      <c r="J314" s="4"/>
      <c r="K314" s="38">
        <f t="shared" si="14"/>
        <v>0</v>
      </c>
    </row>
    <row r="315" spans="1:11">
      <c r="A315" t="s">
        <v>13101</v>
      </c>
      <c r="B315" t="s">
        <v>16</v>
      </c>
      <c r="C315" t="s">
        <v>13087</v>
      </c>
      <c r="D315" t="s">
        <v>13102</v>
      </c>
      <c r="E315">
        <v>4778.99</v>
      </c>
      <c r="G315" s="35"/>
      <c r="H315" s="36">
        <f t="shared" si="12"/>
        <v>3010.7637</v>
      </c>
      <c r="I315" s="37">
        <f t="shared" si="13"/>
        <v>3010.7637</v>
      </c>
      <c r="J315" s="4"/>
      <c r="K315" s="38">
        <f t="shared" si="14"/>
        <v>0</v>
      </c>
    </row>
    <row r="316" spans="1:11">
      <c r="A316" t="s">
        <v>4092</v>
      </c>
      <c r="B316" t="s">
        <v>16</v>
      </c>
      <c r="C316" t="s">
        <v>6912</v>
      </c>
      <c r="D316" t="s">
        <v>9550</v>
      </c>
      <c r="E316">
        <v>19609.96</v>
      </c>
      <c r="G316" s="35"/>
      <c r="H316" s="36">
        <f t="shared" si="12"/>
        <v>12354.274799999999</v>
      </c>
      <c r="I316" s="37">
        <f t="shared" si="13"/>
        <v>12354.274799999999</v>
      </c>
      <c r="J316" s="4"/>
      <c r="K316" s="38">
        <f t="shared" si="14"/>
        <v>0</v>
      </c>
    </row>
    <row r="317" spans="1:11">
      <c r="A317" t="s">
        <v>4093</v>
      </c>
      <c r="B317" t="s">
        <v>16</v>
      </c>
      <c r="C317" t="s">
        <v>6912</v>
      </c>
      <c r="D317" t="s">
        <v>9551</v>
      </c>
      <c r="E317">
        <v>20620.32</v>
      </c>
      <c r="G317" s="35"/>
      <c r="H317" s="36">
        <f t="shared" si="12"/>
        <v>12990.801600000001</v>
      </c>
      <c r="I317" s="37">
        <f t="shared" si="13"/>
        <v>12990.801600000001</v>
      </c>
      <c r="J317" s="4"/>
      <c r="K317" s="38">
        <f t="shared" si="14"/>
        <v>0</v>
      </c>
    </row>
    <row r="318" spans="1:11">
      <c r="A318" t="s">
        <v>4094</v>
      </c>
      <c r="B318" t="s">
        <v>16</v>
      </c>
      <c r="C318" t="s">
        <v>6912</v>
      </c>
      <c r="D318" t="s">
        <v>9552</v>
      </c>
      <c r="E318">
        <v>8598.2800000000007</v>
      </c>
      <c r="G318" s="35"/>
      <c r="H318" s="36">
        <f t="shared" si="12"/>
        <v>5416.9164000000001</v>
      </c>
      <c r="I318" s="37">
        <f t="shared" si="13"/>
        <v>5416.9164000000001</v>
      </c>
      <c r="J318" s="4"/>
      <c r="K318" s="38">
        <f t="shared" si="14"/>
        <v>0</v>
      </c>
    </row>
    <row r="319" spans="1:11">
      <c r="A319" t="s">
        <v>4095</v>
      </c>
      <c r="B319" t="s">
        <v>16</v>
      </c>
      <c r="C319" t="s">
        <v>6912</v>
      </c>
      <c r="D319" t="s">
        <v>9553</v>
      </c>
      <c r="E319">
        <v>8564.8700000000008</v>
      </c>
      <c r="G319" s="35"/>
      <c r="H319" s="36">
        <f t="shared" si="12"/>
        <v>5395.8681000000006</v>
      </c>
      <c r="I319" s="37">
        <f t="shared" si="13"/>
        <v>5395.8681000000006</v>
      </c>
      <c r="J319" s="4"/>
      <c r="K319" s="38">
        <f t="shared" si="14"/>
        <v>0</v>
      </c>
    </row>
    <row r="320" spans="1:11">
      <c r="A320" t="s">
        <v>4096</v>
      </c>
      <c r="B320" t="s">
        <v>16</v>
      </c>
      <c r="C320" t="s">
        <v>6912</v>
      </c>
      <c r="D320" t="s">
        <v>9554</v>
      </c>
      <c r="E320">
        <v>7344.09</v>
      </c>
      <c r="G320" s="35"/>
      <c r="H320" s="36">
        <f t="shared" si="12"/>
        <v>4626.7767000000003</v>
      </c>
      <c r="I320" s="37">
        <f t="shared" si="13"/>
        <v>4626.7767000000003</v>
      </c>
      <c r="J320" s="4"/>
      <c r="K320" s="38">
        <f t="shared" si="14"/>
        <v>0</v>
      </c>
    </row>
    <row r="321" spans="1:11">
      <c r="A321" t="s">
        <v>4097</v>
      </c>
      <c r="B321" t="s">
        <v>16</v>
      </c>
      <c r="C321" t="s">
        <v>6912</v>
      </c>
      <c r="D321" t="s">
        <v>9555</v>
      </c>
      <c r="E321">
        <v>27955.439999999999</v>
      </c>
      <c r="G321" s="35"/>
      <c r="H321" s="36">
        <f t="shared" si="12"/>
        <v>17611.927199999998</v>
      </c>
      <c r="I321" s="37">
        <f t="shared" si="13"/>
        <v>17611.927199999998</v>
      </c>
      <c r="J321" s="4"/>
      <c r="K321" s="38">
        <f t="shared" si="14"/>
        <v>0</v>
      </c>
    </row>
    <row r="322" spans="1:11">
      <c r="A322" t="s">
        <v>4098</v>
      </c>
      <c r="B322" t="s">
        <v>16</v>
      </c>
      <c r="C322" t="s">
        <v>6912</v>
      </c>
      <c r="D322" t="s">
        <v>9556</v>
      </c>
      <c r="E322">
        <v>24608.39</v>
      </c>
      <c r="G322" s="35"/>
      <c r="H322" s="36">
        <f t="shared" si="12"/>
        <v>15503.2857</v>
      </c>
      <c r="I322" s="37">
        <f t="shared" si="13"/>
        <v>15503.2857</v>
      </c>
      <c r="J322" s="4"/>
      <c r="K322" s="38">
        <f t="shared" si="14"/>
        <v>0</v>
      </c>
    </row>
    <row r="323" spans="1:11">
      <c r="A323" t="s">
        <v>4099</v>
      </c>
      <c r="B323" t="s">
        <v>16</v>
      </c>
      <c r="C323" t="s">
        <v>6912</v>
      </c>
      <c r="D323" t="s">
        <v>9557</v>
      </c>
      <c r="E323">
        <v>9005.08</v>
      </c>
      <c r="G323" s="35"/>
      <c r="H323" s="36">
        <f t="shared" si="12"/>
        <v>5673.2003999999997</v>
      </c>
      <c r="I323" s="37">
        <f t="shared" si="13"/>
        <v>5673.2003999999997</v>
      </c>
      <c r="J323" s="4"/>
      <c r="K323" s="38">
        <f t="shared" si="14"/>
        <v>0</v>
      </c>
    </row>
    <row r="324" spans="1:11">
      <c r="A324" t="s">
        <v>5618</v>
      </c>
      <c r="B324" t="s">
        <v>16</v>
      </c>
      <c r="C324" t="s">
        <v>6912</v>
      </c>
      <c r="D324" t="s">
        <v>9558</v>
      </c>
      <c r="E324">
        <v>7178.52</v>
      </c>
      <c r="G324" s="35"/>
      <c r="H324" s="36">
        <f t="shared" si="12"/>
        <v>4522.4675999999999</v>
      </c>
      <c r="I324" s="37">
        <f t="shared" si="13"/>
        <v>4522.4675999999999</v>
      </c>
      <c r="J324" s="4"/>
      <c r="K324" s="38">
        <f t="shared" si="14"/>
        <v>0</v>
      </c>
    </row>
    <row r="325" spans="1:11">
      <c r="A325" t="s">
        <v>4100</v>
      </c>
      <c r="B325" t="s">
        <v>16</v>
      </c>
      <c r="C325" t="s">
        <v>6912</v>
      </c>
      <c r="D325" t="s">
        <v>9559</v>
      </c>
      <c r="E325">
        <v>27216.76</v>
      </c>
      <c r="G325" s="35"/>
      <c r="H325" s="36">
        <f t="shared" si="12"/>
        <v>17146.558799999999</v>
      </c>
      <c r="I325" s="37">
        <f t="shared" si="13"/>
        <v>17146.558799999999</v>
      </c>
      <c r="J325" s="4"/>
      <c r="K325" s="38">
        <f t="shared" si="14"/>
        <v>0</v>
      </c>
    </row>
    <row r="326" spans="1:11">
      <c r="A326" t="s">
        <v>4101</v>
      </c>
      <c r="B326" t="s">
        <v>16</v>
      </c>
      <c r="C326" t="s">
        <v>6912</v>
      </c>
      <c r="D326" t="s">
        <v>9560</v>
      </c>
      <c r="E326">
        <v>23958.79</v>
      </c>
      <c r="G326" s="35"/>
      <c r="H326" s="36">
        <f t="shared" si="12"/>
        <v>15094.037700000001</v>
      </c>
      <c r="I326" s="37">
        <f t="shared" si="13"/>
        <v>15094.037700000001</v>
      </c>
      <c r="J326" s="4"/>
      <c r="K326" s="38">
        <f t="shared" si="14"/>
        <v>0</v>
      </c>
    </row>
    <row r="327" spans="1:11">
      <c r="A327" t="s">
        <v>4102</v>
      </c>
      <c r="B327" t="s">
        <v>16</v>
      </c>
      <c r="C327" t="s">
        <v>6912</v>
      </c>
      <c r="D327" t="s">
        <v>9561</v>
      </c>
      <c r="E327">
        <v>7844.01</v>
      </c>
      <c r="G327" s="35"/>
      <c r="H327" s="36">
        <f t="shared" ref="H327:H390" si="15">+E327*$H$1*(1-G327)</f>
        <v>4941.7263000000003</v>
      </c>
      <c r="I327" s="37">
        <f t="shared" ref="I327:I390" si="16">H327*$H$4</f>
        <v>4941.7263000000003</v>
      </c>
      <c r="J327" s="4"/>
      <c r="K327" s="38">
        <f t="shared" ref="K327:K390" si="17">J327*I327</f>
        <v>0</v>
      </c>
    </row>
    <row r="328" spans="1:11">
      <c r="A328" t="s">
        <v>4103</v>
      </c>
      <c r="B328" t="s">
        <v>16</v>
      </c>
      <c r="C328" t="s">
        <v>6912</v>
      </c>
      <c r="D328" t="s">
        <v>9562</v>
      </c>
      <c r="E328">
        <v>11765.95</v>
      </c>
      <c r="G328" s="35"/>
      <c r="H328" s="36">
        <f t="shared" si="15"/>
        <v>7412.5485000000008</v>
      </c>
      <c r="I328" s="37">
        <f t="shared" si="16"/>
        <v>7412.5485000000008</v>
      </c>
      <c r="J328" s="4"/>
      <c r="K328" s="38">
        <f t="shared" si="17"/>
        <v>0</v>
      </c>
    </row>
    <row r="329" spans="1:11">
      <c r="A329" t="s">
        <v>4104</v>
      </c>
      <c r="B329" t="s">
        <v>16</v>
      </c>
      <c r="C329" t="s">
        <v>6912</v>
      </c>
      <c r="D329" t="s">
        <v>9563</v>
      </c>
      <c r="E329">
        <v>8368.7800000000007</v>
      </c>
      <c r="G329" s="35"/>
      <c r="H329" s="36">
        <f t="shared" si="15"/>
        <v>5272.3314</v>
      </c>
      <c r="I329" s="37">
        <f t="shared" si="16"/>
        <v>5272.3314</v>
      </c>
      <c r="J329" s="4"/>
      <c r="K329" s="38">
        <f t="shared" si="17"/>
        <v>0</v>
      </c>
    </row>
    <row r="330" spans="1:11">
      <c r="A330" t="s">
        <v>4105</v>
      </c>
      <c r="B330" t="s">
        <v>16</v>
      </c>
      <c r="C330" t="s">
        <v>6912</v>
      </c>
      <c r="D330" t="s">
        <v>9564</v>
      </c>
      <c r="E330">
        <v>16093.43</v>
      </c>
      <c r="G330" s="35"/>
      <c r="H330" s="36">
        <f t="shared" si="15"/>
        <v>10138.8609</v>
      </c>
      <c r="I330" s="37">
        <f t="shared" si="16"/>
        <v>10138.8609</v>
      </c>
      <c r="J330" s="4"/>
      <c r="K330" s="38">
        <f t="shared" si="17"/>
        <v>0</v>
      </c>
    </row>
    <row r="331" spans="1:11">
      <c r="A331" t="s">
        <v>4106</v>
      </c>
      <c r="B331" t="s">
        <v>16</v>
      </c>
      <c r="C331" t="s">
        <v>6912</v>
      </c>
      <c r="D331" t="s">
        <v>9565</v>
      </c>
      <c r="E331">
        <v>18157.05</v>
      </c>
      <c r="G331" s="35"/>
      <c r="H331" s="36">
        <f t="shared" si="15"/>
        <v>11438.941499999999</v>
      </c>
      <c r="I331" s="37">
        <f t="shared" si="16"/>
        <v>11438.941499999999</v>
      </c>
      <c r="J331" s="4"/>
      <c r="K331" s="38">
        <f t="shared" si="17"/>
        <v>0</v>
      </c>
    </row>
    <row r="332" spans="1:11">
      <c r="A332" t="s">
        <v>4107</v>
      </c>
      <c r="B332" t="s">
        <v>16</v>
      </c>
      <c r="C332" t="s">
        <v>6912</v>
      </c>
      <c r="D332" t="s">
        <v>9566</v>
      </c>
      <c r="E332">
        <v>10105.280000000001</v>
      </c>
      <c r="G332" s="35"/>
      <c r="H332" s="36">
        <f t="shared" si="15"/>
        <v>6366.3264000000008</v>
      </c>
      <c r="I332" s="37">
        <f t="shared" si="16"/>
        <v>6366.3264000000008</v>
      </c>
      <c r="J332" s="4"/>
      <c r="K332" s="38">
        <f t="shared" si="17"/>
        <v>0</v>
      </c>
    </row>
    <row r="333" spans="1:11">
      <c r="A333" t="s">
        <v>4108</v>
      </c>
      <c r="B333" t="s">
        <v>16</v>
      </c>
      <c r="C333" t="s">
        <v>6912</v>
      </c>
      <c r="D333" t="s">
        <v>9567</v>
      </c>
      <c r="E333">
        <v>10126.43</v>
      </c>
      <c r="G333" s="35"/>
      <c r="H333" s="36">
        <f t="shared" si="15"/>
        <v>6379.6509000000005</v>
      </c>
      <c r="I333" s="37">
        <f t="shared" si="16"/>
        <v>6379.6509000000005</v>
      </c>
      <c r="J333" s="4"/>
      <c r="K333" s="38">
        <f t="shared" si="17"/>
        <v>0</v>
      </c>
    </row>
    <row r="334" spans="1:11">
      <c r="A334" t="s">
        <v>10065</v>
      </c>
      <c r="B334" t="s">
        <v>16</v>
      </c>
      <c r="C334" t="s">
        <v>6912</v>
      </c>
      <c r="D334" t="s">
        <v>10066</v>
      </c>
      <c r="E334">
        <v>24241.19</v>
      </c>
      <c r="G334" s="35"/>
      <c r="H334" s="36">
        <f t="shared" si="15"/>
        <v>15271.949699999999</v>
      </c>
      <c r="I334" s="37">
        <f t="shared" si="16"/>
        <v>15271.949699999999</v>
      </c>
      <c r="J334" s="4"/>
      <c r="K334" s="38">
        <f t="shared" si="17"/>
        <v>0</v>
      </c>
    </row>
    <row r="335" spans="1:11">
      <c r="A335" t="s">
        <v>10067</v>
      </c>
      <c r="B335" t="s">
        <v>16</v>
      </c>
      <c r="C335" t="s">
        <v>6912</v>
      </c>
      <c r="D335" t="s">
        <v>10068</v>
      </c>
      <c r="E335">
        <v>25492.720000000001</v>
      </c>
      <c r="G335" s="35"/>
      <c r="H335" s="36">
        <f t="shared" si="15"/>
        <v>16060.413600000002</v>
      </c>
      <c r="I335" s="37">
        <f t="shared" si="16"/>
        <v>16060.413600000002</v>
      </c>
      <c r="J335" s="4"/>
      <c r="K335" s="38">
        <f t="shared" si="17"/>
        <v>0</v>
      </c>
    </row>
    <row r="336" spans="1:11">
      <c r="A336" t="s">
        <v>10069</v>
      </c>
      <c r="B336" t="s">
        <v>16</v>
      </c>
      <c r="C336" t="s">
        <v>6912</v>
      </c>
      <c r="D336" t="s">
        <v>10070</v>
      </c>
      <c r="E336">
        <v>6373.07</v>
      </c>
      <c r="G336" s="35"/>
      <c r="H336" s="36">
        <f t="shared" si="15"/>
        <v>4015.0340999999999</v>
      </c>
      <c r="I336" s="37">
        <f t="shared" si="16"/>
        <v>4015.0340999999999</v>
      </c>
      <c r="J336" s="4"/>
      <c r="K336" s="38">
        <f t="shared" si="17"/>
        <v>0</v>
      </c>
    </row>
    <row r="337" spans="1:11">
      <c r="A337" t="s">
        <v>10071</v>
      </c>
      <c r="B337" t="s">
        <v>16</v>
      </c>
      <c r="C337" t="s">
        <v>6912</v>
      </c>
      <c r="D337" t="s">
        <v>10072</v>
      </c>
      <c r="E337">
        <v>19121.23</v>
      </c>
      <c r="G337" s="35"/>
      <c r="H337" s="36">
        <f t="shared" si="15"/>
        <v>12046.374900000001</v>
      </c>
      <c r="I337" s="37">
        <f t="shared" si="16"/>
        <v>12046.374900000001</v>
      </c>
      <c r="J337" s="4"/>
      <c r="K337" s="38">
        <f t="shared" si="17"/>
        <v>0</v>
      </c>
    </row>
    <row r="338" spans="1:11">
      <c r="A338" t="s">
        <v>10073</v>
      </c>
      <c r="B338" t="s">
        <v>16</v>
      </c>
      <c r="C338" t="s">
        <v>6912</v>
      </c>
      <c r="D338" t="s">
        <v>10074</v>
      </c>
      <c r="E338">
        <v>18727.939999999999</v>
      </c>
      <c r="G338" s="35"/>
      <c r="H338" s="36">
        <f t="shared" si="15"/>
        <v>11798.602199999999</v>
      </c>
      <c r="I338" s="37">
        <f t="shared" si="16"/>
        <v>11798.602199999999</v>
      </c>
      <c r="J338" s="4"/>
      <c r="K338" s="38">
        <f t="shared" si="17"/>
        <v>0</v>
      </c>
    </row>
    <row r="339" spans="1:11">
      <c r="A339" t="s">
        <v>11845</v>
      </c>
      <c r="B339" t="s">
        <v>16</v>
      </c>
      <c r="C339" t="s">
        <v>6912</v>
      </c>
      <c r="D339" t="s">
        <v>11846</v>
      </c>
      <c r="E339">
        <v>18944.28</v>
      </c>
      <c r="G339" s="35"/>
      <c r="H339" s="36">
        <f t="shared" si="15"/>
        <v>11934.8964</v>
      </c>
      <c r="I339" s="37">
        <f t="shared" si="16"/>
        <v>11934.8964</v>
      </c>
      <c r="J339" s="4"/>
      <c r="K339" s="38">
        <f t="shared" si="17"/>
        <v>0</v>
      </c>
    </row>
    <row r="340" spans="1:11">
      <c r="A340" t="s">
        <v>1453</v>
      </c>
      <c r="B340" t="s">
        <v>16</v>
      </c>
      <c r="C340" t="s">
        <v>7036</v>
      </c>
      <c r="D340" t="s">
        <v>7037</v>
      </c>
      <c r="E340">
        <v>683.9</v>
      </c>
      <c r="G340" s="35"/>
      <c r="H340" s="36">
        <f t="shared" si="15"/>
        <v>430.85699999999997</v>
      </c>
      <c r="I340" s="37">
        <f t="shared" si="16"/>
        <v>430.85699999999997</v>
      </c>
      <c r="J340" s="4"/>
      <c r="K340" s="38">
        <f t="shared" si="17"/>
        <v>0</v>
      </c>
    </row>
    <row r="341" spans="1:11">
      <c r="A341" t="s">
        <v>1454</v>
      </c>
      <c r="B341" t="s">
        <v>16</v>
      </c>
      <c r="C341" t="s">
        <v>7036</v>
      </c>
      <c r="D341" t="s">
        <v>7038</v>
      </c>
      <c r="E341">
        <v>1922.32</v>
      </c>
      <c r="G341" s="35"/>
      <c r="H341" s="36">
        <f t="shared" si="15"/>
        <v>1211.0616</v>
      </c>
      <c r="I341" s="37">
        <f t="shared" si="16"/>
        <v>1211.0616</v>
      </c>
      <c r="J341" s="4"/>
      <c r="K341" s="38">
        <f t="shared" si="17"/>
        <v>0</v>
      </c>
    </row>
    <row r="342" spans="1:11">
      <c r="A342" t="s">
        <v>1455</v>
      </c>
      <c r="B342" t="s">
        <v>16</v>
      </c>
      <c r="C342" t="s">
        <v>7036</v>
      </c>
      <c r="D342" t="s">
        <v>7039</v>
      </c>
      <c r="E342">
        <v>1122.45</v>
      </c>
      <c r="G342" s="35"/>
      <c r="H342" s="36">
        <f t="shared" si="15"/>
        <v>707.14350000000002</v>
      </c>
      <c r="I342" s="37">
        <f t="shared" si="16"/>
        <v>707.14350000000002</v>
      </c>
      <c r="J342" s="4"/>
      <c r="K342" s="38">
        <f t="shared" si="17"/>
        <v>0</v>
      </c>
    </row>
    <row r="343" spans="1:11">
      <c r="A343" t="s">
        <v>1456</v>
      </c>
      <c r="B343" t="s">
        <v>16</v>
      </c>
      <c r="C343" t="s">
        <v>7036</v>
      </c>
      <c r="D343" t="s">
        <v>7040</v>
      </c>
      <c r="E343">
        <v>2024.29</v>
      </c>
      <c r="G343" s="35"/>
      <c r="H343" s="36">
        <f t="shared" si="15"/>
        <v>1275.3027</v>
      </c>
      <c r="I343" s="37">
        <f t="shared" si="16"/>
        <v>1275.3027</v>
      </c>
      <c r="J343" s="4"/>
      <c r="K343" s="38">
        <f t="shared" si="17"/>
        <v>0</v>
      </c>
    </row>
    <row r="344" spans="1:11">
      <c r="A344" t="s">
        <v>1457</v>
      </c>
      <c r="B344" t="s">
        <v>16</v>
      </c>
      <c r="C344" t="s">
        <v>7036</v>
      </c>
      <c r="D344" t="s">
        <v>7041</v>
      </c>
      <c r="E344">
        <v>2746.21</v>
      </c>
      <c r="G344" s="35"/>
      <c r="H344" s="36">
        <f t="shared" si="15"/>
        <v>1730.1123</v>
      </c>
      <c r="I344" s="37">
        <f t="shared" si="16"/>
        <v>1730.1123</v>
      </c>
      <c r="J344" s="4"/>
      <c r="K344" s="38">
        <f t="shared" si="17"/>
        <v>0</v>
      </c>
    </row>
    <row r="345" spans="1:11">
      <c r="A345" t="s">
        <v>1458</v>
      </c>
      <c r="B345" t="s">
        <v>16</v>
      </c>
      <c r="C345" t="s">
        <v>7036</v>
      </c>
      <c r="D345" t="s">
        <v>7042</v>
      </c>
      <c r="E345">
        <v>101.09</v>
      </c>
      <c r="G345" s="35"/>
      <c r="H345" s="36">
        <f t="shared" si="15"/>
        <v>63.686700000000002</v>
      </c>
      <c r="I345" s="37">
        <f t="shared" si="16"/>
        <v>63.686700000000002</v>
      </c>
      <c r="J345" s="4"/>
      <c r="K345" s="38">
        <f t="shared" si="17"/>
        <v>0</v>
      </c>
    </row>
    <row r="346" spans="1:11">
      <c r="A346" t="s">
        <v>1459</v>
      </c>
      <c r="B346" t="s">
        <v>16</v>
      </c>
      <c r="C346" t="s">
        <v>7036</v>
      </c>
      <c r="D346" t="s">
        <v>7043</v>
      </c>
      <c r="E346">
        <v>134.26</v>
      </c>
      <c r="G346" s="35"/>
      <c r="H346" s="36">
        <f t="shared" si="15"/>
        <v>84.583799999999997</v>
      </c>
      <c r="I346" s="37">
        <f t="shared" si="16"/>
        <v>84.583799999999997</v>
      </c>
      <c r="J346" s="4"/>
      <c r="K346" s="38">
        <f t="shared" si="17"/>
        <v>0</v>
      </c>
    </row>
    <row r="347" spans="1:11">
      <c r="A347" t="s">
        <v>1460</v>
      </c>
      <c r="B347" t="s">
        <v>16</v>
      </c>
      <c r="C347" t="s">
        <v>7036</v>
      </c>
      <c r="D347" t="s">
        <v>7044</v>
      </c>
      <c r="E347">
        <v>50.37</v>
      </c>
      <c r="G347" s="35"/>
      <c r="H347" s="36">
        <f t="shared" si="15"/>
        <v>31.7331</v>
      </c>
      <c r="I347" s="37">
        <f t="shared" si="16"/>
        <v>31.7331</v>
      </c>
      <c r="J347" s="4"/>
      <c r="K347" s="38">
        <f t="shared" si="17"/>
        <v>0</v>
      </c>
    </row>
    <row r="348" spans="1:11">
      <c r="A348" t="s">
        <v>1461</v>
      </c>
      <c r="B348" t="s">
        <v>16</v>
      </c>
      <c r="C348" t="s">
        <v>7036</v>
      </c>
      <c r="D348" t="s">
        <v>7045</v>
      </c>
      <c r="E348">
        <v>55.5</v>
      </c>
      <c r="G348" s="35"/>
      <c r="H348" s="36">
        <f t="shared" si="15"/>
        <v>34.965000000000003</v>
      </c>
      <c r="I348" s="37">
        <f t="shared" si="16"/>
        <v>34.965000000000003</v>
      </c>
      <c r="J348" s="4"/>
      <c r="K348" s="38">
        <f t="shared" si="17"/>
        <v>0</v>
      </c>
    </row>
    <row r="349" spans="1:11">
      <c r="A349" t="s">
        <v>1462</v>
      </c>
      <c r="B349" t="s">
        <v>16</v>
      </c>
      <c r="C349" t="s">
        <v>7036</v>
      </c>
      <c r="D349" t="s">
        <v>7046</v>
      </c>
      <c r="E349">
        <v>1251.74</v>
      </c>
      <c r="G349" s="35"/>
      <c r="H349" s="36">
        <f t="shared" si="15"/>
        <v>788.59620000000007</v>
      </c>
      <c r="I349" s="37">
        <f t="shared" si="16"/>
        <v>788.59620000000007</v>
      </c>
      <c r="J349" s="4"/>
      <c r="K349" s="38">
        <f t="shared" si="17"/>
        <v>0</v>
      </c>
    </row>
    <row r="350" spans="1:11">
      <c r="A350" t="s">
        <v>1463</v>
      </c>
      <c r="B350" t="s">
        <v>16</v>
      </c>
      <c r="C350" t="s">
        <v>7036</v>
      </c>
      <c r="D350" t="s">
        <v>7047</v>
      </c>
      <c r="E350">
        <v>1430.65</v>
      </c>
      <c r="G350" s="35"/>
      <c r="H350" s="36">
        <f t="shared" si="15"/>
        <v>901.30950000000007</v>
      </c>
      <c r="I350" s="37">
        <f t="shared" si="16"/>
        <v>901.30950000000007</v>
      </c>
      <c r="J350" s="4"/>
      <c r="K350" s="38">
        <f t="shared" si="17"/>
        <v>0</v>
      </c>
    </row>
    <row r="351" spans="1:11">
      <c r="A351" t="s">
        <v>1464</v>
      </c>
      <c r="B351" t="s">
        <v>16</v>
      </c>
      <c r="C351" t="s">
        <v>7036</v>
      </c>
      <c r="D351" t="s">
        <v>7048</v>
      </c>
      <c r="E351">
        <v>732.02</v>
      </c>
      <c r="G351" s="35"/>
      <c r="H351" s="36">
        <f t="shared" si="15"/>
        <v>461.17259999999999</v>
      </c>
      <c r="I351" s="37">
        <f t="shared" si="16"/>
        <v>461.17259999999999</v>
      </c>
      <c r="J351" s="4"/>
      <c r="K351" s="38">
        <f t="shared" si="17"/>
        <v>0</v>
      </c>
    </row>
    <row r="352" spans="1:11">
      <c r="A352" t="s">
        <v>1527</v>
      </c>
      <c r="B352" t="s">
        <v>16</v>
      </c>
      <c r="C352" t="s">
        <v>7108</v>
      </c>
      <c r="D352" t="s">
        <v>7109</v>
      </c>
      <c r="E352">
        <v>1062.04</v>
      </c>
      <c r="G352" s="35"/>
      <c r="H352" s="36">
        <f t="shared" si="15"/>
        <v>669.08519999999999</v>
      </c>
      <c r="I352" s="37">
        <f t="shared" si="16"/>
        <v>669.08519999999999</v>
      </c>
      <c r="J352" s="4"/>
      <c r="K352" s="38">
        <f t="shared" si="17"/>
        <v>0</v>
      </c>
    </row>
    <row r="353" spans="1:11">
      <c r="A353" t="s">
        <v>1528</v>
      </c>
      <c r="B353" t="s">
        <v>16</v>
      </c>
      <c r="C353" t="s">
        <v>7108</v>
      </c>
      <c r="D353" t="s">
        <v>7110</v>
      </c>
      <c r="E353">
        <v>1166.3399999999999</v>
      </c>
      <c r="G353" s="35"/>
      <c r="H353" s="36">
        <f t="shared" si="15"/>
        <v>734.79419999999993</v>
      </c>
      <c r="I353" s="37">
        <f t="shared" si="16"/>
        <v>734.79419999999993</v>
      </c>
      <c r="J353" s="4"/>
      <c r="K353" s="38">
        <f t="shared" si="17"/>
        <v>0</v>
      </c>
    </row>
    <row r="354" spans="1:11">
      <c r="A354" t="s">
        <v>1529</v>
      </c>
      <c r="B354" t="s">
        <v>16</v>
      </c>
      <c r="C354" t="s">
        <v>7108</v>
      </c>
      <c r="D354" t="s">
        <v>7111</v>
      </c>
      <c r="E354">
        <v>1548.93</v>
      </c>
      <c r="G354" s="35"/>
      <c r="H354" s="36">
        <f t="shared" si="15"/>
        <v>975.82590000000005</v>
      </c>
      <c r="I354" s="37">
        <f t="shared" si="16"/>
        <v>975.82590000000005</v>
      </c>
      <c r="J354" s="4"/>
      <c r="K354" s="38">
        <f t="shared" si="17"/>
        <v>0</v>
      </c>
    </row>
    <row r="355" spans="1:11">
      <c r="A355" t="s">
        <v>1530</v>
      </c>
      <c r="B355" t="s">
        <v>16</v>
      </c>
      <c r="C355" t="s">
        <v>7108</v>
      </c>
      <c r="D355" t="s">
        <v>7112</v>
      </c>
      <c r="E355">
        <v>3446.03</v>
      </c>
      <c r="G355" s="35"/>
      <c r="H355" s="36">
        <f t="shared" si="15"/>
        <v>2170.9989</v>
      </c>
      <c r="I355" s="37">
        <f t="shared" si="16"/>
        <v>2170.9989</v>
      </c>
      <c r="J355" s="4"/>
      <c r="K355" s="38">
        <f t="shared" si="17"/>
        <v>0</v>
      </c>
    </row>
    <row r="356" spans="1:11">
      <c r="A356" t="s">
        <v>1531</v>
      </c>
      <c r="B356" t="s">
        <v>16</v>
      </c>
      <c r="C356" t="s">
        <v>7108</v>
      </c>
      <c r="D356" t="s">
        <v>7113</v>
      </c>
      <c r="E356">
        <v>1274.55</v>
      </c>
      <c r="G356" s="35"/>
      <c r="H356" s="36">
        <f t="shared" si="15"/>
        <v>802.9665</v>
      </c>
      <c r="I356" s="37">
        <f t="shared" si="16"/>
        <v>802.9665</v>
      </c>
      <c r="J356" s="4"/>
      <c r="K356" s="38">
        <f t="shared" si="17"/>
        <v>0</v>
      </c>
    </row>
    <row r="357" spans="1:11">
      <c r="A357" t="s">
        <v>1532</v>
      </c>
      <c r="B357" t="s">
        <v>16</v>
      </c>
      <c r="C357" t="s">
        <v>7108</v>
      </c>
      <c r="D357" t="s">
        <v>7114</v>
      </c>
      <c r="E357">
        <v>1399.31</v>
      </c>
      <c r="G357" s="35"/>
      <c r="H357" s="36">
        <f t="shared" si="15"/>
        <v>881.56529999999998</v>
      </c>
      <c r="I357" s="37">
        <f t="shared" si="16"/>
        <v>881.56529999999998</v>
      </c>
      <c r="J357" s="4"/>
      <c r="K357" s="38">
        <f t="shared" si="17"/>
        <v>0</v>
      </c>
    </row>
    <row r="358" spans="1:11">
      <c r="A358" t="s">
        <v>1533</v>
      </c>
      <c r="B358" t="s">
        <v>16</v>
      </c>
      <c r="C358" t="s">
        <v>7108</v>
      </c>
      <c r="D358" t="s">
        <v>7115</v>
      </c>
      <c r="E358">
        <v>1858.88</v>
      </c>
      <c r="G358" s="35"/>
      <c r="H358" s="36">
        <f t="shared" si="15"/>
        <v>1171.0944000000002</v>
      </c>
      <c r="I358" s="37">
        <f t="shared" si="16"/>
        <v>1171.0944000000002</v>
      </c>
      <c r="J358" s="4"/>
      <c r="K358" s="38">
        <f t="shared" si="17"/>
        <v>0</v>
      </c>
    </row>
    <row r="359" spans="1:11">
      <c r="A359" t="s">
        <v>1534</v>
      </c>
      <c r="B359" t="s">
        <v>16</v>
      </c>
      <c r="C359" t="s">
        <v>7108</v>
      </c>
      <c r="D359" t="s">
        <v>7116</v>
      </c>
      <c r="E359">
        <v>3803.77</v>
      </c>
      <c r="G359" s="35"/>
      <c r="H359" s="36">
        <f t="shared" si="15"/>
        <v>2396.3751000000002</v>
      </c>
      <c r="I359" s="37">
        <f t="shared" si="16"/>
        <v>2396.3751000000002</v>
      </c>
      <c r="J359" s="4"/>
      <c r="K359" s="38">
        <f t="shared" si="17"/>
        <v>0</v>
      </c>
    </row>
    <row r="360" spans="1:11">
      <c r="A360" t="s">
        <v>1535</v>
      </c>
      <c r="B360" t="s">
        <v>16</v>
      </c>
      <c r="C360" t="s">
        <v>7108</v>
      </c>
      <c r="D360" t="s">
        <v>7117</v>
      </c>
      <c r="E360">
        <v>1036.77</v>
      </c>
      <c r="G360" s="35"/>
      <c r="H360" s="36">
        <f t="shared" si="15"/>
        <v>653.16509999999994</v>
      </c>
      <c r="I360" s="37">
        <f t="shared" si="16"/>
        <v>653.16509999999994</v>
      </c>
      <c r="J360" s="4"/>
      <c r="K360" s="38">
        <f t="shared" si="17"/>
        <v>0</v>
      </c>
    </row>
    <row r="361" spans="1:11">
      <c r="A361" t="s">
        <v>1536</v>
      </c>
      <c r="B361" t="s">
        <v>16</v>
      </c>
      <c r="C361" t="s">
        <v>7108</v>
      </c>
      <c r="D361" t="s">
        <v>7118</v>
      </c>
      <c r="E361">
        <v>1220.4100000000001</v>
      </c>
      <c r="G361" s="35"/>
      <c r="H361" s="36">
        <f t="shared" si="15"/>
        <v>768.8583000000001</v>
      </c>
      <c r="I361" s="37">
        <f t="shared" si="16"/>
        <v>768.8583000000001</v>
      </c>
      <c r="J361" s="4"/>
      <c r="K361" s="38">
        <f t="shared" si="17"/>
        <v>0</v>
      </c>
    </row>
    <row r="362" spans="1:11">
      <c r="A362" t="s">
        <v>1537</v>
      </c>
      <c r="B362" t="s">
        <v>16</v>
      </c>
      <c r="C362" t="s">
        <v>7108</v>
      </c>
      <c r="D362" t="s">
        <v>7119</v>
      </c>
      <c r="E362">
        <v>1338.68</v>
      </c>
      <c r="G362" s="35"/>
      <c r="H362" s="36">
        <f t="shared" si="15"/>
        <v>843.36840000000007</v>
      </c>
      <c r="I362" s="37">
        <f t="shared" si="16"/>
        <v>843.36840000000007</v>
      </c>
      <c r="J362" s="4"/>
      <c r="K362" s="38">
        <f t="shared" si="17"/>
        <v>0</v>
      </c>
    </row>
    <row r="363" spans="1:11">
      <c r="A363" t="s">
        <v>1538</v>
      </c>
      <c r="B363" t="s">
        <v>16</v>
      </c>
      <c r="C363" t="s">
        <v>7108</v>
      </c>
      <c r="D363" t="s">
        <v>7120</v>
      </c>
      <c r="E363">
        <v>1779.47</v>
      </c>
      <c r="G363" s="35"/>
      <c r="H363" s="36">
        <f t="shared" si="15"/>
        <v>1121.0661</v>
      </c>
      <c r="I363" s="37">
        <f t="shared" si="16"/>
        <v>1121.0661</v>
      </c>
      <c r="J363" s="4"/>
      <c r="K363" s="38">
        <f t="shared" si="17"/>
        <v>0</v>
      </c>
    </row>
    <row r="364" spans="1:11">
      <c r="A364" t="s">
        <v>1539</v>
      </c>
      <c r="B364" t="s">
        <v>16</v>
      </c>
      <c r="C364" t="s">
        <v>7108</v>
      </c>
      <c r="D364" t="s">
        <v>7121</v>
      </c>
      <c r="E364">
        <v>3960.26</v>
      </c>
      <c r="G364" s="35"/>
      <c r="H364" s="36">
        <f t="shared" si="15"/>
        <v>2494.9638</v>
      </c>
      <c r="I364" s="37">
        <f t="shared" si="16"/>
        <v>2494.9638</v>
      </c>
      <c r="J364" s="4"/>
      <c r="K364" s="38">
        <f t="shared" si="17"/>
        <v>0</v>
      </c>
    </row>
    <row r="365" spans="1:11">
      <c r="A365" t="s">
        <v>1540</v>
      </c>
      <c r="B365" t="s">
        <v>16</v>
      </c>
      <c r="C365" t="s">
        <v>7108</v>
      </c>
      <c r="D365" t="s">
        <v>7122</v>
      </c>
      <c r="E365">
        <v>18628.78</v>
      </c>
      <c r="G365" s="35"/>
      <c r="H365" s="36">
        <f t="shared" si="15"/>
        <v>11736.1314</v>
      </c>
      <c r="I365" s="37">
        <f t="shared" si="16"/>
        <v>11736.1314</v>
      </c>
      <c r="J365" s="4"/>
      <c r="K365" s="38">
        <f t="shared" si="17"/>
        <v>0</v>
      </c>
    </row>
    <row r="366" spans="1:11">
      <c r="A366" t="s">
        <v>1541</v>
      </c>
      <c r="B366" t="s">
        <v>16</v>
      </c>
      <c r="C366" t="s">
        <v>7108</v>
      </c>
      <c r="D366" t="s">
        <v>7123</v>
      </c>
      <c r="E366">
        <v>18628.78</v>
      </c>
      <c r="G366" s="35"/>
      <c r="H366" s="36">
        <f t="shared" si="15"/>
        <v>11736.1314</v>
      </c>
      <c r="I366" s="37">
        <f t="shared" si="16"/>
        <v>11736.1314</v>
      </c>
      <c r="J366" s="4"/>
      <c r="K366" s="38">
        <f t="shared" si="17"/>
        <v>0</v>
      </c>
    </row>
    <row r="367" spans="1:11">
      <c r="A367" t="s">
        <v>1542</v>
      </c>
      <c r="B367" t="s">
        <v>16</v>
      </c>
      <c r="C367" t="s">
        <v>7108</v>
      </c>
      <c r="D367" t="s">
        <v>7124</v>
      </c>
      <c r="E367">
        <v>21422.97</v>
      </c>
      <c r="G367" s="35"/>
      <c r="H367" s="36">
        <f t="shared" si="15"/>
        <v>13496.471100000001</v>
      </c>
      <c r="I367" s="37">
        <f t="shared" si="16"/>
        <v>13496.471100000001</v>
      </c>
      <c r="J367" s="4"/>
      <c r="K367" s="38">
        <f t="shared" si="17"/>
        <v>0</v>
      </c>
    </row>
    <row r="368" spans="1:11">
      <c r="A368" t="s">
        <v>1615</v>
      </c>
      <c r="B368" t="s">
        <v>16</v>
      </c>
      <c r="C368" t="s">
        <v>7200</v>
      </c>
      <c r="D368" t="s">
        <v>7201</v>
      </c>
      <c r="E368">
        <v>1446.86</v>
      </c>
      <c r="G368" s="35"/>
      <c r="H368" s="36">
        <f t="shared" si="15"/>
        <v>911.52179999999998</v>
      </c>
      <c r="I368" s="37">
        <f t="shared" si="16"/>
        <v>911.52179999999998</v>
      </c>
      <c r="J368" s="4"/>
      <c r="K368" s="38">
        <f t="shared" si="17"/>
        <v>0</v>
      </c>
    </row>
    <row r="369" spans="1:11">
      <c r="A369" t="s">
        <v>1616</v>
      </c>
      <c r="B369" t="s">
        <v>16</v>
      </c>
      <c r="C369" t="s">
        <v>7200</v>
      </c>
      <c r="D369" t="s">
        <v>7202</v>
      </c>
      <c r="E369">
        <v>1525.68</v>
      </c>
      <c r="G369" s="35"/>
      <c r="H369" s="36">
        <f t="shared" si="15"/>
        <v>961.17840000000001</v>
      </c>
      <c r="I369" s="37">
        <f t="shared" si="16"/>
        <v>961.17840000000001</v>
      </c>
      <c r="J369" s="4"/>
      <c r="K369" s="38">
        <f t="shared" si="17"/>
        <v>0</v>
      </c>
    </row>
    <row r="370" spans="1:11">
      <c r="A370" t="s">
        <v>1617</v>
      </c>
      <c r="B370" t="s">
        <v>16</v>
      </c>
      <c r="C370" t="s">
        <v>7200</v>
      </c>
      <c r="D370" t="s">
        <v>7203</v>
      </c>
      <c r="E370">
        <v>1755.68</v>
      </c>
      <c r="G370" s="35"/>
      <c r="H370" s="36">
        <f t="shared" si="15"/>
        <v>1106.0784000000001</v>
      </c>
      <c r="I370" s="37">
        <f t="shared" si="16"/>
        <v>1106.0784000000001</v>
      </c>
      <c r="J370" s="4"/>
      <c r="K370" s="38">
        <f t="shared" si="17"/>
        <v>0</v>
      </c>
    </row>
    <row r="371" spans="1:11">
      <c r="A371" t="s">
        <v>1618</v>
      </c>
      <c r="B371" t="s">
        <v>16</v>
      </c>
      <c r="C371" t="s">
        <v>7200</v>
      </c>
      <c r="D371" t="s">
        <v>7204</v>
      </c>
      <c r="E371">
        <v>2219.58</v>
      </c>
      <c r="G371" s="35"/>
      <c r="H371" s="36">
        <f t="shared" si="15"/>
        <v>1398.3353999999999</v>
      </c>
      <c r="I371" s="37">
        <f t="shared" si="16"/>
        <v>1398.3353999999999</v>
      </c>
      <c r="J371" s="4"/>
      <c r="K371" s="38">
        <f t="shared" si="17"/>
        <v>0</v>
      </c>
    </row>
    <row r="372" spans="1:11">
      <c r="A372" t="s">
        <v>1619</v>
      </c>
      <c r="B372" t="s">
        <v>16</v>
      </c>
      <c r="C372" t="s">
        <v>7200</v>
      </c>
      <c r="D372" t="s">
        <v>7205</v>
      </c>
      <c r="E372">
        <v>2974.63</v>
      </c>
      <c r="G372" s="35"/>
      <c r="H372" s="36">
        <f t="shared" si="15"/>
        <v>1874.0169000000001</v>
      </c>
      <c r="I372" s="37">
        <f t="shared" si="16"/>
        <v>1874.0169000000001</v>
      </c>
      <c r="J372" s="4"/>
      <c r="K372" s="38">
        <f t="shared" si="17"/>
        <v>0</v>
      </c>
    </row>
    <row r="373" spans="1:11">
      <c r="A373" t="s">
        <v>1620</v>
      </c>
      <c r="B373" t="s">
        <v>16</v>
      </c>
      <c r="C373" t="s">
        <v>7200</v>
      </c>
      <c r="D373" t="s">
        <v>7206</v>
      </c>
      <c r="E373">
        <v>8065.45</v>
      </c>
      <c r="G373" s="35"/>
      <c r="H373" s="36">
        <f t="shared" si="15"/>
        <v>5081.2335000000003</v>
      </c>
      <c r="I373" s="37">
        <f t="shared" si="16"/>
        <v>5081.2335000000003</v>
      </c>
      <c r="J373" s="4"/>
      <c r="K373" s="38">
        <f t="shared" si="17"/>
        <v>0</v>
      </c>
    </row>
    <row r="374" spans="1:11">
      <c r="A374" t="s">
        <v>1621</v>
      </c>
      <c r="B374" t="s">
        <v>16</v>
      </c>
      <c r="C374" t="s">
        <v>7200</v>
      </c>
      <c r="D374" t="s">
        <v>7207</v>
      </c>
      <c r="E374">
        <v>2974.63</v>
      </c>
      <c r="G374" s="35"/>
      <c r="H374" s="36">
        <f t="shared" si="15"/>
        <v>1874.0169000000001</v>
      </c>
      <c r="I374" s="37">
        <f t="shared" si="16"/>
        <v>1874.0169000000001</v>
      </c>
      <c r="J374" s="4"/>
      <c r="K374" s="38">
        <f t="shared" si="17"/>
        <v>0</v>
      </c>
    </row>
    <row r="375" spans="1:11">
      <c r="A375" t="s">
        <v>11184</v>
      </c>
      <c r="B375" t="s">
        <v>16</v>
      </c>
      <c r="C375" t="s">
        <v>7200</v>
      </c>
      <c r="D375" t="s">
        <v>11185</v>
      </c>
      <c r="E375">
        <v>1245.1500000000001</v>
      </c>
      <c r="G375" s="35"/>
      <c r="H375" s="36">
        <f t="shared" si="15"/>
        <v>784.44450000000006</v>
      </c>
      <c r="I375" s="37">
        <f t="shared" si="16"/>
        <v>784.44450000000006</v>
      </c>
      <c r="J375" s="4"/>
      <c r="K375" s="38">
        <f t="shared" si="17"/>
        <v>0</v>
      </c>
    </row>
    <row r="376" spans="1:11">
      <c r="A376" t="s">
        <v>11186</v>
      </c>
      <c r="B376" t="s">
        <v>16</v>
      </c>
      <c r="C376" t="s">
        <v>7200</v>
      </c>
      <c r="D376" t="s">
        <v>11187</v>
      </c>
      <c r="E376">
        <v>2907.79</v>
      </c>
      <c r="G376" s="35"/>
      <c r="H376" s="36">
        <f t="shared" si="15"/>
        <v>1831.9077</v>
      </c>
      <c r="I376" s="37">
        <f t="shared" si="16"/>
        <v>1831.9077</v>
      </c>
      <c r="J376" s="4"/>
      <c r="K376" s="38">
        <f t="shared" si="17"/>
        <v>0</v>
      </c>
    </row>
    <row r="377" spans="1:11">
      <c r="A377" t="s">
        <v>11188</v>
      </c>
      <c r="B377" t="s">
        <v>16</v>
      </c>
      <c r="C377" t="s">
        <v>7200</v>
      </c>
      <c r="D377" t="s">
        <v>11189</v>
      </c>
      <c r="E377">
        <v>4933.43</v>
      </c>
      <c r="G377" s="35"/>
      <c r="H377" s="36">
        <f t="shared" si="15"/>
        <v>3108.0609000000004</v>
      </c>
      <c r="I377" s="37">
        <f t="shared" si="16"/>
        <v>3108.0609000000004</v>
      </c>
      <c r="J377" s="4"/>
      <c r="K377" s="38">
        <f t="shared" si="17"/>
        <v>0</v>
      </c>
    </row>
    <row r="378" spans="1:11">
      <c r="A378" t="s">
        <v>11190</v>
      </c>
      <c r="B378" t="s">
        <v>16</v>
      </c>
      <c r="C378" t="s">
        <v>7200</v>
      </c>
      <c r="D378" t="s">
        <v>11191</v>
      </c>
      <c r="E378">
        <v>699.38</v>
      </c>
      <c r="G378" s="35"/>
      <c r="H378" s="36">
        <f t="shared" si="15"/>
        <v>440.60939999999999</v>
      </c>
      <c r="I378" s="37">
        <f t="shared" si="16"/>
        <v>440.60939999999999</v>
      </c>
      <c r="J378" s="4"/>
      <c r="K378" s="38">
        <f t="shared" si="17"/>
        <v>0</v>
      </c>
    </row>
    <row r="379" spans="1:11">
      <c r="A379" t="s">
        <v>1622</v>
      </c>
      <c r="B379" t="s">
        <v>16</v>
      </c>
      <c r="C379" t="s">
        <v>7200</v>
      </c>
      <c r="D379" t="s">
        <v>7208</v>
      </c>
      <c r="E379">
        <v>815.01</v>
      </c>
      <c r="G379" s="35"/>
      <c r="H379" s="36">
        <f t="shared" si="15"/>
        <v>513.45629999999994</v>
      </c>
      <c r="I379" s="37">
        <f t="shared" si="16"/>
        <v>513.45629999999994</v>
      </c>
      <c r="J379" s="4"/>
      <c r="K379" s="38">
        <f t="shared" si="17"/>
        <v>0</v>
      </c>
    </row>
    <row r="380" spans="1:11">
      <c r="A380" t="s">
        <v>11192</v>
      </c>
      <c r="B380" t="s">
        <v>16</v>
      </c>
      <c r="C380" t="s">
        <v>7200</v>
      </c>
      <c r="D380" t="s">
        <v>11193</v>
      </c>
      <c r="E380">
        <v>1118.8499999999999</v>
      </c>
      <c r="G380" s="35"/>
      <c r="H380" s="36">
        <f t="shared" si="15"/>
        <v>704.87549999999999</v>
      </c>
      <c r="I380" s="37">
        <f t="shared" si="16"/>
        <v>704.87549999999999</v>
      </c>
      <c r="J380" s="4"/>
      <c r="K380" s="38">
        <f t="shared" si="17"/>
        <v>0</v>
      </c>
    </row>
    <row r="381" spans="1:11">
      <c r="A381" t="s">
        <v>12601</v>
      </c>
      <c r="B381" t="s">
        <v>16</v>
      </c>
      <c r="C381" t="s">
        <v>7200</v>
      </c>
      <c r="D381" t="s">
        <v>12602</v>
      </c>
      <c r="E381">
        <v>573.95000000000005</v>
      </c>
      <c r="G381" s="35"/>
      <c r="H381" s="36">
        <f t="shared" si="15"/>
        <v>361.58850000000001</v>
      </c>
      <c r="I381" s="37">
        <f t="shared" si="16"/>
        <v>361.58850000000001</v>
      </c>
      <c r="J381" s="4"/>
      <c r="K381" s="38">
        <f t="shared" si="17"/>
        <v>0</v>
      </c>
    </row>
    <row r="382" spans="1:11">
      <c r="A382" t="s">
        <v>11874</v>
      </c>
      <c r="B382" t="s">
        <v>16</v>
      </c>
      <c r="C382" t="s">
        <v>7200</v>
      </c>
      <c r="D382" t="s">
        <v>11892</v>
      </c>
      <c r="E382">
        <v>366.63</v>
      </c>
      <c r="G382" s="35"/>
      <c r="H382" s="36">
        <f t="shared" si="15"/>
        <v>230.9769</v>
      </c>
      <c r="I382" s="37">
        <f t="shared" si="16"/>
        <v>230.9769</v>
      </c>
      <c r="J382" s="4"/>
      <c r="K382" s="38">
        <f t="shared" si="17"/>
        <v>0</v>
      </c>
    </row>
    <row r="383" spans="1:11">
      <c r="A383" t="s">
        <v>11875</v>
      </c>
      <c r="B383" t="s">
        <v>16</v>
      </c>
      <c r="C383" t="s">
        <v>7200</v>
      </c>
      <c r="D383" t="s">
        <v>11893</v>
      </c>
      <c r="E383">
        <v>366.63</v>
      </c>
      <c r="G383" s="35"/>
      <c r="H383" s="36">
        <f t="shared" si="15"/>
        <v>230.9769</v>
      </c>
      <c r="I383" s="37">
        <f t="shared" si="16"/>
        <v>230.9769</v>
      </c>
      <c r="J383" s="4"/>
      <c r="K383" s="38">
        <f t="shared" si="17"/>
        <v>0</v>
      </c>
    </row>
    <row r="384" spans="1:11">
      <c r="A384" t="s">
        <v>11876</v>
      </c>
      <c r="B384" t="s">
        <v>16</v>
      </c>
      <c r="C384" t="s">
        <v>7200</v>
      </c>
      <c r="D384" t="s">
        <v>11894</v>
      </c>
      <c r="E384">
        <v>451.24</v>
      </c>
      <c r="G384" s="35"/>
      <c r="H384" s="36">
        <f t="shared" si="15"/>
        <v>284.28120000000001</v>
      </c>
      <c r="I384" s="37">
        <f t="shared" si="16"/>
        <v>284.28120000000001</v>
      </c>
      <c r="J384" s="4"/>
      <c r="K384" s="38">
        <f t="shared" si="17"/>
        <v>0</v>
      </c>
    </row>
    <row r="385" spans="1:11">
      <c r="A385" t="s">
        <v>2619</v>
      </c>
      <c r="B385" t="s">
        <v>16</v>
      </c>
      <c r="C385" t="s">
        <v>8148</v>
      </c>
      <c r="D385" t="s">
        <v>6371</v>
      </c>
      <c r="E385">
        <v>2073.84</v>
      </c>
      <c r="G385" s="35"/>
      <c r="H385" s="36">
        <f t="shared" si="15"/>
        <v>1306.5192000000002</v>
      </c>
      <c r="I385" s="37">
        <f t="shared" si="16"/>
        <v>1306.5192000000002</v>
      </c>
      <c r="J385" s="4"/>
      <c r="K385" s="38">
        <f t="shared" si="17"/>
        <v>0</v>
      </c>
    </row>
    <row r="386" spans="1:11">
      <c r="A386" t="s">
        <v>2620</v>
      </c>
      <c r="B386" t="s">
        <v>16</v>
      </c>
      <c r="C386" t="s">
        <v>8148</v>
      </c>
      <c r="D386" t="s">
        <v>6366</v>
      </c>
      <c r="E386">
        <v>2690.88</v>
      </c>
      <c r="G386" s="35"/>
      <c r="H386" s="36">
        <f t="shared" si="15"/>
        <v>1695.2544</v>
      </c>
      <c r="I386" s="37">
        <f t="shared" si="16"/>
        <v>1695.2544</v>
      </c>
      <c r="J386" s="4"/>
      <c r="K386" s="38">
        <f t="shared" si="17"/>
        <v>0</v>
      </c>
    </row>
    <row r="387" spans="1:11">
      <c r="A387" t="s">
        <v>2621</v>
      </c>
      <c r="B387" t="s">
        <v>16</v>
      </c>
      <c r="C387" t="s">
        <v>8148</v>
      </c>
      <c r="D387" t="s">
        <v>6372</v>
      </c>
      <c r="E387">
        <v>3423.67</v>
      </c>
      <c r="G387" s="35"/>
      <c r="H387" s="36">
        <f t="shared" si="15"/>
        <v>2156.9121</v>
      </c>
      <c r="I387" s="37">
        <f t="shared" si="16"/>
        <v>2156.9121</v>
      </c>
      <c r="J387" s="4"/>
      <c r="K387" s="38">
        <f t="shared" si="17"/>
        <v>0</v>
      </c>
    </row>
    <row r="388" spans="1:11">
      <c r="A388" t="s">
        <v>2622</v>
      </c>
      <c r="B388" t="s">
        <v>16</v>
      </c>
      <c r="C388" t="s">
        <v>8148</v>
      </c>
      <c r="D388" t="s">
        <v>6378</v>
      </c>
      <c r="E388">
        <v>5546.76</v>
      </c>
      <c r="G388" s="35"/>
      <c r="H388" s="36">
        <f t="shared" si="15"/>
        <v>3494.4588000000003</v>
      </c>
      <c r="I388" s="37">
        <f t="shared" si="16"/>
        <v>3494.4588000000003</v>
      </c>
      <c r="J388" s="4"/>
      <c r="K388" s="38">
        <f t="shared" si="17"/>
        <v>0</v>
      </c>
    </row>
    <row r="389" spans="1:11">
      <c r="A389" t="s">
        <v>2623</v>
      </c>
      <c r="B389" t="s">
        <v>16</v>
      </c>
      <c r="C389" t="s">
        <v>8148</v>
      </c>
      <c r="D389" t="s">
        <v>7967</v>
      </c>
      <c r="E389">
        <v>7306</v>
      </c>
      <c r="G389" s="35"/>
      <c r="H389" s="36">
        <f t="shared" si="15"/>
        <v>4602.78</v>
      </c>
      <c r="I389" s="37">
        <f t="shared" si="16"/>
        <v>4602.78</v>
      </c>
      <c r="J389" s="4"/>
      <c r="K389" s="38">
        <f t="shared" si="17"/>
        <v>0</v>
      </c>
    </row>
    <row r="390" spans="1:11">
      <c r="A390" t="s">
        <v>4160</v>
      </c>
      <c r="B390" t="s">
        <v>16</v>
      </c>
      <c r="C390" t="s">
        <v>9618</v>
      </c>
      <c r="D390" t="s">
        <v>9619</v>
      </c>
      <c r="E390">
        <v>48452.27</v>
      </c>
      <c r="G390" s="35"/>
      <c r="H390" s="36">
        <f t="shared" si="15"/>
        <v>30524.930099999998</v>
      </c>
      <c r="I390" s="37">
        <f t="shared" si="16"/>
        <v>30524.930099999998</v>
      </c>
      <c r="J390" s="4"/>
      <c r="K390" s="38">
        <f t="shared" si="17"/>
        <v>0</v>
      </c>
    </row>
    <row r="391" spans="1:11">
      <c r="A391" t="s">
        <v>1629</v>
      </c>
      <c r="B391" t="s">
        <v>16</v>
      </c>
      <c r="C391" t="s">
        <v>7218</v>
      </c>
      <c r="D391" t="s">
        <v>7219</v>
      </c>
      <c r="E391">
        <v>3912.16</v>
      </c>
      <c r="G391" s="35"/>
      <c r="H391" s="36">
        <f t="shared" ref="H391:H454" si="18">+E391*$H$1*(1-G391)</f>
        <v>2464.6608000000001</v>
      </c>
      <c r="I391" s="37">
        <f t="shared" ref="I391:I454" si="19">H391*$H$4</f>
        <v>2464.6608000000001</v>
      </c>
      <c r="J391" s="4"/>
      <c r="K391" s="38">
        <f t="shared" ref="K391:K454" si="20">J391*I391</f>
        <v>0</v>
      </c>
    </row>
    <row r="392" spans="1:11">
      <c r="A392" t="s">
        <v>1630</v>
      </c>
      <c r="B392" t="s">
        <v>16</v>
      </c>
      <c r="C392" t="s">
        <v>7218</v>
      </c>
      <c r="D392" t="s">
        <v>7220</v>
      </c>
      <c r="E392">
        <v>5558.15</v>
      </c>
      <c r="G392" s="35"/>
      <c r="H392" s="36">
        <f t="shared" si="18"/>
        <v>3501.6344999999997</v>
      </c>
      <c r="I392" s="37">
        <f t="shared" si="19"/>
        <v>3501.6344999999997</v>
      </c>
      <c r="J392" s="4"/>
      <c r="K392" s="38">
        <f t="shared" si="20"/>
        <v>0</v>
      </c>
    </row>
    <row r="393" spans="1:11">
      <c r="A393" t="s">
        <v>3998</v>
      </c>
      <c r="B393" t="s">
        <v>16</v>
      </c>
      <c r="C393" t="s">
        <v>9463</v>
      </c>
      <c r="D393" t="s">
        <v>8188</v>
      </c>
      <c r="E393">
        <v>5558.15</v>
      </c>
      <c r="G393" s="35"/>
      <c r="H393" s="36">
        <f t="shared" si="18"/>
        <v>3501.6344999999997</v>
      </c>
      <c r="I393" s="37">
        <f t="shared" si="19"/>
        <v>3501.6344999999997</v>
      </c>
      <c r="J393" s="4"/>
      <c r="K393" s="38">
        <f t="shared" si="20"/>
        <v>0</v>
      </c>
    </row>
    <row r="394" spans="1:11">
      <c r="A394" t="s">
        <v>1631</v>
      </c>
      <c r="B394" t="s">
        <v>16</v>
      </c>
      <c r="C394" t="s">
        <v>7221</v>
      </c>
      <c r="D394" t="s">
        <v>7222</v>
      </c>
      <c r="E394">
        <v>11775.22</v>
      </c>
      <c r="G394" s="35"/>
      <c r="H394" s="36">
        <f t="shared" si="18"/>
        <v>7418.3885999999993</v>
      </c>
      <c r="I394" s="37">
        <f t="shared" si="19"/>
        <v>7418.3885999999993</v>
      </c>
      <c r="J394" s="4"/>
      <c r="K394" s="38">
        <f t="shared" si="20"/>
        <v>0</v>
      </c>
    </row>
    <row r="395" spans="1:11">
      <c r="A395" t="s">
        <v>1632</v>
      </c>
      <c r="B395" t="s">
        <v>16</v>
      </c>
      <c r="C395" t="s">
        <v>7221</v>
      </c>
      <c r="D395" t="s">
        <v>7223</v>
      </c>
      <c r="E395">
        <v>11072.06</v>
      </c>
      <c r="G395" s="35"/>
      <c r="H395" s="36">
        <f t="shared" si="18"/>
        <v>6975.3977999999997</v>
      </c>
      <c r="I395" s="37">
        <f t="shared" si="19"/>
        <v>6975.3977999999997</v>
      </c>
      <c r="J395" s="4"/>
      <c r="K395" s="38">
        <f t="shared" si="20"/>
        <v>0</v>
      </c>
    </row>
    <row r="396" spans="1:11">
      <c r="A396" t="s">
        <v>1633</v>
      </c>
      <c r="B396" t="s">
        <v>16</v>
      </c>
      <c r="C396" t="s">
        <v>7221</v>
      </c>
      <c r="D396" t="s">
        <v>7224</v>
      </c>
      <c r="E396">
        <v>10346.700000000001</v>
      </c>
      <c r="G396" s="35"/>
      <c r="H396" s="36">
        <f t="shared" si="18"/>
        <v>6518.4210000000003</v>
      </c>
      <c r="I396" s="37">
        <f t="shared" si="19"/>
        <v>6518.4210000000003</v>
      </c>
      <c r="J396" s="4"/>
      <c r="K396" s="38">
        <f t="shared" si="20"/>
        <v>0</v>
      </c>
    </row>
    <row r="397" spans="1:11">
      <c r="A397" t="s">
        <v>1634</v>
      </c>
      <c r="B397" t="s">
        <v>16</v>
      </c>
      <c r="C397" t="s">
        <v>7221</v>
      </c>
      <c r="D397" t="s">
        <v>7225</v>
      </c>
      <c r="E397">
        <v>9216.66</v>
      </c>
      <c r="G397" s="35"/>
      <c r="H397" s="36">
        <f t="shared" si="18"/>
        <v>5806.4957999999997</v>
      </c>
      <c r="I397" s="37">
        <f t="shared" si="19"/>
        <v>5806.4957999999997</v>
      </c>
      <c r="J397" s="4"/>
      <c r="K397" s="38">
        <f t="shared" si="20"/>
        <v>0</v>
      </c>
    </row>
    <row r="398" spans="1:11">
      <c r="A398" t="s">
        <v>1635</v>
      </c>
      <c r="B398" t="s">
        <v>16</v>
      </c>
      <c r="C398" t="s">
        <v>7221</v>
      </c>
      <c r="D398" t="s">
        <v>7226</v>
      </c>
      <c r="E398">
        <v>8006.37</v>
      </c>
      <c r="G398" s="35"/>
      <c r="H398" s="36">
        <f t="shared" si="18"/>
        <v>5044.0131000000001</v>
      </c>
      <c r="I398" s="37">
        <f t="shared" si="19"/>
        <v>5044.0131000000001</v>
      </c>
      <c r="J398" s="4"/>
      <c r="K398" s="38">
        <f t="shared" si="20"/>
        <v>0</v>
      </c>
    </row>
    <row r="399" spans="1:11">
      <c r="A399" t="s">
        <v>1636</v>
      </c>
      <c r="B399" t="s">
        <v>16</v>
      </c>
      <c r="C399" t="s">
        <v>7221</v>
      </c>
      <c r="D399" t="s">
        <v>7227</v>
      </c>
      <c r="E399">
        <v>10218.48</v>
      </c>
      <c r="G399" s="35"/>
      <c r="H399" s="36">
        <f t="shared" si="18"/>
        <v>6437.6423999999997</v>
      </c>
      <c r="I399" s="37">
        <f t="shared" si="19"/>
        <v>6437.6423999999997</v>
      </c>
      <c r="J399" s="4"/>
      <c r="K399" s="38">
        <f t="shared" si="20"/>
        <v>0</v>
      </c>
    </row>
    <row r="400" spans="1:11">
      <c r="A400" t="s">
        <v>1637</v>
      </c>
      <c r="B400" t="s">
        <v>16</v>
      </c>
      <c r="C400" t="s">
        <v>7221</v>
      </c>
      <c r="D400" t="s">
        <v>7228</v>
      </c>
      <c r="E400">
        <v>10796.47</v>
      </c>
      <c r="G400" s="35"/>
      <c r="H400" s="36">
        <f t="shared" si="18"/>
        <v>6801.7761</v>
      </c>
      <c r="I400" s="37">
        <f t="shared" si="19"/>
        <v>6801.7761</v>
      </c>
      <c r="J400" s="4"/>
      <c r="K400" s="38">
        <f t="shared" si="20"/>
        <v>0</v>
      </c>
    </row>
    <row r="401" spans="1:11">
      <c r="A401" t="s">
        <v>1638</v>
      </c>
      <c r="B401" t="s">
        <v>16</v>
      </c>
      <c r="C401" t="s">
        <v>7221</v>
      </c>
      <c r="D401" t="s">
        <v>7229</v>
      </c>
      <c r="E401">
        <v>10218.48</v>
      </c>
      <c r="G401" s="35"/>
      <c r="H401" s="36">
        <f t="shared" si="18"/>
        <v>6437.6423999999997</v>
      </c>
      <c r="I401" s="37">
        <f t="shared" si="19"/>
        <v>6437.6423999999997</v>
      </c>
      <c r="J401" s="4"/>
      <c r="K401" s="38">
        <f t="shared" si="20"/>
        <v>0</v>
      </c>
    </row>
    <row r="402" spans="1:11">
      <c r="A402" t="s">
        <v>1639</v>
      </c>
      <c r="B402" t="s">
        <v>16</v>
      </c>
      <c r="C402" t="s">
        <v>7221</v>
      </c>
      <c r="D402" t="s">
        <v>7230</v>
      </c>
      <c r="E402">
        <v>10440.43</v>
      </c>
      <c r="G402" s="35"/>
      <c r="H402" s="36">
        <f t="shared" si="18"/>
        <v>6577.4709000000003</v>
      </c>
      <c r="I402" s="37">
        <f t="shared" si="19"/>
        <v>6577.4709000000003</v>
      </c>
      <c r="J402" s="4"/>
      <c r="K402" s="38">
        <f t="shared" si="20"/>
        <v>0</v>
      </c>
    </row>
    <row r="403" spans="1:11">
      <c r="A403" t="s">
        <v>1640</v>
      </c>
      <c r="B403" t="s">
        <v>16</v>
      </c>
      <c r="C403" t="s">
        <v>7221</v>
      </c>
      <c r="D403" t="s">
        <v>7231</v>
      </c>
      <c r="E403">
        <v>4154.2299999999996</v>
      </c>
      <c r="G403" s="35"/>
      <c r="H403" s="36">
        <f t="shared" si="18"/>
        <v>2617.1648999999998</v>
      </c>
      <c r="I403" s="37">
        <f t="shared" si="19"/>
        <v>2617.1648999999998</v>
      </c>
      <c r="J403" s="4"/>
      <c r="K403" s="38">
        <f t="shared" si="20"/>
        <v>0</v>
      </c>
    </row>
    <row r="404" spans="1:11">
      <c r="A404" t="s">
        <v>1641</v>
      </c>
      <c r="B404" t="s">
        <v>16</v>
      </c>
      <c r="C404" t="s">
        <v>7221</v>
      </c>
      <c r="D404" t="s">
        <v>7232</v>
      </c>
      <c r="E404">
        <v>15107.38</v>
      </c>
      <c r="G404" s="35"/>
      <c r="H404" s="36">
        <f t="shared" si="18"/>
        <v>9517.6494000000002</v>
      </c>
      <c r="I404" s="37">
        <f t="shared" si="19"/>
        <v>9517.6494000000002</v>
      </c>
      <c r="J404" s="4"/>
      <c r="K404" s="38">
        <f t="shared" si="20"/>
        <v>0</v>
      </c>
    </row>
    <row r="405" spans="1:11">
      <c r="A405" t="s">
        <v>1642</v>
      </c>
      <c r="B405" t="s">
        <v>16</v>
      </c>
      <c r="C405" t="s">
        <v>7221</v>
      </c>
      <c r="D405" t="s">
        <v>7233</v>
      </c>
      <c r="E405">
        <v>12415.69</v>
      </c>
      <c r="G405" s="35"/>
      <c r="H405" s="36">
        <f t="shared" si="18"/>
        <v>7821.8847000000005</v>
      </c>
      <c r="I405" s="37">
        <f t="shared" si="19"/>
        <v>7821.8847000000005</v>
      </c>
      <c r="J405" s="4"/>
      <c r="K405" s="38">
        <f t="shared" si="20"/>
        <v>0</v>
      </c>
    </row>
    <row r="406" spans="1:11">
      <c r="A406" t="s">
        <v>1643</v>
      </c>
      <c r="B406" t="s">
        <v>16</v>
      </c>
      <c r="C406" t="s">
        <v>7221</v>
      </c>
      <c r="D406" t="s">
        <v>7234</v>
      </c>
      <c r="E406">
        <v>11775.22</v>
      </c>
      <c r="G406" s="35"/>
      <c r="H406" s="36">
        <f t="shared" si="18"/>
        <v>7418.3885999999993</v>
      </c>
      <c r="I406" s="37">
        <f t="shared" si="19"/>
        <v>7418.3885999999993</v>
      </c>
      <c r="J406" s="4"/>
      <c r="K406" s="38">
        <f t="shared" si="20"/>
        <v>0</v>
      </c>
    </row>
    <row r="407" spans="1:11">
      <c r="A407" t="s">
        <v>1644</v>
      </c>
      <c r="B407" t="s">
        <v>16</v>
      </c>
      <c r="C407" t="s">
        <v>7221</v>
      </c>
      <c r="D407" t="s">
        <v>7235</v>
      </c>
      <c r="E407">
        <v>11893.38</v>
      </c>
      <c r="G407" s="35"/>
      <c r="H407" s="36">
        <f t="shared" si="18"/>
        <v>7492.8293999999996</v>
      </c>
      <c r="I407" s="37">
        <f t="shared" si="19"/>
        <v>7492.8293999999996</v>
      </c>
      <c r="J407" s="4"/>
      <c r="K407" s="38">
        <f t="shared" si="20"/>
        <v>0</v>
      </c>
    </row>
    <row r="408" spans="1:11">
      <c r="A408" t="s">
        <v>1645</v>
      </c>
      <c r="B408" t="s">
        <v>16</v>
      </c>
      <c r="C408" t="s">
        <v>7221</v>
      </c>
      <c r="D408" t="s">
        <v>7236</v>
      </c>
      <c r="E408">
        <v>11552.59</v>
      </c>
      <c r="G408" s="35"/>
      <c r="H408" s="36">
        <f t="shared" si="18"/>
        <v>7278.1316999999999</v>
      </c>
      <c r="I408" s="37">
        <f t="shared" si="19"/>
        <v>7278.1316999999999</v>
      </c>
      <c r="J408" s="4"/>
      <c r="K408" s="38">
        <f t="shared" si="20"/>
        <v>0</v>
      </c>
    </row>
    <row r="409" spans="1:11">
      <c r="A409" t="s">
        <v>1646</v>
      </c>
      <c r="B409" t="s">
        <v>16</v>
      </c>
      <c r="C409" t="s">
        <v>7221</v>
      </c>
      <c r="D409" t="s">
        <v>7237</v>
      </c>
      <c r="E409">
        <v>36084.71</v>
      </c>
      <c r="G409" s="35"/>
      <c r="H409" s="36">
        <f t="shared" si="18"/>
        <v>22733.367299999998</v>
      </c>
      <c r="I409" s="37">
        <f t="shared" si="19"/>
        <v>22733.367299999998</v>
      </c>
      <c r="J409" s="4"/>
      <c r="K409" s="38">
        <f t="shared" si="20"/>
        <v>0</v>
      </c>
    </row>
    <row r="410" spans="1:11">
      <c r="A410" t="s">
        <v>1647</v>
      </c>
      <c r="B410" t="s">
        <v>16</v>
      </c>
      <c r="C410" t="s">
        <v>7221</v>
      </c>
      <c r="D410" t="s">
        <v>7238</v>
      </c>
      <c r="E410">
        <v>42345.35</v>
      </c>
      <c r="G410" s="35"/>
      <c r="H410" s="36">
        <f t="shared" si="18"/>
        <v>26677.570499999998</v>
      </c>
      <c r="I410" s="37">
        <f t="shared" si="19"/>
        <v>26677.570499999998</v>
      </c>
      <c r="J410" s="4"/>
      <c r="K410" s="38">
        <f t="shared" si="20"/>
        <v>0</v>
      </c>
    </row>
    <row r="411" spans="1:11">
      <c r="A411" t="s">
        <v>1648</v>
      </c>
      <c r="B411" t="s">
        <v>16</v>
      </c>
      <c r="C411" t="s">
        <v>7221</v>
      </c>
      <c r="D411" t="s">
        <v>7239</v>
      </c>
      <c r="E411">
        <v>64590.97</v>
      </c>
      <c r="G411" s="35"/>
      <c r="H411" s="36">
        <f t="shared" si="18"/>
        <v>40692.311099999999</v>
      </c>
      <c r="I411" s="37">
        <f t="shared" si="19"/>
        <v>40692.311099999999</v>
      </c>
      <c r="J411" s="4"/>
      <c r="K411" s="38">
        <f t="shared" si="20"/>
        <v>0</v>
      </c>
    </row>
    <row r="412" spans="1:11">
      <c r="A412" t="s">
        <v>1649</v>
      </c>
      <c r="B412" t="s">
        <v>16</v>
      </c>
      <c r="C412" t="s">
        <v>7221</v>
      </c>
      <c r="D412" t="s">
        <v>7240</v>
      </c>
      <c r="E412">
        <v>45812.3</v>
      </c>
      <c r="G412" s="35"/>
      <c r="H412" s="36">
        <f t="shared" si="18"/>
        <v>28861.749000000003</v>
      </c>
      <c r="I412" s="37">
        <f t="shared" si="19"/>
        <v>28861.749000000003</v>
      </c>
      <c r="J412" s="4"/>
      <c r="K412" s="38">
        <f t="shared" si="20"/>
        <v>0</v>
      </c>
    </row>
    <row r="413" spans="1:11">
      <c r="A413" t="s">
        <v>11957</v>
      </c>
      <c r="B413" t="s">
        <v>16</v>
      </c>
      <c r="C413" t="s">
        <v>11958</v>
      </c>
      <c r="D413" t="s">
        <v>11959</v>
      </c>
      <c r="E413">
        <v>5409.28</v>
      </c>
      <c r="G413" s="35"/>
      <c r="H413" s="36">
        <f t="shared" si="18"/>
        <v>3407.8463999999999</v>
      </c>
      <c r="I413" s="37">
        <f t="shared" si="19"/>
        <v>3407.8463999999999</v>
      </c>
      <c r="J413" s="4"/>
      <c r="K413" s="38">
        <f t="shared" si="20"/>
        <v>0</v>
      </c>
    </row>
    <row r="414" spans="1:11">
      <c r="A414" t="s">
        <v>11960</v>
      </c>
      <c r="B414" t="s">
        <v>16</v>
      </c>
      <c r="C414" t="s">
        <v>11958</v>
      </c>
      <c r="D414" t="s">
        <v>11961</v>
      </c>
      <c r="E414">
        <v>8601.76</v>
      </c>
      <c r="G414" s="35"/>
      <c r="H414" s="36">
        <f t="shared" si="18"/>
        <v>5419.1088</v>
      </c>
      <c r="I414" s="37">
        <f t="shared" si="19"/>
        <v>5419.1088</v>
      </c>
      <c r="J414" s="4"/>
      <c r="K414" s="38">
        <f t="shared" si="20"/>
        <v>0</v>
      </c>
    </row>
    <row r="415" spans="1:11">
      <c r="A415" t="s">
        <v>11962</v>
      </c>
      <c r="B415" t="s">
        <v>16</v>
      </c>
      <c r="C415" t="s">
        <v>11958</v>
      </c>
      <c r="D415" t="s">
        <v>6378</v>
      </c>
      <c r="E415">
        <v>20023.759999999998</v>
      </c>
      <c r="G415" s="35"/>
      <c r="H415" s="36">
        <f t="shared" si="18"/>
        <v>12614.968799999999</v>
      </c>
      <c r="I415" s="37">
        <f t="shared" si="19"/>
        <v>12614.968799999999</v>
      </c>
      <c r="J415" s="4"/>
      <c r="K415" s="38">
        <f t="shared" si="20"/>
        <v>0</v>
      </c>
    </row>
    <row r="416" spans="1:11">
      <c r="A416" t="s">
        <v>2893</v>
      </c>
      <c r="B416" t="s">
        <v>16</v>
      </c>
      <c r="C416" t="s">
        <v>8393</v>
      </c>
      <c r="D416" t="s">
        <v>8394</v>
      </c>
      <c r="E416">
        <v>8110.68</v>
      </c>
      <c r="G416" s="35"/>
      <c r="H416" s="36">
        <f t="shared" si="18"/>
        <v>5109.7284</v>
      </c>
      <c r="I416" s="37">
        <f t="shared" si="19"/>
        <v>5109.7284</v>
      </c>
      <c r="J416" s="4"/>
      <c r="K416" s="38">
        <f t="shared" si="20"/>
        <v>0</v>
      </c>
    </row>
    <row r="417" spans="1:11">
      <c r="A417" t="s">
        <v>2894</v>
      </c>
      <c r="B417" t="s">
        <v>16</v>
      </c>
      <c r="C417" t="s">
        <v>8393</v>
      </c>
      <c r="D417" t="s">
        <v>8395</v>
      </c>
      <c r="E417">
        <v>12916.49</v>
      </c>
      <c r="G417" s="35"/>
      <c r="H417" s="36">
        <f t="shared" si="18"/>
        <v>8137.3886999999995</v>
      </c>
      <c r="I417" s="37">
        <f t="shared" si="19"/>
        <v>8137.3886999999995</v>
      </c>
      <c r="J417" s="4"/>
      <c r="K417" s="38">
        <f t="shared" si="20"/>
        <v>0</v>
      </c>
    </row>
    <row r="418" spans="1:11">
      <c r="A418" t="s">
        <v>2895</v>
      </c>
      <c r="B418" t="s">
        <v>16</v>
      </c>
      <c r="C418" t="s">
        <v>8393</v>
      </c>
      <c r="D418" t="s">
        <v>8396</v>
      </c>
      <c r="E418">
        <v>18108.75</v>
      </c>
      <c r="G418" s="35"/>
      <c r="H418" s="36">
        <f t="shared" si="18"/>
        <v>11408.512500000001</v>
      </c>
      <c r="I418" s="37">
        <f t="shared" si="19"/>
        <v>11408.512500000001</v>
      </c>
      <c r="J418" s="4"/>
      <c r="K418" s="38">
        <f t="shared" si="20"/>
        <v>0</v>
      </c>
    </row>
    <row r="419" spans="1:11">
      <c r="A419" t="s">
        <v>1660</v>
      </c>
      <c r="B419" t="s">
        <v>16</v>
      </c>
      <c r="C419" t="s">
        <v>7248</v>
      </c>
      <c r="D419" t="s">
        <v>7249</v>
      </c>
      <c r="E419">
        <v>6191.94</v>
      </c>
      <c r="G419" s="35"/>
      <c r="H419" s="36">
        <f t="shared" si="18"/>
        <v>3900.9222</v>
      </c>
      <c r="I419" s="37">
        <f t="shared" si="19"/>
        <v>3900.9222</v>
      </c>
      <c r="J419" s="4"/>
      <c r="K419" s="38">
        <f t="shared" si="20"/>
        <v>0</v>
      </c>
    </row>
    <row r="420" spans="1:11">
      <c r="A420" t="s">
        <v>1661</v>
      </c>
      <c r="B420" t="s">
        <v>16</v>
      </c>
      <c r="C420" t="s">
        <v>7248</v>
      </c>
      <c r="D420" t="s">
        <v>7250</v>
      </c>
      <c r="E420">
        <v>7663.3</v>
      </c>
      <c r="G420" s="35"/>
      <c r="H420" s="36">
        <f t="shared" si="18"/>
        <v>4827.8789999999999</v>
      </c>
      <c r="I420" s="37">
        <f t="shared" si="19"/>
        <v>4827.8789999999999</v>
      </c>
      <c r="J420" s="4"/>
      <c r="K420" s="38">
        <f t="shared" si="20"/>
        <v>0</v>
      </c>
    </row>
    <row r="421" spans="1:11">
      <c r="A421" t="s">
        <v>1662</v>
      </c>
      <c r="B421" t="s">
        <v>16</v>
      </c>
      <c r="C421" t="s">
        <v>7248</v>
      </c>
      <c r="D421" t="s">
        <v>7251</v>
      </c>
      <c r="E421">
        <v>6191.94</v>
      </c>
      <c r="G421" s="35"/>
      <c r="H421" s="36">
        <f t="shared" si="18"/>
        <v>3900.9222</v>
      </c>
      <c r="I421" s="37">
        <f t="shared" si="19"/>
        <v>3900.9222</v>
      </c>
      <c r="J421" s="4"/>
      <c r="K421" s="38">
        <f t="shared" si="20"/>
        <v>0</v>
      </c>
    </row>
    <row r="422" spans="1:11">
      <c r="A422" t="s">
        <v>1663</v>
      </c>
      <c r="B422" t="s">
        <v>16</v>
      </c>
      <c r="C422" t="s">
        <v>7248</v>
      </c>
      <c r="D422" t="s">
        <v>7252</v>
      </c>
      <c r="E422">
        <v>7663.3</v>
      </c>
      <c r="G422" s="35"/>
      <c r="H422" s="36">
        <f t="shared" si="18"/>
        <v>4827.8789999999999</v>
      </c>
      <c r="I422" s="37">
        <f t="shared" si="19"/>
        <v>4827.8789999999999</v>
      </c>
      <c r="J422" s="4"/>
      <c r="K422" s="38">
        <f t="shared" si="20"/>
        <v>0</v>
      </c>
    </row>
    <row r="423" spans="1:11">
      <c r="A423" t="s">
        <v>1664</v>
      </c>
      <c r="B423" t="s">
        <v>16</v>
      </c>
      <c r="C423" t="s">
        <v>7248</v>
      </c>
      <c r="D423" t="s">
        <v>7253</v>
      </c>
      <c r="E423">
        <v>4565.34</v>
      </c>
      <c r="G423" s="35"/>
      <c r="H423" s="36">
        <f t="shared" si="18"/>
        <v>2876.1642000000002</v>
      </c>
      <c r="I423" s="37">
        <f t="shared" si="19"/>
        <v>2876.1642000000002</v>
      </c>
      <c r="J423" s="4"/>
      <c r="K423" s="38">
        <f t="shared" si="20"/>
        <v>0</v>
      </c>
    </row>
    <row r="424" spans="1:11">
      <c r="A424" t="s">
        <v>1665</v>
      </c>
      <c r="B424" t="s">
        <v>16</v>
      </c>
      <c r="C424" t="s">
        <v>7248</v>
      </c>
      <c r="D424" t="s">
        <v>7254</v>
      </c>
      <c r="E424">
        <v>4564.46</v>
      </c>
      <c r="G424" s="35"/>
      <c r="H424" s="36">
        <f t="shared" si="18"/>
        <v>2875.6098000000002</v>
      </c>
      <c r="I424" s="37">
        <f t="shared" si="19"/>
        <v>2875.6098000000002</v>
      </c>
      <c r="J424" s="4"/>
      <c r="K424" s="38">
        <f t="shared" si="20"/>
        <v>0</v>
      </c>
    </row>
    <row r="425" spans="1:11">
      <c r="A425" t="s">
        <v>1666</v>
      </c>
      <c r="B425" t="s">
        <v>16</v>
      </c>
      <c r="C425" t="s">
        <v>7248</v>
      </c>
      <c r="D425" t="s">
        <v>7255</v>
      </c>
      <c r="E425">
        <v>4564.46</v>
      </c>
      <c r="G425" s="35"/>
      <c r="H425" s="36">
        <f t="shared" si="18"/>
        <v>2875.6098000000002</v>
      </c>
      <c r="I425" s="37">
        <f t="shared" si="19"/>
        <v>2875.6098000000002</v>
      </c>
      <c r="J425" s="4"/>
      <c r="K425" s="38">
        <f t="shared" si="20"/>
        <v>0</v>
      </c>
    </row>
    <row r="426" spans="1:11">
      <c r="A426" t="s">
        <v>2424</v>
      </c>
      <c r="B426" t="s">
        <v>16</v>
      </c>
      <c r="C426" t="s">
        <v>7946</v>
      </c>
      <c r="D426" t="s">
        <v>7947</v>
      </c>
      <c r="E426">
        <v>3825.83</v>
      </c>
      <c r="G426" s="35"/>
      <c r="H426" s="36">
        <f t="shared" si="18"/>
        <v>2410.2728999999999</v>
      </c>
      <c r="I426" s="37">
        <f t="shared" si="19"/>
        <v>2410.2728999999999</v>
      </c>
      <c r="J426" s="4"/>
      <c r="K426" s="38">
        <f t="shared" si="20"/>
        <v>0</v>
      </c>
    </row>
    <row r="427" spans="1:11">
      <c r="A427" t="s">
        <v>2425</v>
      </c>
      <c r="B427" t="s">
        <v>16</v>
      </c>
      <c r="C427" t="s">
        <v>7946</v>
      </c>
      <c r="D427" t="s">
        <v>7948</v>
      </c>
      <c r="E427">
        <v>3825.83</v>
      </c>
      <c r="G427" s="35"/>
      <c r="H427" s="36">
        <f t="shared" si="18"/>
        <v>2410.2728999999999</v>
      </c>
      <c r="I427" s="37">
        <f t="shared" si="19"/>
        <v>2410.2728999999999</v>
      </c>
      <c r="J427" s="4"/>
      <c r="K427" s="38">
        <f t="shared" si="20"/>
        <v>0</v>
      </c>
    </row>
    <row r="428" spans="1:11">
      <c r="A428" t="s">
        <v>2426</v>
      </c>
      <c r="B428" t="s">
        <v>16</v>
      </c>
      <c r="C428" t="s">
        <v>7946</v>
      </c>
      <c r="D428" t="s">
        <v>7949</v>
      </c>
      <c r="E428">
        <v>2140.3000000000002</v>
      </c>
      <c r="G428" s="35"/>
      <c r="H428" s="36">
        <f t="shared" si="18"/>
        <v>1348.3890000000001</v>
      </c>
      <c r="I428" s="37">
        <f t="shared" si="19"/>
        <v>1348.3890000000001</v>
      </c>
      <c r="J428" s="4"/>
      <c r="K428" s="38">
        <f t="shared" si="20"/>
        <v>0</v>
      </c>
    </row>
    <row r="429" spans="1:11">
      <c r="A429" t="s">
        <v>2427</v>
      </c>
      <c r="B429" t="s">
        <v>16</v>
      </c>
      <c r="C429" t="s">
        <v>7946</v>
      </c>
      <c r="D429" t="s">
        <v>7950</v>
      </c>
      <c r="E429">
        <v>2094.3000000000002</v>
      </c>
      <c r="G429" s="35"/>
      <c r="H429" s="36">
        <f t="shared" si="18"/>
        <v>1319.4090000000001</v>
      </c>
      <c r="I429" s="37">
        <f t="shared" si="19"/>
        <v>1319.4090000000001</v>
      </c>
      <c r="J429" s="4"/>
      <c r="K429" s="38">
        <f t="shared" si="20"/>
        <v>0</v>
      </c>
    </row>
    <row r="430" spans="1:11">
      <c r="A430" t="s">
        <v>2428</v>
      </c>
      <c r="B430" t="s">
        <v>16</v>
      </c>
      <c r="C430" t="s">
        <v>7946</v>
      </c>
      <c r="D430" t="s">
        <v>7951</v>
      </c>
      <c r="E430">
        <v>10389.83</v>
      </c>
      <c r="G430" s="35"/>
      <c r="H430" s="36">
        <f t="shared" si="18"/>
        <v>6545.5928999999996</v>
      </c>
      <c r="I430" s="37">
        <f t="shared" si="19"/>
        <v>6545.5928999999996</v>
      </c>
      <c r="J430" s="4"/>
      <c r="K430" s="38">
        <f t="shared" si="20"/>
        <v>0</v>
      </c>
    </row>
    <row r="431" spans="1:11">
      <c r="A431" t="s">
        <v>2429</v>
      </c>
      <c r="B431" t="s">
        <v>16</v>
      </c>
      <c r="C431" t="s">
        <v>7946</v>
      </c>
      <c r="D431" t="s">
        <v>7952</v>
      </c>
      <c r="E431">
        <v>10126.92</v>
      </c>
      <c r="G431" s="35"/>
      <c r="H431" s="36">
        <f t="shared" si="18"/>
        <v>6379.9596000000001</v>
      </c>
      <c r="I431" s="37">
        <f t="shared" si="19"/>
        <v>6379.9596000000001</v>
      </c>
      <c r="J431" s="4"/>
      <c r="K431" s="38">
        <f t="shared" si="20"/>
        <v>0</v>
      </c>
    </row>
    <row r="432" spans="1:11">
      <c r="A432" t="s">
        <v>2430</v>
      </c>
      <c r="B432" t="s">
        <v>16</v>
      </c>
      <c r="C432" t="s">
        <v>7946</v>
      </c>
      <c r="D432" t="s">
        <v>7953</v>
      </c>
      <c r="E432">
        <v>10360.120000000001</v>
      </c>
      <c r="G432" s="35"/>
      <c r="H432" s="36">
        <f t="shared" si="18"/>
        <v>6526.8756000000003</v>
      </c>
      <c r="I432" s="37">
        <f t="shared" si="19"/>
        <v>6526.8756000000003</v>
      </c>
      <c r="J432" s="4"/>
      <c r="K432" s="38">
        <f t="shared" si="20"/>
        <v>0</v>
      </c>
    </row>
    <row r="433" spans="1:11">
      <c r="A433" t="s">
        <v>1723</v>
      </c>
      <c r="B433" t="s">
        <v>16</v>
      </c>
      <c r="C433" t="s">
        <v>7316</v>
      </c>
      <c r="D433" t="s">
        <v>7317</v>
      </c>
      <c r="E433">
        <v>5973.01</v>
      </c>
      <c r="G433" s="35"/>
      <c r="H433" s="36">
        <f t="shared" si="18"/>
        <v>3762.9963000000002</v>
      </c>
      <c r="I433" s="37">
        <f t="shared" si="19"/>
        <v>3762.9963000000002</v>
      </c>
      <c r="J433" s="4"/>
      <c r="K433" s="38">
        <f t="shared" si="20"/>
        <v>0</v>
      </c>
    </row>
    <row r="434" spans="1:11">
      <c r="A434" t="s">
        <v>1724</v>
      </c>
      <c r="B434" t="s">
        <v>16</v>
      </c>
      <c r="C434" t="s">
        <v>7316</v>
      </c>
      <c r="D434" t="s">
        <v>7318</v>
      </c>
      <c r="E434">
        <v>7489</v>
      </c>
      <c r="G434" s="35"/>
      <c r="H434" s="36">
        <f t="shared" si="18"/>
        <v>4718.07</v>
      </c>
      <c r="I434" s="37">
        <f t="shared" si="19"/>
        <v>4718.07</v>
      </c>
      <c r="J434" s="4"/>
      <c r="K434" s="38">
        <f t="shared" si="20"/>
        <v>0</v>
      </c>
    </row>
    <row r="435" spans="1:11">
      <c r="A435" t="s">
        <v>1725</v>
      </c>
      <c r="B435" t="s">
        <v>16</v>
      </c>
      <c r="C435" t="s">
        <v>7316</v>
      </c>
      <c r="D435" t="s">
        <v>7319</v>
      </c>
      <c r="E435">
        <v>5973.01</v>
      </c>
      <c r="G435" s="35"/>
      <c r="H435" s="36">
        <f t="shared" si="18"/>
        <v>3762.9963000000002</v>
      </c>
      <c r="I435" s="37">
        <f t="shared" si="19"/>
        <v>3762.9963000000002</v>
      </c>
      <c r="J435" s="4"/>
      <c r="K435" s="38">
        <f t="shared" si="20"/>
        <v>0</v>
      </c>
    </row>
    <row r="436" spans="1:11">
      <c r="A436" t="s">
        <v>1726</v>
      </c>
      <c r="B436" t="s">
        <v>16</v>
      </c>
      <c r="C436" t="s">
        <v>7316</v>
      </c>
      <c r="D436" t="s">
        <v>7320</v>
      </c>
      <c r="E436">
        <v>7489</v>
      </c>
      <c r="G436" s="35"/>
      <c r="H436" s="36">
        <f t="shared" si="18"/>
        <v>4718.07</v>
      </c>
      <c r="I436" s="37">
        <f t="shared" si="19"/>
        <v>4718.07</v>
      </c>
      <c r="J436" s="4"/>
      <c r="K436" s="38">
        <f t="shared" si="20"/>
        <v>0</v>
      </c>
    </row>
    <row r="437" spans="1:11">
      <c r="A437" t="s">
        <v>1727</v>
      </c>
      <c r="B437" t="s">
        <v>16</v>
      </c>
      <c r="C437" t="s">
        <v>7316</v>
      </c>
      <c r="D437" t="s">
        <v>7321</v>
      </c>
      <c r="E437">
        <v>41041.230000000003</v>
      </c>
      <c r="G437" s="35"/>
      <c r="H437" s="36">
        <f t="shared" si="18"/>
        <v>25855.974900000001</v>
      </c>
      <c r="I437" s="37">
        <f t="shared" si="19"/>
        <v>25855.974900000001</v>
      </c>
      <c r="J437" s="4"/>
      <c r="K437" s="38">
        <f t="shared" si="20"/>
        <v>0</v>
      </c>
    </row>
    <row r="438" spans="1:11">
      <c r="A438" t="s">
        <v>1728</v>
      </c>
      <c r="B438" t="s">
        <v>16</v>
      </c>
      <c r="C438" t="s">
        <v>7316</v>
      </c>
      <c r="D438" t="s">
        <v>7322</v>
      </c>
      <c r="E438">
        <v>41041.230000000003</v>
      </c>
      <c r="G438" s="35"/>
      <c r="H438" s="36">
        <f t="shared" si="18"/>
        <v>25855.974900000001</v>
      </c>
      <c r="I438" s="37">
        <f t="shared" si="19"/>
        <v>25855.974900000001</v>
      </c>
      <c r="J438" s="4"/>
      <c r="K438" s="38">
        <f t="shared" si="20"/>
        <v>0</v>
      </c>
    </row>
    <row r="439" spans="1:11">
      <c r="A439" t="s">
        <v>1750</v>
      </c>
      <c r="B439" t="s">
        <v>16</v>
      </c>
      <c r="C439" t="s">
        <v>7344</v>
      </c>
      <c r="D439" t="s">
        <v>7345</v>
      </c>
      <c r="E439">
        <v>61923.5</v>
      </c>
      <c r="G439" s="35"/>
      <c r="H439" s="36">
        <f t="shared" si="18"/>
        <v>39011.805</v>
      </c>
      <c r="I439" s="37">
        <f t="shared" si="19"/>
        <v>39011.805</v>
      </c>
      <c r="J439" s="4"/>
      <c r="K439" s="38">
        <f t="shared" si="20"/>
        <v>0</v>
      </c>
    </row>
    <row r="440" spans="1:11">
      <c r="A440" t="s">
        <v>1751</v>
      </c>
      <c r="B440" t="s">
        <v>16</v>
      </c>
      <c r="C440" t="s">
        <v>7344</v>
      </c>
      <c r="D440" t="s">
        <v>7346</v>
      </c>
      <c r="E440">
        <v>61923.5</v>
      </c>
      <c r="G440" s="35"/>
      <c r="H440" s="36">
        <f t="shared" si="18"/>
        <v>39011.805</v>
      </c>
      <c r="I440" s="37">
        <f t="shared" si="19"/>
        <v>39011.805</v>
      </c>
      <c r="J440" s="4"/>
      <c r="K440" s="38">
        <f t="shared" si="20"/>
        <v>0</v>
      </c>
    </row>
    <row r="441" spans="1:11">
      <c r="A441" t="s">
        <v>1787</v>
      </c>
      <c r="B441" t="s">
        <v>16</v>
      </c>
      <c r="C441" t="s">
        <v>7387</v>
      </c>
      <c r="D441" t="s">
        <v>7388</v>
      </c>
      <c r="E441">
        <v>15989.16</v>
      </c>
      <c r="G441" s="35"/>
      <c r="H441" s="36">
        <f t="shared" si="18"/>
        <v>10073.1708</v>
      </c>
      <c r="I441" s="37">
        <f t="shared" si="19"/>
        <v>10073.1708</v>
      </c>
      <c r="J441" s="4"/>
      <c r="K441" s="38">
        <f t="shared" si="20"/>
        <v>0</v>
      </c>
    </row>
    <row r="442" spans="1:11">
      <c r="A442" t="s">
        <v>1788</v>
      </c>
      <c r="B442" t="s">
        <v>16</v>
      </c>
      <c r="C442" t="s">
        <v>7387</v>
      </c>
      <c r="D442" t="s">
        <v>7389</v>
      </c>
      <c r="E442">
        <v>20072.2</v>
      </c>
      <c r="G442" s="35"/>
      <c r="H442" s="36">
        <f t="shared" si="18"/>
        <v>12645.486000000001</v>
      </c>
      <c r="I442" s="37">
        <f t="shared" si="19"/>
        <v>12645.486000000001</v>
      </c>
      <c r="J442" s="4"/>
      <c r="K442" s="38">
        <f t="shared" si="20"/>
        <v>0</v>
      </c>
    </row>
    <row r="443" spans="1:11">
      <c r="A443" t="s">
        <v>12576</v>
      </c>
      <c r="B443" t="s">
        <v>16</v>
      </c>
      <c r="C443" t="s">
        <v>7387</v>
      </c>
      <c r="D443" t="s">
        <v>12577</v>
      </c>
      <c r="E443">
        <v>57317.4</v>
      </c>
      <c r="G443" s="35"/>
      <c r="H443" s="36">
        <f t="shared" si="18"/>
        <v>36109.962</v>
      </c>
      <c r="I443" s="37">
        <f t="shared" si="19"/>
        <v>36109.962</v>
      </c>
      <c r="J443" s="4"/>
      <c r="K443" s="38">
        <f t="shared" si="20"/>
        <v>0</v>
      </c>
    </row>
    <row r="444" spans="1:11">
      <c r="A444" t="s">
        <v>1789</v>
      </c>
      <c r="B444" t="s">
        <v>16</v>
      </c>
      <c r="C444" t="s">
        <v>7387</v>
      </c>
      <c r="D444" t="s">
        <v>7390</v>
      </c>
      <c r="E444">
        <v>15989.16</v>
      </c>
      <c r="G444" s="35"/>
      <c r="H444" s="36">
        <f t="shared" si="18"/>
        <v>10073.1708</v>
      </c>
      <c r="I444" s="37">
        <f t="shared" si="19"/>
        <v>10073.1708</v>
      </c>
      <c r="J444" s="4"/>
      <c r="K444" s="38">
        <f t="shared" si="20"/>
        <v>0</v>
      </c>
    </row>
    <row r="445" spans="1:11">
      <c r="A445" t="s">
        <v>12578</v>
      </c>
      <c r="B445" t="s">
        <v>16</v>
      </c>
      <c r="C445" t="s">
        <v>7387</v>
      </c>
      <c r="D445" t="s">
        <v>12579</v>
      </c>
      <c r="E445">
        <v>32237.919999999998</v>
      </c>
      <c r="G445" s="35"/>
      <c r="H445" s="36">
        <f t="shared" si="18"/>
        <v>20309.889599999999</v>
      </c>
      <c r="I445" s="37">
        <f t="shared" si="19"/>
        <v>20309.889599999999</v>
      </c>
      <c r="J445" s="4"/>
      <c r="K445" s="38">
        <f t="shared" si="20"/>
        <v>0</v>
      </c>
    </row>
    <row r="446" spans="1:11">
      <c r="A446" t="s">
        <v>12580</v>
      </c>
      <c r="B446" t="s">
        <v>16</v>
      </c>
      <c r="C446" t="s">
        <v>7387</v>
      </c>
      <c r="D446" t="s">
        <v>12581</v>
      </c>
      <c r="E446">
        <v>57317.4</v>
      </c>
      <c r="G446" s="35"/>
      <c r="H446" s="36">
        <f t="shared" si="18"/>
        <v>36109.962</v>
      </c>
      <c r="I446" s="37">
        <f t="shared" si="19"/>
        <v>36109.962</v>
      </c>
      <c r="J446" s="4"/>
      <c r="K446" s="38">
        <f t="shared" si="20"/>
        <v>0</v>
      </c>
    </row>
    <row r="447" spans="1:11">
      <c r="A447" t="s">
        <v>1786</v>
      </c>
      <c r="B447" t="s">
        <v>16</v>
      </c>
      <c r="C447" t="s">
        <v>7385</v>
      </c>
      <c r="D447" t="s">
        <v>7386</v>
      </c>
      <c r="E447">
        <v>34924.92</v>
      </c>
      <c r="G447" s="35"/>
      <c r="H447" s="36">
        <f t="shared" si="18"/>
        <v>22002.6996</v>
      </c>
      <c r="I447" s="37">
        <f t="shared" si="19"/>
        <v>22002.6996</v>
      </c>
      <c r="J447" s="4"/>
      <c r="K447" s="38">
        <f t="shared" si="20"/>
        <v>0</v>
      </c>
    </row>
    <row r="448" spans="1:11">
      <c r="A448" t="s">
        <v>3363</v>
      </c>
      <c r="B448" t="s">
        <v>16</v>
      </c>
      <c r="C448" t="s">
        <v>8642</v>
      </c>
      <c r="D448" t="s">
        <v>8857</v>
      </c>
      <c r="E448">
        <v>17628.18</v>
      </c>
      <c r="G448" s="35"/>
      <c r="H448" s="36">
        <f t="shared" si="18"/>
        <v>11105.7534</v>
      </c>
      <c r="I448" s="37">
        <f t="shared" si="19"/>
        <v>11105.7534</v>
      </c>
      <c r="J448" s="4"/>
      <c r="K448" s="38">
        <f t="shared" si="20"/>
        <v>0</v>
      </c>
    </row>
    <row r="449" spans="1:11">
      <c r="A449" t="s">
        <v>3364</v>
      </c>
      <c r="B449" t="s">
        <v>16</v>
      </c>
      <c r="C449" t="s">
        <v>8642</v>
      </c>
      <c r="D449" t="s">
        <v>8858</v>
      </c>
      <c r="E449">
        <v>34316.51</v>
      </c>
      <c r="G449" s="35"/>
      <c r="H449" s="36">
        <f t="shared" si="18"/>
        <v>21619.401300000001</v>
      </c>
      <c r="I449" s="37">
        <f t="shared" si="19"/>
        <v>21619.401300000001</v>
      </c>
      <c r="J449" s="4"/>
      <c r="K449" s="38">
        <f t="shared" si="20"/>
        <v>0</v>
      </c>
    </row>
    <row r="450" spans="1:11">
      <c r="A450" t="s">
        <v>3365</v>
      </c>
      <c r="B450" t="s">
        <v>16</v>
      </c>
      <c r="C450" t="s">
        <v>8642</v>
      </c>
      <c r="D450" t="s">
        <v>8859</v>
      </c>
      <c r="E450">
        <v>8110.68</v>
      </c>
      <c r="G450" s="35"/>
      <c r="H450" s="36">
        <f t="shared" si="18"/>
        <v>5109.7284</v>
      </c>
      <c r="I450" s="37">
        <f t="shared" si="19"/>
        <v>5109.7284</v>
      </c>
      <c r="J450" s="4"/>
      <c r="K450" s="38">
        <f t="shared" si="20"/>
        <v>0</v>
      </c>
    </row>
    <row r="451" spans="1:11">
      <c r="A451" t="s">
        <v>3133</v>
      </c>
      <c r="B451" t="s">
        <v>16</v>
      </c>
      <c r="C451" t="s">
        <v>8642</v>
      </c>
      <c r="D451" t="s">
        <v>8643</v>
      </c>
      <c r="E451">
        <v>10689.84</v>
      </c>
      <c r="G451" s="35"/>
      <c r="H451" s="36">
        <f t="shared" si="18"/>
        <v>6734.5992000000006</v>
      </c>
      <c r="I451" s="37">
        <f t="shared" si="19"/>
        <v>6734.5992000000006</v>
      </c>
      <c r="J451" s="4"/>
      <c r="K451" s="38">
        <f t="shared" si="20"/>
        <v>0</v>
      </c>
    </row>
    <row r="452" spans="1:11">
      <c r="A452" t="s">
        <v>1775</v>
      </c>
      <c r="B452" t="s">
        <v>16</v>
      </c>
      <c r="C452" t="s">
        <v>7372</v>
      </c>
      <c r="D452" t="s">
        <v>7373</v>
      </c>
      <c r="E452">
        <v>4565.34</v>
      </c>
      <c r="G452" s="35"/>
      <c r="H452" s="36">
        <f t="shared" si="18"/>
        <v>2876.1642000000002</v>
      </c>
      <c r="I452" s="37">
        <f t="shared" si="19"/>
        <v>2876.1642000000002</v>
      </c>
      <c r="J452" s="4"/>
      <c r="K452" s="38">
        <f t="shared" si="20"/>
        <v>0</v>
      </c>
    </row>
    <row r="453" spans="1:11">
      <c r="A453" t="s">
        <v>1776</v>
      </c>
      <c r="B453" t="s">
        <v>16</v>
      </c>
      <c r="C453" t="s">
        <v>7372</v>
      </c>
      <c r="D453" t="s">
        <v>7374</v>
      </c>
      <c r="E453">
        <v>4565.34</v>
      </c>
      <c r="G453" s="35"/>
      <c r="H453" s="36">
        <f t="shared" si="18"/>
        <v>2876.1642000000002</v>
      </c>
      <c r="I453" s="37">
        <f t="shared" si="19"/>
        <v>2876.1642000000002</v>
      </c>
      <c r="J453" s="4"/>
      <c r="K453" s="38">
        <f t="shared" si="20"/>
        <v>0</v>
      </c>
    </row>
    <row r="454" spans="1:11">
      <c r="A454" t="s">
        <v>1777</v>
      </c>
      <c r="B454" t="s">
        <v>16</v>
      </c>
      <c r="C454" t="s">
        <v>7372</v>
      </c>
      <c r="D454" t="s">
        <v>7375</v>
      </c>
      <c r="E454">
        <v>4467.72</v>
      </c>
      <c r="G454" s="35"/>
      <c r="H454" s="36">
        <f t="shared" si="18"/>
        <v>2814.6636000000003</v>
      </c>
      <c r="I454" s="37">
        <f t="shared" si="19"/>
        <v>2814.6636000000003</v>
      </c>
      <c r="J454" s="4"/>
      <c r="K454" s="38">
        <f t="shared" si="20"/>
        <v>0</v>
      </c>
    </row>
    <row r="455" spans="1:11">
      <c r="A455" t="s">
        <v>1778</v>
      </c>
      <c r="B455" t="s">
        <v>16</v>
      </c>
      <c r="C455" t="s">
        <v>7372</v>
      </c>
      <c r="D455" t="s">
        <v>7376</v>
      </c>
      <c r="E455">
        <v>4467.72</v>
      </c>
      <c r="G455" s="35"/>
      <c r="H455" s="36">
        <f t="shared" ref="H455:H518" si="21">+E455*$H$1*(1-G455)</f>
        <v>2814.6636000000003</v>
      </c>
      <c r="I455" s="37">
        <f t="shared" ref="I455:I518" si="22">H455*$H$4</f>
        <v>2814.6636000000003</v>
      </c>
      <c r="J455" s="4"/>
      <c r="K455" s="38">
        <f t="shared" ref="K455:K518" si="23">J455*I455</f>
        <v>0</v>
      </c>
    </row>
    <row r="456" spans="1:11">
      <c r="A456" t="s">
        <v>1779</v>
      </c>
      <c r="B456" t="s">
        <v>16</v>
      </c>
      <c r="C456" t="s">
        <v>7372</v>
      </c>
      <c r="D456" t="s">
        <v>7377</v>
      </c>
      <c r="E456">
        <v>3016.8</v>
      </c>
      <c r="G456" s="35"/>
      <c r="H456" s="36">
        <f t="shared" si="21"/>
        <v>1900.5840000000001</v>
      </c>
      <c r="I456" s="37">
        <f t="shared" si="22"/>
        <v>1900.5840000000001</v>
      </c>
      <c r="J456" s="4"/>
      <c r="K456" s="38">
        <f t="shared" si="23"/>
        <v>0</v>
      </c>
    </row>
    <row r="457" spans="1:11">
      <c r="A457" t="s">
        <v>1780</v>
      </c>
      <c r="B457" t="s">
        <v>16</v>
      </c>
      <c r="C457" t="s">
        <v>7372</v>
      </c>
      <c r="D457" t="s">
        <v>7378</v>
      </c>
      <c r="E457">
        <v>4562.93</v>
      </c>
      <c r="G457" s="35"/>
      <c r="H457" s="36">
        <f t="shared" si="21"/>
        <v>2874.6459</v>
      </c>
      <c r="I457" s="37">
        <f t="shared" si="22"/>
        <v>2874.6459</v>
      </c>
      <c r="J457" s="4"/>
      <c r="K457" s="38">
        <f t="shared" si="23"/>
        <v>0</v>
      </c>
    </row>
    <row r="458" spans="1:11">
      <c r="A458" t="s">
        <v>1781</v>
      </c>
      <c r="B458" t="s">
        <v>16</v>
      </c>
      <c r="C458" t="s">
        <v>7372</v>
      </c>
      <c r="D458" t="s">
        <v>7379</v>
      </c>
      <c r="E458">
        <v>4562.93</v>
      </c>
      <c r="G458" s="35"/>
      <c r="H458" s="36">
        <f t="shared" si="21"/>
        <v>2874.6459</v>
      </c>
      <c r="I458" s="37">
        <f t="shared" si="22"/>
        <v>2874.6459</v>
      </c>
      <c r="J458" s="4"/>
      <c r="K458" s="38">
        <f t="shared" si="23"/>
        <v>0</v>
      </c>
    </row>
    <row r="459" spans="1:11">
      <c r="A459" t="s">
        <v>2128</v>
      </c>
      <c r="B459" t="s">
        <v>16</v>
      </c>
      <c r="C459" t="s">
        <v>7684</v>
      </c>
      <c r="D459" t="s">
        <v>7685</v>
      </c>
      <c r="E459">
        <v>4774.76</v>
      </c>
      <c r="G459" s="35"/>
      <c r="H459" s="36">
        <f t="shared" si="21"/>
        <v>3008.0988000000002</v>
      </c>
      <c r="I459" s="37">
        <f t="shared" si="22"/>
        <v>3008.0988000000002</v>
      </c>
      <c r="J459" s="4"/>
      <c r="K459" s="38">
        <f t="shared" si="23"/>
        <v>0</v>
      </c>
    </row>
    <row r="460" spans="1:11">
      <c r="A460" t="s">
        <v>2129</v>
      </c>
      <c r="B460" t="s">
        <v>16</v>
      </c>
      <c r="C460" t="s">
        <v>7684</v>
      </c>
      <c r="D460" t="s">
        <v>7686</v>
      </c>
      <c r="E460">
        <v>7973.3</v>
      </c>
      <c r="G460" s="35"/>
      <c r="H460" s="36">
        <f t="shared" si="21"/>
        <v>5023.1790000000001</v>
      </c>
      <c r="I460" s="37">
        <f t="shared" si="22"/>
        <v>5023.1790000000001</v>
      </c>
      <c r="J460" s="4"/>
      <c r="K460" s="38">
        <f t="shared" si="23"/>
        <v>0</v>
      </c>
    </row>
    <row r="461" spans="1:11">
      <c r="A461" t="s">
        <v>2130</v>
      </c>
      <c r="B461" t="s">
        <v>16</v>
      </c>
      <c r="C461" t="s">
        <v>7684</v>
      </c>
      <c r="D461" t="s">
        <v>7687</v>
      </c>
      <c r="E461">
        <v>5754.36</v>
      </c>
      <c r="G461" s="35"/>
      <c r="H461" s="36">
        <f t="shared" si="21"/>
        <v>3625.2467999999999</v>
      </c>
      <c r="I461" s="37">
        <f t="shared" si="22"/>
        <v>3625.2467999999999</v>
      </c>
      <c r="J461" s="4"/>
      <c r="K461" s="38">
        <f t="shared" si="23"/>
        <v>0</v>
      </c>
    </row>
    <row r="462" spans="1:11">
      <c r="A462" t="s">
        <v>2178</v>
      </c>
      <c r="B462" t="s">
        <v>16</v>
      </c>
      <c r="C462" t="s">
        <v>7732</v>
      </c>
      <c r="D462" t="s">
        <v>7733</v>
      </c>
      <c r="E462">
        <v>39661.699999999997</v>
      </c>
      <c r="G462" s="35"/>
      <c r="H462" s="36">
        <f t="shared" si="21"/>
        <v>24986.870999999999</v>
      </c>
      <c r="I462" s="37">
        <f t="shared" si="22"/>
        <v>24986.870999999999</v>
      </c>
      <c r="J462" s="4"/>
      <c r="K462" s="38">
        <f t="shared" si="23"/>
        <v>0</v>
      </c>
    </row>
    <row r="463" spans="1:11">
      <c r="A463" t="s">
        <v>2181</v>
      </c>
      <c r="B463" t="s">
        <v>16</v>
      </c>
      <c r="C463" t="s">
        <v>7737</v>
      </c>
      <c r="D463" t="s">
        <v>7738</v>
      </c>
      <c r="E463">
        <v>4811.87</v>
      </c>
      <c r="G463" s="35"/>
      <c r="H463" s="36">
        <f t="shared" si="21"/>
        <v>3031.4780999999998</v>
      </c>
      <c r="I463" s="37">
        <f t="shared" si="22"/>
        <v>3031.4780999999998</v>
      </c>
      <c r="J463" s="4"/>
      <c r="K463" s="38">
        <f t="shared" si="23"/>
        <v>0</v>
      </c>
    </row>
    <row r="464" spans="1:11">
      <c r="A464" t="s">
        <v>2182</v>
      </c>
      <c r="B464" t="s">
        <v>16</v>
      </c>
      <c r="C464" t="s">
        <v>7737</v>
      </c>
      <c r="D464" t="s">
        <v>7739</v>
      </c>
      <c r="E464">
        <v>3436.74</v>
      </c>
      <c r="G464" s="35"/>
      <c r="H464" s="36">
        <f t="shared" si="21"/>
        <v>2165.1461999999997</v>
      </c>
      <c r="I464" s="37">
        <f t="shared" si="22"/>
        <v>2165.1461999999997</v>
      </c>
      <c r="J464" s="4"/>
      <c r="K464" s="38">
        <f t="shared" si="23"/>
        <v>0</v>
      </c>
    </row>
    <row r="465" spans="1:11">
      <c r="A465" t="s">
        <v>2183</v>
      </c>
      <c r="B465" t="s">
        <v>16</v>
      </c>
      <c r="C465" t="s">
        <v>7737</v>
      </c>
      <c r="D465" t="s">
        <v>7740</v>
      </c>
      <c r="E465">
        <v>1370.84</v>
      </c>
      <c r="G465" s="35"/>
      <c r="H465" s="36">
        <f t="shared" si="21"/>
        <v>863.62919999999997</v>
      </c>
      <c r="I465" s="37">
        <f t="shared" si="22"/>
        <v>863.62919999999997</v>
      </c>
      <c r="J465" s="4"/>
      <c r="K465" s="38">
        <f t="shared" si="23"/>
        <v>0</v>
      </c>
    </row>
    <row r="466" spans="1:11">
      <c r="A466" t="s">
        <v>2184</v>
      </c>
      <c r="B466" t="s">
        <v>16</v>
      </c>
      <c r="C466" t="s">
        <v>7737</v>
      </c>
      <c r="D466" t="s">
        <v>7741</v>
      </c>
      <c r="E466">
        <v>1675.69</v>
      </c>
      <c r="G466" s="35"/>
      <c r="H466" s="36">
        <f t="shared" si="21"/>
        <v>1055.6847</v>
      </c>
      <c r="I466" s="37">
        <f t="shared" si="22"/>
        <v>1055.6847</v>
      </c>
      <c r="J466" s="4"/>
      <c r="K466" s="38">
        <f t="shared" si="23"/>
        <v>0</v>
      </c>
    </row>
    <row r="467" spans="1:11">
      <c r="A467" t="s">
        <v>2185</v>
      </c>
      <c r="B467" t="s">
        <v>16</v>
      </c>
      <c r="C467" t="s">
        <v>7737</v>
      </c>
      <c r="D467" t="s">
        <v>7742</v>
      </c>
      <c r="E467">
        <v>6091.85</v>
      </c>
      <c r="G467" s="35"/>
      <c r="H467" s="36">
        <f t="shared" si="21"/>
        <v>3837.8655000000003</v>
      </c>
      <c r="I467" s="37">
        <f t="shared" si="22"/>
        <v>3837.8655000000003</v>
      </c>
      <c r="J467" s="4"/>
      <c r="K467" s="38">
        <f t="shared" si="23"/>
        <v>0</v>
      </c>
    </row>
    <row r="468" spans="1:11">
      <c r="A468" t="s">
        <v>2186</v>
      </c>
      <c r="B468" t="s">
        <v>16</v>
      </c>
      <c r="C468" t="s">
        <v>7737</v>
      </c>
      <c r="D468" t="s">
        <v>7743</v>
      </c>
      <c r="E468">
        <v>7630.93</v>
      </c>
      <c r="G468" s="35"/>
      <c r="H468" s="36">
        <f t="shared" si="21"/>
        <v>4807.4859000000006</v>
      </c>
      <c r="I468" s="37">
        <f t="shared" si="22"/>
        <v>4807.4859000000006</v>
      </c>
      <c r="J468" s="4"/>
      <c r="K468" s="38">
        <f t="shared" si="23"/>
        <v>0</v>
      </c>
    </row>
    <row r="469" spans="1:11">
      <c r="A469" t="s">
        <v>2187</v>
      </c>
      <c r="B469" t="s">
        <v>16</v>
      </c>
      <c r="C469" t="s">
        <v>7737</v>
      </c>
      <c r="D469" t="s">
        <v>7744</v>
      </c>
      <c r="E469">
        <v>5420.73</v>
      </c>
      <c r="G469" s="35"/>
      <c r="H469" s="36">
        <f t="shared" si="21"/>
        <v>3415.0598999999997</v>
      </c>
      <c r="I469" s="37">
        <f t="shared" si="22"/>
        <v>3415.0598999999997</v>
      </c>
      <c r="J469" s="4"/>
      <c r="K469" s="38">
        <f t="shared" si="23"/>
        <v>0</v>
      </c>
    </row>
    <row r="470" spans="1:11">
      <c r="A470" t="s">
        <v>2188</v>
      </c>
      <c r="B470" t="s">
        <v>16</v>
      </c>
      <c r="C470" t="s">
        <v>7737</v>
      </c>
      <c r="D470" t="s">
        <v>7745</v>
      </c>
      <c r="E470">
        <v>3612.24</v>
      </c>
      <c r="G470" s="35"/>
      <c r="H470" s="36">
        <f t="shared" si="21"/>
        <v>2275.7111999999997</v>
      </c>
      <c r="I470" s="37">
        <f t="shared" si="22"/>
        <v>2275.7111999999997</v>
      </c>
      <c r="J470" s="4"/>
      <c r="K470" s="38">
        <f t="shared" si="23"/>
        <v>0</v>
      </c>
    </row>
    <row r="471" spans="1:11">
      <c r="A471" t="s">
        <v>2189</v>
      </c>
      <c r="B471" t="s">
        <v>16</v>
      </c>
      <c r="C471" t="s">
        <v>7737</v>
      </c>
      <c r="D471" t="s">
        <v>7746</v>
      </c>
      <c r="E471">
        <v>4176.1499999999996</v>
      </c>
      <c r="G471" s="35"/>
      <c r="H471" s="36">
        <f t="shared" si="21"/>
        <v>2630.9744999999998</v>
      </c>
      <c r="I471" s="37">
        <f t="shared" si="22"/>
        <v>2630.9744999999998</v>
      </c>
      <c r="J471" s="4"/>
      <c r="K471" s="38">
        <f t="shared" si="23"/>
        <v>0</v>
      </c>
    </row>
    <row r="472" spans="1:11">
      <c r="A472" t="s">
        <v>2190</v>
      </c>
      <c r="B472" t="s">
        <v>16</v>
      </c>
      <c r="C472" t="s">
        <v>7737</v>
      </c>
      <c r="D472" t="s">
        <v>7747</v>
      </c>
      <c r="E472">
        <v>1981.04</v>
      </c>
      <c r="G472" s="35"/>
      <c r="H472" s="36">
        <f t="shared" si="21"/>
        <v>1248.0552</v>
      </c>
      <c r="I472" s="37">
        <f t="shared" si="22"/>
        <v>1248.0552</v>
      </c>
      <c r="J472" s="4"/>
      <c r="K472" s="38">
        <f t="shared" si="23"/>
        <v>0</v>
      </c>
    </row>
    <row r="473" spans="1:11">
      <c r="A473" t="s">
        <v>2191</v>
      </c>
      <c r="B473" t="s">
        <v>16</v>
      </c>
      <c r="C473" t="s">
        <v>7737</v>
      </c>
      <c r="D473" t="s">
        <v>7748</v>
      </c>
      <c r="E473">
        <v>2653.5</v>
      </c>
      <c r="G473" s="35"/>
      <c r="H473" s="36">
        <f t="shared" si="21"/>
        <v>1671.7049999999999</v>
      </c>
      <c r="I473" s="37">
        <f t="shared" si="22"/>
        <v>1671.7049999999999</v>
      </c>
      <c r="J473" s="4"/>
      <c r="K473" s="38">
        <f t="shared" si="23"/>
        <v>0</v>
      </c>
    </row>
    <row r="474" spans="1:11">
      <c r="A474" t="s">
        <v>2192</v>
      </c>
      <c r="B474" t="s">
        <v>16</v>
      </c>
      <c r="C474" t="s">
        <v>7737</v>
      </c>
      <c r="D474" t="s">
        <v>7749</v>
      </c>
      <c r="E474">
        <v>5026.63</v>
      </c>
      <c r="G474" s="35"/>
      <c r="H474" s="36">
        <f t="shared" si="21"/>
        <v>3166.7769000000003</v>
      </c>
      <c r="I474" s="37">
        <f t="shared" si="22"/>
        <v>3166.7769000000003</v>
      </c>
      <c r="J474" s="4"/>
      <c r="K474" s="38">
        <f t="shared" si="23"/>
        <v>0</v>
      </c>
    </row>
    <row r="475" spans="1:11">
      <c r="A475" t="s">
        <v>2193</v>
      </c>
      <c r="B475" t="s">
        <v>16</v>
      </c>
      <c r="C475" t="s">
        <v>7737</v>
      </c>
      <c r="D475" t="s">
        <v>7750</v>
      </c>
      <c r="E475">
        <v>4810</v>
      </c>
      <c r="G475" s="35"/>
      <c r="H475" s="36">
        <f t="shared" si="21"/>
        <v>3030.3</v>
      </c>
      <c r="I475" s="37">
        <f t="shared" si="22"/>
        <v>3030.3</v>
      </c>
      <c r="J475" s="4"/>
      <c r="K475" s="38">
        <f t="shared" si="23"/>
        <v>0</v>
      </c>
    </row>
    <row r="476" spans="1:11">
      <c r="A476" t="s">
        <v>2194</v>
      </c>
      <c r="B476" t="s">
        <v>16</v>
      </c>
      <c r="C476" t="s">
        <v>7737</v>
      </c>
      <c r="D476" t="s">
        <v>7751</v>
      </c>
      <c r="E476">
        <v>1331.39</v>
      </c>
      <c r="G476" s="35"/>
      <c r="H476" s="36">
        <f t="shared" si="21"/>
        <v>838.77570000000003</v>
      </c>
      <c r="I476" s="37">
        <f t="shared" si="22"/>
        <v>838.77570000000003</v>
      </c>
      <c r="J476" s="4"/>
      <c r="K476" s="38">
        <f t="shared" si="23"/>
        <v>0</v>
      </c>
    </row>
    <row r="477" spans="1:11">
      <c r="A477" t="s">
        <v>2195</v>
      </c>
      <c r="B477" t="s">
        <v>16</v>
      </c>
      <c r="C477" t="s">
        <v>7737</v>
      </c>
      <c r="D477" t="s">
        <v>7752</v>
      </c>
      <c r="E477">
        <v>1801.18</v>
      </c>
      <c r="G477" s="35"/>
      <c r="H477" s="36">
        <f t="shared" si="21"/>
        <v>1134.7434000000001</v>
      </c>
      <c r="I477" s="37">
        <f t="shared" si="22"/>
        <v>1134.7434000000001</v>
      </c>
      <c r="J477" s="4"/>
      <c r="K477" s="38">
        <f t="shared" si="23"/>
        <v>0</v>
      </c>
    </row>
    <row r="478" spans="1:11">
      <c r="A478" t="s">
        <v>2196</v>
      </c>
      <c r="B478" t="s">
        <v>16</v>
      </c>
      <c r="C478" t="s">
        <v>7737</v>
      </c>
      <c r="D478" t="s">
        <v>7753</v>
      </c>
      <c r="E478">
        <v>9155.9</v>
      </c>
      <c r="G478" s="35"/>
      <c r="H478" s="36">
        <f t="shared" si="21"/>
        <v>5768.2169999999996</v>
      </c>
      <c r="I478" s="37">
        <f t="shared" si="22"/>
        <v>5768.2169999999996</v>
      </c>
      <c r="J478" s="4"/>
      <c r="K478" s="38">
        <f t="shared" si="23"/>
        <v>0</v>
      </c>
    </row>
    <row r="479" spans="1:11">
      <c r="A479" t="s">
        <v>2197</v>
      </c>
      <c r="B479" t="s">
        <v>16</v>
      </c>
      <c r="C479" t="s">
        <v>7737</v>
      </c>
      <c r="D479" t="s">
        <v>7754</v>
      </c>
      <c r="E479">
        <v>6317.23</v>
      </c>
      <c r="G479" s="35"/>
      <c r="H479" s="36">
        <f t="shared" si="21"/>
        <v>3979.8548999999998</v>
      </c>
      <c r="I479" s="37">
        <f t="shared" si="22"/>
        <v>3979.8548999999998</v>
      </c>
      <c r="J479" s="4"/>
      <c r="K479" s="38">
        <f t="shared" si="23"/>
        <v>0</v>
      </c>
    </row>
    <row r="480" spans="1:11">
      <c r="A480" t="s">
        <v>2198</v>
      </c>
      <c r="B480" t="s">
        <v>16</v>
      </c>
      <c r="C480" t="s">
        <v>7737</v>
      </c>
      <c r="D480" t="s">
        <v>7755</v>
      </c>
      <c r="E480">
        <v>1170</v>
      </c>
      <c r="G480" s="35"/>
      <c r="H480" s="36">
        <f t="shared" si="21"/>
        <v>737.1</v>
      </c>
      <c r="I480" s="37">
        <f t="shared" si="22"/>
        <v>737.1</v>
      </c>
      <c r="J480" s="4"/>
      <c r="K480" s="38">
        <f t="shared" si="23"/>
        <v>0</v>
      </c>
    </row>
    <row r="481" spans="1:11">
      <c r="A481" t="s">
        <v>2199</v>
      </c>
      <c r="B481" t="s">
        <v>16</v>
      </c>
      <c r="C481" t="s">
        <v>7737</v>
      </c>
      <c r="D481" t="s">
        <v>7756</v>
      </c>
      <c r="E481">
        <v>1438.33</v>
      </c>
      <c r="G481" s="35"/>
      <c r="H481" s="36">
        <f t="shared" si="21"/>
        <v>906.14789999999994</v>
      </c>
      <c r="I481" s="37">
        <f t="shared" si="22"/>
        <v>906.14789999999994</v>
      </c>
      <c r="J481" s="4"/>
      <c r="K481" s="38">
        <f t="shared" si="23"/>
        <v>0</v>
      </c>
    </row>
    <row r="482" spans="1:11">
      <c r="A482" t="s">
        <v>2200</v>
      </c>
      <c r="B482" t="s">
        <v>16</v>
      </c>
      <c r="C482" t="s">
        <v>7737</v>
      </c>
      <c r="D482" t="s">
        <v>7757</v>
      </c>
      <c r="E482">
        <v>4817.3999999999996</v>
      </c>
      <c r="G482" s="35"/>
      <c r="H482" s="36">
        <f t="shared" si="21"/>
        <v>3034.962</v>
      </c>
      <c r="I482" s="37">
        <f t="shared" si="22"/>
        <v>3034.962</v>
      </c>
      <c r="J482" s="4"/>
      <c r="K482" s="38">
        <f t="shared" si="23"/>
        <v>0</v>
      </c>
    </row>
    <row r="483" spans="1:11">
      <c r="A483" t="s">
        <v>2201</v>
      </c>
      <c r="B483" t="s">
        <v>16</v>
      </c>
      <c r="C483" t="s">
        <v>7737</v>
      </c>
      <c r="D483" t="s">
        <v>7758</v>
      </c>
      <c r="E483">
        <v>5135.63</v>
      </c>
      <c r="G483" s="35"/>
      <c r="H483" s="36">
        <f t="shared" si="21"/>
        <v>3235.4468999999999</v>
      </c>
      <c r="I483" s="37">
        <f t="shared" si="22"/>
        <v>3235.4468999999999</v>
      </c>
      <c r="J483" s="4"/>
      <c r="K483" s="38">
        <f t="shared" si="23"/>
        <v>0</v>
      </c>
    </row>
    <row r="484" spans="1:11">
      <c r="A484" t="s">
        <v>2202</v>
      </c>
      <c r="B484" t="s">
        <v>16</v>
      </c>
      <c r="C484" t="s">
        <v>7737</v>
      </c>
      <c r="D484" t="s">
        <v>7759</v>
      </c>
      <c r="E484">
        <v>4412.6400000000003</v>
      </c>
      <c r="G484" s="35"/>
      <c r="H484" s="36">
        <f t="shared" si="21"/>
        <v>2779.9632000000001</v>
      </c>
      <c r="I484" s="37">
        <f t="shared" si="22"/>
        <v>2779.9632000000001</v>
      </c>
      <c r="J484" s="4"/>
      <c r="K484" s="38">
        <f t="shared" si="23"/>
        <v>0</v>
      </c>
    </row>
    <row r="485" spans="1:11">
      <c r="A485" t="s">
        <v>2203</v>
      </c>
      <c r="B485" t="s">
        <v>16</v>
      </c>
      <c r="C485" t="s">
        <v>7737</v>
      </c>
      <c r="D485" t="s">
        <v>7760</v>
      </c>
      <c r="E485">
        <v>5530.52</v>
      </c>
      <c r="G485" s="35"/>
      <c r="H485" s="36">
        <f t="shared" si="21"/>
        <v>3484.2276000000002</v>
      </c>
      <c r="I485" s="37">
        <f t="shared" si="22"/>
        <v>3484.2276000000002</v>
      </c>
      <c r="J485" s="4"/>
      <c r="K485" s="38">
        <f t="shared" si="23"/>
        <v>0</v>
      </c>
    </row>
    <row r="486" spans="1:11">
      <c r="A486" t="s">
        <v>2204</v>
      </c>
      <c r="B486" t="s">
        <v>16</v>
      </c>
      <c r="C486" t="s">
        <v>7737</v>
      </c>
      <c r="D486" t="s">
        <v>7761</v>
      </c>
      <c r="E486">
        <v>7000.89</v>
      </c>
      <c r="G486" s="35"/>
      <c r="H486" s="36">
        <f t="shared" si="21"/>
        <v>4410.5607</v>
      </c>
      <c r="I486" s="37">
        <f t="shared" si="22"/>
        <v>4410.5607</v>
      </c>
      <c r="J486" s="4"/>
      <c r="K486" s="38">
        <f t="shared" si="23"/>
        <v>0</v>
      </c>
    </row>
    <row r="487" spans="1:11">
      <c r="A487" t="s">
        <v>2205</v>
      </c>
      <c r="B487" t="s">
        <v>16</v>
      </c>
      <c r="C487" t="s">
        <v>7737</v>
      </c>
      <c r="D487" t="s">
        <v>7762</v>
      </c>
      <c r="E487">
        <v>8772.1299999999992</v>
      </c>
      <c r="G487" s="35"/>
      <c r="H487" s="36">
        <f t="shared" si="21"/>
        <v>5526.4418999999998</v>
      </c>
      <c r="I487" s="37">
        <f t="shared" si="22"/>
        <v>5526.4418999999998</v>
      </c>
      <c r="J487" s="4"/>
      <c r="K487" s="38">
        <f t="shared" si="23"/>
        <v>0</v>
      </c>
    </row>
    <row r="488" spans="1:11">
      <c r="A488" t="s">
        <v>2206</v>
      </c>
      <c r="B488" t="s">
        <v>16</v>
      </c>
      <c r="C488" t="s">
        <v>7737</v>
      </c>
      <c r="D488" t="s">
        <v>7763</v>
      </c>
      <c r="E488">
        <v>6233.33</v>
      </c>
      <c r="G488" s="35"/>
      <c r="H488" s="36">
        <f t="shared" si="21"/>
        <v>3926.9978999999998</v>
      </c>
      <c r="I488" s="37">
        <f t="shared" si="22"/>
        <v>3926.9978999999998</v>
      </c>
      <c r="J488" s="4"/>
      <c r="K488" s="38">
        <f t="shared" si="23"/>
        <v>0</v>
      </c>
    </row>
    <row r="489" spans="1:11">
      <c r="A489" t="s">
        <v>2207</v>
      </c>
      <c r="B489" t="s">
        <v>16</v>
      </c>
      <c r="C489" t="s">
        <v>7737</v>
      </c>
      <c r="D489" t="s">
        <v>7764</v>
      </c>
      <c r="E489">
        <v>11131.86</v>
      </c>
      <c r="G489" s="35"/>
      <c r="H489" s="36">
        <f t="shared" si="21"/>
        <v>7013.0718000000006</v>
      </c>
      <c r="I489" s="37">
        <f t="shared" si="22"/>
        <v>7013.0718000000006</v>
      </c>
      <c r="J489" s="4"/>
      <c r="K489" s="38">
        <f t="shared" si="23"/>
        <v>0</v>
      </c>
    </row>
    <row r="490" spans="1:11">
      <c r="A490" t="s">
        <v>2208</v>
      </c>
      <c r="B490" t="s">
        <v>16</v>
      </c>
      <c r="C490" t="s">
        <v>7737</v>
      </c>
      <c r="D490" t="s">
        <v>7765</v>
      </c>
      <c r="E490">
        <v>38320.32</v>
      </c>
      <c r="G490" s="35"/>
      <c r="H490" s="36">
        <f t="shared" si="21"/>
        <v>24141.801599999999</v>
      </c>
      <c r="I490" s="37">
        <f t="shared" si="22"/>
        <v>24141.801599999999</v>
      </c>
      <c r="J490" s="4"/>
      <c r="K490" s="38">
        <f t="shared" si="23"/>
        <v>0</v>
      </c>
    </row>
    <row r="491" spans="1:11">
      <c r="A491" t="s">
        <v>2209</v>
      </c>
      <c r="B491" t="s">
        <v>16</v>
      </c>
      <c r="C491" t="s">
        <v>7737</v>
      </c>
      <c r="D491" t="s">
        <v>7766</v>
      </c>
      <c r="E491">
        <v>35657.17</v>
      </c>
      <c r="G491" s="35"/>
      <c r="H491" s="36">
        <f t="shared" si="21"/>
        <v>22464.017099999997</v>
      </c>
      <c r="I491" s="37">
        <f t="shared" si="22"/>
        <v>22464.017099999997</v>
      </c>
      <c r="J491" s="4"/>
      <c r="K491" s="38">
        <f t="shared" si="23"/>
        <v>0</v>
      </c>
    </row>
    <row r="492" spans="1:11">
      <c r="A492" t="s">
        <v>2210</v>
      </c>
      <c r="B492" t="s">
        <v>16</v>
      </c>
      <c r="C492" t="s">
        <v>7737</v>
      </c>
      <c r="D492" t="s">
        <v>7767</v>
      </c>
      <c r="E492">
        <v>26069.17</v>
      </c>
      <c r="G492" s="35"/>
      <c r="H492" s="36">
        <f t="shared" si="21"/>
        <v>16423.577099999999</v>
      </c>
      <c r="I492" s="37">
        <f t="shared" si="22"/>
        <v>16423.577099999999</v>
      </c>
      <c r="J492" s="4"/>
      <c r="K492" s="38">
        <f t="shared" si="23"/>
        <v>0</v>
      </c>
    </row>
    <row r="493" spans="1:11">
      <c r="A493" t="s">
        <v>2211</v>
      </c>
      <c r="B493" t="s">
        <v>16</v>
      </c>
      <c r="C493" t="s">
        <v>7737</v>
      </c>
      <c r="D493" t="s">
        <v>7768</v>
      </c>
      <c r="E493">
        <v>23415.26</v>
      </c>
      <c r="G493" s="35"/>
      <c r="H493" s="36">
        <f t="shared" si="21"/>
        <v>14751.613799999999</v>
      </c>
      <c r="I493" s="37">
        <f t="shared" si="22"/>
        <v>14751.613799999999</v>
      </c>
      <c r="J493" s="4"/>
      <c r="K493" s="38">
        <f t="shared" si="23"/>
        <v>0</v>
      </c>
    </row>
    <row r="494" spans="1:11">
      <c r="A494" t="s">
        <v>2212</v>
      </c>
      <c r="B494" t="s">
        <v>16</v>
      </c>
      <c r="C494" t="s">
        <v>7737</v>
      </c>
      <c r="D494" t="s">
        <v>7769</v>
      </c>
      <c r="E494">
        <v>28927.45</v>
      </c>
      <c r="G494" s="35"/>
      <c r="H494" s="36">
        <f t="shared" si="21"/>
        <v>18224.2935</v>
      </c>
      <c r="I494" s="37">
        <f t="shared" si="22"/>
        <v>18224.2935</v>
      </c>
      <c r="J494" s="4"/>
      <c r="K494" s="38">
        <f t="shared" si="23"/>
        <v>0</v>
      </c>
    </row>
    <row r="495" spans="1:11">
      <c r="A495" t="s">
        <v>2213</v>
      </c>
      <c r="B495" t="s">
        <v>16</v>
      </c>
      <c r="C495" t="s">
        <v>7737</v>
      </c>
      <c r="D495" t="s">
        <v>7770</v>
      </c>
      <c r="E495">
        <v>31738.48</v>
      </c>
      <c r="G495" s="35"/>
      <c r="H495" s="36">
        <f t="shared" si="21"/>
        <v>19995.242399999999</v>
      </c>
      <c r="I495" s="37">
        <f t="shared" si="22"/>
        <v>19995.242399999999</v>
      </c>
      <c r="J495" s="4"/>
      <c r="K495" s="38">
        <f t="shared" si="23"/>
        <v>0</v>
      </c>
    </row>
    <row r="496" spans="1:11">
      <c r="A496" t="s">
        <v>2214</v>
      </c>
      <c r="B496" t="s">
        <v>16</v>
      </c>
      <c r="C496" t="s">
        <v>7737</v>
      </c>
      <c r="D496" t="s">
        <v>7771</v>
      </c>
      <c r="E496">
        <v>44067.3</v>
      </c>
      <c r="G496" s="35"/>
      <c r="H496" s="36">
        <f t="shared" si="21"/>
        <v>27762.399000000001</v>
      </c>
      <c r="I496" s="37">
        <f t="shared" si="22"/>
        <v>27762.399000000001</v>
      </c>
      <c r="J496" s="4"/>
      <c r="K496" s="38">
        <f t="shared" si="23"/>
        <v>0</v>
      </c>
    </row>
    <row r="497" spans="1:11">
      <c r="A497" t="s">
        <v>2215</v>
      </c>
      <c r="B497" t="s">
        <v>16</v>
      </c>
      <c r="C497" t="s">
        <v>7737</v>
      </c>
      <c r="D497" t="s">
        <v>7772</v>
      </c>
      <c r="E497">
        <v>41005.230000000003</v>
      </c>
      <c r="G497" s="35"/>
      <c r="H497" s="36">
        <f t="shared" si="21"/>
        <v>25833.294900000001</v>
      </c>
      <c r="I497" s="37">
        <f t="shared" si="22"/>
        <v>25833.294900000001</v>
      </c>
      <c r="J497" s="4"/>
      <c r="K497" s="38">
        <f t="shared" si="23"/>
        <v>0</v>
      </c>
    </row>
    <row r="498" spans="1:11">
      <c r="A498" t="s">
        <v>2216</v>
      </c>
      <c r="B498" t="s">
        <v>16</v>
      </c>
      <c r="C498" t="s">
        <v>7737</v>
      </c>
      <c r="D498" t="s">
        <v>9875</v>
      </c>
      <c r="E498">
        <v>29978.720000000001</v>
      </c>
      <c r="G498" s="35"/>
      <c r="H498" s="36">
        <f t="shared" si="21"/>
        <v>18886.5936</v>
      </c>
      <c r="I498" s="37">
        <f t="shared" si="22"/>
        <v>18886.5936</v>
      </c>
      <c r="J498" s="4"/>
      <c r="K498" s="38">
        <f t="shared" si="23"/>
        <v>0</v>
      </c>
    </row>
    <row r="499" spans="1:11">
      <c r="A499" t="s">
        <v>9876</v>
      </c>
      <c r="B499" t="s">
        <v>16</v>
      </c>
      <c r="C499" t="s">
        <v>7737</v>
      </c>
      <c r="D499" t="s">
        <v>9877</v>
      </c>
      <c r="E499">
        <v>26927.34</v>
      </c>
      <c r="G499" s="35"/>
      <c r="H499" s="36">
        <f t="shared" si="21"/>
        <v>16964.224200000001</v>
      </c>
      <c r="I499" s="37">
        <f t="shared" si="22"/>
        <v>16964.224200000001</v>
      </c>
      <c r="J499" s="4"/>
      <c r="K499" s="38">
        <f t="shared" si="23"/>
        <v>0</v>
      </c>
    </row>
    <row r="500" spans="1:11">
      <c r="A500" t="s">
        <v>140</v>
      </c>
      <c r="B500" t="s">
        <v>16</v>
      </c>
      <c r="C500" t="s">
        <v>5687</v>
      </c>
      <c r="D500" t="s">
        <v>5688</v>
      </c>
      <c r="E500">
        <v>25344.76</v>
      </c>
      <c r="G500" s="35"/>
      <c r="H500" s="36">
        <f t="shared" si="21"/>
        <v>15967.198799999998</v>
      </c>
      <c r="I500" s="37">
        <f t="shared" si="22"/>
        <v>15967.198799999998</v>
      </c>
      <c r="J500" s="4"/>
      <c r="K500" s="38">
        <f t="shared" si="23"/>
        <v>0</v>
      </c>
    </row>
    <row r="501" spans="1:11">
      <c r="A501" t="s">
        <v>141</v>
      </c>
      <c r="B501" t="s">
        <v>16</v>
      </c>
      <c r="C501" t="s">
        <v>5687</v>
      </c>
      <c r="D501" t="s">
        <v>11655</v>
      </c>
      <c r="E501">
        <v>39214.51</v>
      </c>
      <c r="G501" s="35"/>
      <c r="H501" s="36">
        <f t="shared" si="21"/>
        <v>24705.141300000003</v>
      </c>
      <c r="I501" s="37">
        <f t="shared" si="22"/>
        <v>24705.141300000003</v>
      </c>
      <c r="J501" s="4"/>
      <c r="K501" s="38">
        <f t="shared" si="23"/>
        <v>0</v>
      </c>
    </row>
    <row r="502" spans="1:11">
      <c r="A502" t="s">
        <v>142</v>
      </c>
      <c r="B502" t="s">
        <v>16</v>
      </c>
      <c r="C502" t="s">
        <v>5687</v>
      </c>
      <c r="D502" t="s">
        <v>5689</v>
      </c>
      <c r="E502">
        <v>25320.69</v>
      </c>
      <c r="G502" s="35"/>
      <c r="H502" s="36">
        <f t="shared" si="21"/>
        <v>15952.0347</v>
      </c>
      <c r="I502" s="37">
        <f t="shared" si="22"/>
        <v>15952.0347</v>
      </c>
      <c r="J502" s="4"/>
      <c r="K502" s="38">
        <f t="shared" si="23"/>
        <v>0</v>
      </c>
    </row>
    <row r="503" spans="1:11">
      <c r="A503" t="s">
        <v>152</v>
      </c>
      <c r="B503" t="s">
        <v>16</v>
      </c>
      <c r="C503" t="s">
        <v>5721</v>
      </c>
      <c r="D503" t="s">
        <v>5722</v>
      </c>
      <c r="E503">
        <v>34109.11</v>
      </c>
      <c r="G503" s="35"/>
      <c r="H503" s="36">
        <f t="shared" si="21"/>
        <v>21488.739300000001</v>
      </c>
      <c r="I503" s="37">
        <f t="shared" si="22"/>
        <v>21488.739300000001</v>
      </c>
      <c r="J503" s="4"/>
      <c r="K503" s="38">
        <f t="shared" si="23"/>
        <v>0</v>
      </c>
    </row>
    <row r="504" spans="1:11">
      <c r="A504" t="s">
        <v>153</v>
      </c>
      <c r="B504" t="s">
        <v>16</v>
      </c>
      <c r="C504" t="s">
        <v>5721</v>
      </c>
      <c r="D504" t="s">
        <v>5723</v>
      </c>
      <c r="E504">
        <v>34109.11</v>
      </c>
      <c r="G504" s="35"/>
      <c r="H504" s="36">
        <f t="shared" si="21"/>
        <v>21488.739300000001</v>
      </c>
      <c r="I504" s="37">
        <f t="shared" si="22"/>
        <v>21488.739300000001</v>
      </c>
      <c r="J504" s="4"/>
      <c r="K504" s="38">
        <f t="shared" si="23"/>
        <v>0</v>
      </c>
    </row>
    <row r="505" spans="1:11">
      <c r="A505" t="s">
        <v>154</v>
      </c>
      <c r="B505" t="s">
        <v>16</v>
      </c>
      <c r="C505" t="s">
        <v>5721</v>
      </c>
      <c r="D505" t="s">
        <v>5724</v>
      </c>
      <c r="E505">
        <v>34109.11</v>
      </c>
      <c r="G505" s="35"/>
      <c r="H505" s="36">
        <f t="shared" si="21"/>
        <v>21488.739300000001</v>
      </c>
      <c r="I505" s="37">
        <f t="shared" si="22"/>
        <v>21488.739300000001</v>
      </c>
      <c r="J505" s="4"/>
      <c r="K505" s="38">
        <f t="shared" si="23"/>
        <v>0</v>
      </c>
    </row>
    <row r="506" spans="1:11">
      <c r="A506" t="s">
        <v>155</v>
      </c>
      <c r="B506" t="s">
        <v>16</v>
      </c>
      <c r="C506" t="s">
        <v>5721</v>
      </c>
      <c r="D506" t="s">
        <v>5725</v>
      </c>
      <c r="E506">
        <v>34109.11</v>
      </c>
      <c r="G506" s="35"/>
      <c r="H506" s="36">
        <f t="shared" si="21"/>
        <v>21488.739300000001</v>
      </c>
      <c r="I506" s="37">
        <f t="shared" si="22"/>
        <v>21488.739300000001</v>
      </c>
      <c r="J506" s="4"/>
      <c r="K506" s="38">
        <f t="shared" si="23"/>
        <v>0</v>
      </c>
    </row>
    <row r="507" spans="1:11">
      <c r="A507" t="s">
        <v>156</v>
      </c>
      <c r="B507" t="s">
        <v>16</v>
      </c>
      <c r="C507" t="s">
        <v>5721</v>
      </c>
      <c r="D507" t="s">
        <v>5726</v>
      </c>
      <c r="E507">
        <v>41272.99</v>
      </c>
      <c r="G507" s="35"/>
      <c r="H507" s="36">
        <f t="shared" si="21"/>
        <v>26001.983700000001</v>
      </c>
      <c r="I507" s="37">
        <f t="shared" si="22"/>
        <v>26001.983700000001</v>
      </c>
      <c r="J507" s="4"/>
      <c r="K507" s="38">
        <f t="shared" si="23"/>
        <v>0</v>
      </c>
    </row>
    <row r="508" spans="1:11">
      <c r="A508" t="s">
        <v>157</v>
      </c>
      <c r="B508" t="s">
        <v>16</v>
      </c>
      <c r="C508" t="s">
        <v>5721</v>
      </c>
      <c r="D508" t="s">
        <v>5727</v>
      </c>
      <c r="E508">
        <v>41272.99</v>
      </c>
      <c r="G508" s="35"/>
      <c r="H508" s="36">
        <f t="shared" si="21"/>
        <v>26001.983700000001</v>
      </c>
      <c r="I508" s="37">
        <f t="shared" si="22"/>
        <v>26001.983700000001</v>
      </c>
      <c r="J508" s="4"/>
      <c r="K508" s="38">
        <f t="shared" si="23"/>
        <v>0</v>
      </c>
    </row>
    <row r="509" spans="1:11">
      <c r="A509" t="s">
        <v>2255</v>
      </c>
      <c r="B509" t="s">
        <v>16</v>
      </c>
      <c r="C509" t="s">
        <v>7814</v>
      </c>
      <c r="D509" t="s">
        <v>7815</v>
      </c>
      <c r="E509">
        <v>3907.13</v>
      </c>
      <c r="G509" s="35"/>
      <c r="H509" s="36">
        <f t="shared" si="21"/>
        <v>2461.4919</v>
      </c>
      <c r="I509" s="37">
        <f t="shared" si="22"/>
        <v>2461.4919</v>
      </c>
      <c r="J509" s="4"/>
      <c r="K509" s="38">
        <f t="shared" si="23"/>
        <v>0</v>
      </c>
    </row>
    <row r="510" spans="1:11">
      <c r="A510" t="s">
        <v>2256</v>
      </c>
      <c r="B510" t="s">
        <v>16</v>
      </c>
      <c r="C510" t="s">
        <v>7814</v>
      </c>
      <c r="D510" t="s">
        <v>7816</v>
      </c>
      <c r="E510">
        <v>11268.87</v>
      </c>
      <c r="G510" s="35"/>
      <c r="H510" s="36">
        <f t="shared" si="21"/>
        <v>7099.3881000000001</v>
      </c>
      <c r="I510" s="37">
        <f t="shared" si="22"/>
        <v>7099.3881000000001</v>
      </c>
      <c r="J510" s="4"/>
      <c r="K510" s="38">
        <f t="shared" si="23"/>
        <v>0</v>
      </c>
    </row>
    <row r="511" spans="1:11">
      <c r="A511" t="s">
        <v>2045</v>
      </c>
      <c r="B511" t="s">
        <v>16</v>
      </c>
      <c r="C511" t="s">
        <v>7629</v>
      </c>
      <c r="D511" t="s">
        <v>7630</v>
      </c>
      <c r="E511">
        <v>22158.69</v>
      </c>
      <c r="G511" s="35"/>
      <c r="H511" s="36">
        <f t="shared" si="21"/>
        <v>13959.974699999999</v>
      </c>
      <c r="I511" s="37">
        <f t="shared" si="22"/>
        <v>13959.974699999999</v>
      </c>
      <c r="J511" s="4"/>
      <c r="K511" s="38">
        <f t="shared" si="23"/>
        <v>0</v>
      </c>
    </row>
    <row r="512" spans="1:11">
      <c r="A512" t="s">
        <v>2046</v>
      </c>
      <c r="B512" t="s">
        <v>16</v>
      </c>
      <c r="C512" t="s">
        <v>7629</v>
      </c>
      <c r="D512" t="s">
        <v>7631</v>
      </c>
      <c r="E512">
        <v>22158.69</v>
      </c>
      <c r="G512" s="35"/>
      <c r="H512" s="36">
        <f t="shared" si="21"/>
        <v>13959.974699999999</v>
      </c>
      <c r="I512" s="37">
        <f t="shared" si="22"/>
        <v>13959.974699999999</v>
      </c>
      <c r="J512" s="4"/>
      <c r="K512" s="38">
        <f t="shared" si="23"/>
        <v>0</v>
      </c>
    </row>
    <row r="513" spans="1:11">
      <c r="A513" t="s">
        <v>2265</v>
      </c>
      <c r="B513" t="s">
        <v>16</v>
      </c>
      <c r="C513" t="s">
        <v>7823</v>
      </c>
      <c r="D513" t="s">
        <v>7824</v>
      </c>
      <c r="E513">
        <v>25169.279999999999</v>
      </c>
      <c r="G513" s="35"/>
      <c r="H513" s="36">
        <f t="shared" si="21"/>
        <v>15856.6464</v>
      </c>
      <c r="I513" s="37">
        <f t="shared" si="22"/>
        <v>15856.6464</v>
      </c>
      <c r="J513" s="4"/>
      <c r="K513" s="38">
        <f t="shared" si="23"/>
        <v>0</v>
      </c>
    </row>
    <row r="514" spans="1:11">
      <c r="A514" t="s">
        <v>2266</v>
      </c>
      <c r="B514" t="s">
        <v>16</v>
      </c>
      <c r="C514" t="s">
        <v>7823</v>
      </c>
      <c r="D514" t="s">
        <v>7825</v>
      </c>
      <c r="E514">
        <v>20935.34</v>
      </c>
      <c r="G514" s="35"/>
      <c r="H514" s="36">
        <f t="shared" si="21"/>
        <v>13189.2642</v>
      </c>
      <c r="I514" s="37">
        <f t="shared" si="22"/>
        <v>13189.2642</v>
      </c>
      <c r="J514" s="4"/>
      <c r="K514" s="38">
        <f t="shared" si="23"/>
        <v>0</v>
      </c>
    </row>
    <row r="515" spans="1:11">
      <c r="A515" t="s">
        <v>2270</v>
      </c>
      <c r="B515" t="s">
        <v>16</v>
      </c>
      <c r="C515" t="s">
        <v>7828</v>
      </c>
      <c r="D515" t="s">
        <v>7829</v>
      </c>
      <c r="E515">
        <v>7516.41</v>
      </c>
      <c r="G515" s="35"/>
      <c r="H515" s="36">
        <f t="shared" si="21"/>
        <v>4735.3383000000003</v>
      </c>
      <c r="I515" s="37">
        <f t="shared" si="22"/>
        <v>4735.3383000000003</v>
      </c>
      <c r="J515" s="4"/>
      <c r="K515" s="38">
        <f t="shared" si="23"/>
        <v>0</v>
      </c>
    </row>
    <row r="516" spans="1:11">
      <c r="A516" t="s">
        <v>2271</v>
      </c>
      <c r="B516" t="s">
        <v>16</v>
      </c>
      <c r="C516" t="s">
        <v>7828</v>
      </c>
      <c r="D516" t="s">
        <v>7830</v>
      </c>
      <c r="E516">
        <v>23001.7</v>
      </c>
      <c r="G516" s="35"/>
      <c r="H516" s="36">
        <f t="shared" si="21"/>
        <v>14491.071</v>
      </c>
      <c r="I516" s="37">
        <f t="shared" si="22"/>
        <v>14491.071</v>
      </c>
      <c r="J516" s="4"/>
      <c r="K516" s="38">
        <f t="shared" si="23"/>
        <v>0</v>
      </c>
    </row>
    <row r="517" spans="1:11">
      <c r="A517" t="s">
        <v>2272</v>
      </c>
      <c r="B517" t="s">
        <v>16</v>
      </c>
      <c r="C517" t="s">
        <v>7828</v>
      </c>
      <c r="D517" t="s">
        <v>7831</v>
      </c>
      <c r="E517">
        <v>36826.53</v>
      </c>
      <c r="G517" s="35"/>
      <c r="H517" s="36">
        <f t="shared" si="21"/>
        <v>23200.713899999999</v>
      </c>
      <c r="I517" s="37">
        <f t="shared" si="22"/>
        <v>23200.713899999999</v>
      </c>
      <c r="J517" s="4"/>
      <c r="K517" s="38">
        <f t="shared" si="23"/>
        <v>0</v>
      </c>
    </row>
    <row r="518" spans="1:11">
      <c r="A518" t="s">
        <v>2273</v>
      </c>
      <c r="B518" t="s">
        <v>16</v>
      </c>
      <c r="C518" t="s">
        <v>7828</v>
      </c>
      <c r="D518" t="s">
        <v>7832</v>
      </c>
      <c r="E518">
        <v>25139.24</v>
      </c>
      <c r="G518" s="35"/>
      <c r="H518" s="36">
        <f t="shared" si="21"/>
        <v>15837.721200000002</v>
      </c>
      <c r="I518" s="37">
        <f t="shared" si="22"/>
        <v>15837.721200000002</v>
      </c>
      <c r="J518" s="4"/>
      <c r="K518" s="38">
        <f t="shared" si="23"/>
        <v>0</v>
      </c>
    </row>
    <row r="519" spans="1:11">
      <c r="A519" t="s">
        <v>2274</v>
      </c>
      <c r="B519" t="s">
        <v>16</v>
      </c>
      <c r="C519" t="s">
        <v>7828</v>
      </c>
      <c r="D519" t="s">
        <v>7833</v>
      </c>
      <c r="E519">
        <v>16663.88</v>
      </c>
      <c r="G519" s="35"/>
      <c r="H519" s="36">
        <f t="shared" ref="H519:H582" si="24">+E519*$H$1*(1-G519)</f>
        <v>10498.244400000001</v>
      </c>
      <c r="I519" s="37">
        <f t="shared" ref="I519:I582" si="25">H519*$H$4</f>
        <v>10498.244400000001</v>
      </c>
      <c r="J519" s="4"/>
      <c r="K519" s="38">
        <f t="shared" ref="K519:K582" si="26">J519*I519</f>
        <v>0</v>
      </c>
    </row>
    <row r="520" spans="1:11">
      <c r="A520" t="s">
        <v>2275</v>
      </c>
      <c r="B520" t="s">
        <v>16</v>
      </c>
      <c r="C520" t="s">
        <v>7828</v>
      </c>
      <c r="D520" t="s">
        <v>7834</v>
      </c>
      <c r="E520">
        <v>42207.96</v>
      </c>
      <c r="G520" s="35"/>
      <c r="H520" s="36">
        <f t="shared" si="24"/>
        <v>26591.014800000001</v>
      </c>
      <c r="I520" s="37">
        <f t="shared" si="25"/>
        <v>26591.014800000001</v>
      </c>
      <c r="J520" s="4"/>
      <c r="K520" s="38">
        <f t="shared" si="26"/>
        <v>0</v>
      </c>
    </row>
    <row r="521" spans="1:11">
      <c r="A521" t="s">
        <v>2299</v>
      </c>
      <c r="B521" t="s">
        <v>16</v>
      </c>
      <c r="C521" t="s">
        <v>7853</v>
      </c>
      <c r="D521" t="s">
        <v>7854</v>
      </c>
      <c r="E521">
        <v>9685.15</v>
      </c>
      <c r="G521" s="35"/>
      <c r="H521" s="36">
        <f t="shared" si="24"/>
        <v>6101.6444999999994</v>
      </c>
      <c r="I521" s="37">
        <f t="shared" si="25"/>
        <v>6101.6444999999994</v>
      </c>
      <c r="J521" s="4"/>
      <c r="K521" s="38">
        <f t="shared" si="26"/>
        <v>0</v>
      </c>
    </row>
    <row r="522" spans="1:11">
      <c r="A522" t="s">
        <v>2300</v>
      </c>
      <c r="B522" t="s">
        <v>16</v>
      </c>
      <c r="C522" t="s">
        <v>7853</v>
      </c>
      <c r="D522" t="s">
        <v>7855</v>
      </c>
      <c r="E522">
        <v>12513.55</v>
      </c>
      <c r="G522" s="35"/>
      <c r="H522" s="36">
        <f t="shared" si="24"/>
        <v>7883.5364999999993</v>
      </c>
      <c r="I522" s="37">
        <f t="shared" si="25"/>
        <v>7883.5364999999993</v>
      </c>
      <c r="J522" s="4"/>
      <c r="K522" s="38">
        <f t="shared" si="26"/>
        <v>0</v>
      </c>
    </row>
    <row r="523" spans="1:11">
      <c r="A523" t="s">
        <v>2298</v>
      </c>
      <c r="B523" t="s">
        <v>16</v>
      </c>
      <c r="C523" t="s">
        <v>7851</v>
      </c>
      <c r="D523" t="s">
        <v>7852</v>
      </c>
      <c r="E523">
        <v>34110.76</v>
      </c>
      <c r="G523" s="35"/>
      <c r="H523" s="36">
        <f t="shared" si="24"/>
        <v>21489.7788</v>
      </c>
      <c r="I523" s="37">
        <f t="shared" si="25"/>
        <v>21489.7788</v>
      </c>
      <c r="J523" s="4"/>
      <c r="K523" s="38">
        <f t="shared" si="26"/>
        <v>0</v>
      </c>
    </row>
    <row r="524" spans="1:11">
      <c r="A524" t="s">
        <v>3877</v>
      </c>
      <c r="B524" t="s">
        <v>16</v>
      </c>
      <c r="C524" t="s">
        <v>9347</v>
      </c>
      <c r="D524" t="s">
        <v>12279</v>
      </c>
      <c r="E524">
        <v>1058.96</v>
      </c>
      <c r="G524" s="35"/>
      <c r="H524" s="36">
        <f t="shared" si="24"/>
        <v>667.14480000000003</v>
      </c>
      <c r="I524" s="37">
        <f t="shared" si="25"/>
        <v>667.14480000000003</v>
      </c>
      <c r="J524" s="4"/>
      <c r="K524" s="38">
        <f t="shared" si="26"/>
        <v>0</v>
      </c>
    </row>
    <row r="525" spans="1:11">
      <c r="A525" t="s">
        <v>3878</v>
      </c>
      <c r="B525" t="s">
        <v>16</v>
      </c>
      <c r="C525" t="s">
        <v>9347</v>
      </c>
      <c r="D525" t="s">
        <v>9348</v>
      </c>
      <c r="E525">
        <v>2701.8</v>
      </c>
      <c r="G525" s="35"/>
      <c r="H525" s="36">
        <f t="shared" si="24"/>
        <v>1702.134</v>
      </c>
      <c r="I525" s="37">
        <f t="shared" si="25"/>
        <v>1702.134</v>
      </c>
      <c r="J525" s="4"/>
      <c r="K525" s="38">
        <f t="shared" si="26"/>
        <v>0</v>
      </c>
    </row>
    <row r="526" spans="1:11">
      <c r="A526" t="s">
        <v>3879</v>
      </c>
      <c r="B526" t="s">
        <v>16</v>
      </c>
      <c r="C526" t="s">
        <v>9347</v>
      </c>
      <c r="D526" t="s">
        <v>9349</v>
      </c>
      <c r="E526">
        <v>2230.2199999999998</v>
      </c>
      <c r="G526" s="35"/>
      <c r="H526" s="36">
        <f t="shared" si="24"/>
        <v>1405.0385999999999</v>
      </c>
      <c r="I526" s="37">
        <f t="shared" si="25"/>
        <v>1405.0385999999999</v>
      </c>
      <c r="J526" s="4"/>
      <c r="K526" s="38">
        <f t="shared" si="26"/>
        <v>0</v>
      </c>
    </row>
    <row r="527" spans="1:11">
      <c r="A527" t="s">
        <v>11877</v>
      </c>
      <c r="B527" t="s">
        <v>16</v>
      </c>
      <c r="C527" t="s">
        <v>7932</v>
      </c>
      <c r="D527" t="s">
        <v>11898</v>
      </c>
      <c r="E527">
        <v>83373.45</v>
      </c>
      <c r="G527" s="35"/>
      <c r="H527" s="36">
        <f t="shared" si="24"/>
        <v>52525.273499999996</v>
      </c>
      <c r="I527" s="37">
        <f t="shared" si="25"/>
        <v>52525.273499999996</v>
      </c>
      <c r="J527" s="4"/>
      <c r="K527" s="38">
        <f t="shared" si="26"/>
        <v>0</v>
      </c>
    </row>
    <row r="528" spans="1:11">
      <c r="A528" t="s">
        <v>4089</v>
      </c>
      <c r="B528" t="s">
        <v>16</v>
      </c>
      <c r="C528" t="s">
        <v>9527</v>
      </c>
      <c r="D528" t="s">
        <v>9547</v>
      </c>
      <c r="E528">
        <v>4168.3599999999997</v>
      </c>
      <c r="G528" s="35"/>
      <c r="H528" s="36">
        <f t="shared" si="24"/>
        <v>2626.0667999999996</v>
      </c>
      <c r="I528" s="37">
        <f t="shared" si="25"/>
        <v>2626.0667999999996</v>
      </c>
      <c r="J528" s="4"/>
      <c r="K528" s="38">
        <f t="shared" si="26"/>
        <v>0</v>
      </c>
    </row>
    <row r="529" spans="1:11">
      <c r="A529" t="s">
        <v>4090</v>
      </c>
      <c r="B529" t="s">
        <v>16</v>
      </c>
      <c r="C529" t="s">
        <v>9527</v>
      </c>
      <c r="D529" t="s">
        <v>9548</v>
      </c>
      <c r="E529">
        <v>7264.88</v>
      </c>
      <c r="G529" s="35"/>
      <c r="H529" s="36">
        <f t="shared" si="24"/>
        <v>4576.8743999999997</v>
      </c>
      <c r="I529" s="37">
        <f t="shared" si="25"/>
        <v>4576.8743999999997</v>
      </c>
      <c r="J529" s="4"/>
      <c r="K529" s="38">
        <f t="shared" si="26"/>
        <v>0</v>
      </c>
    </row>
    <row r="530" spans="1:11">
      <c r="A530" t="s">
        <v>12402</v>
      </c>
      <c r="B530" t="s">
        <v>16</v>
      </c>
      <c r="C530" t="s">
        <v>12403</v>
      </c>
      <c r="D530" t="s">
        <v>12404</v>
      </c>
      <c r="E530">
        <v>2032.51</v>
      </c>
      <c r="G530" s="35"/>
      <c r="H530" s="36">
        <f t="shared" si="24"/>
        <v>1280.4812999999999</v>
      </c>
      <c r="I530" s="37">
        <f t="shared" si="25"/>
        <v>1280.4812999999999</v>
      </c>
      <c r="J530" s="4"/>
      <c r="K530" s="38">
        <f t="shared" si="26"/>
        <v>0</v>
      </c>
    </row>
    <row r="531" spans="1:11">
      <c r="A531" t="s">
        <v>12405</v>
      </c>
      <c r="B531" t="s">
        <v>16</v>
      </c>
      <c r="C531" t="s">
        <v>12403</v>
      </c>
      <c r="D531" t="s">
        <v>12406</v>
      </c>
      <c r="E531">
        <v>2366.86</v>
      </c>
      <c r="G531" s="35"/>
      <c r="H531" s="36">
        <f t="shared" si="24"/>
        <v>1491.1218000000001</v>
      </c>
      <c r="I531" s="37">
        <f t="shared" si="25"/>
        <v>1491.1218000000001</v>
      </c>
      <c r="J531" s="4"/>
      <c r="K531" s="38">
        <f t="shared" si="26"/>
        <v>0</v>
      </c>
    </row>
    <row r="532" spans="1:11">
      <c r="A532" t="s">
        <v>12407</v>
      </c>
      <c r="B532" t="s">
        <v>16</v>
      </c>
      <c r="C532" t="s">
        <v>12403</v>
      </c>
      <c r="D532" t="s">
        <v>12408</v>
      </c>
      <c r="E532">
        <v>2032.51</v>
      </c>
      <c r="G532" s="35"/>
      <c r="H532" s="36">
        <f t="shared" si="24"/>
        <v>1280.4812999999999</v>
      </c>
      <c r="I532" s="37">
        <f t="shared" si="25"/>
        <v>1280.4812999999999</v>
      </c>
      <c r="J532" s="4"/>
      <c r="K532" s="38">
        <f t="shared" si="26"/>
        <v>0</v>
      </c>
    </row>
    <row r="533" spans="1:11">
      <c r="A533" t="s">
        <v>12409</v>
      </c>
      <c r="B533" t="s">
        <v>16</v>
      </c>
      <c r="C533" t="s">
        <v>12403</v>
      </c>
      <c r="D533" t="s">
        <v>12410</v>
      </c>
      <c r="E533">
        <v>2366.86</v>
      </c>
      <c r="G533" s="35"/>
      <c r="H533" s="36">
        <f t="shared" si="24"/>
        <v>1491.1218000000001</v>
      </c>
      <c r="I533" s="37">
        <f t="shared" si="25"/>
        <v>1491.1218000000001</v>
      </c>
      <c r="J533" s="4"/>
      <c r="K533" s="38">
        <f t="shared" si="26"/>
        <v>0</v>
      </c>
    </row>
    <row r="534" spans="1:11">
      <c r="A534" t="s">
        <v>2455</v>
      </c>
      <c r="B534" t="s">
        <v>16</v>
      </c>
      <c r="C534" t="s">
        <v>7980</v>
      </c>
      <c r="D534" t="s">
        <v>7981</v>
      </c>
      <c r="E534">
        <v>7546.26</v>
      </c>
      <c r="G534" s="35"/>
      <c r="H534" s="36">
        <f t="shared" si="24"/>
        <v>4754.1437999999998</v>
      </c>
      <c r="I534" s="37">
        <f t="shared" si="25"/>
        <v>4754.1437999999998</v>
      </c>
      <c r="J534" s="4"/>
      <c r="K534" s="38">
        <f t="shared" si="26"/>
        <v>0</v>
      </c>
    </row>
    <row r="535" spans="1:11">
      <c r="A535" t="s">
        <v>2456</v>
      </c>
      <c r="B535" t="s">
        <v>16</v>
      </c>
      <c r="C535" t="s">
        <v>7980</v>
      </c>
      <c r="D535" t="s">
        <v>7982</v>
      </c>
      <c r="E535">
        <v>1296.6600000000001</v>
      </c>
      <c r="G535" s="35"/>
      <c r="H535" s="36">
        <f t="shared" si="24"/>
        <v>816.89580000000001</v>
      </c>
      <c r="I535" s="37">
        <f t="shared" si="25"/>
        <v>816.89580000000001</v>
      </c>
      <c r="J535" s="4"/>
      <c r="K535" s="38">
        <f t="shared" si="26"/>
        <v>0</v>
      </c>
    </row>
    <row r="536" spans="1:11">
      <c r="A536" t="s">
        <v>2457</v>
      </c>
      <c r="B536" t="s">
        <v>16</v>
      </c>
      <c r="C536" t="s">
        <v>7980</v>
      </c>
      <c r="D536" t="s">
        <v>7983</v>
      </c>
      <c r="E536">
        <v>1296.6600000000001</v>
      </c>
      <c r="G536" s="35"/>
      <c r="H536" s="36">
        <f t="shared" si="24"/>
        <v>816.89580000000001</v>
      </c>
      <c r="I536" s="37">
        <f t="shared" si="25"/>
        <v>816.89580000000001</v>
      </c>
      <c r="J536" s="4"/>
      <c r="K536" s="38">
        <f t="shared" si="26"/>
        <v>0</v>
      </c>
    </row>
    <row r="537" spans="1:11">
      <c r="A537" t="s">
        <v>2458</v>
      </c>
      <c r="B537" t="s">
        <v>16</v>
      </c>
      <c r="C537" t="s">
        <v>7980</v>
      </c>
      <c r="D537" t="s">
        <v>7984</v>
      </c>
      <c r="E537">
        <v>1296.6600000000001</v>
      </c>
      <c r="G537" s="35"/>
      <c r="H537" s="36">
        <f t="shared" si="24"/>
        <v>816.89580000000001</v>
      </c>
      <c r="I537" s="37">
        <f t="shared" si="25"/>
        <v>816.89580000000001</v>
      </c>
      <c r="J537" s="4"/>
      <c r="K537" s="38">
        <f t="shared" si="26"/>
        <v>0</v>
      </c>
    </row>
    <row r="538" spans="1:11">
      <c r="A538" t="s">
        <v>2459</v>
      </c>
      <c r="B538" t="s">
        <v>16</v>
      </c>
      <c r="C538" t="s">
        <v>7980</v>
      </c>
      <c r="D538" t="s">
        <v>7985</v>
      </c>
      <c r="E538">
        <v>958.47</v>
      </c>
      <c r="G538" s="35"/>
      <c r="H538" s="36">
        <f t="shared" si="24"/>
        <v>603.83609999999999</v>
      </c>
      <c r="I538" s="37">
        <f t="shared" si="25"/>
        <v>603.83609999999999</v>
      </c>
      <c r="J538" s="4"/>
      <c r="K538" s="38">
        <f t="shared" si="26"/>
        <v>0</v>
      </c>
    </row>
    <row r="539" spans="1:11">
      <c r="A539" t="s">
        <v>2460</v>
      </c>
      <c r="B539" t="s">
        <v>16</v>
      </c>
      <c r="C539" t="s">
        <v>7980</v>
      </c>
      <c r="D539" t="s">
        <v>7986</v>
      </c>
      <c r="E539">
        <v>2955.33</v>
      </c>
      <c r="G539" s="35"/>
      <c r="H539" s="36">
        <f t="shared" si="24"/>
        <v>1861.8579</v>
      </c>
      <c r="I539" s="37">
        <f t="shared" si="25"/>
        <v>1861.8579</v>
      </c>
      <c r="J539" s="4"/>
      <c r="K539" s="38">
        <f t="shared" si="26"/>
        <v>0</v>
      </c>
    </row>
    <row r="540" spans="1:11">
      <c r="A540" t="s">
        <v>9767</v>
      </c>
      <c r="B540" t="s">
        <v>16</v>
      </c>
      <c r="C540" t="s">
        <v>9768</v>
      </c>
      <c r="D540" t="s">
        <v>12365</v>
      </c>
      <c r="E540">
        <v>1425.76</v>
      </c>
      <c r="G540" s="35"/>
      <c r="H540" s="36">
        <f t="shared" si="24"/>
        <v>898.22879999999998</v>
      </c>
      <c r="I540" s="37">
        <f t="shared" si="25"/>
        <v>898.22879999999998</v>
      </c>
      <c r="J540" s="4"/>
      <c r="K540" s="38">
        <f t="shared" si="26"/>
        <v>0</v>
      </c>
    </row>
    <row r="541" spans="1:11">
      <c r="A541" t="s">
        <v>10572</v>
      </c>
      <c r="B541" t="s">
        <v>16</v>
      </c>
      <c r="C541" t="s">
        <v>10573</v>
      </c>
      <c r="D541" t="s">
        <v>10574</v>
      </c>
      <c r="E541">
        <v>1528.31</v>
      </c>
      <c r="G541" s="35"/>
      <c r="H541" s="36">
        <f t="shared" si="24"/>
        <v>962.83529999999996</v>
      </c>
      <c r="I541" s="37">
        <f t="shared" si="25"/>
        <v>962.83529999999996</v>
      </c>
      <c r="J541" s="4"/>
      <c r="K541" s="38">
        <f t="shared" si="26"/>
        <v>0</v>
      </c>
    </row>
    <row r="542" spans="1:11">
      <c r="A542" t="s">
        <v>10575</v>
      </c>
      <c r="B542" t="s">
        <v>16</v>
      </c>
      <c r="C542" t="s">
        <v>10573</v>
      </c>
      <c r="D542" t="s">
        <v>10576</v>
      </c>
      <c r="E542">
        <v>2495.7199999999998</v>
      </c>
      <c r="G542" s="35"/>
      <c r="H542" s="36">
        <f t="shared" si="24"/>
        <v>1572.3036</v>
      </c>
      <c r="I542" s="37">
        <f t="shared" si="25"/>
        <v>1572.3036</v>
      </c>
      <c r="J542" s="4"/>
      <c r="K542" s="38">
        <f t="shared" si="26"/>
        <v>0</v>
      </c>
    </row>
    <row r="543" spans="1:11">
      <c r="A543" t="s">
        <v>2022</v>
      </c>
      <c r="B543" t="s">
        <v>16</v>
      </c>
      <c r="C543" t="s">
        <v>7606</v>
      </c>
      <c r="D543" t="s">
        <v>5786</v>
      </c>
      <c r="E543">
        <v>1146.3800000000001</v>
      </c>
      <c r="G543" s="35"/>
      <c r="H543" s="36">
        <f t="shared" si="24"/>
        <v>722.21940000000006</v>
      </c>
      <c r="I543" s="37">
        <f t="shared" si="25"/>
        <v>722.21940000000006</v>
      </c>
      <c r="J543" s="4"/>
      <c r="K543" s="38">
        <f t="shared" si="26"/>
        <v>0</v>
      </c>
    </row>
    <row r="544" spans="1:11">
      <c r="A544" t="s">
        <v>2023</v>
      </c>
      <c r="B544" t="s">
        <v>16</v>
      </c>
      <c r="C544" t="s">
        <v>7606</v>
      </c>
      <c r="D544" t="s">
        <v>7607</v>
      </c>
      <c r="E544">
        <v>911.42</v>
      </c>
      <c r="G544" s="35"/>
      <c r="H544" s="36">
        <f t="shared" si="24"/>
        <v>574.19459999999992</v>
      </c>
      <c r="I544" s="37">
        <f t="shared" si="25"/>
        <v>574.19459999999992</v>
      </c>
      <c r="J544" s="4"/>
      <c r="K544" s="38">
        <f t="shared" si="26"/>
        <v>0</v>
      </c>
    </row>
    <row r="545" spans="1:11">
      <c r="A545" t="s">
        <v>2505</v>
      </c>
      <c r="B545" t="s">
        <v>16</v>
      </c>
      <c r="C545" t="s">
        <v>8025</v>
      </c>
      <c r="D545" t="s">
        <v>8026</v>
      </c>
      <c r="E545">
        <v>26651.89</v>
      </c>
      <c r="G545" s="35"/>
      <c r="H545" s="36">
        <f t="shared" si="24"/>
        <v>16790.690699999999</v>
      </c>
      <c r="I545" s="37">
        <f t="shared" si="25"/>
        <v>16790.690699999999</v>
      </c>
      <c r="J545" s="4"/>
      <c r="K545" s="38">
        <f t="shared" si="26"/>
        <v>0</v>
      </c>
    </row>
    <row r="546" spans="1:11">
      <c r="A546" t="s">
        <v>2506</v>
      </c>
      <c r="B546" t="s">
        <v>16</v>
      </c>
      <c r="C546" t="s">
        <v>8025</v>
      </c>
      <c r="D546" t="s">
        <v>8027</v>
      </c>
      <c r="E546">
        <v>35160.5</v>
      </c>
      <c r="G546" s="35"/>
      <c r="H546" s="36">
        <f t="shared" si="24"/>
        <v>22151.115000000002</v>
      </c>
      <c r="I546" s="37">
        <f t="shared" si="25"/>
        <v>22151.115000000002</v>
      </c>
      <c r="J546" s="4"/>
      <c r="K546" s="38">
        <f t="shared" si="26"/>
        <v>0</v>
      </c>
    </row>
    <row r="547" spans="1:11">
      <c r="A547" t="s">
        <v>2507</v>
      </c>
      <c r="B547" t="s">
        <v>16</v>
      </c>
      <c r="C547" t="s">
        <v>8025</v>
      </c>
      <c r="D547" t="s">
        <v>8028</v>
      </c>
      <c r="E547">
        <v>43745.43</v>
      </c>
      <c r="G547" s="35"/>
      <c r="H547" s="36">
        <f t="shared" si="24"/>
        <v>27559.620900000002</v>
      </c>
      <c r="I547" s="37">
        <f t="shared" si="25"/>
        <v>27559.620900000002</v>
      </c>
      <c r="J547" s="4"/>
      <c r="K547" s="38">
        <f t="shared" si="26"/>
        <v>0</v>
      </c>
    </row>
    <row r="548" spans="1:11">
      <c r="A548" t="s">
        <v>2508</v>
      </c>
      <c r="B548" t="s">
        <v>16</v>
      </c>
      <c r="C548" t="s">
        <v>8025</v>
      </c>
      <c r="D548" t="s">
        <v>8029</v>
      </c>
      <c r="E548">
        <v>123558.28</v>
      </c>
      <c r="G548" s="35"/>
      <c r="H548" s="36">
        <f t="shared" si="24"/>
        <v>77841.716400000005</v>
      </c>
      <c r="I548" s="37">
        <f t="shared" si="25"/>
        <v>77841.716400000005</v>
      </c>
      <c r="J548" s="4"/>
      <c r="K548" s="38">
        <f t="shared" si="26"/>
        <v>0</v>
      </c>
    </row>
    <row r="549" spans="1:11">
      <c r="A549" t="s">
        <v>2510</v>
      </c>
      <c r="B549" t="s">
        <v>16</v>
      </c>
      <c r="C549" t="s">
        <v>8032</v>
      </c>
      <c r="D549" t="s">
        <v>8033</v>
      </c>
      <c r="E549">
        <v>1448.43</v>
      </c>
      <c r="G549" s="35"/>
      <c r="H549" s="36">
        <f t="shared" si="24"/>
        <v>912.51089999999999</v>
      </c>
      <c r="I549" s="37">
        <f t="shared" si="25"/>
        <v>912.51089999999999</v>
      </c>
      <c r="J549" s="4"/>
      <c r="K549" s="38">
        <f t="shared" si="26"/>
        <v>0</v>
      </c>
    </row>
    <row r="550" spans="1:11">
      <c r="A550" t="s">
        <v>2511</v>
      </c>
      <c r="B550" t="s">
        <v>16</v>
      </c>
      <c r="C550" t="s">
        <v>8032</v>
      </c>
      <c r="D550" t="s">
        <v>8034</v>
      </c>
      <c r="E550">
        <v>1448.43</v>
      </c>
      <c r="G550" s="35"/>
      <c r="H550" s="36">
        <f t="shared" si="24"/>
        <v>912.51089999999999</v>
      </c>
      <c r="I550" s="37">
        <f t="shared" si="25"/>
        <v>912.51089999999999</v>
      </c>
      <c r="J550" s="4"/>
      <c r="K550" s="38">
        <f t="shared" si="26"/>
        <v>0</v>
      </c>
    </row>
    <row r="551" spans="1:11">
      <c r="A551" t="s">
        <v>2512</v>
      </c>
      <c r="B551" t="s">
        <v>16</v>
      </c>
      <c r="C551" t="s">
        <v>8032</v>
      </c>
      <c r="D551" t="s">
        <v>8035</v>
      </c>
      <c r="E551">
        <v>6698.19</v>
      </c>
      <c r="G551" s="35"/>
      <c r="H551" s="36">
        <f t="shared" si="24"/>
        <v>4219.8597</v>
      </c>
      <c r="I551" s="37">
        <f t="shared" si="25"/>
        <v>4219.8597</v>
      </c>
      <c r="J551" s="4"/>
      <c r="K551" s="38">
        <f t="shared" si="26"/>
        <v>0</v>
      </c>
    </row>
    <row r="552" spans="1:11">
      <c r="A552" t="s">
        <v>2513</v>
      </c>
      <c r="B552" t="s">
        <v>16</v>
      </c>
      <c r="C552" t="s">
        <v>8032</v>
      </c>
      <c r="D552" t="s">
        <v>8036</v>
      </c>
      <c r="E552">
        <v>1448.43</v>
      </c>
      <c r="G552" s="35"/>
      <c r="H552" s="36">
        <f t="shared" si="24"/>
        <v>912.51089999999999</v>
      </c>
      <c r="I552" s="37">
        <f t="shared" si="25"/>
        <v>912.51089999999999</v>
      </c>
      <c r="J552" s="4"/>
      <c r="K552" s="38">
        <f t="shared" si="26"/>
        <v>0</v>
      </c>
    </row>
    <row r="553" spans="1:11">
      <c r="A553" t="s">
        <v>2514</v>
      </c>
      <c r="B553" t="s">
        <v>16</v>
      </c>
      <c r="C553" t="s">
        <v>8032</v>
      </c>
      <c r="D553" t="s">
        <v>8037</v>
      </c>
      <c r="E553">
        <v>7238.66</v>
      </c>
      <c r="G553" s="35"/>
      <c r="H553" s="36">
        <f t="shared" si="24"/>
        <v>4560.3558000000003</v>
      </c>
      <c r="I553" s="37">
        <f t="shared" si="25"/>
        <v>4560.3558000000003</v>
      </c>
      <c r="J553" s="4"/>
      <c r="K553" s="38">
        <f t="shared" si="26"/>
        <v>0</v>
      </c>
    </row>
    <row r="554" spans="1:11">
      <c r="A554" t="s">
        <v>2515</v>
      </c>
      <c r="B554" t="s">
        <v>16</v>
      </c>
      <c r="C554" t="s">
        <v>8032</v>
      </c>
      <c r="D554" t="s">
        <v>8038</v>
      </c>
      <c r="E554">
        <v>1448.43</v>
      </c>
      <c r="G554" s="35"/>
      <c r="H554" s="36">
        <f t="shared" si="24"/>
        <v>912.51089999999999</v>
      </c>
      <c r="I554" s="37">
        <f t="shared" si="25"/>
        <v>912.51089999999999</v>
      </c>
      <c r="J554" s="4"/>
      <c r="K554" s="38">
        <f t="shared" si="26"/>
        <v>0</v>
      </c>
    </row>
    <row r="555" spans="1:11">
      <c r="A555" t="s">
        <v>2516</v>
      </c>
      <c r="B555" t="s">
        <v>16</v>
      </c>
      <c r="C555" t="s">
        <v>8032</v>
      </c>
      <c r="D555" t="s">
        <v>8039</v>
      </c>
      <c r="E555">
        <v>1448.43</v>
      </c>
      <c r="G555" s="35"/>
      <c r="H555" s="36">
        <f t="shared" si="24"/>
        <v>912.51089999999999</v>
      </c>
      <c r="I555" s="37">
        <f t="shared" si="25"/>
        <v>912.51089999999999</v>
      </c>
      <c r="J555" s="4"/>
      <c r="K555" s="38">
        <f t="shared" si="26"/>
        <v>0</v>
      </c>
    </row>
    <row r="556" spans="1:11">
      <c r="A556" t="s">
        <v>2517</v>
      </c>
      <c r="B556" t="s">
        <v>16</v>
      </c>
      <c r="C556" t="s">
        <v>8032</v>
      </c>
      <c r="D556" t="s">
        <v>8040</v>
      </c>
      <c r="E556">
        <v>10131.89</v>
      </c>
      <c r="G556" s="35"/>
      <c r="H556" s="36">
        <f t="shared" si="24"/>
        <v>6383.0906999999997</v>
      </c>
      <c r="I556" s="37">
        <f t="shared" si="25"/>
        <v>6383.0906999999997</v>
      </c>
      <c r="J556" s="4"/>
      <c r="K556" s="38">
        <f t="shared" si="26"/>
        <v>0</v>
      </c>
    </row>
    <row r="557" spans="1:11">
      <c r="A557" t="s">
        <v>2518</v>
      </c>
      <c r="B557" t="s">
        <v>16</v>
      </c>
      <c r="C557" t="s">
        <v>8032</v>
      </c>
      <c r="D557" t="s">
        <v>8041</v>
      </c>
      <c r="E557">
        <v>1448.43</v>
      </c>
      <c r="G557" s="35"/>
      <c r="H557" s="36">
        <f t="shared" si="24"/>
        <v>912.51089999999999</v>
      </c>
      <c r="I557" s="37">
        <f t="shared" si="25"/>
        <v>912.51089999999999</v>
      </c>
      <c r="J557" s="4"/>
      <c r="K557" s="38">
        <f t="shared" si="26"/>
        <v>0</v>
      </c>
    </row>
    <row r="558" spans="1:11">
      <c r="A558" t="s">
        <v>2519</v>
      </c>
      <c r="B558" t="s">
        <v>16</v>
      </c>
      <c r="C558" t="s">
        <v>8032</v>
      </c>
      <c r="D558" t="s">
        <v>8042</v>
      </c>
      <c r="E558">
        <v>1876.53</v>
      </c>
      <c r="G558" s="35"/>
      <c r="H558" s="36">
        <f t="shared" si="24"/>
        <v>1182.2139</v>
      </c>
      <c r="I558" s="37">
        <f t="shared" si="25"/>
        <v>1182.2139</v>
      </c>
      <c r="J558" s="4"/>
      <c r="K558" s="38">
        <f t="shared" si="26"/>
        <v>0</v>
      </c>
    </row>
    <row r="559" spans="1:11">
      <c r="A559" t="s">
        <v>12137</v>
      </c>
      <c r="B559" t="s">
        <v>16</v>
      </c>
      <c r="C559" t="s">
        <v>8032</v>
      </c>
      <c r="D559" t="s">
        <v>12138</v>
      </c>
      <c r="E559">
        <v>1448.43</v>
      </c>
      <c r="G559" s="35"/>
      <c r="H559" s="36">
        <f t="shared" si="24"/>
        <v>912.51089999999999</v>
      </c>
      <c r="I559" s="37">
        <f t="shared" si="25"/>
        <v>912.51089999999999</v>
      </c>
      <c r="J559" s="4"/>
      <c r="K559" s="38">
        <f t="shared" si="26"/>
        <v>0</v>
      </c>
    </row>
    <row r="560" spans="1:11">
      <c r="A560" t="s">
        <v>2520</v>
      </c>
      <c r="B560" t="s">
        <v>16</v>
      </c>
      <c r="C560" t="s">
        <v>8032</v>
      </c>
      <c r="D560" t="s">
        <v>8043</v>
      </c>
      <c r="E560">
        <v>10668.56</v>
      </c>
      <c r="G560" s="35"/>
      <c r="H560" s="36">
        <f t="shared" si="24"/>
        <v>6721.1927999999998</v>
      </c>
      <c r="I560" s="37">
        <f t="shared" si="25"/>
        <v>6721.1927999999998</v>
      </c>
      <c r="J560" s="4"/>
      <c r="K560" s="38">
        <f t="shared" si="26"/>
        <v>0</v>
      </c>
    </row>
    <row r="561" spans="1:11">
      <c r="A561" t="s">
        <v>2521</v>
      </c>
      <c r="B561" t="s">
        <v>16</v>
      </c>
      <c r="C561" t="s">
        <v>8032</v>
      </c>
      <c r="D561" t="s">
        <v>8044</v>
      </c>
      <c r="E561">
        <v>9159.86</v>
      </c>
      <c r="G561" s="35"/>
      <c r="H561" s="36">
        <f t="shared" si="24"/>
        <v>5770.7118</v>
      </c>
      <c r="I561" s="37">
        <f t="shared" si="25"/>
        <v>5770.7118</v>
      </c>
      <c r="J561" s="4"/>
      <c r="K561" s="38">
        <f t="shared" si="26"/>
        <v>0</v>
      </c>
    </row>
    <row r="562" spans="1:11">
      <c r="A562" t="s">
        <v>2522</v>
      </c>
      <c r="B562" t="s">
        <v>16</v>
      </c>
      <c r="C562" t="s">
        <v>8032</v>
      </c>
      <c r="D562" t="s">
        <v>8045</v>
      </c>
      <c r="E562">
        <v>15266.39</v>
      </c>
      <c r="G562" s="35"/>
      <c r="H562" s="36">
        <f t="shared" si="24"/>
        <v>9617.8256999999994</v>
      </c>
      <c r="I562" s="37">
        <f t="shared" si="25"/>
        <v>9617.8256999999994</v>
      </c>
      <c r="J562" s="4"/>
      <c r="K562" s="38">
        <f t="shared" si="26"/>
        <v>0</v>
      </c>
    </row>
    <row r="563" spans="1:11">
      <c r="A563" t="s">
        <v>2523</v>
      </c>
      <c r="B563" t="s">
        <v>16</v>
      </c>
      <c r="C563" t="s">
        <v>8032</v>
      </c>
      <c r="D563" t="s">
        <v>8046</v>
      </c>
      <c r="E563">
        <v>17260.2</v>
      </c>
      <c r="G563" s="35"/>
      <c r="H563" s="36">
        <f t="shared" si="24"/>
        <v>10873.926000000001</v>
      </c>
      <c r="I563" s="37">
        <f t="shared" si="25"/>
        <v>10873.926000000001</v>
      </c>
      <c r="J563" s="4"/>
      <c r="K563" s="38">
        <f t="shared" si="26"/>
        <v>0</v>
      </c>
    </row>
    <row r="564" spans="1:11">
      <c r="A564" t="s">
        <v>2524</v>
      </c>
      <c r="B564" t="s">
        <v>16</v>
      </c>
      <c r="C564" t="s">
        <v>8032</v>
      </c>
      <c r="D564" t="s">
        <v>8047</v>
      </c>
      <c r="E564">
        <v>92.5</v>
      </c>
      <c r="G564" s="35"/>
      <c r="H564" s="36">
        <f t="shared" si="24"/>
        <v>58.274999999999999</v>
      </c>
      <c r="I564" s="37">
        <f t="shared" si="25"/>
        <v>58.274999999999999</v>
      </c>
      <c r="J564" s="4"/>
      <c r="K564" s="38">
        <f t="shared" si="26"/>
        <v>0</v>
      </c>
    </row>
    <row r="565" spans="1:11">
      <c r="A565" t="s">
        <v>2525</v>
      </c>
      <c r="B565" t="s">
        <v>16</v>
      </c>
      <c r="C565" t="s">
        <v>8032</v>
      </c>
      <c r="D565" t="s">
        <v>8048</v>
      </c>
      <c r="E565">
        <v>15927.2</v>
      </c>
      <c r="G565" s="35"/>
      <c r="H565" s="36">
        <f t="shared" si="24"/>
        <v>10034.136</v>
      </c>
      <c r="I565" s="37">
        <f t="shared" si="25"/>
        <v>10034.136</v>
      </c>
      <c r="J565" s="4"/>
      <c r="K565" s="38">
        <f t="shared" si="26"/>
        <v>0</v>
      </c>
    </row>
    <row r="566" spans="1:11">
      <c r="A566" t="s">
        <v>2526</v>
      </c>
      <c r="B566" t="s">
        <v>16</v>
      </c>
      <c r="C566" t="s">
        <v>8032</v>
      </c>
      <c r="D566" t="s">
        <v>8049</v>
      </c>
      <c r="E566">
        <v>10282.23</v>
      </c>
      <c r="G566" s="35"/>
      <c r="H566" s="36">
        <f t="shared" si="24"/>
        <v>6477.8049000000001</v>
      </c>
      <c r="I566" s="37">
        <f t="shared" si="25"/>
        <v>6477.8049000000001</v>
      </c>
      <c r="J566" s="4"/>
      <c r="K566" s="38">
        <f t="shared" si="26"/>
        <v>0</v>
      </c>
    </row>
    <row r="567" spans="1:11">
      <c r="A567" t="s">
        <v>10139</v>
      </c>
      <c r="B567" t="s">
        <v>16</v>
      </c>
      <c r="C567" t="s">
        <v>8032</v>
      </c>
      <c r="D567" t="s">
        <v>10140</v>
      </c>
      <c r="E567">
        <v>11776.02</v>
      </c>
      <c r="G567" s="35"/>
      <c r="H567" s="36">
        <f t="shared" si="24"/>
        <v>7418.8926000000001</v>
      </c>
      <c r="I567" s="37">
        <f t="shared" si="25"/>
        <v>7418.8926000000001</v>
      </c>
      <c r="J567" s="4"/>
      <c r="K567" s="38">
        <f t="shared" si="26"/>
        <v>0</v>
      </c>
    </row>
    <row r="568" spans="1:11">
      <c r="A568" t="s">
        <v>10007</v>
      </c>
      <c r="B568" t="s">
        <v>16</v>
      </c>
      <c r="C568" t="s">
        <v>8032</v>
      </c>
      <c r="D568" t="s">
        <v>11269</v>
      </c>
      <c r="E568">
        <v>8618.07</v>
      </c>
      <c r="G568" s="35"/>
      <c r="H568" s="36">
        <f t="shared" si="24"/>
        <v>5429.3841000000002</v>
      </c>
      <c r="I568" s="37">
        <f t="shared" si="25"/>
        <v>5429.3841000000002</v>
      </c>
      <c r="J568" s="4"/>
      <c r="K568" s="38">
        <f t="shared" si="26"/>
        <v>0</v>
      </c>
    </row>
    <row r="569" spans="1:11">
      <c r="A569" t="s">
        <v>10577</v>
      </c>
      <c r="B569" t="s">
        <v>16</v>
      </c>
      <c r="C569" t="s">
        <v>8032</v>
      </c>
      <c r="D569" t="s">
        <v>11270</v>
      </c>
      <c r="E569">
        <v>8823.9500000000007</v>
      </c>
      <c r="G569" s="35"/>
      <c r="H569" s="36">
        <f t="shared" si="24"/>
        <v>5559.0885000000007</v>
      </c>
      <c r="I569" s="37">
        <f t="shared" si="25"/>
        <v>5559.0885000000007</v>
      </c>
      <c r="J569" s="4"/>
      <c r="K569" s="38">
        <f t="shared" si="26"/>
        <v>0</v>
      </c>
    </row>
    <row r="570" spans="1:11">
      <c r="A570" t="s">
        <v>2527</v>
      </c>
      <c r="B570" t="s">
        <v>16</v>
      </c>
      <c r="C570" t="s">
        <v>8032</v>
      </c>
      <c r="D570" t="s">
        <v>8050</v>
      </c>
      <c r="E570">
        <v>15266.39</v>
      </c>
      <c r="G570" s="35"/>
      <c r="H570" s="36">
        <f t="shared" si="24"/>
        <v>9617.8256999999994</v>
      </c>
      <c r="I570" s="37">
        <f t="shared" si="25"/>
        <v>9617.8256999999994</v>
      </c>
      <c r="J570" s="4"/>
      <c r="K570" s="38">
        <f t="shared" si="26"/>
        <v>0</v>
      </c>
    </row>
    <row r="571" spans="1:11">
      <c r="A571" t="s">
        <v>2528</v>
      </c>
      <c r="B571" t="s">
        <v>16</v>
      </c>
      <c r="C571" t="s">
        <v>8032</v>
      </c>
      <c r="D571" t="s">
        <v>8051</v>
      </c>
      <c r="E571">
        <v>17260.2</v>
      </c>
      <c r="G571" s="35"/>
      <c r="H571" s="36">
        <f t="shared" si="24"/>
        <v>10873.926000000001</v>
      </c>
      <c r="I571" s="37">
        <f t="shared" si="25"/>
        <v>10873.926000000001</v>
      </c>
      <c r="J571" s="4"/>
      <c r="K571" s="38">
        <f t="shared" si="26"/>
        <v>0</v>
      </c>
    </row>
    <row r="572" spans="1:11">
      <c r="A572" t="s">
        <v>2529</v>
      </c>
      <c r="B572" t="s">
        <v>16</v>
      </c>
      <c r="C572" t="s">
        <v>8032</v>
      </c>
      <c r="D572" t="s">
        <v>8052</v>
      </c>
      <c r="E572">
        <v>9918.94</v>
      </c>
      <c r="G572" s="35"/>
      <c r="H572" s="36">
        <f t="shared" si="24"/>
        <v>6248.9322000000002</v>
      </c>
      <c r="I572" s="37">
        <f t="shared" si="25"/>
        <v>6248.9322000000002</v>
      </c>
      <c r="J572" s="4"/>
      <c r="K572" s="38">
        <f t="shared" si="26"/>
        <v>0</v>
      </c>
    </row>
    <row r="573" spans="1:11">
      <c r="A573" t="s">
        <v>2530</v>
      </c>
      <c r="B573" t="s">
        <v>16</v>
      </c>
      <c r="C573" t="s">
        <v>8032</v>
      </c>
      <c r="D573" t="s">
        <v>8053</v>
      </c>
      <c r="E573">
        <v>18943.43</v>
      </c>
      <c r="G573" s="35"/>
      <c r="H573" s="36">
        <f t="shared" si="24"/>
        <v>11934.3609</v>
      </c>
      <c r="I573" s="37">
        <f t="shared" si="25"/>
        <v>11934.3609</v>
      </c>
      <c r="J573" s="4"/>
      <c r="K573" s="38">
        <f t="shared" si="26"/>
        <v>0</v>
      </c>
    </row>
    <row r="574" spans="1:11">
      <c r="A574" t="s">
        <v>2531</v>
      </c>
      <c r="B574" t="s">
        <v>16</v>
      </c>
      <c r="C574" t="s">
        <v>8032</v>
      </c>
      <c r="D574" t="s">
        <v>8054</v>
      </c>
      <c r="E574">
        <v>8632.3700000000008</v>
      </c>
      <c r="G574" s="35"/>
      <c r="H574" s="36">
        <f t="shared" si="24"/>
        <v>5438.3931000000002</v>
      </c>
      <c r="I574" s="37">
        <f t="shared" si="25"/>
        <v>5438.3931000000002</v>
      </c>
      <c r="J574" s="4"/>
      <c r="K574" s="38">
        <f t="shared" si="26"/>
        <v>0</v>
      </c>
    </row>
    <row r="575" spans="1:11">
      <c r="A575" t="s">
        <v>2532</v>
      </c>
      <c r="B575" t="s">
        <v>16</v>
      </c>
      <c r="C575" t="s">
        <v>8032</v>
      </c>
      <c r="D575" t="s">
        <v>8055</v>
      </c>
      <c r="E575">
        <v>16891.759999999998</v>
      </c>
      <c r="G575" s="35"/>
      <c r="H575" s="36">
        <f t="shared" si="24"/>
        <v>10641.808799999999</v>
      </c>
      <c r="I575" s="37">
        <f t="shared" si="25"/>
        <v>10641.808799999999</v>
      </c>
      <c r="J575" s="4"/>
      <c r="K575" s="38">
        <f t="shared" si="26"/>
        <v>0</v>
      </c>
    </row>
    <row r="576" spans="1:11">
      <c r="A576" t="s">
        <v>10008</v>
      </c>
      <c r="B576" t="s">
        <v>16</v>
      </c>
      <c r="C576" t="s">
        <v>8032</v>
      </c>
      <c r="D576" t="s">
        <v>10009</v>
      </c>
      <c r="E576">
        <v>7521.77</v>
      </c>
      <c r="G576" s="35"/>
      <c r="H576" s="36">
        <f t="shared" si="24"/>
        <v>4738.7151000000003</v>
      </c>
      <c r="I576" s="37">
        <f t="shared" si="25"/>
        <v>4738.7151000000003</v>
      </c>
      <c r="J576" s="4"/>
      <c r="K576" s="38">
        <f t="shared" si="26"/>
        <v>0</v>
      </c>
    </row>
    <row r="577" spans="1:11">
      <c r="A577" t="s">
        <v>2533</v>
      </c>
      <c r="B577" t="s">
        <v>16</v>
      </c>
      <c r="C577" t="s">
        <v>8032</v>
      </c>
      <c r="D577" t="s">
        <v>8056</v>
      </c>
      <c r="E577">
        <v>10668.56</v>
      </c>
      <c r="G577" s="35"/>
      <c r="H577" s="36">
        <f t="shared" si="24"/>
        <v>6721.1927999999998</v>
      </c>
      <c r="I577" s="37">
        <f t="shared" si="25"/>
        <v>6721.1927999999998</v>
      </c>
      <c r="J577" s="4"/>
      <c r="K577" s="38">
        <f t="shared" si="26"/>
        <v>0</v>
      </c>
    </row>
    <row r="578" spans="1:11">
      <c r="A578" t="s">
        <v>2534</v>
      </c>
      <c r="B578" t="s">
        <v>16</v>
      </c>
      <c r="C578" t="s">
        <v>8032</v>
      </c>
      <c r="D578" t="s">
        <v>8057</v>
      </c>
      <c r="E578">
        <v>9159.86</v>
      </c>
      <c r="G578" s="35"/>
      <c r="H578" s="36">
        <f t="shared" si="24"/>
        <v>5770.7118</v>
      </c>
      <c r="I578" s="37">
        <f t="shared" si="25"/>
        <v>5770.7118</v>
      </c>
      <c r="J578" s="4"/>
      <c r="K578" s="38">
        <f t="shared" si="26"/>
        <v>0</v>
      </c>
    </row>
    <row r="579" spans="1:11">
      <c r="A579" t="s">
        <v>2535</v>
      </c>
      <c r="B579" t="s">
        <v>16</v>
      </c>
      <c r="C579" t="s">
        <v>8032</v>
      </c>
      <c r="D579" t="s">
        <v>8058</v>
      </c>
      <c r="E579">
        <v>15266.39</v>
      </c>
      <c r="G579" s="35"/>
      <c r="H579" s="36">
        <f t="shared" si="24"/>
        <v>9617.8256999999994</v>
      </c>
      <c r="I579" s="37">
        <f t="shared" si="25"/>
        <v>9617.8256999999994</v>
      </c>
      <c r="J579" s="4"/>
      <c r="K579" s="38">
        <f t="shared" si="26"/>
        <v>0</v>
      </c>
    </row>
    <row r="580" spans="1:11">
      <c r="A580" t="s">
        <v>2536</v>
      </c>
      <c r="B580" t="s">
        <v>16</v>
      </c>
      <c r="C580" t="s">
        <v>8032</v>
      </c>
      <c r="D580" t="s">
        <v>8059</v>
      </c>
      <c r="E580">
        <v>17260.2</v>
      </c>
      <c r="G580" s="35"/>
      <c r="H580" s="36">
        <f t="shared" si="24"/>
        <v>10873.926000000001</v>
      </c>
      <c r="I580" s="37">
        <f t="shared" si="25"/>
        <v>10873.926000000001</v>
      </c>
      <c r="J580" s="4"/>
      <c r="K580" s="38">
        <f t="shared" si="26"/>
        <v>0</v>
      </c>
    </row>
    <row r="581" spans="1:11">
      <c r="A581" t="s">
        <v>2537</v>
      </c>
      <c r="B581" t="s">
        <v>16</v>
      </c>
      <c r="C581" t="s">
        <v>8032</v>
      </c>
      <c r="D581" t="s">
        <v>8060</v>
      </c>
      <c r="E581">
        <v>15266.39</v>
      </c>
      <c r="G581" s="35"/>
      <c r="H581" s="36">
        <f t="shared" si="24"/>
        <v>9617.8256999999994</v>
      </c>
      <c r="I581" s="37">
        <f t="shared" si="25"/>
        <v>9617.8256999999994</v>
      </c>
      <c r="J581" s="4"/>
      <c r="K581" s="38">
        <f t="shared" si="26"/>
        <v>0</v>
      </c>
    </row>
    <row r="582" spans="1:11">
      <c r="A582" t="s">
        <v>2538</v>
      </c>
      <c r="B582" t="s">
        <v>16</v>
      </c>
      <c r="C582" t="s">
        <v>8032</v>
      </c>
      <c r="D582" t="s">
        <v>8061</v>
      </c>
      <c r="E582">
        <v>17260.2</v>
      </c>
      <c r="G582" s="35"/>
      <c r="H582" s="36">
        <f t="shared" si="24"/>
        <v>10873.926000000001</v>
      </c>
      <c r="I582" s="37">
        <f t="shared" si="25"/>
        <v>10873.926000000001</v>
      </c>
      <c r="J582" s="4"/>
      <c r="K582" s="38">
        <f t="shared" si="26"/>
        <v>0</v>
      </c>
    </row>
    <row r="583" spans="1:11">
      <c r="A583" t="s">
        <v>2539</v>
      </c>
      <c r="B583" t="s">
        <v>16</v>
      </c>
      <c r="C583" t="s">
        <v>8032</v>
      </c>
      <c r="D583" t="s">
        <v>8062</v>
      </c>
      <c r="E583">
        <v>9918.94</v>
      </c>
      <c r="G583" s="35"/>
      <c r="H583" s="36">
        <f t="shared" ref="H583:H646" si="27">+E583*$H$1*(1-G583)</f>
        <v>6248.9322000000002</v>
      </c>
      <c r="I583" s="37">
        <f t="shared" ref="I583:I646" si="28">H583*$H$4</f>
        <v>6248.9322000000002</v>
      </c>
      <c r="J583" s="4"/>
      <c r="K583" s="38">
        <f t="shared" ref="K583:K646" si="29">J583*I583</f>
        <v>0</v>
      </c>
    </row>
    <row r="584" spans="1:11">
      <c r="A584" t="s">
        <v>2540</v>
      </c>
      <c r="B584" t="s">
        <v>16</v>
      </c>
      <c r="C584" t="s">
        <v>8032</v>
      </c>
      <c r="D584" t="s">
        <v>8063</v>
      </c>
      <c r="E584">
        <v>18943.43</v>
      </c>
      <c r="G584" s="35"/>
      <c r="H584" s="36">
        <f t="shared" si="27"/>
        <v>11934.3609</v>
      </c>
      <c r="I584" s="37">
        <f t="shared" si="28"/>
        <v>11934.3609</v>
      </c>
      <c r="J584" s="4"/>
      <c r="K584" s="38">
        <f t="shared" si="29"/>
        <v>0</v>
      </c>
    </row>
    <row r="585" spans="1:11">
      <c r="A585" t="s">
        <v>2575</v>
      </c>
      <c r="B585" t="s">
        <v>16</v>
      </c>
      <c r="C585" t="s">
        <v>8103</v>
      </c>
      <c r="D585" t="s">
        <v>8104</v>
      </c>
      <c r="E585">
        <v>15210.17</v>
      </c>
      <c r="G585" s="35"/>
      <c r="H585" s="36">
        <f t="shared" si="27"/>
        <v>9582.4071000000004</v>
      </c>
      <c r="I585" s="37">
        <f t="shared" si="28"/>
        <v>9582.4071000000004</v>
      </c>
      <c r="J585" s="4"/>
      <c r="K585" s="38">
        <f t="shared" si="29"/>
        <v>0</v>
      </c>
    </row>
    <row r="586" spans="1:11">
      <c r="A586" t="s">
        <v>2576</v>
      </c>
      <c r="B586" t="s">
        <v>16</v>
      </c>
      <c r="C586" t="s">
        <v>8103</v>
      </c>
      <c r="D586" t="s">
        <v>8105</v>
      </c>
      <c r="E586">
        <v>10365.57</v>
      </c>
      <c r="G586" s="35"/>
      <c r="H586" s="36">
        <f t="shared" si="27"/>
        <v>6530.3090999999995</v>
      </c>
      <c r="I586" s="37">
        <f t="shared" si="28"/>
        <v>6530.3090999999995</v>
      </c>
      <c r="J586" s="4"/>
      <c r="K586" s="38">
        <f t="shared" si="29"/>
        <v>0</v>
      </c>
    </row>
    <row r="587" spans="1:11">
      <c r="A587" t="s">
        <v>2577</v>
      </c>
      <c r="B587" t="s">
        <v>16</v>
      </c>
      <c r="C587" t="s">
        <v>8103</v>
      </c>
      <c r="D587" t="s">
        <v>8106</v>
      </c>
      <c r="E587">
        <v>14292.74</v>
      </c>
      <c r="G587" s="35"/>
      <c r="H587" s="36">
        <f t="shared" si="27"/>
        <v>9004.4261999999999</v>
      </c>
      <c r="I587" s="37">
        <f t="shared" si="28"/>
        <v>9004.4261999999999</v>
      </c>
      <c r="J587" s="4"/>
      <c r="K587" s="38">
        <f t="shared" si="29"/>
        <v>0</v>
      </c>
    </row>
    <row r="588" spans="1:11">
      <c r="A588" t="s">
        <v>2578</v>
      </c>
      <c r="B588" t="s">
        <v>16</v>
      </c>
      <c r="C588" t="s">
        <v>8103</v>
      </c>
      <c r="D588" t="s">
        <v>8107</v>
      </c>
      <c r="E588">
        <v>9186.84</v>
      </c>
      <c r="G588" s="35"/>
      <c r="H588" s="36">
        <f t="shared" si="27"/>
        <v>5787.7092000000002</v>
      </c>
      <c r="I588" s="37">
        <f t="shared" si="28"/>
        <v>5787.7092000000002</v>
      </c>
      <c r="J588" s="4"/>
      <c r="K588" s="38">
        <f t="shared" si="29"/>
        <v>0</v>
      </c>
    </row>
    <row r="589" spans="1:11">
      <c r="A589" t="s">
        <v>2579</v>
      </c>
      <c r="B589" t="s">
        <v>16</v>
      </c>
      <c r="C589" t="s">
        <v>8103</v>
      </c>
      <c r="D589" t="s">
        <v>8108</v>
      </c>
      <c r="E589">
        <v>4854.91</v>
      </c>
      <c r="G589" s="35"/>
      <c r="H589" s="36">
        <f t="shared" si="27"/>
        <v>3058.5933</v>
      </c>
      <c r="I589" s="37">
        <f t="shared" si="28"/>
        <v>3058.5933</v>
      </c>
      <c r="J589" s="4"/>
      <c r="K589" s="38">
        <f t="shared" si="29"/>
        <v>0</v>
      </c>
    </row>
    <row r="590" spans="1:11">
      <c r="A590" t="s">
        <v>2580</v>
      </c>
      <c r="B590" t="s">
        <v>16</v>
      </c>
      <c r="C590" t="s">
        <v>8103</v>
      </c>
      <c r="D590" t="s">
        <v>8109</v>
      </c>
      <c r="E590">
        <v>6655.05</v>
      </c>
      <c r="G590" s="35"/>
      <c r="H590" s="36">
        <f t="shared" si="27"/>
        <v>4192.6815000000006</v>
      </c>
      <c r="I590" s="37">
        <f t="shared" si="28"/>
        <v>4192.6815000000006</v>
      </c>
      <c r="J590" s="4"/>
      <c r="K590" s="38">
        <f t="shared" si="29"/>
        <v>0</v>
      </c>
    </row>
    <row r="591" spans="1:11">
      <c r="A591" t="s">
        <v>2581</v>
      </c>
      <c r="B591" t="s">
        <v>16</v>
      </c>
      <c r="C591" t="s">
        <v>8103</v>
      </c>
      <c r="D591" t="s">
        <v>8110</v>
      </c>
      <c r="E591">
        <v>10696.07</v>
      </c>
      <c r="G591" s="35"/>
      <c r="H591" s="36">
        <f t="shared" si="27"/>
        <v>6738.5240999999996</v>
      </c>
      <c r="I591" s="37">
        <f t="shared" si="28"/>
        <v>6738.5240999999996</v>
      </c>
      <c r="J591" s="4"/>
      <c r="K591" s="38">
        <f t="shared" si="29"/>
        <v>0</v>
      </c>
    </row>
    <row r="592" spans="1:11">
      <c r="A592" t="s">
        <v>2582</v>
      </c>
      <c r="B592" t="s">
        <v>16</v>
      </c>
      <c r="C592" t="s">
        <v>8103</v>
      </c>
      <c r="D592" t="s">
        <v>8111</v>
      </c>
      <c r="E592">
        <v>17207.62</v>
      </c>
      <c r="G592" s="35"/>
      <c r="H592" s="36">
        <f t="shared" si="27"/>
        <v>10840.800599999999</v>
      </c>
      <c r="I592" s="37">
        <f t="shared" si="28"/>
        <v>10840.800599999999</v>
      </c>
      <c r="J592" s="4"/>
      <c r="K592" s="38">
        <f t="shared" si="29"/>
        <v>0</v>
      </c>
    </row>
    <row r="593" spans="1:11">
      <c r="A593" t="s">
        <v>2573</v>
      </c>
      <c r="B593" t="s">
        <v>16</v>
      </c>
      <c r="C593" t="s">
        <v>8100</v>
      </c>
      <c r="D593" t="s">
        <v>8101</v>
      </c>
      <c r="E593">
        <v>9542.15</v>
      </c>
      <c r="G593" s="35"/>
      <c r="H593" s="36">
        <f t="shared" si="27"/>
        <v>6011.5545000000002</v>
      </c>
      <c r="I593" s="37">
        <f t="shared" si="28"/>
        <v>6011.5545000000002</v>
      </c>
      <c r="J593" s="4"/>
      <c r="K593" s="38">
        <f t="shared" si="29"/>
        <v>0</v>
      </c>
    </row>
    <row r="594" spans="1:11">
      <c r="A594" t="s">
        <v>2574</v>
      </c>
      <c r="B594" t="s">
        <v>16</v>
      </c>
      <c r="C594" t="s">
        <v>8100</v>
      </c>
      <c r="D594" t="s">
        <v>8102</v>
      </c>
      <c r="E594">
        <v>15903.88</v>
      </c>
      <c r="G594" s="35"/>
      <c r="H594" s="36">
        <f t="shared" si="27"/>
        <v>10019.4444</v>
      </c>
      <c r="I594" s="37">
        <f t="shared" si="28"/>
        <v>10019.4444</v>
      </c>
      <c r="J594" s="4"/>
      <c r="K594" s="38">
        <f t="shared" si="29"/>
        <v>0</v>
      </c>
    </row>
    <row r="595" spans="1:11">
      <c r="A595" t="s">
        <v>2585</v>
      </c>
      <c r="B595" t="s">
        <v>16</v>
      </c>
      <c r="C595" t="s">
        <v>8115</v>
      </c>
      <c r="D595" t="s">
        <v>8116</v>
      </c>
      <c r="E595">
        <v>1791.52</v>
      </c>
      <c r="G595" s="35"/>
      <c r="H595" s="36">
        <f t="shared" si="27"/>
        <v>1128.6576</v>
      </c>
      <c r="I595" s="37">
        <f t="shared" si="28"/>
        <v>1128.6576</v>
      </c>
      <c r="J595" s="4"/>
      <c r="K595" s="38">
        <f t="shared" si="29"/>
        <v>0</v>
      </c>
    </row>
    <row r="596" spans="1:11">
      <c r="A596" t="s">
        <v>2586</v>
      </c>
      <c r="B596" t="s">
        <v>16</v>
      </c>
      <c r="C596" t="s">
        <v>8115</v>
      </c>
      <c r="D596" t="s">
        <v>8117</v>
      </c>
      <c r="E596">
        <v>3053.29</v>
      </c>
      <c r="G596" s="35"/>
      <c r="H596" s="36">
        <f t="shared" si="27"/>
        <v>1923.5726999999999</v>
      </c>
      <c r="I596" s="37">
        <f t="shared" si="28"/>
        <v>1923.5726999999999</v>
      </c>
      <c r="J596" s="4"/>
      <c r="K596" s="38">
        <f t="shared" si="29"/>
        <v>0</v>
      </c>
    </row>
    <row r="597" spans="1:11">
      <c r="A597" t="s">
        <v>3980</v>
      </c>
      <c r="B597" t="s">
        <v>16</v>
      </c>
      <c r="C597" t="s">
        <v>8092</v>
      </c>
      <c r="D597" t="s">
        <v>9445</v>
      </c>
      <c r="E597">
        <v>15363.24</v>
      </c>
      <c r="G597" s="35"/>
      <c r="H597" s="36">
        <f t="shared" si="27"/>
        <v>9678.8412000000008</v>
      </c>
      <c r="I597" s="37">
        <f t="shared" si="28"/>
        <v>9678.8412000000008</v>
      </c>
      <c r="J597" s="4"/>
      <c r="K597" s="38">
        <f t="shared" si="29"/>
        <v>0</v>
      </c>
    </row>
    <row r="598" spans="1:11">
      <c r="A598" t="s">
        <v>3981</v>
      </c>
      <c r="B598" t="s">
        <v>16</v>
      </c>
      <c r="C598" t="s">
        <v>8092</v>
      </c>
      <c r="D598" t="s">
        <v>9446</v>
      </c>
      <c r="E598">
        <v>14567.72</v>
      </c>
      <c r="G598" s="35"/>
      <c r="H598" s="36">
        <f t="shared" si="27"/>
        <v>9177.6635999999999</v>
      </c>
      <c r="I598" s="37">
        <f t="shared" si="28"/>
        <v>9177.6635999999999</v>
      </c>
      <c r="J598" s="4"/>
      <c r="K598" s="38">
        <f t="shared" si="29"/>
        <v>0</v>
      </c>
    </row>
    <row r="599" spans="1:11">
      <c r="A599" t="s">
        <v>3982</v>
      </c>
      <c r="B599" t="s">
        <v>16</v>
      </c>
      <c r="C599" t="s">
        <v>8092</v>
      </c>
      <c r="D599" t="s">
        <v>9447</v>
      </c>
      <c r="E599">
        <v>15363.24</v>
      </c>
      <c r="G599" s="35"/>
      <c r="H599" s="36">
        <f t="shared" si="27"/>
        <v>9678.8412000000008</v>
      </c>
      <c r="I599" s="37">
        <f t="shared" si="28"/>
        <v>9678.8412000000008</v>
      </c>
      <c r="J599" s="4"/>
      <c r="K599" s="38">
        <f t="shared" si="29"/>
        <v>0</v>
      </c>
    </row>
    <row r="600" spans="1:11">
      <c r="A600" t="s">
        <v>3983</v>
      </c>
      <c r="B600" t="s">
        <v>16</v>
      </c>
      <c r="C600" t="s">
        <v>8092</v>
      </c>
      <c r="D600" t="s">
        <v>9448</v>
      </c>
      <c r="E600">
        <v>14567.95</v>
      </c>
      <c r="G600" s="35"/>
      <c r="H600" s="36">
        <f t="shared" si="27"/>
        <v>9177.808500000001</v>
      </c>
      <c r="I600" s="37">
        <f t="shared" si="28"/>
        <v>9177.808500000001</v>
      </c>
      <c r="J600" s="4"/>
      <c r="K600" s="38">
        <f t="shared" si="29"/>
        <v>0</v>
      </c>
    </row>
    <row r="601" spans="1:11">
      <c r="A601" t="s">
        <v>3984</v>
      </c>
      <c r="B601" t="s">
        <v>16</v>
      </c>
      <c r="C601" t="s">
        <v>8092</v>
      </c>
      <c r="D601" t="s">
        <v>9449</v>
      </c>
      <c r="E601">
        <v>8063.41</v>
      </c>
      <c r="G601" s="35"/>
      <c r="H601" s="36">
        <f t="shared" si="27"/>
        <v>5079.9483</v>
      </c>
      <c r="I601" s="37">
        <f t="shared" si="28"/>
        <v>5079.9483</v>
      </c>
      <c r="J601" s="4"/>
      <c r="K601" s="38">
        <f t="shared" si="29"/>
        <v>0</v>
      </c>
    </row>
    <row r="602" spans="1:11">
      <c r="A602" t="s">
        <v>3985</v>
      </c>
      <c r="B602" t="s">
        <v>16</v>
      </c>
      <c r="C602" t="s">
        <v>8092</v>
      </c>
      <c r="D602" t="s">
        <v>9450</v>
      </c>
      <c r="E602">
        <v>8063.41</v>
      </c>
      <c r="G602" s="35"/>
      <c r="H602" s="36">
        <f t="shared" si="27"/>
        <v>5079.9483</v>
      </c>
      <c r="I602" s="37">
        <f t="shared" si="28"/>
        <v>5079.9483</v>
      </c>
      <c r="J602" s="4"/>
      <c r="K602" s="38">
        <f t="shared" si="29"/>
        <v>0</v>
      </c>
    </row>
    <row r="603" spans="1:11">
      <c r="A603" t="s">
        <v>3986</v>
      </c>
      <c r="B603" t="s">
        <v>16</v>
      </c>
      <c r="C603" t="s">
        <v>8092</v>
      </c>
      <c r="D603" t="s">
        <v>9451</v>
      </c>
      <c r="E603">
        <v>619.38</v>
      </c>
      <c r="G603" s="35"/>
      <c r="H603" s="36">
        <f t="shared" si="27"/>
        <v>390.20940000000002</v>
      </c>
      <c r="I603" s="37">
        <f t="shared" si="28"/>
        <v>390.20940000000002</v>
      </c>
      <c r="J603" s="4"/>
      <c r="K603" s="38">
        <f t="shared" si="29"/>
        <v>0</v>
      </c>
    </row>
    <row r="604" spans="1:11">
      <c r="A604" t="s">
        <v>3987</v>
      </c>
      <c r="B604" t="s">
        <v>16</v>
      </c>
      <c r="C604" t="s">
        <v>8092</v>
      </c>
      <c r="D604" t="s">
        <v>9452</v>
      </c>
      <c r="E604">
        <v>732.02</v>
      </c>
      <c r="G604" s="35"/>
      <c r="H604" s="36">
        <f t="shared" si="27"/>
        <v>461.17259999999999</v>
      </c>
      <c r="I604" s="37">
        <f t="shared" si="28"/>
        <v>461.17259999999999</v>
      </c>
      <c r="J604" s="4"/>
      <c r="K604" s="38">
        <f t="shared" si="29"/>
        <v>0</v>
      </c>
    </row>
    <row r="605" spans="1:11">
      <c r="A605" t="s">
        <v>343</v>
      </c>
      <c r="B605" t="s">
        <v>16</v>
      </c>
      <c r="C605" t="s">
        <v>6006</v>
      </c>
      <c r="D605" t="s">
        <v>6007</v>
      </c>
      <c r="E605">
        <v>17741.080000000002</v>
      </c>
      <c r="G605" s="35"/>
      <c r="H605" s="36">
        <f t="shared" si="27"/>
        <v>11176.880400000002</v>
      </c>
      <c r="I605" s="37">
        <f t="shared" si="28"/>
        <v>11176.880400000002</v>
      </c>
      <c r="J605" s="4"/>
      <c r="K605" s="38">
        <f t="shared" si="29"/>
        <v>0</v>
      </c>
    </row>
    <row r="606" spans="1:11">
      <c r="A606" t="s">
        <v>344</v>
      </c>
      <c r="B606" t="s">
        <v>16</v>
      </c>
      <c r="C606" t="s">
        <v>6006</v>
      </c>
      <c r="D606" t="s">
        <v>6008</v>
      </c>
      <c r="E606">
        <v>17108.810000000001</v>
      </c>
      <c r="G606" s="35"/>
      <c r="H606" s="36">
        <f t="shared" si="27"/>
        <v>10778.550300000001</v>
      </c>
      <c r="I606" s="37">
        <f t="shared" si="28"/>
        <v>10778.550300000001</v>
      </c>
      <c r="J606" s="4"/>
      <c r="K606" s="38">
        <f t="shared" si="29"/>
        <v>0</v>
      </c>
    </row>
    <row r="607" spans="1:11">
      <c r="A607" t="s">
        <v>345</v>
      </c>
      <c r="B607" t="s">
        <v>16</v>
      </c>
      <c r="C607" t="s">
        <v>6006</v>
      </c>
      <c r="D607" t="s">
        <v>6009</v>
      </c>
      <c r="E607">
        <v>17741.080000000002</v>
      </c>
      <c r="G607" s="35"/>
      <c r="H607" s="36">
        <f t="shared" si="27"/>
        <v>11176.880400000002</v>
      </c>
      <c r="I607" s="37">
        <f t="shared" si="28"/>
        <v>11176.880400000002</v>
      </c>
      <c r="J607" s="4"/>
      <c r="K607" s="38">
        <f t="shared" si="29"/>
        <v>0</v>
      </c>
    </row>
    <row r="608" spans="1:11">
      <c r="A608" t="s">
        <v>346</v>
      </c>
      <c r="B608" t="s">
        <v>16</v>
      </c>
      <c r="C608" t="s">
        <v>6006</v>
      </c>
      <c r="D608" t="s">
        <v>6010</v>
      </c>
      <c r="E608">
        <v>17108.810000000001</v>
      </c>
      <c r="G608" s="35"/>
      <c r="H608" s="36">
        <f t="shared" si="27"/>
        <v>10778.550300000001</v>
      </c>
      <c r="I608" s="37">
        <f t="shared" si="28"/>
        <v>10778.550300000001</v>
      </c>
      <c r="J608" s="4"/>
      <c r="K608" s="38">
        <f t="shared" si="29"/>
        <v>0</v>
      </c>
    </row>
    <row r="609" spans="1:11">
      <c r="A609" t="s">
        <v>2666</v>
      </c>
      <c r="B609" t="s">
        <v>16</v>
      </c>
      <c r="C609" t="s">
        <v>8187</v>
      </c>
      <c r="D609" t="s">
        <v>8188</v>
      </c>
      <c r="E609">
        <v>583.39</v>
      </c>
      <c r="G609" s="35"/>
      <c r="H609" s="36">
        <f t="shared" si="27"/>
        <v>367.53570000000002</v>
      </c>
      <c r="I609" s="37">
        <f t="shared" si="28"/>
        <v>367.53570000000002</v>
      </c>
      <c r="J609" s="4"/>
      <c r="K609" s="38">
        <f t="shared" si="29"/>
        <v>0</v>
      </c>
    </row>
    <row r="610" spans="1:11">
      <c r="A610" t="s">
        <v>2667</v>
      </c>
      <c r="B610" t="s">
        <v>16</v>
      </c>
      <c r="C610" t="s">
        <v>8187</v>
      </c>
      <c r="D610" t="s">
        <v>7220</v>
      </c>
      <c r="E610">
        <v>1529.53</v>
      </c>
      <c r="G610" s="35"/>
      <c r="H610" s="36">
        <f t="shared" si="27"/>
        <v>963.60389999999995</v>
      </c>
      <c r="I610" s="37">
        <f t="shared" si="28"/>
        <v>963.60389999999995</v>
      </c>
      <c r="J610" s="4"/>
      <c r="K610" s="38">
        <f t="shared" si="29"/>
        <v>0</v>
      </c>
    </row>
    <row r="611" spans="1:11">
      <c r="A611" t="s">
        <v>2668</v>
      </c>
      <c r="B611" t="s">
        <v>16</v>
      </c>
      <c r="C611" t="s">
        <v>8187</v>
      </c>
      <c r="D611" t="s">
        <v>8189</v>
      </c>
      <c r="E611">
        <v>2584.62</v>
      </c>
      <c r="G611" s="35"/>
      <c r="H611" s="36">
        <f t="shared" si="27"/>
        <v>1628.3106</v>
      </c>
      <c r="I611" s="37">
        <f t="shared" si="28"/>
        <v>1628.3106</v>
      </c>
      <c r="J611" s="4"/>
      <c r="K611" s="38">
        <f t="shared" si="29"/>
        <v>0</v>
      </c>
    </row>
    <row r="612" spans="1:11">
      <c r="A612" t="s">
        <v>2669</v>
      </c>
      <c r="B612" t="s">
        <v>16</v>
      </c>
      <c r="C612" t="s">
        <v>8187</v>
      </c>
      <c r="D612" t="s">
        <v>8190</v>
      </c>
      <c r="E612">
        <v>945.24</v>
      </c>
      <c r="G612" s="35"/>
      <c r="H612" s="36">
        <f t="shared" si="27"/>
        <v>595.50120000000004</v>
      </c>
      <c r="I612" s="37">
        <f t="shared" si="28"/>
        <v>595.50120000000004</v>
      </c>
      <c r="J612" s="4"/>
      <c r="K612" s="38">
        <f t="shared" si="29"/>
        <v>0</v>
      </c>
    </row>
    <row r="613" spans="1:11">
      <c r="A613" t="s">
        <v>2670</v>
      </c>
      <c r="B613" t="s">
        <v>16</v>
      </c>
      <c r="C613" t="s">
        <v>8187</v>
      </c>
      <c r="D613" t="s">
        <v>8191</v>
      </c>
      <c r="E613">
        <v>17567.759999999998</v>
      </c>
      <c r="G613" s="35"/>
      <c r="H613" s="36">
        <f t="shared" si="27"/>
        <v>11067.6888</v>
      </c>
      <c r="I613" s="37">
        <f t="shared" si="28"/>
        <v>11067.6888</v>
      </c>
      <c r="J613" s="4"/>
      <c r="K613" s="38">
        <f t="shared" si="29"/>
        <v>0</v>
      </c>
    </row>
    <row r="614" spans="1:11">
      <c r="A614" t="s">
        <v>2681</v>
      </c>
      <c r="B614" t="s">
        <v>16</v>
      </c>
      <c r="C614" t="s">
        <v>8203</v>
      </c>
      <c r="D614" t="s">
        <v>8204</v>
      </c>
      <c r="E614">
        <v>6071.35</v>
      </c>
      <c r="G614" s="35"/>
      <c r="H614" s="36">
        <f t="shared" si="27"/>
        <v>3824.9505000000004</v>
      </c>
      <c r="I614" s="37">
        <f t="shared" si="28"/>
        <v>3824.9505000000004</v>
      </c>
      <c r="J614" s="4"/>
      <c r="K614" s="38">
        <f t="shared" si="29"/>
        <v>0</v>
      </c>
    </row>
    <row r="615" spans="1:11">
      <c r="A615" t="s">
        <v>2696</v>
      </c>
      <c r="B615" t="s">
        <v>16</v>
      </c>
      <c r="C615" t="s">
        <v>8218</v>
      </c>
      <c r="D615" t="s">
        <v>6378</v>
      </c>
      <c r="E615">
        <v>1609.67</v>
      </c>
      <c r="G615" s="35"/>
      <c r="H615" s="36">
        <f t="shared" si="27"/>
        <v>1014.0921000000001</v>
      </c>
      <c r="I615" s="37">
        <f t="shared" si="28"/>
        <v>1014.0921000000001</v>
      </c>
      <c r="J615" s="4"/>
      <c r="K615" s="38">
        <f t="shared" si="29"/>
        <v>0</v>
      </c>
    </row>
    <row r="616" spans="1:11">
      <c r="A616" t="s">
        <v>2697</v>
      </c>
      <c r="B616" t="s">
        <v>16</v>
      </c>
      <c r="C616" t="s">
        <v>8218</v>
      </c>
      <c r="D616" t="s">
        <v>6371</v>
      </c>
      <c r="E616">
        <v>408.81</v>
      </c>
      <c r="G616" s="35"/>
      <c r="H616" s="36">
        <f t="shared" si="27"/>
        <v>257.55029999999999</v>
      </c>
      <c r="I616" s="37">
        <f t="shared" si="28"/>
        <v>257.55029999999999</v>
      </c>
      <c r="J616" s="4"/>
      <c r="K616" s="38">
        <f t="shared" si="29"/>
        <v>0</v>
      </c>
    </row>
    <row r="617" spans="1:11">
      <c r="A617" t="s">
        <v>2698</v>
      </c>
      <c r="B617" t="s">
        <v>16</v>
      </c>
      <c r="C617" t="s">
        <v>8218</v>
      </c>
      <c r="D617" t="s">
        <v>6366</v>
      </c>
      <c r="E617">
        <v>513.29</v>
      </c>
      <c r="G617" s="35"/>
      <c r="H617" s="36">
        <f t="shared" si="27"/>
        <v>323.37269999999995</v>
      </c>
      <c r="I617" s="37">
        <f t="shared" si="28"/>
        <v>323.37269999999995</v>
      </c>
      <c r="J617" s="4"/>
      <c r="K617" s="38">
        <f t="shared" si="29"/>
        <v>0</v>
      </c>
    </row>
    <row r="618" spans="1:11">
      <c r="A618" t="s">
        <v>2699</v>
      </c>
      <c r="B618" t="s">
        <v>16</v>
      </c>
      <c r="C618" t="s">
        <v>8218</v>
      </c>
      <c r="D618" t="s">
        <v>6372</v>
      </c>
      <c r="E618">
        <v>826.4</v>
      </c>
      <c r="G618" s="35"/>
      <c r="H618" s="36">
        <f t="shared" si="27"/>
        <v>520.63199999999995</v>
      </c>
      <c r="I618" s="37">
        <f t="shared" si="28"/>
        <v>520.63199999999995</v>
      </c>
      <c r="J618" s="4"/>
      <c r="K618" s="38">
        <f t="shared" si="29"/>
        <v>0</v>
      </c>
    </row>
    <row r="619" spans="1:11">
      <c r="A619" t="s">
        <v>2700</v>
      </c>
      <c r="B619" t="s">
        <v>16</v>
      </c>
      <c r="C619" t="s">
        <v>8218</v>
      </c>
      <c r="D619" t="s">
        <v>6713</v>
      </c>
      <c r="E619">
        <v>400.58</v>
      </c>
      <c r="G619" s="35"/>
      <c r="H619" s="36">
        <f t="shared" si="27"/>
        <v>252.36539999999999</v>
      </c>
      <c r="I619" s="37">
        <f t="shared" si="28"/>
        <v>252.36539999999999</v>
      </c>
      <c r="J619" s="4"/>
      <c r="K619" s="38">
        <f t="shared" si="29"/>
        <v>0</v>
      </c>
    </row>
    <row r="620" spans="1:11">
      <c r="A620" t="s">
        <v>2701</v>
      </c>
      <c r="B620" t="s">
        <v>16</v>
      </c>
      <c r="C620" t="s">
        <v>8218</v>
      </c>
      <c r="D620" t="s">
        <v>8219</v>
      </c>
      <c r="E620">
        <v>1852.79</v>
      </c>
      <c r="G620" s="35"/>
      <c r="H620" s="36">
        <f t="shared" si="27"/>
        <v>1167.2576999999999</v>
      </c>
      <c r="I620" s="37">
        <f t="shared" si="28"/>
        <v>1167.2576999999999</v>
      </c>
      <c r="J620" s="4"/>
      <c r="K620" s="38">
        <f t="shared" si="29"/>
        <v>0</v>
      </c>
    </row>
    <row r="621" spans="1:11">
      <c r="A621" t="s">
        <v>2702</v>
      </c>
      <c r="B621" t="s">
        <v>16</v>
      </c>
      <c r="C621" t="s">
        <v>8218</v>
      </c>
      <c r="D621" t="s">
        <v>7967</v>
      </c>
      <c r="E621">
        <v>10734.56</v>
      </c>
      <c r="G621" s="35"/>
      <c r="H621" s="36">
        <f t="shared" si="27"/>
        <v>6762.7727999999997</v>
      </c>
      <c r="I621" s="37">
        <f t="shared" si="28"/>
        <v>6762.7727999999997</v>
      </c>
      <c r="J621" s="4"/>
      <c r="K621" s="38">
        <f t="shared" si="29"/>
        <v>0</v>
      </c>
    </row>
    <row r="622" spans="1:11">
      <c r="A622" t="s">
        <v>3977</v>
      </c>
      <c r="B622" t="s">
        <v>16</v>
      </c>
      <c r="C622" t="s">
        <v>9441</v>
      </c>
      <c r="D622" t="s">
        <v>9442</v>
      </c>
      <c r="E622">
        <v>1349.56</v>
      </c>
      <c r="G622" s="35"/>
      <c r="H622" s="36">
        <f t="shared" si="27"/>
        <v>850.22280000000001</v>
      </c>
      <c r="I622" s="37">
        <f t="shared" si="28"/>
        <v>850.22280000000001</v>
      </c>
      <c r="J622" s="4"/>
      <c r="K622" s="38">
        <f t="shared" si="29"/>
        <v>0</v>
      </c>
    </row>
    <row r="623" spans="1:11">
      <c r="A623" t="s">
        <v>3978</v>
      </c>
      <c r="B623" t="s">
        <v>16</v>
      </c>
      <c r="C623" t="s">
        <v>9441</v>
      </c>
      <c r="D623" t="s">
        <v>9443</v>
      </c>
      <c r="E623">
        <v>1658.78</v>
      </c>
      <c r="G623" s="35"/>
      <c r="H623" s="36">
        <f t="shared" si="27"/>
        <v>1045.0314000000001</v>
      </c>
      <c r="I623" s="37">
        <f t="shared" si="28"/>
        <v>1045.0314000000001</v>
      </c>
      <c r="J623" s="4"/>
      <c r="K623" s="38">
        <f t="shared" si="29"/>
        <v>0</v>
      </c>
    </row>
    <row r="624" spans="1:11">
      <c r="A624" t="s">
        <v>3979</v>
      </c>
      <c r="B624" t="s">
        <v>16</v>
      </c>
      <c r="C624" t="s">
        <v>9441</v>
      </c>
      <c r="D624" t="s">
        <v>9444</v>
      </c>
      <c r="E624">
        <v>3910.9</v>
      </c>
      <c r="G624" s="35"/>
      <c r="H624" s="36">
        <f t="shared" si="27"/>
        <v>2463.8670000000002</v>
      </c>
      <c r="I624" s="37">
        <f t="shared" si="28"/>
        <v>2463.8670000000002</v>
      </c>
      <c r="J624" s="4"/>
      <c r="K624" s="38">
        <f t="shared" si="29"/>
        <v>0</v>
      </c>
    </row>
    <row r="625" spans="1:11">
      <c r="A625" t="s">
        <v>4757</v>
      </c>
      <c r="B625" t="s">
        <v>16</v>
      </c>
      <c r="C625" t="s">
        <v>5835</v>
      </c>
      <c r="D625" t="s">
        <v>5836</v>
      </c>
      <c r="E625">
        <v>82.74</v>
      </c>
      <c r="G625" s="35"/>
      <c r="H625" s="36">
        <f t="shared" si="27"/>
        <v>52.126199999999997</v>
      </c>
      <c r="I625" s="37">
        <f t="shared" si="28"/>
        <v>52.126199999999997</v>
      </c>
      <c r="J625" s="4"/>
      <c r="K625" s="38">
        <f t="shared" si="29"/>
        <v>0</v>
      </c>
    </row>
    <row r="626" spans="1:11">
      <c r="A626" t="s">
        <v>4758</v>
      </c>
      <c r="B626" t="s">
        <v>16</v>
      </c>
      <c r="C626" t="s">
        <v>5835</v>
      </c>
      <c r="D626" t="s">
        <v>5837</v>
      </c>
      <c r="E626">
        <v>102.37</v>
      </c>
      <c r="G626" s="35"/>
      <c r="H626" s="36">
        <f t="shared" si="27"/>
        <v>64.493099999999998</v>
      </c>
      <c r="I626" s="37">
        <f t="shared" si="28"/>
        <v>64.493099999999998</v>
      </c>
      <c r="J626" s="4"/>
      <c r="K626" s="38">
        <f t="shared" si="29"/>
        <v>0</v>
      </c>
    </row>
    <row r="627" spans="1:11">
      <c r="A627" t="s">
        <v>3256</v>
      </c>
      <c r="B627" t="s">
        <v>16</v>
      </c>
      <c r="C627" t="s">
        <v>8767</v>
      </c>
      <c r="D627" t="s">
        <v>8768</v>
      </c>
      <c r="E627">
        <v>3022.38</v>
      </c>
      <c r="G627" s="35"/>
      <c r="H627" s="36">
        <f t="shared" si="27"/>
        <v>1904.0994000000001</v>
      </c>
      <c r="I627" s="37">
        <f t="shared" si="28"/>
        <v>1904.0994000000001</v>
      </c>
      <c r="J627" s="4"/>
      <c r="K627" s="38">
        <f t="shared" si="29"/>
        <v>0</v>
      </c>
    </row>
    <row r="628" spans="1:11">
      <c r="A628" t="s">
        <v>3257</v>
      </c>
      <c r="B628" t="s">
        <v>16</v>
      </c>
      <c r="C628" t="s">
        <v>8767</v>
      </c>
      <c r="D628" t="s">
        <v>8769</v>
      </c>
      <c r="E628">
        <v>3134.9</v>
      </c>
      <c r="G628" s="35"/>
      <c r="H628" s="36">
        <f t="shared" si="27"/>
        <v>1974.9870000000001</v>
      </c>
      <c r="I628" s="37">
        <f t="shared" si="28"/>
        <v>1974.9870000000001</v>
      </c>
      <c r="J628" s="4"/>
      <c r="K628" s="38">
        <f t="shared" si="29"/>
        <v>0</v>
      </c>
    </row>
    <row r="629" spans="1:11">
      <c r="A629" t="s">
        <v>3258</v>
      </c>
      <c r="B629" t="s">
        <v>16</v>
      </c>
      <c r="C629" t="s">
        <v>8767</v>
      </c>
      <c r="D629" t="s">
        <v>8770</v>
      </c>
      <c r="E629">
        <v>12212.84</v>
      </c>
      <c r="G629" s="35"/>
      <c r="H629" s="36">
        <f t="shared" si="27"/>
        <v>7694.0892000000003</v>
      </c>
      <c r="I629" s="37">
        <f t="shared" si="28"/>
        <v>7694.0892000000003</v>
      </c>
      <c r="J629" s="4"/>
      <c r="K629" s="38">
        <f t="shared" si="29"/>
        <v>0</v>
      </c>
    </row>
    <row r="630" spans="1:11">
      <c r="A630" t="s">
        <v>3259</v>
      </c>
      <c r="B630" t="s">
        <v>16</v>
      </c>
      <c r="C630" t="s">
        <v>8767</v>
      </c>
      <c r="D630" t="s">
        <v>8771</v>
      </c>
      <c r="E630">
        <v>14227</v>
      </c>
      <c r="G630" s="35"/>
      <c r="H630" s="36">
        <f t="shared" si="27"/>
        <v>8963.01</v>
      </c>
      <c r="I630" s="37">
        <f t="shared" si="28"/>
        <v>8963.01</v>
      </c>
      <c r="J630" s="4"/>
      <c r="K630" s="38">
        <f t="shared" si="29"/>
        <v>0</v>
      </c>
    </row>
    <row r="631" spans="1:11">
      <c r="A631" t="s">
        <v>3260</v>
      </c>
      <c r="B631" t="s">
        <v>16</v>
      </c>
      <c r="C631" t="s">
        <v>8767</v>
      </c>
      <c r="D631" t="s">
        <v>8772</v>
      </c>
      <c r="E631">
        <v>16093.43</v>
      </c>
      <c r="G631" s="35"/>
      <c r="H631" s="36">
        <f t="shared" si="27"/>
        <v>10138.8609</v>
      </c>
      <c r="I631" s="37">
        <f t="shared" si="28"/>
        <v>10138.8609</v>
      </c>
      <c r="J631" s="4"/>
      <c r="K631" s="38">
        <f t="shared" si="29"/>
        <v>0</v>
      </c>
    </row>
    <row r="632" spans="1:11">
      <c r="A632" t="s">
        <v>3261</v>
      </c>
      <c r="B632" t="s">
        <v>16</v>
      </c>
      <c r="C632" t="s">
        <v>8767</v>
      </c>
      <c r="D632" t="s">
        <v>8773</v>
      </c>
      <c r="E632">
        <v>5142.46</v>
      </c>
      <c r="G632" s="35"/>
      <c r="H632" s="36">
        <f t="shared" si="27"/>
        <v>3239.7498000000001</v>
      </c>
      <c r="I632" s="37">
        <f t="shared" si="28"/>
        <v>3239.7498000000001</v>
      </c>
      <c r="J632" s="4"/>
      <c r="K632" s="38">
        <f t="shared" si="29"/>
        <v>0</v>
      </c>
    </row>
    <row r="633" spans="1:11">
      <c r="A633" t="s">
        <v>3262</v>
      </c>
      <c r="B633" t="s">
        <v>16</v>
      </c>
      <c r="C633" t="s">
        <v>8767</v>
      </c>
      <c r="D633" t="s">
        <v>8774</v>
      </c>
      <c r="E633">
        <v>5612.2</v>
      </c>
      <c r="G633" s="35"/>
      <c r="H633" s="36">
        <f t="shared" si="27"/>
        <v>3535.6859999999997</v>
      </c>
      <c r="I633" s="37">
        <f t="shared" si="28"/>
        <v>3535.6859999999997</v>
      </c>
      <c r="J633" s="4"/>
      <c r="K633" s="38">
        <f t="shared" si="29"/>
        <v>0</v>
      </c>
    </row>
    <row r="634" spans="1:11">
      <c r="A634" t="s">
        <v>3263</v>
      </c>
      <c r="B634" t="s">
        <v>16</v>
      </c>
      <c r="C634" t="s">
        <v>8767</v>
      </c>
      <c r="D634" t="s">
        <v>8775</v>
      </c>
      <c r="E634">
        <v>6708.42</v>
      </c>
      <c r="G634" s="35"/>
      <c r="H634" s="36">
        <f t="shared" si="27"/>
        <v>4226.3046000000004</v>
      </c>
      <c r="I634" s="37">
        <f t="shared" si="28"/>
        <v>4226.3046000000004</v>
      </c>
      <c r="J634" s="4"/>
      <c r="K634" s="38">
        <f t="shared" si="29"/>
        <v>0</v>
      </c>
    </row>
    <row r="635" spans="1:11">
      <c r="A635" t="s">
        <v>3264</v>
      </c>
      <c r="B635" t="s">
        <v>16</v>
      </c>
      <c r="C635" t="s">
        <v>8767</v>
      </c>
      <c r="D635" t="s">
        <v>8776</v>
      </c>
      <c r="E635">
        <v>9788.57</v>
      </c>
      <c r="G635" s="35"/>
      <c r="H635" s="36">
        <f t="shared" si="27"/>
        <v>6166.7991000000002</v>
      </c>
      <c r="I635" s="37">
        <f t="shared" si="28"/>
        <v>6166.7991000000002</v>
      </c>
      <c r="J635" s="4"/>
      <c r="K635" s="38">
        <f t="shared" si="29"/>
        <v>0</v>
      </c>
    </row>
    <row r="636" spans="1:11">
      <c r="A636" t="s">
        <v>3267</v>
      </c>
      <c r="B636" t="s">
        <v>16</v>
      </c>
      <c r="C636" t="s">
        <v>8780</v>
      </c>
      <c r="D636" t="s">
        <v>8781</v>
      </c>
      <c r="E636">
        <v>1716.24</v>
      </c>
      <c r="G636" s="35"/>
      <c r="H636" s="36">
        <f t="shared" si="27"/>
        <v>1081.2311999999999</v>
      </c>
      <c r="I636" s="37">
        <f t="shared" si="28"/>
        <v>1081.2311999999999</v>
      </c>
      <c r="J636" s="4"/>
      <c r="K636" s="38">
        <f t="shared" si="29"/>
        <v>0</v>
      </c>
    </row>
    <row r="637" spans="1:11">
      <c r="A637" t="s">
        <v>3268</v>
      </c>
      <c r="B637" t="s">
        <v>16</v>
      </c>
      <c r="C637" t="s">
        <v>8780</v>
      </c>
      <c r="D637" t="s">
        <v>8782</v>
      </c>
      <c r="E637">
        <v>2112.33</v>
      </c>
      <c r="G637" s="35"/>
      <c r="H637" s="36">
        <f t="shared" si="27"/>
        <v>1330.7679000000001</v>
      </c>
      <c r="I637" s="37">
        <f t="shared" si="28"/>
        <v>1330.7679000000001</v>
      </c>
      <c r="J637" s="4"/>
      <c r="K637" s="38">
        <f t="shared" si="29"/>
        <v>0</v>
      </c>
    </row>
    <row r="638" spans="1:11">
      <c r="A638" t="s">
        <v>3269</v>
      </c>
      <c r="B638" t="s">
        <v>16</v>
      </c>
      <c r="C638" t="s">
        <v>8780</v>
      </c>
      <c r="D638" t="s">
        <v>8783</v>
      </c>
      <c r="E638">
        <v>2550.13</v>
      </c>
      <c r="G638" s="35"/>
      <c r="H638" s="36">
        <f t="shared" si="27"/>
        <v>1606.5819000000001</v>
      </c>
      <c r="I638" s="37">
        <f t="shared" si="28"/>
        <v>1606.5819000000001</v>
      </c>
      <c r="J638" s="4"/>
      <c r="K638" s="38">
        <f t="shared" si="29"/>
        <v>0</v>
      </c>
    </row>
    <row r="639" spans="1:11">
      <c r="A639" t="s">
        <v>3270</v>
      </c>
      <c r="B639" t="s">
        <v>16</v>
      </c>
      <c r="C639" t="s">
        <v>8780</v>
      </c>
      <c r="D639" t="s">
        <v>8784</v>
      </c>
      <c r="E639">
        <v>3002.07</v>
      </c>
      <c r="G639" s="35"/>
      <c r="H639" s="36">
        <f t="shared" si="27"/>
        <v>1891.3041000000001</v>
      </c>
      <c r="I639" s="37">
        <f t="shared" si="28"/>
        <v>1891.3041000000001</v>
      </c>
      <c r="J639" s="4"/>
      <c r="K639" s="38">
        <f t="shared" si="29"/>
        <v>0</v>
      </c>
    </row>
    <row r="640" spans="1:11">
      <c r="A640" t="s">
        <v>3271</v>
      </c>
      <c r="B640" t="s">
        <v>16</v>
      </c>
      <c r="C640" t="s">
        <v>8780</v>
      </c>
      <c r="D640" t="s">
        <v>8785</v>
      </c>
      <c r="E640">
        <v>3823.76</v>
      </c>
      <c r="G640" s="35"/>
      <c r="H640" s="36">
        <f t="shared" si="27"/>
        <v>2408.9688000000001</v>
      </c>
      <c r="I640" s="37">
        <f t="shared" si="28"/>
        <v>2408.9688000000001</v>
      </c>
      <c r="J640" s="4"/>
      <c r="K640" s="38">
        <f t="shared" si="29"/>
        <v>0</v>
      </c>
    </row>
    <row r="641" spans="1:11">
      <c r="A641" t="s">
        <v>3272</v>
      </c>
      <c r="B641" t="s">
        <v>16</v>
      </c>
      <c r="C641" t="s">
        <v>8780</v>
      </c>
      <c r="D641" t="s">
        <v>8786</v>
      </c>
      <c r="E641">
        <v>4723.8999999999996</v>
      </c>
      <c r="G641" s="35"/>
      <c r="H641" s="36">
        <f t="shared" si="27"/>
        <v>2976.0569999999998</v>
      </c>
      <c r="I641" s="37">
        <f t="shared" si="28"/>
        <v>2976.0569999999998</v>
      </c>
      <c r="J641" s="4"/>
      <c r="K641" s="38">
        <f t="shared" si="29"/>
        <v>0</v>
      </c>
    </row>
    <row r="642" spans="1:11">
      <c r="A642" t="s">
        <v>3273</v>
      </c>
      <c r="B642" t="s">
        <v>16</v>
      </c>
      <c r="C642" t="s">
        <v>8780</v>
      </c>
      <c r="D642" t="s">
        <v>8787</v>
      </c>
      <c r="E642">
        <v>6427.03</v>
      </c>
      <c r="G642" s="35"/>
      <c r="H642" s="36">
        <f t="shared" si="27"/>
        <v>4049.0288999999998</v>
      </c>
      <c r="I642" s="37">
        <f t="shared" si="28"/>
        <v>4049.0288999999998</v>
      </c>
      <c r="J642" s="4"/>
      <c r="K642" s="38">
        <f t="shared" si="29"/>
        <v>0</v>
      </c>
    </row>
    <row r="643" spans="1:11">
      <c r="A643" t="s">
        <v>3274</v>
      </c>
      <c r="B643" t="s">
        <v>16</v>
      </c>
      <c r="C643" t="s">
        <v>8780</v>
      </c>
      <c r="D643" t="s">
        <v>8788</v>
      </c>
      <c r="E643">
        <v>8539.15</v>
      </c>
      <c r="G643" s="35"/>
      <c r="H643" s="36">
        <f t="shared" si="27"/>
        <v>5379.6644999999999</v>
      </c>
      <c r="I643" s="37">
        <f t="shared" si="28"/>
        <v>5379.6644999999999</v>
      </c>
      <c r="J643" s="4"/>
      <c r="K643" s="38">
        <f t="shared" si="29"/>
        <v>0</v>
      </c>
    </row>
    <row r="644" spans="1:11">
      <c r="A644" t="s">
        <v>3275</v>
      </c>
      <c r="B644" t="s">
        <v>16</v>
      </c>
      <c r="C644" t="s">
        <v>8780</v>
      </c>
      <c r="D644" t="s">
        <v>8789</v>
      </c>
      <c r="E644">
        <v>2206.63</v>
      </c>
      <c r="G644" s="35"/>
      <c r="H644" s="36">
        <f t="shared" si="27"/>
        <v>1390.1769000000002</v>
      </c>
      <c r="I644" s="37">
        <f t="shared" si="28"/>
        <v>1390.1769000000002</v>
      </c>
      <c r="J644" s="4"/>
      <c r="K644" s="38">
        <f t="shared" si="29"/>
        <v>0</v>
      </c>
    </row>
    <row r="645" spans="1:11">
      <c r="A645" t="s">
        <v>3276</v>
      </c>
      <c r="B645" t="s">
        <v>16</v>
      </c>
      <c r="C645" t="s">
        <v>8780</v>
      </c>
      <c r="D645" t="s">
        <v>8790</v>
      </c>
      <c r="E645">
        <v>2750.06</v>
      </c>
      <c r="G645" s="35"/>
      <c r="H645" s="36">
        <f t="shared" si="27"/>
        <v>1732.5378000000001</v>
      </c>
      <c r="I645" s="37">
        <f t="shared" si="28"/>
        <v>1732.5378000000001</v>
      </c>
      <c r="J645" s="4"/>
      <c r="K645" s="38">
        <f t="shared" si="29"/>
        <v>0</v>
      </c>
    </row>
    <row r="646" spans="1:11">
      <c r="A646" t="s">
        <v>3277</v>
      </c>
      <c r="B646" t="s">
        <v>16</v>
      </c>
      <c r="C646" t="s">
        <v>8780</v>
      </c>
      <c r="D646" t="s">
        <v>8791</v>
      </c>
      <c r="E646">
        <v>3316.02</v>
      </c>
      <c r="G646" s="35"/>
      <c r="H646" s="36">
        <f t="shared" si="27"/>
        <v>2089.0925999999999</v>
      </c>
      <c r="I646" s="37">
        <f t="shared" si="28"/>
        <v>2089.0925999999999</v>
      </c>
      <c r="J646" s="4"/>
      <c r="K646" s="38">
        <f t="shared" si="29"/>
        <v>0</v>
      </c>
    </row>
    <row r="647" spans="1:11">
      <c r="A647" t="s">
        <v>3278</v>
      </c>
      <c r="B647" t="s">
        <v>16</v>
      </c>
      <c r="C647" t="s">
        <v>8780</v>
      </c>
      <c r="D647" t="s">
        <v>8792</v>
      </c>
      <c r="E647">
        <v>3851.63</v>
      </c>
      <c r="G647" s="35"/>
      <c r="H647" s="36">
        <f t="shared" ref="H647:H710" si="30">+E647*$H$1*(1-G647)</f>
        <v>2426.5269000000003</v>
      </c>
      <c r="I647" s="37">
        <f t="shared" ref="I647:I710" si="31">H647*$H$4</f>
        <v>2426.5269000000003</v>
      </c>
      <c r="J647" s="4"/>
      <c r="K647" s="38">
        <f t="shared" ref="K647:K710" si="32">J647*I647</f>
        <v>0</v>
      </c>
    </row>
    <row r="648" spans="1:11">
      <c r="A648" t="s">
        <v>3279</v>
      </c>
      <c r="B648" t="s">
        <v>16</v>
      </c>
      <c r="C648" t="s">
        <v>8780</v>
      </c>
      <c r="D648" t="s">
        <v>8793</v>
      </c>
      <c r="E648">
        <v>4647.8500000000004</v>
      </c>
      <c r="G648" s="35"/>
      <c r="H648" s="36">
        <f t="shared" si="30"/>
        <v>2928.1455000000001</v>
      </c>
      <c r="I648" s="37">
        <f t="shared" si="31"/>
        <v>2928.1455000000001</v>
      </c>
      <c r="J648" s="4"/>
      <c r="K648" s="38">
        <f t="shared" si="32"/>
        <v>0</v>
      </c>
    </row>
    <row r="649" spans="1:11">
      <c r="A649" t="s">
        <v>3280</v>
      </c>
      <c r="B649" t="s">
        <v>16</v>
      </c>
      <c r="C649" t="s">
        <v>8780</v>
      </c>
      <c r="D649" t="s">
        <v>8794</v>
      </c>
      <c r="E649">
        <v>5944.4</v>
      </c>
      <c r="G649" s="35"/>
      <c r="H649" s="36">
        <f t="shared" si="30"/>
        <v>3744.9719999999998</v>
      </c>
      <c r="I649" s="37">
        <f t="shared" si="31"/>
        <v>3744.9719999999998</v>
      </c>
      <c r="J649" s="4"/>
      <c r="K649" s="38">
        <f t="shared" si="32"/>
        <v>0</v>
      </c>
    </row>
    <row r="650" spans="1:11">
      <c r="A650" t="s">
        <v>3281</v>
      </c>
      <c r="B650" t="s">
        <v>16</v>
      </c>
      <c r="C650" t="s">
        <v>8780</v>
      </c>
      <c r="D650" t="s">
        <v>8795</v>
      </c>
      <c r="E650">
        <v>7979.48</v>
      </c>
      <c r="G650" s="35"/>
      <c r="H650" s="36">
        <f t="shared" si="30"/>
        <v>5027.0724</v>
      </c>
      <c r="I650" s="37">
        <f t="shared" si="31"/>
        <v>5027.0724</v>
      </c>
      <c r="J650" s="4"/>
      <c r="K650" s="38">
        <f t="shared" si="32"/>
        <v>0</v>
      </c>
    </row>
    <row r="651" spans="1:11">
      <c r="A651" t="s">
        <v>3282</v>
      </c>
      <c r="B651" t="s">
        <v>16</v>
      </c>
      <c r="C651" t="s">
        <v>8780</v>
      </c>
      <c r="D651" t="s">
        <v>8796</v>
      </c>
      <c r="E651">
        <v>10827.82</v>
      </c>
      <c r="G651" s="35"/>
      <c r="H651" s="36">
        <f t="shared" si="30"/>
        <v>6821.5266000000001</v>
      </c>
      <c r="I651" s="37">
        <f t="shared" si="31"/>
        <v>6821.5266000000001</v>
      </c>
      <c r="J651" s="4"/>
      <c r="K651" s="38">
        <f t="shared" si="32"/>
        <v>0</v>
      </c>
    </row>
    <row r="652" spans="1:11">
      <c r="A652" t="s">
        <v>3283</v>
      </c>
      <c r="B652" t="s">
        <v>16</v>
      </c>
      <c r="C652" t="s">
        <v>8780</v>
      </c>
      <c r="D652" t="s">
        <v>8797</v>
      </c>
      <c r="E652">
        <v>2936.5</v>
      </c>
      <c r="G652" s="35"/>
      <c r="H652" s="36">
        <f t="shared" si="30"/>
        <v>1849.9950000000001</v>
      </c>
      <c r="I652" s="37">
        <f t="shared" si="31"/>
        <v>1849.9950000000001</v>
      </c>
      <c r="J652" s="4"/>
      <c r="K652" s="38">
        <f t="shared" si="32"/>
        <v>0</v>
      </c>
    </row>
    <row r="653" spans="1:11">
      <c r="A653" t="s">
        <v>3284</v>
      </c>
      <c r="B653" t="s">
        <v>16</v>
      </c>
      <c r="C653" t="s">
        <v>8780</v>
      </c>
      <c r="D653" t="s">
        <v>8798</v>
      </c>
      <c r="E653">
        <v>3675.19</v>
      </c>
      <c r="G653" s="35"/>
      <c r="H653" s="36">
        <f t="shared" si="30"/>
        <v>2315.3697000000002</v>
      </c>
      <c r="I653" s="37">
        <f t="shared" si="31"/>
        <v>2315.3697000000002</v>
      </c>
      <c r="J653" s="4"/>
      <c r="K653" s="38">
        <f t="shared" si="32"/>
        <v>0</v>
      </c>
    </row>
    <row r="654" spans="1:11">
      <c r="A654" t="s">
        <v>3285</v>
      </c>
      <c r="B654" t="s">
        <v>16</v>
      </c>
      <c r="C654" t="s">
        <v>8780</v>
      </c>
      <c r="D654" t="s">
        <v>8799</v>
      </c>
      <c r="E654">
        <v>4317.7700000000004</v>
      </c>
      <c r="G654" s="35"/>
      <c r="H654" s="36">
        <f t="shared" si="30"/>
        <v>2720.1951000000004</v>
      </c>
      <c r="I654" s="37">
        <f t="shared" si="31"/>
        <v>2720.1951000000004</v>
      </c>
      <c r="J654" s="4"/>
      <c r="K654" s="38">
        <f t="shared" si="32"/>
        <v>0</v>
      </c>
    </row>
    <row r="655" spans="1:11">
      <c r="A655" t="s">
        <v>3286</v>
      </c>
      <c r="B655" t="s">
        <v>16</v>
      </c>
      <c r="C655" t="s">
        <v>8780</v>
      </c>
      <c r="D655" t="s">
        <v>8800</v>
      </c>
      <c r="E655">
        <v>4961.5200000000004</v>
      </c>
      <c r="G655" s="35"/>
      <c r="H655" s="36">
        <f t="shared" si="30"/>
        <v>3125.7576000000004</v>
      </c>
      <c r="I655" s="37">
        <f t="shared" si="31"/>
        <v>3125.7576000000004</v>
      </c>
      <c r="J655" s="4"/>
      <c r="K655" s="38">
        <f t="shared" si="32"/>
        <v>0</v>
      </c>
    </row>
    <row r="656" spans="1:11">
      <c r="A656" t="s">
        <v>3287</v>
      </c>
      <c r="B656" t="s">
        <v>16</v>
      </c>
      <c r="C656" t="s">
        <v>8780</v>
      </c>
      <c r="D656" t="s">
        <v>8801</v>
      </c>
      <c r="E656">
        <v>6240.58</v>
      </c>
      <c r="G656" s="35"/>
      <c r="H656" s="36">
        <f t="shared" si="30"/>
        <v>3931.5654</v>
      </c>
      <c r="I656" s="37">
        <f t="shared" si="31"/>
        <v>3931.5654</v>
      </c>
      <c r="J656" s="4"/>
      <c r="K656" s="38">
        <f t="shared" si="32"/>
        <v>0</v>
      </c>
    </row>
    <row r="657" spans="1:11">
      <c r="A657" t="s">
        <v>3288</v>
      </c>
      <c r="B657" t="s">
        <v>16</v>
      </c>
      <c r="C657" t="s">
        <v>8780</v>
      </c>
      <c r="D657" t="s">
        <v>8802</v>
      </c>
      <c r="E657">
        <v>7531.88</v>
      </c>
      <c r="G657" s="35"/>
      <c r="H657" s="36">
        <f t="shared" si="30"/>
        <v>4745.0843999999997</v>
      </c>
      <c r="I657" s="37">
        <f t="shared" si="31"/>
        <v>4745.0843999999997</v>
      </c>
      <c r="J657" s="4"/>
      <c r="K657" s="38">
        <f t="shared" si="32"/>
        <v>0</v>
      </c>
    </row>
    <row r="658" spans="1:11">
      <c r="A658" t="s">
        <v>3289</v>
      </c>
      <c r="B658" t="s">
        <v>16</v>
      </c>
      <c r="C658" t="s">
        <v>8780</v>
      </c>
      <c r="D658" t="s">
        <v>8803</v>
      </c>
      <c r="E658">
        <v>9913.7800000000007</v>
      </c>
      <c r="G658" s="35"/>
      <c r="H658" s="36">
        <f t="shared" si="30"/>
        <v>6245.6814000000004</v>
      </c>
      <c r="I658" s="37">
        <f t="shared" si="31"/>
        <v>6245.6814000000004</v>
      </c>
      <c r="J658" s="4"/>
      <c r="K658" s="38">
        <f t="shared" si="32"/>
        <v>0</v>
      </c>
    </row>
    <row r="659" spans="1:11">
      <c r="A659" t="s">
        <v>3290</v>
      </c>
      <c r="B659" t="s">
        <v>16</v>
      </c>
      <c r="C659" t="s">
        <v>8780</v>
      </c>
      <c r="D659" t="s">
        <v>8804</v>
      </c>
      <c r="E659">
        <v>13404.53</v>
      </c>
      <c r="G659" s="35"/>
      <c r="H659" s="36">
        <f t="shared" si="30"/>
        <v>8444.8539000000001</v>
      </c>
      <c r="I659" s="37">
        <f t="shared" si="31"/>
        <v>8444.8539000000001</v>
      </c>
      <c r="J659" s="4"/>
      <c r="K659" s="38">
        <f t="shared" si="32"/>
        <v>0</v>
      </c>
    </row>
    <row r="660" spans="1:11">
      <c r="A660" t="s">
        <v>3291</v>
      </c>
      <c r="B660" t="s">
        <v>16</v>
      </c>
      <c r="C660" t="s">
        <v>8780</v>
      </c>
      <c r="D660" t="s">
        <v>8805</v>
      </c>
      <c r="E660">
        <v>4961.5200000000004</v>
      </c>
      <c r="G660" s="35"/>
      <c r="H660" s="36">
        <f t="shared" si="30"/>
        <v>3125.7576000000004</v>
      </c>
      <c r="I660" s="37">
        <f t="shared" si="31"/>
        <v>3125.7576000000004</v>
      </c>
      <c r="J660" s="4"/>
      <c r="K660" s="38">
        <f t="shared" si="32"/>
        <v>0</v>
      </c>
    </row>
    <row r="661" spans="1:11">
      <c r="A661" t="s">
        <v>3292</v>
      </c>
      <c r="B661" t="s">
        <v>16</v>
      </c>
      <c r="C661" t="s">
        <v>8780</v>
      </c>
      <c r="D661" t="s">
        <v>8806</v>
      </c>
      <c r="E661">
        <v>6240.58</v>
      </c>
      <c r="G661" s="35"/>
      <c r="H661" s="36">
        <f t="shared" si="30"/>
        <v>3931.5654</v>
      </c>
      <c r="I661" s="37">
        <f t="shared" si="31"/>
        <v>3931.5654</v>
      </c>
      <c r="J661" s="4"/>
      <c r="K661" s="38">
        <f t="shared" si="32"/>
        <v>0</v>
      </c>
    </row>
    <row r="662" spans="1:11">
      <c r="A662" t="s">
        <v>3293</v>
      </c>
      <c r="B662" t="s">
        <v>16</v>
      </c>
      <c r="C662" t="s">
        <v>8780</v>
      </c>
      <c r="D662" t="s">
        <v>8807</v>
      </c>
      <c r="E662">
        <v>7529.88</v>
      </c>
      <c r="G662" s="35"/>
      <c r="H662" s="36">
        <f t="shared" si="30"/>
        <v>4743.8244000000004</v>
      </c>
      <c r="I662" s="37">
        <f t="shared" si="31"/>
        <v>4743.8244000000004</v>
      </c>
      <c r="J662" s="4"/>
      <c r="K662" s="38">
        <f t="shared" si="32"/>
        <v>0</v>
      </c>
    </row>
    <row r="663" spans="1:11">
      <c r="A663" t="s">
        <v>3294</v>
      </c>
      <c r="B663" t="s">
        <v>16</v>
      </c>
      <c r="C663" t="s">
        <v>8780</v>
      </c>
      <c r="D663" t="s">
        <v>8808</v>
      </c>
      <c r="E663">
        <v>9178.6200000000008</v>
      </c>
      <c r="G663" s="35"/>
      <c r="H663" s="36">
        <f t="shared" si="30"/>
        <v>5782.530600000001</v>
      </c>
      <c r="I663" s="37">
        <f t="shared" si="31"/>
        <v>5782.530600000001</v>
      </c>
      <c r="J663" s="4"/>
      <c r="K663" s="38">
        <f t="shared" si="32"/>
        <v>0</v>
      </c>
    </row>
    <row r="664" spans="1:11">
      <c r="A664" t="s">
        <v>3295</v>
      </c>
      <c r="B664" t="s">
        <v>16</v>
      </c>
      <c r="C664" t="s">
        <v>8780</v>
      </c>
      <c r="D664" t="s">
        <v>8809</v>
      </c>
      <c r="E664">
        <v>11387.81</v>
      </c>
      <c r="G664" s="35"/>
      <c r="H664" s="36">
        <f t="shared" si="30"/>
        <v>7174.3202999999994</v>
      </c>
      <c r="I664" s="37">
        <f t="shared" si="31"/>
        <v>7174.3202999999994</v>
      </c>
      <c r="J664" s="4"/>
      <c r="K664" s="38">
        <f t="shared" si="32"/>
        <v>0</v>
      </c>
    </row>
    <row r="665" spans="1:11">
      <c r="A665" t="s">
        <v>3296</v>
      </c>
      <c r="B665" t="s">
        <v>16</v>
      </c>
      <c r="C665" t="s">
        <v>8780</v>
      </c>
      <c r="D665" t="s">
        <v>8810</v>
      </c>
      <c r="E665">
        <v>13946.51</v>
      </c>
      <c r="G665" s="35"/>
      <c r="H665" s="36">
        <f t="shared" si="30"/>
        <v>8786.301300000001</v>
      </c>
      <c r="I665" s="37">
        <f t="shared" si="31"/>
        <v>8786.301300000001</v>
      </c>
      <c r="J665" s="4"/>
      <c r="K665" s="38">
        <f t="shared" si="32"/>
        <v>0</v>
      </c>
    </row>
    <row r="666" spans="1:11">
      <c r="A666" t="s">
        <v>3297</v>
      </c>
      <c r="B666" t="s">
        <v>16</v>
      </c>
      <c r="C666" t="s">
        <v>8780</v>
      </c>
      <c r="D666" t="s">
        <v>8811</v>
      </c>
      <c r="E666">
        <v>18060.47</v>
      </c>
      <c r="G666" s="35"/>
      <c r="H666" s="36">
        <f t="shared" si="30"/>
        <v>11378.096100000001</v>
      </c>
      <c r="I666" s="37">
        <f t="shared" si="31"/>
        <v>11378.096100000001</v>
      </c>
      <c r="J666" s="4"/>
      <c r="K666" s="38">
        <f t="shared" si="32"/>
        <v>0</v>
      </c>
    </row>
    <row r="667" spans="1:11">
      <c r="A667" t="s">
        <v>3298</v>
      </c>
      <c r="B667" t="s">
        <v>16</v>
      </c>
      <c r="C667" t="s">
        <v>8780</v>
      </c>
      <c r="D667" t="s">
        <v>8812</v>
      </c>
      <c r="E667">
        <v>23685.61</v>
      </c>
      <c r="G667" s="35"/>
      <c r="H667" s="36">
        <f t="shared" si="30"/>
        <v>14921.934300000001</v>
      </c>
      <c r="I667" s="37">
        <f t="shared" si="31"/>
        <v>14921.934300000001</v>
      </c>
      <c r="J667" s="4"/>
      <c r="K667" s="38">
        <f t="shared" si="32"/>
        <v>0</v>
      </c>
    </row>
    <row r="668" spans="1:11">
      <c r="A668" t="s">
        <v>3299</v>
      </c>
      <c r="B668" t="s">
        <v>16</v>
      </c>
      <c r="C668" t="s">
        <v>8780</v>
      </c>
      <c r="D668" t="s">
        <v>8813</v>
      </c>
      <c r="E668">
        <v>32457.48</v>
      </c>
      <c r="G668" s="35"/>
      <c r="H668" s="36">
        <f t="shared" si="30"/>
        <v>20448.2124</v>
      </c>
      <c r="I668" s="37">
        <f t="shared" si="31"/>
        <v>20448.2124</v>
      </c>
      <c r="J668" s="4"/>
      <c r="K668" s="38">
        <f t="shared" si="32"/>
        <v>0</v>
      </c>
    </row>
    <row r="669" spans="1:11">
      <c r="A669" t="s">
        <v>3300</v>
      </c>
      <c r="B669" t="s">
        <v>16</v>
      </c>
      <c r="C669" t="s">
        <v>8780</v>
      </c>
      <c r="D669" t="s">
        <v>8814</v>
      </c>
      <c r="E669">
        <v>17013.71</v>
      </c>
      <c r="G669" s="35"/>
      <c r="H669" s="36">
        <f t="shared" si="30"/>
        <v>10718.6373</v>
      </c>
      <c r="I669" s="37">
        <f t="shared" si="31"/>
        <v>10718.6373</v>
      </c>
      <c r="J669" s="4"/>
      <c r="K669" s="38">
        <f t="shared" si="32"/>
        <v>0</v>
      </c>
    </row>
    <row r="670" spans="1:11">
      <c r="A670" t="s">
        <v>3301</v>
      </c>
      <c r="B670" t="s">
        <v>16</v>
      </c>
      <c r="C670" t="s">
        <v>8780</v>
      </c>
      <c r="D670" t="s">
        <v>8815</v>
      </c>
      <c r="E670">
        <v>26527.18</v>
      </c>
      <c r="G670" s="35"/>
      <c r="H670" s="36">
        <f t="shared" si="30"/>
        <v>16712.1234</v>
      </c>
      <c r="I670" s="37">
        <f t="shared" si="31"/>
        <v>16712.1234</v>
      </c>
      <c r="J670" s="4"/>
      <c r="K670" s="38">
        <f t="shared" si="32"/>
        <v>0</v>
      </c>
    </row>
    <row r="671" spans="1:11">
      <c r="A671" t="s">
        <v>3302</v>
      </c>
      <c r="B671" t="s">
        <v>16</v>
      </c>
      <c r="C671" t="s">
        <v>8780</v>
      </c>
      <c r="D671" t="s">
        <v>8816</v>
      </c>
      <c r="E671">
        <v>12236.79</v>
      </c>
      <c r="G671" s="35"/>
      <c r="H671" s="36">
        <f t="shared" si="30"/>
        <v>7709.1777000000002</v>
      </c>
      <c r="I671" s="37">
        <f t="shared" si="31"/>
        <v>7709.1777000000002</v>
      </c>
      <c r="J671" s="4"/>
      <c r="K671" s="38">
        <f t="shared" si="32"/>
        <v>0</v>
      </c>
    </row>
    <row r="672" spans="1:11">
      <c r="A672" t="s">
        <v>3303</v>
      </c>
      <c r="B672" t="s">
        <v>16</v>
      </c>
      <c r="C672" t="s">
        <v>8780</v>
      </c>
      <c r="D672" t="s">
        <v>8817</v>
      </c>
      <c r="E672">
        <v>16065.69</v>
      </c>
      <c r="G672" s="35"/>
      <c r="H672" s="36">
        <f t="shared" si="30"/>
        <v>10121.384700000001</v>
      </c>
      <c r="I672" s="37">
        <f t="shared" si="31"/>
        <v>10121.384700000001</v>
      </c>
      <c r="J672" s="4"/>
      <c r="K672" s="38">
        <f t="shared" si="32"/>
        <v>0</v>
      </c>
    </row>
    <row r="673" spans="1:11">
      <c r="A673" t="s">
        <v>3304</v>
      </c>
      <c r="B673" t="s">
        <v>16</v>
      </c>
      <c r="C673" t="s">
        <v>8780</v>
      </c>
      <c r="D673" t="s">
        <v>8818</v>
      </c>
      <c r="E673">
        <v>5230.42</v>
      </c>
      <c r="G673" s="35"/>
      <c r="H673" s="36">
        <f t="shared" si="30"/>
        <v>3295.1646000000001</v>
      </c>
      <c r="I673" s="37">
        <f t="shared" si="31"/>
        <v>3295.1646000000001</v>
      </c>
      <c r="J673" s="4"/>
      <c r="K673" s="38">
        <f t="shared" si="32"/>
        <v>0</v>
      </c>
    </row>
    <row r="674" spans="1:11">
      <c r="A674" t="s">
        <v>3305</v>
      </c>
      <c r="B674" t="s">
        <v>16</v>
      </c>
      <c r="C674" t="s">
        <v>8780</v>
      </c>
      <c r="D674" t="s">
        <v>8819</v>
      </c>
      <c r="E674">
        <v>4825.57</v>
      </c>
      <c r="G674" s="35"/>
      <c r="H674" s="36">
        <f t="shared" si="30"/>
        <v>3040.1090999999997</v>
      </c>
      <c r="I674" s="37">
        <f t="shared" si="31"/>
        <v>3040.1090999999997</v>
      </c>
      <c r="J674" s="4"/>
      <c r="K674" s="38">
        <f t="shared" si="32"/>
        <v>0</v>
      </c>
    </row>
    <row r="675" spans="1:11">
      <c r="A675" t="s">
        <v>3306</v>
      </c>
      <c r="B675" t="s">
        <v>16</v>
      </c>
      <c r="C675" t="s">
        <v>8780</v>
      </c>
      <c r="D675" t="s">
        <v>8820</v>
      </c>
      <c r="E675">
        <v>5409.94</v>
      </c>
      <c r="G675" s="35"/>
      <c r="H675" s="36">
        <f t="shared" si="30"/>
        <v>3408.2621999999997</v>
      </c>
      <c r="I675" s="37">
        <f t="shared" si="31"/>
        <v>3408.2621999999997</v>
      </c>
      <c r="J675" s="4"/>
      <c r="K675" s="38">
        <f t="shared" si="32"/>
        <v>0</v>
      </c>
    </row>
    <row r="676" spans="1:11">
      <c r="A676" t="s">
        <v>3307</v>
      </c>
      <c r="B676" t="s">
        <v>16</v>
      </c>
      <c r="C676" t="s">
        <v>8780</v>
      </c>
      <c r="D676" t="s">
        <v>8821</v>
      </c>
      <c r="E676">
        <v>9905.0499999999993</v>
      </c>
      <c r="G676" s="35"/>
      <c r="H676" s="36">
        <f t="shared" si="30"/>
        <v>6240.1814999999997</v>
      </c>
      <c r="I676" s="37">
        <f t="shared" si="31"/>
        <v>6240.1814999999997</v>
      </c>
      <c r="J676" s="4"/>
      <c r="K676" s="38">
        <f t="shared" si="32"/>
        <v>0</v>
      </c>
    </row>
    <row r="677" spans="1:11">
      <c r="A677" t="s">
        <v>3308</v>
      </c>
      <c r="B677" t="s">
        <v>16</v>
      </c>
      <c r="C677" t="s">
        <v>8780</v>
      </c>
      <c r="D677" t="s">
        <v>8822</v>
      </c>
      <c r="E677">
        <v>13038.02</v>
      </c>
      <c r="G677" s="35"/>
      <c r="H677" s="36">
        <f t="shared" si="30"/>
        <v>8213.9526000000005</v>
      </c>
      <c r="I677" s="37">
        <f t="shared" si="31"/>
        <v>8213.9526000000005</v>
      </c>
      <c r="J677" s="4"/>
      <c r="K677" s="38">
        <f t="shared" si="32"/>
        <v>0</v>
      </c>
    </row>
    <row r="678" spans="1:11">
      <c r="A678" t="s">
        <v>3309</v>
      </c>
      <c r="B678" t="s">
        <v>16</v>
      </c>
      <c r="C678" t="s">
        <v>8780</v>
      </c>
      <c r="D678" t="s">
        <v>10092</v>
      </c>
      <c r="E678">
        <v>3450.74</v>
      </c>
      <c r="G678" s="35"/>
      <c r="H678" s="36">
        <f t="shared" si="30"/>
        <v>2173.9661999999998</v>
      </c>
      <c r="I678" s="37">
        <f t="shared" si="31"/>
        <v>2173.9661999999998</v>
      </c>
      <c r="J678" s="4"/>
      <c r="K678" s="38">
        <f t="shared" si="32"/>
        <v>0</v>
      </c>
    </row>
    <row r="679" spans="1:11">
      <c r="A679" t="s">
        <v>3310</v>
      </c>
      <c r="B679" t="s">
        <v>16</v>
      </c>
      <c r="C679" t="s">
        <v>8780</v>
      </c>
      <c r="D679" t="s">
        <v>10093</v>
      </c>
      <c r="E679">
        <v>7391.84</v>
      </c>
      <c r="G679" s="35"/>
      <c r="H679" s="36">
        <f t="shared" si="30"/>
        <v>4656.8591999999999</v>
      </c>
      <c r="I679" s="37">
        <f t="shared" si="31"/>
        <v>4656.8591999999999</v>
      </c>
      <c r="J679" s="4"/>
      <c r="K679" s="38">
        <f t="shared" si="32"/>
        <v>0</v>
      </c>
    </row>
    <row r="680" spans="1:11">
      <c r="A680" t="s">
        <v>3311</v>
      </c>
      <c r="B680" t="s">
        <v>16</v>
      </c>
      <c r="C680" t="s">
        <v>8780</v>
      </c>
      <c r="D680" t="s">
        <v>10094</v>
      </c>
      <c r="E680">
        <v>9818.8799999999992</v>
      </c>
      <c r="G680" s="35"/>
      <c r="H680" s="36">
        <f t="shared" si="30"/>
        <v>6185.8943999999992</v>
      </c>
      <c r="I680" s="37">
        <f t="shared" si="31"/>
        <v>6185.8943999999992</v>
      </c>
      <c r="J680" s="4"/>
      <c r="K680" s="38">
        <f t="shared" si="32"/>
        <v>0</v>
      </c>
    </row>
    <row r="681" spans="1:11">
      <c r="A681" t="s">
        <v>3312</v>
      </c>
      <c r="B681" t="s">
        <v>16</v>
      </c>
      <c r="C681" t="s">
        <v>8780</v>
      </c>
      <c r="D681" t="s">
        <v>10095</v>
      </c>
      <c r="E681">
        <v>4427.6499999999996</v>
      </c>
      <c r="G681" s="35"/>
      <c r="H681" s="36">
        <f t="shared" si="30"/>
        <v>2789.4195</v>
      </c>
      <c r="I681" s="37">
        <f t="shared" si="31"/>
        <v>2789.4195</v>
      </c>
      <c r="J681" s="4"/>
      <c r="K681" s="38">
        <f t="shared" si="32"/>
        <v>0</v>
      </c>
    </row>
    <row r="682" spans="1:11">
      <c r="A682" t="s">
        <v>3313</v>
      </c>
      <c r="B682" t="s">
        <v>16</v>
      </c>
      <c r="C682" t="s">
        <v>8780</v>
      </c>
      <c r="D682" t="s">
        <v>10096</v>
      </c>
      <c r="E682">
        <v>9180.35</v>
      </c>
      <c r="G682" s="35"/>
      <c r="H682" s="36">
        <f t="shared" si="30"/>
        <v>5783.6205</v>
      </c>
      <c r="I682" s="37">
        <f t="shared" si="31"/>
        <v>5783.6205</v>
      </c>
      <c r="J682" s="4"/>
      <c r="K682" s="38">
        <f t="shared" si="32"/>
        <v>0</v>
      </c>
    </row>
    <row r="683" spans="1:11">
      <c r="A683" t="s">
        <v>3314</v>
      </c>
      <c r="B683" t="s">
        <v>16</v>
      </c>
      <c r="C683" t="s">
        <v>8780</v>
      </c>
      <c r="D683" t="s">
        <v>10097</v>
      </c>
      <c r="E683">
        <v>12451.49</v>
      </c>
      <c r="G683" s="35"/>
      <c r="H683" s="36">
        <f t="shared" si="30"/>
        <v>7844.4386999999997</v>
      </c>
      <c r="I683" s="37">
        <f t="shared" si="31"/>
        <v>7844.4386999999997</v>
      </c>
      <c r="J683" s="4"/>
      <c r="K683" s="38">
        <f t="shared" si="32"/>
        <v>0</v>
      </c>
    </row>
    <row r="684" spans="1:11">
      <c r="A684" t="s">
        <v>3315</v>
      </c>
      <c r="B684" t="s">
        <v>16</v>
      </c>
      <c r="C684" t="s">
        <v>8780</v>
      </c>
      <c r="D684" t="s">
        <v>10098</v>
      </c>
      <c r="E684">
        <v>5701.51</v>
      </c>
      <c r="G684" s="35"/>
      <c r="H684" s="36">
        <f t="shared" si="30"/>
        <v>3591.9513000000002</v>
      </c>
      <c r="I684" s="37">
        <f t="shared" si="31"/>
        <v>3591.9513000000002</v>
      </c>
      <c r="J684" s="4"/>
      <c r="K684" s="38">
        <f t="shared" si="32"/>
        <v>0</v>
      </c>
    </row>
    <row r="685" spans="1:11">
      <c r="A685" t="s">
        <v>3316</v>
      </c>
      <c r="B685" t="s">
        <v>16</v>
      </c>
      <c r="C685" t="s">
        <v>8780</v>
      </c>
      <c r="D685" t="s">
        <v>10099</v>
      </c>
      <c r="E685">
        <v>15410.62</v>
      </c>
      <c r="G685" s="35"/>
      <c r="H685" s="36">
        <f t="shared" si="30"/>
        <v>9708.6905999999999</v>
      </c>
      <c r="I685" s="37">
        <f t="shared" si="31"/>
        <v>9708.6905999999999</v>
      </c>
      <c r="J685" s="4"/>
      <c r="K685" s="38">
        <f t="shared" si="32"/>
        <v>0</v>
      </c>
    </row>
    <row r="686" spans="1:11">
      <c r="A686" t="s">
        <v>3317</v>
      </c>
      <c r="B686" t="s">
        <v>16</v>
      </c>
      <c r="C686" t="s">
        <v>8780</v>
      </c>
      <c r="D686" t="s">
        <v>10100</v>
      </c>
      <c r="E686">
        <v>10555.42</v>
      </c>
      <c r="G686" s="35"/>
      <c r="H686" s="36">
        <f t="shared" si="30"/>
        <v>6649.9146000000001</v>
      </c>
      <c r="I686" s="37">
        <f t="shared" si="31"/>
        <v>6649.9146000000001</v>
      </c>
      <c r="J686" s="4"/>
      <c r="K686" s="38">
        <f t="shared" si="32"/>
        <v>0</v>
      </c>
    </row>
    <row r="687" spans="1:11">
      <c r="A687" t="s">
        <v>3318</v>
      </c>
      <c r="B687" t="s">
        <v>16</v>
      </c>
      <c r="C687" t="s">
        <v>8780</v>
      </c>
      <c r="D687" t="s">
        <v>10101</v>
      </c>
      <c r="E687">
        <v>21735.34</v>
      </c>
      <c r="G687" s="35"/>
      <c r="H687" s="36">
        <f t="shared" si="30"/>
        <v>13693.2642</v>
      </c>
      <c r="I687" s="37">
        <f t="shared" si="31"/>
        <v>13693.2642</v>
      </c>
      <c r="J687" s="4"/>
      <c r="K687" s="38">
        <f t="shared" si="32"/>
        <v>0</v>
      </c>
    </row>
    <row r="688" spans="1:11">
      <c r="A688" t="s">
        <v>3319</v>
      </c>
      <c r="B688" t="s">
        <v>16</v>
      </c>
      <c r="C688" t="s">
        <v>8780</v>
      </c>
      <c r="D688" t="s">
        <v>12355</v>
      </c>
      <c r="E688">
        <v>28504.240000000002</v>
      </c>
      <c r="G688" s="35"/>
      <c r="H688" s="36">
        <f t="shared" si="30"/>
        <v>17957.671200000001</v>
      </c>
      <c r="I688" s="37">
        <f t="shared" si="31"/>
        <v>17957.671200000001</v>
      </c>
      <c r="J688" s="4"/>
      <c r="K688" s="38">
        <f t="shared" si="32"/>
        <v>0</v>
      </c>
    </row>
    <row r="689" spans="1:11">
      <c r="A689" t="s">
        <v>3320</v>
      </c>
      <c r="B689" t="s">
        <v>16</v>
      </c>
      <c r="C689" t="s">
        <v>8780</v>
      </c>
      <c r="D689" t="s">
        <v>8823</v>
      </c>
      <c r="E689">
        <v>40627.769999999997</v>
      </c>
      <c r="G689" s="35"/>
      <c r="H689" s="36">
        <f t="shared" si="30"/>
        <v>25595.495099999996</v>
      </c>
      <c r="I689" s="37">
        <f t="shared" si="31"/>
        <v>25595.495099999996</v>
      </c>
      <c r="J689" s="4"/>
      <c r="K689" s="38">
        <f t="shared" si="32"/>
        <v>0</v>
      </c>
    </row>
    <row r="690" spans="1:11">
      <c r="A690" t="s">
        <v>3321</v>
      </c>
      <c r="B690" t="s">
        <v>16</v>
      </c>
      <c r="C690" t="s">
        <v>8780</v>
      </c>
      <c r="D690" t="s">
        <v>8824</v>
      </c>
      <c r="E690">
        <v>52923.3</v>
      </c>
      <c r="G690" s="35"/>
      <c r="H690" s="36">
        <f t="shared" si="30"/>
        <v>33341.679000000004</v>
      </c>
      <c r="I690" s="37">
        <f t="shared" si="31"/>
        <v>33341.679000000004</v>
      </c>
      <c r="J690" s="4"/>
      <c r="K690" s="38">
        <f t="shared" si="32"/>
        <v>0</v>
      </c>
    </row>
    <row r="691" spans="1:11">
      <c r="A691" t="s">
        <v>3322</v>
      </c>
      <c r="B691" t="s">
        <v>16</v>
      </c>
      <c r="C691" t="s">
        <v>8780</v>
      </c>
      <c r="D691" t="s">
        <v>8825</v>
      </c>
      <c r="E691">
        <v>77380.47</v>
      </c>
      <c r="G691" s="35"/>
      <c r="H691" s="36">
        <f t="shared" si="30"/>
        <v>48749.696100000001</v>
      </c>
      <c r="I691" s="37">
        <f t="shared" si="31"/>
        <v>48749.696100000001</v>
      </c>
      <c r="J691" s="4"/>
      <c r="K691" s="38">
        <f t="shared" si="32"/>
        <v>0</v>
      </c>
    </row>
    <row r="692" spans="1:11">
      <c r="A692" t="s">
        <v>3323</v>
      </c>
      <c r="B692" t="s">
        <v>16</v>
      </c>
      <c r="C692" t="s">
        <v>8780</v>
      </c>
      <c r="D692" t="s">
        <v>8826</v>
      </c>
      <c r="E692">
        <v>10635.08</v>
      </c>
      <c r="G692" s="35"/>
      <c r="H692" s="36">
        <f t="shared" si="30"/>
        <v>6700.1004000000003</v>
      </c>
      <c r="I692" s="37">
        <f t="shared" si="31"/>
        <v>6700.1004000000003</v>
      </c>
      <c r="J692" s="4"/>
      <c r="K692" s="38">
        <f t="shared" si="32"/>
        <v>0</v>
      </c>
    </row>
    <row r="693" spans="1:11">
      <c r="A693" t="s">
        <v>3324</v>
      </c>
      <c r="B693" t="s">
        <v>16</v>
      </c>
      <c r="C693" t="s">
        <v>8780</v>
      </c>
      <c r="D693" t="s">
        <v>8827</v>
      </c>
      <c r="E693">
        <v>13318.45</v>
      </c>
      <c r="G693" s="35"/>
      <c r="H693" s="36">
        <f t="shared" si="30"/>
        <v>8390.6234999999997</v>
      </c>
      <c r="I693" s="37">
        <f t="shared" si="31"/>
        <v>8390.6234999999997</v>
      </c>
      <c r="J693" s="4"/>
      <c r="K693" s="38">
        <f t="shared" si="32"/>
        <v>0</v>
      </c>
    </row>
    <row r="694" spans="1:11">
      <c r="A694" t="s">
        <v>3325</v>
      </c>
      <c r="B694" t="s">
        <v>16</v>
      </c>
      <c r="C694" t="s">
        <v>8780</v>
      </c>
      <c r="D694" t="s">
        <v>8828</v>
      </c>
      <c r="E694">
        <v>19654.3</v>
      </c>
      <c r="G694" s="35"/>
      <c r="H694" s="36">
        <f t="shared" si="30"/>
        <v>12382.208999999999</v>
      </c>
      <c r="I694" s="37">
        <f t="shared" si="31"/>
        <v>12382.208999999999</v>
      </c>
      <c r="J694" s="4"/>
      <c r="K694" s="38">
        <f t="shared" si="32"/>
        <v>0</v>
      </c>
    </row>
    <row r="695" spans="1:11">
      <c r="A695" t="s">
        <v>9880</v>
      </c>
      <c r="B695" t="s">
        <v>16</v>
      </c>
      <c r="C695" t="s">
        <v>8780</v>
      </c>
      <c r="D695" t="s">
        <v>9881</v>
      </c>
      <c r="E695">
        <v>46720.91</v>
      </c>
      <c r="G695" s="35"/>
      <c r="H695" s="36">
        <f t="shared" si="30"/>
        <v>29434.173300000002</v>
      </c>
      <c r="I695" s="37">
        <f t="shared" si="31"/>
        <v>29434.173300000002</v>
      </c>
      <c r="J695" s="4"/>
      <c r="K695" s="38">
        <f t="shared" si="32"/>
        <v>0</v>
      </c>
    </row>
    <row r="696" spans="1:11">
      <c r="A696" t="s">
        <v>3326</v>
      </c>
      <c r="B696" t="s">
        <v>16</v>
      </c>
      <c r="C696" t="s">
        <v>8780</v>
      </c>
      <c r="D696" t="s">
        <v>8829</v>
      </c>
      <c r="E696">
        <v>60861.17</v>
      </c>
      <c r="G696" s="35"/>
      <c r="H696" s="36">
        <f t="shared" si="30"/>
        <v>38342.537100000001</v>
      </c>
      <c r="I696" s="37">
        <f t="shared" si="31"/>
        <v>38342.537100000001</v>
      </c>
      <c r="J696" s="4"/>
      <c r="K696" s="38">
        <f t="shared" si="32"/>
        <v>0</v>
      </c>
    </row>
    <row r="697" spans="1:11">
      <c r="A697" t="s">
        <v>3370</v>
      </c>
      <c r="B697" t="s">
        <v>16</v>
      </c>
      <c r="C697" t="s">
        <v>8865</v>
      </c>
      <c r="D697" t="s">
        <v>8866</v>
      </c>
      <c r="E697">
        <v>27986.59</v>
      </c>
      <c r="G697" s="35"/>
      <c r="H697" s="36">
        <f t="shared" si="30"/>
        <v>17631.5517</v>
      </c>
      <c r="I697" s="37">
        <f t="shared" si="31"/>
        <v>17631.5517</v>
      </c>
      <c r="J697" s="4"/>
      <c r="K697" s="38">
        <f t="shared" si="32"/>
        <v>0</v>
      </c>
    </row>
    <row r="698" spans="1:11">
      <c r="A698" t="s">
        <v>3371</v>
      </c>
      <c r="B698" t="s">
        <v>16</v>
      </c>
      <c r="C698" t="s">
        <v>8865</v>
      </c>
      <c r="D698" t="s">
        <v>8867</v>
      </c>
      <c r="E698">
        <v>53185.19</v>
      </c>
      <c r="G698" s="35"/>
      <c r="H698" s="36">
        <f t="shared" si="30"/>
        <v>33506.669699999999</v>
      </c>
      <c r="I698" s="37">
        <f t="shared" si="31"/>
        <v>33506.669699999999</v>
      </c>
      <c r="J698" s="4"/>
      <c r="K698" s="38">
        <f t="shared" si="32"/>
        <v>0</v>
      </c>
    </row>
    <row r="699" spans="1:11">
      <c r="A699" t="s">
        <v>3372</v>
      </c>
      <c r="B699" t="s">
        <v>16</v>
      </c>
      <c r="C699" t="s">
        <v>8865</v>
      </c>
      <c r="D699" t="s">
        <v>8868</v>
      </c>
      <c r="E699">
        <v>28546.74</v>
      </c>
      <c r="G699" s="35"/>
      <c r="H699" s="36">
        <f t="shared" si="30"/>
        <v>17984.446200000002</v>
      </c>
      <c r="I699" s="37">
        <f t="shared" si="31"/>
        <v>17984.446200000002</v>
      </c>
      <c r="J699" s="4"/>
      <c r="K699" s="38">
        <f t="shared" si="32"/>
        <v>0</v>
      </c>
    </row>
    <row r="700" spans="1:11">
      <c r="A700" t="s">
        <v>3373</v>
      </c>
      <c r="B700" t="s">
        <v>16</v>
      </c>
      <c r="C700" t="s">
        <v>8865</v>
      </c>
      <c r="D700" t="s">
        <v>8869</v>
      </c>
      <c r="E700">
        <v>54247.33</v>
      </c>
      <c r="G700" s="35"/>
      <c r="H700" s="36">
        <f t="shared" si="30"/>
        <v>34175.817900000002</v>
      </c>
      <c r="I700" s="37">
        <f t="shared" si="31"/>
        <v>34175.817900000002</v>
      </c>
      <c r="J700" s="4"/>
      <c r="K700" s="38">
        <f t="shared" si="32"/>
        <v>0</v>
      </c>
    </row>
    <row r="701" spans="1:11">
      <c r="A701" t="s">
        <v>3374</v>
      </c>
      <c r="B701" t="s">
        <v>16</v>
      </c>
      <c r="C701" t="s">
        <v>8865</v>
      </c>
      <c r="D701" t="s">
        <v>8870</v>
      </c>
      <c r="E701">
        <v>28546.74</v>
      </c>
      <c r="G701" s="35"/>
      <c r="H701" s="36">
        <f t="shared" si="30"/>
        <v>17984.446200000002</v>
      </c>
      <c r="I701" s="37">
        <f t="shared" si="31"/>
        <v>17984.446200000002</v>
      </c>
      <c r="J701" s="4"/>
      <c r="K701" s="38">
        <f t="shared" si="32"/>
        <v>0</v>
      </c>
    </row>
    <row r="702" spans="1:11">
      <c r="A702" t="s">
        <v>3375</v>
      </c>
      <c r="B702" t="s">
        <v>16</v>
      </c>
      <c r="C702" t="s">
        <v>8865</v>
      </c>
      <c r="D702" t="s">
        <v>8871</v>
      </c>
      <c r="E702">
        <v>54247.33</v>
      </c>
      <c r="G702" s="35"/>
      <c r="H702" s="36">
        <f t="shared" si="30"/>
        <v>34175.817900000002</v>
      </c>
      <c r="I702" s="37">
        <f t="shared" si="31"/>
        <v>34175.817900000002</v>
      </c>
      <c r="J702" s="4"/>
      <c r="K702" s="38">
        <f t="shared" si="32"/>
        <v>0</v>
      </c>
    </row>
    <row r="703" spans="1:11">
      <c r="A703" t="s">
        <v>3376</v>
      </c>
      <c r="B703" t="s">
        <v>16</v>
      </c>
      <c r="C703" t="s">
        <v>8872</v>
      </c>
      <c r="D703" t="s">
        <v>8873</v>
      </c>
      <c r="E703">
        <v>30081.63</v>
      </c>
      <c r="G703" s="35"/>
      <c r="H703" s="36">
        <f t="shared" si="30"/>
        <v>18951.426900000002</v>
      </c>
      <c r="I703" s="37">
        <f t="shared" si="31"/>
        <v>18951.426900000002</v>
      </c>
      <c r="J703" s="4"/>
      <c r="K703" s="38">
        <f t="shared" si="32"/>
        <v>0</v>
      </c>
    </row>
    <row r="704" spans="1:11">
      <c r="A704" t="s">
        <v>3377</v>
      </c>
      <c r="B704" t="s">
        <v>16</v>
      </c>
      <c r="C704" t="s">
        <v>8872</v>
      </c>
      <c r="D704" t="s">
        <v>8874</v>
      </c>
      <c r="E704">
        <v>58070.98</v>
      </c>
      <c r="G704" s="35"/>
      <c r="H704" s="36">
        <f t="shared" si="30"/>
        <v>36584.717400000001</v>
      </c>
      <c r="I704" s="37">
        <f t="shared" si="31"/>
        <v>36584.717400000001</v>
      </c>
      <c r="J704" s="4"/>
      <c r="K704" s="38">
        <f t="shared" si="32"/>
        <v>0</v>
      </c>
    </row>
    <row r="705" spans="1:11">
      <c r="A705" t="s">
        <v>3378</v>
      </c>
      <c r="B705" t="s">
        <v>16</v>
      </c>
      <c r="C705" t="s">
        <v>8872</v>
      </c>
      <c r="D705" t="s">
        <v>8875</v>
      </c>
      <c r="E705">
        <v>30680.02</v>
      </c>
      <c r="G705" s="35"/>
      <c r="H705" s="36">
        <f t="shared" si="30"/>
        <v>19328.4126</v>
      </c>
      <c r="I705" s="37">
        <f t="shared" si="31"/>
        <v>19328.4126</v>
      </c>
      <c r="J705" s="4"/>
      <c r="K705" s="38">
        <f t="shared" si="32"/>
        <v>0</v>
      </c>
    </row>
    <row r="706" spans="1:11">
      <c r="A706" t="s">
        <v>3379</v>
      </c>
      <c r="B706" t="s">
        <v>16</v>
      </c>
      <c r="C706" t="s">
        <v>8872</v>
      </c>
      <c r="D706" t="s">
        <v>8876</v>
      </c>
      <c r="E706">
        <v>60046.44</v>
      </c>
      <c r="G706" s="35"/>
      <c r="H706" s="36">
        <f t="shared" si="30"/>
        <v>37829.2572</v>
      </c>
      <c r="I706" s="37">
        <f t="shared" si="31"/>
        <v>37829.2572</v>
      </c>
      <c r="J706" s="4"/>
      <c r="K706" s="38">
        <f t="shared" si="32"/>
        <v>0</v>
      </c>
    </row>
    <row r="707" spans="1:11">
      <c r="A707" t="s">
        <v>12882</v>
      </c>
      <c r="B707" t="s">
        <v>16</v>
      </c>
      <c r="C707" t="s">
        <v>8872</v>
      </c>
      <c r="D707" t="s">
        <v>12883</v>
      </c>
      <c r="E707">
        <v>30680.02</v>
      </c>
      <c r="G707" s="35"/>
      <c r="H707" s="36">
        <f t="shared" si="30"/>
        <v>19328.4126</v>
      </c>
      <c r="I707" s="37">
        <f t="shared" si="31"/>
        <v>19328.4126</v>
      </c>
      <c r="J707" s="4"/>
      <c r="K707" s="38">
        <f t="shared" si="32"/>
        <v>0</v>
      </c>
    </row>
    <row r="708" spans="1:11">
      <c r="A708" t="s">
        <v>180</v>
      </c>
      <c r="B708" t="s">
        <v>16</v>
      </c>
      <c r="C708" t="s">
        <v>5730</v>
      </c>
      <c r="D708" t="s">
        <v>5731</v>
      </c>
      <c r="E708">
        <v>121519.31</v>
      </c>
      <c r="G708" s="35"/>
      <c r="H708" s="36">
        <f t="shared" si="30"/>
        <v>76557.165299999993</v>
      </c>
      <c r="I708" s="37">
        <f t="shared" si="31"/>
        <v>76557.165299999993</v>
      </c>
      <c r="J708" s="4"/>
      <c r="K708" s="38">
        <f t="shared" si="32"/>
        <v>0</v>
      </c>
    </row>
    <row r="709" spans="1:11">
      <c r="A709" t="s">
        <v>181</v>
      </c>
      <c r="B709" t="s">
        <v>16</v>
      </c>
      <c r="C709" t="s">
        <v>5730</v>
      </c>
      <c r="D709" t="s">
        <v>5732</v>
      </c>
      <c r="E709">
        <v>113670.78</v>
      </c>
      <c r="G709" s="35"/>
      <c r="H709" s="36">
        <f t="shared" si="30"/>
        <v>71612.591400000005</v>
      </c>
      <c r="I709" s="37">
        <f t="shared" si="31"/>
        <v>71612.591400000005</v>
      </c>
      <c r="J709" s="4"/>
      <c r="K709" s="38">
        <f t="shared" si="32"/>
        <v>0</v>
      </c>
    </row>
    <row r="710" spans="1:11">
      <c r="A710" t="s">
        <v>182</v>
      </c>
      <c r="B710" t="s">
        <v>16</v>
      </c>
      <c r="C710" t="s">
        <v>5730</v>
      </c>
      <c r="D710" t="s">
        <v>5733</v>
      </c>
      <c r="E710">
        <v>121519.31</v>
      </c>
      <c r="G710" s="35"/>
      <c r="H710" s="36">
        <f t="shared" si="30"/>
        <v>76557.165299999993</v>
      </c>
      <c r="I710" s="37">
        <f t="shared" si="31"/>
        <v>76557.165299999993</v>
      </c>
      <c r="J710" s="4"/>
      <c r="K710" s="38">
        <f t="shared" si="32"/>
        <v>0</v>
      </c>
    </row>
    <row r="711" spans="1:11">
      <c r="A711" t="s">
        <v>183</v>
      </c>
      <c r="B711" t="s">
        <v>16</v>
      </c>
      <c r="C711" t="s">
        <v>5730</v>
      </c>
      <c r="D711" t="s">
        <v>5734</v>
      </c>
      <c r="E711">
        <v>113670.78</v>
      </c>
      <c r="G711" s="35"/>
      <c r="H711" s="36">
        <f t="shared" ref="H711:H774" si="33">+E711*$H$1*(1-G711)</f>
        <v>71612.591400000005</v>
      </c>
      <c r="I711" s="37">
        <f t="shared" ref="I711:I774" si="34">H711*$H$4</f>
        <v>71612.591400000005</v>
      </c>
      <c r="J711" s="4"/>
      <c r="K711" s="38">
        <f t="shared" ref="K711:K774" si="35">J711*I711</f>
        <v>0</v>
      </c>
    </row>
    <row r="712" spans="1:11">
      <c r="A712" t="s">
        <v>184</v>
      </c>
      <c r="B712" t="s">
        <v>16</v>
      </c>
      <c r="C712" t="s">
        <v>5736</v>
      </c>
      <c r="D712" t="s">
        <v>5737</v>
      </c>
      <c r="E712">
        <v>90951.44</v>
      </c>
      <c r="G712" s="35"/>
      <c r="H712" s="36">
        <f t="shared" si="33"/>
        <v>57299.407200000001</v>
      </c>
      <c r="I712" s="37">
        <f t="shared" si="34"/>
        <v>57299.407200000001</v>
      </c>
      <c r="J712" s="4"/>
      <c r="K712" s="38">
        <f t="shared" si="35"/>
        <v>0</v>
      </c>
    </row>
    <row r="713" spans="1:11">
      <c r="A713" t="s">
        <v>185</v>
      </c>
      <c r="B713" t="s">
        <v>16</v>
      </c>
      <c r="C713" t="s">
        <v>5736</v>
      </c>
      <c r="D713" t="s">
        <v>5738</v>
      </c>
      <c r="E713">
        <v>84305.21</v>
      </c>
      <c r="G713" s="35"/>
      <c r="H713" s="36">
        <f t="shared" si="33"/>
        <v>53112.282300000006</v>
      </c>
      <c r="I713" s="37">
        <f t="shared" si="34"/>
        <v>53112.282300000006</v>
      </c>
      <c r="J713" s="4"/>
      <c r="K713" s="38">
        <f t="shared" si="35"/>
        <v>0</v>
      </c>
    </row>
    <row r="714" spans="1:11">
      <c r="A714" t="s">
        <v>186</v>
      </c>
      <c r="B714" t="s">
        <v>16</v>
      </c>
      <c r="C714" t="s">
        <v>5736</v>
      </c>
      <c r="D714" t="s">
        <v>5739</v>
      </c>
      <c r="E714">
        <v>47157.16</v>
      </c>
      <c r="G714" s="35"/>
      <c r="H714" s="36">
        <f t="shared" si="33"/>
        <v>29709.010800000004</v>
      </c>
      <c r="I714" s="37">
        <f t="shared" si="34"/>
        <v>29709.010800000004</v>
      </c>
      <c r="J714" s="4"/>
      <c r="K714" s="38">
        <f t="shared" si="35"/>
        <v>0</v>
      </c>
    </row>
    <row r="715" spans="1:11">
      <c r="A715" t="s">
        <v>3495</v>
      </c>
      <c r="B715" t="s">
        <v>16</v>
      </c>
      <c r="C715" t="s">
        <v>8991</v>
      </c>
      <c r="D715" t="s">
        <v>8992</v>
      </c>
      <c r="E715">
        <v>15389.63</v>
      </c>
      <c r="G715" s="35"/>
      <c r="H715" s="36">
        <f t="shared" si="33"/>
        <v>9695.4668999999994</v>
      </c>
      <c r="I715" s="37">
        <f t="shared" si="34"/>
        <v>9695.4668999999994</v>
      </c>
      <c r="J715" s="4"/>
      <c r="K715" s="38">
        <f t="shared" si="35"/>
        <v>0</v>
      </c>
    </row>
    <row r="716" spans="1:11">
      <c r="A716" t="s">
        <v>3496</v>
      </c>
      <c r="B716" t="s">
        <v>16</v>
      </c>
      <c r="C716" t="s">
        <v>8991</v>
      </c>
      <c r="D716" t="s">
        <v>8993</v>
      </c>
      <c r="E716">
        <v>19826.07</v>
      </c>
      <c r="G716" s="35"/>
      <c r="H716" s="36">
        <f t="shared" si="33"/>
        <v>12490.4241</v>
      </c>
      <c r="I716" s="37">
        <f t="shared" si="34"/>
        <v>12490.4241</v>
      </c>
      <c r="J716" s="4"/>
      <c r="K716" s="38">
        <f t="shared" si="35"/>
        <v>0</v>
      </c>
    </row>
    <row r="717" spans="1:11">
      <c r="A717" t="s">
        <v>3497</v>
      </c>
      <c r="B717" t="s">
        <v>16</v>
      </c>
      <c r="C717" t="s">
        <v>8991</v>
      </c>
      <c r="D717" t="s">
        <v>8994</v>
      </c>
      <c r="E717">
        <v>37669.99</v>
      </c>
      <c r="G717" s="35"/>
      <c r="H717" s="36">
        <f t="shared" si="33"/>
        <v>23732.093699999998</v>
      </c>
      <c r="I717" s="37">
        <f t="shared" si="34"/>
        <v>23732.093699999998</v>
      </c>
      <c r="J717" s="4"/>
      <c r="K717" s="38">
        <f t="shared" si="35"/>
        <v>0</v>
      </c>
    </row>
    <row r="718" spans="1:11">
      <c r="A718" t="s">
        <v>12808</v>
      </c>
      <c r="B718" t="s">
        <v>16</v>
      </c>
      <c r="C718" t="s">
        <v>8991</v>
      </c>
      <c r="D718" t="s">
        <v>12809</v>
      </c>
      <c r="E718">
        <v>36571.99</v>
      </c>
      <c r="G718" s="35"/>
      <c r="H718" s="36">
        <f t="shared" si="33"/>
        <v>23040.3537</v>
      </c>
      <c r="I718" s="37">
        <f t="shared" si="34"/>
        <v>23040.3537</v>
      </c>
      <c r="J718" s="4"/>
      <c r="K718" s="38">
        <f t="shared" si="35"/>
        <v>0</v>
      </c>
    </row>
    <row r="719" spans="1:11">
      <c r="A719" t="s">
        <v>3498</v>
      </c>
      <c r="B719" t="s">
        <v>16</v>
      </c>
      <c r="C719" t="s">
        <v>8991</v>
      </c>
      <c r="D719" t="s">
        <v>8995</v>
      </c>
      <c r="E719">
        <v>40649.32</v>
      </c>
      <c r="G719" s="35"/>
      <c r="H719" s="36">
        <f t="shared" si="33"/>
        <v>25609.071599999999</v>
      </c>
      <c r="I719" s="37">
        <f t="shared" si="34"/>
        <v>25609.071599999999</v>
      </c>
      <c r="J719" s="4"/>
      <c r="K719" s="38">
        <f t="shared" si="35"/>
        <v>0</v>
      </c>
    </row>
    <row r="720" spans="1:11">
      <c r="A720" t="s">
        <v>3499</v>
      </c>
      <c r="B720" t="s">
        <v>16</v>
      </c>
      <c r="C720" t="s">
        <v>8991</v>
      </c>
      <c r="D720" t="s">
        <v>8996</v>
      </c>
      <c r="E720">
        <v>19917.82</v>
      </c>
      <c r="G720" s="35"/>
      <c r="H720" s="36">
        <f t="shared" si="33"/>
        <v>12548.2266</v>
      </c>
      <c r="I720" s="37">
        <f t="shared" si="34"/>
        <v>12548.2266</v>
      </c>
      <c r="J720" s="4"/>
      <c r="K720" s="38">
        <f t="shared" si="35"/>
        <v>0</v>
      </c>
    </row>
    <row r="721" spans="1:11">
      <c r="A721" t="s">
        <v>3500</v>
      </c>
      <c r="B721" t="s">
        <v>16</v>
      </c>
      <c r="C721" t="s">
        <v>8991</v>
      </c>
      <c r="D721" t="s">
        <v>8997</v>
      </c>
      <c r="E721">
        <v>38448.120000000003</v>
      </c>
      <c r="G721" s="35"/>
      <c r="H721" s="36">
        <f t="shared" si="33"/>
        <v>24222.315600000002</v>
      </c>
      <c r="I721" s="37">
        <f t="shared" si="34"/>
        <v>24222.315600000002</v>
      </c>
      <c r="J721" s="4"/>
      <c r="K721" s="38">
        <f t="shared" si="35"/>
        <v>0</v>
      </c>
    </row>
    <row r="722" spans="1:11">
      <c r="A722" t="s">
        <v>3501</v>
      </c>
      <c r="B722" t="s">
        <v>16</v>
      </c>
      <c r="C722" t="s">
        <v>8991</v>
      </c>
      <c r="D722" t="s">
        <v>8998</v>
      </c>
      <c r="E722">
        <v>40649.32</v>
      </c>
      <c r="G722" s="35"/>
      <c r="H722" s="36">
        <f t="shared" si="33"/>
        <v>25609.071599999999</v>
      </c>
      <c r="I722" s="37">
        <f t="shared" si="34"/>
        <v>25609.071599999999</v>
      </c>
      <c r="J722" s="4"/>
      <c r="K722" s="38">
        <f t="shared" si="35"/>
        <v>0</v>
      </c>
    </row>
    <row r="723" spans="1:11">
      <c r="A723" t="s">
        <v>3502</v>
      </c>
      <c r="B723" t="s">
        <v>16</v>
      </c>
      <c r="C723" t="s">
        <v>8991</v>
      </c>
      <c r="D723" t="s">
        <v>8999</v>
      </c>
      <c r="E723">
        <v>45992.79</v>
      </c>
      <c r="G723" s="35"/>
      <c r="H723" s="36">
        <f t="shared" si="33"/>
        <v>28975.457699999999</v>
      </c>
      <c r="I723" s="37">
        <f t="shared" si="34"/>
        <v>28975.457699999999</v>
      </c>
      <c r="J723" s="4"/>
      <c r="K723" s="38">
        <f t="shared" si="35"/>
        <v>0</v>
      </c>
    </row>
    <row r="724" spans="1:11">
      <c r="A724" t="s">
        <v>3503</v>
      </c>
      <c r="B724" t="s">
        <v>16</v>
      </c>
      <c r="C724" t="s">
        <v>8991</v>
      </c>
      <c r="D724" t="s">
        <v>9000</v>
      </c>
      <c r="E724">
        <v>16143.1</v>
      </c>
      <c r="G724" s="35"/>
      <c r="H724" s="36">
        <f t="shared" si="33"/>
        <v>10170.153</v>
      </c>
      <c r="I724" s="37">
        <f t="shared" si="34"/>
        <v>10170.153</v>
      </c>
      <c r="J724" s="4"/>
      <c r="K724" s="38">
        <f t="shared" si="35"/>
        <v>0</v>
      </c>
    </row>
    <row r="725" spans="1:11">
      <c r="A725" t="s">
        <v>12810</v>
      </c>
      <c r="B725" t="s">
        <v>16</v>
      </c>
      <c r="C725" t="s">
        <v>8991</v>
      </c>
      <c r="D725" t="s">
        <v>12811</v>
      </c>
      <c r="E725">
        <v>31051.119999999999</v>
      </c>
      <c r="G725" s="35"/>
      <c r="H725" s="36">
        <f t="shared" si="33"/>
        <v>19562.205600000001</v>
      </c>
      <c r="I725" s="37">
        <f t="shared" si="34"/>
        <v>19562.205600000001</v>
      </c>
      <c r="J725" s="4"/>
      <c r="K725" s="38">
        <f t="shared" si="35"/>
        <v>0</v>
      </c>
    </row>
    <row r="726" spans="1:11">
      <c r="A726" t="s">
        <v>3504</v>
      </c>
      <c r="B726" t="s">
        <v>16</v>
      </c>
      <c r="C726" t="s">
        <v>8991</v>
      </c>
      <c r="D726" t="s">
        <v>9001</v>
      </c>
      <c r="E726">
        <v>62263.91</v>
      </c>
      <c r="G726" s="35"/>
      <c r="H726" s="36">
        <f t="shared" si="33"/>
        <v>39226.263300000006</v>
      </c>
      <c r="I726" s="37">
        <f t="shared" si="34"/>
        <v>39226.263300000006</v>
      </c>
      <c r="J726" s="4"/>
      <c r="K726" s="38">
        <f t="shared" si="35"/>
        <v>0</v>
      </c>
    </row>
    <row r="727" spans="1:11">
      <c r="A727" t="s">
        <v>3505</v>
      </c>
      <c r="B727" t="s">
        <v>16</v>
      </c>
      <c r="C727" t="s">
        <v>8991</v>
      </c>
      <c r="D727" t="s">
        <v>9002</v>
      </c>
      <c r="E727">
        <v>59947.93</v>
      </c>
      <c r="G727" s="35"/>
      <c r="H727" s="36">
        <f t="shared" si="33"/>
        <v>37767.195899999999</v>
      </c>
      <c r="I727" s="37">
        <f t="shared" si="34"/>
        <v>37767.195899999999</v>
      </c>
      <c r="J727" s="4"/>
      <c r="K727" s="38">
        <f t="shared" si="35"/>
        <v>0</v>
      </c>
    </row>
    <row r="728" spans="1:11">
      <c r="A728" t="s">
        <v>804</v>
      </c>
      <c r="B728" t="s">
        <v>16</v>
      </c>
      <c r="C728" t="s">
        <v>6459</v>
      </c>
      <c r="D728" t="s">
        <v>10131</v>
      </c>
      <c r="E728">
        <v>9060.09</v>
      </c>
      <c r="G728" s="35"/>
      <c r="H728" s="36">
        <f t="shared" si="33"/>
        <v>5707.8567000000003</v>
      </c>
      <c r="I728" s="37">
        <f t="shared" si="34"/>
        <v>5707.8567000000003</v>
      </c>
      <c r="J728" s="4"/>
      <c r="K728" s="38">
        <f t="shared" si="35"/>
        <v>0</v>
      </c>
    </row>
    <row r="729" spans="1:11">
      <c r="A729" t="s">
        <v>805</v>
      </c>
      <c r="B729" t="s">
        <v>16</v>
      </c>
      <c r="C729" t="s">
        <v>6459</v>
      </c>
      <c r="D729" t="s">
        <v>10132</v>
      </c>
      <c r="E729">
        <v>19263.12</v>
      </c>
      <c r="G729" s="35"/>
      <c r="H729" s="36">
        <f t="shared" si="33"/>
        <v>12135.765599999999</v>
      </c>
      <c r="I729" s="37">
        <f t="shared" si="34"/>
        <v>12135.765599999999</v>
      </c>
      <c r="J729" s="4"/>
      <c r="K729" s="38">
        <f t="shared" si="35"/>
        <v>0</v>
      </c>
    </row>
    <row r="730" spans="1:11">
      <c r="A730" t="s">
        <v>806</v>
      </c>
      <c r="B730" t="s">
        <v>16</v>
      </c>
      <c r="C730" t="s">
        <v>6459</v>
      </c>
      <c r="D730" t="s">
        <v>10133</v>
      </c>
      <c r="E730">
        <v>25684.6</v>
      </c>
      <c r="G730" s="35"/>
      <c r="H730" s="36">
        <f t="shared" si="33"/>
        <v>16181.297999999999</v>
      </c>
      <c r="I730" s="37">
        <f t="shared" si="34"/>
        <v>16181.297999999999</v>
      </c>
      <c r="J730" s="4"/>
      <c r="K730" s="38">
        <f t="shared" si="35"/>
        <v>0</v>
      </c>
    </row>
    <row r="731" spans="1:11">
      <c r="A731" t="s">
        <v>10134</v>
      </c>
      <c r="B731" t="s">
        <v>16</v>
      </c>
      <c r="C731" t="s">
        <v>6459</v>
      </c>
      <c r="D731" t="s">
        <v>10135</v>
      </c>
      <c r="E731">
        <v>11597.61</v>
      </c>
      <c r="G731" s="35"/>
      <c r="H731" s="36">
        <f t="shared" si="33"/>
        <v>7306.4943000000003</v>
      </c>
      <c r="I731" s="37">
        <f t="shared" si="34"/>
        <v>7306.4943000000003</v>
      </c>
      <c r="J731" s="4"/>
      <c r="K731" s="38">
        <f t="shared" si="35"/>
        <v>0</v>
      </c>
    </row>
    <row r="732" spans="1:11">
      <c r="A732" t="s">
        <v>807</v>
      </c>
      <c r="B732" t="s">
        <v>16</v>
      </c>
      <c r="C732" t="s">
        <v>6459</v>
      </c>
      <c r="D732" t="s">
        <v>10136</v>
      </c>
      <c r="E732">
        <v>17846.43</v>
      </c>
      <c r="G732" s="35"/>
      <c r="H732" s="36">
        <f t="shared" si="33"/>
        <v>11243.250900000001</v>
      </c>
      <c r="I732" s="37">
        <f t="shared" si="34"/>
        <v>11243.250900000001</v>
      </c>
      <c r="J732" s="4"/>
      <c r="K732" s="38">
        <f t="shared" si="35"/>
        <v>0</v>
      </c>
    </row>
    <row r="733" spans="1:11">
      <c r="A733" t="s">
        <v>11955</v>
      </c>
      <c r="B733" t="s">
        <v>16</v>
      </c>
      <c r="C733" t="s">
        <v>6459</v>
      </c>
      <c r="D733" t="s">
        <v>11956</v>
      </c>
      <c r="E733">
        <v>29352.55</v>
      </c>
      <c r="G733" s="35"/>
      <c r="H733" s="36">
        <f t="shared" si="33"/>
        <v>18492.106499999998</v>
      </c>
      <c r="I733" s="37">
        <f t="shared" si="34"/>
        <v>18492.106499999998</v>
      </c>
      <c r="J733" s="4"/>
      <c r="K733" s="38">
        <f t="shared" si="35"/>
        <v>0</v>
      </c>
    </row>
    <row r="734" spans="1:11">
      <c r="A734" t="s">
        <v>808</v>
      </c>
      <c r="B734" t="s">
        <v>16</v>
      </c>
      <c r="C734" t="s">
        <v>6459</v>
      </c>
      <c r="D734" t="s">
        <v>10137</v>
      </c>
      <c r="E734">
        <v>41724.83</v>
      </c>
      <c r="G734" s="35"/>
      <c r="H734" s="36">
        <f t="shared" si="33"/>
        <v>26286.642900000003</v>
      </c>
      <c r="I734" s="37">
        <f t="shared" si="34"/>
        <v>26286.642900000003</v>
      </c>
      <c r="J734" s="4"/>
      <c r="K734" s="38">
        <f t="shared" si="35"/>
        <v>0</v>
      </c>
    </row>
    <row r="735" spans="1:11">
      <c r="A735" t="s">
        <v>809</v>
      </c>
      <c r="B735" t="s">
        <v>16</v>
      </c>
      <c r="C735" t="s">
        <v>6459</v>
      </c>
      <c r="D735" t="s">
        <v>10138</v>
      </c>
      <c r="E735">
        <v>53989.43</v>
      </c>
      <c r="G735" s="35"/>
      <c r="H735" s="36">
        <f t="shared" si="33"/>
        <v>34013.340900000003</v>
      </c>
      <c r="I735" s="37">
        <f t="shared" si="34"/>
        <v>34013.340900000003</v>
      </c>
      <c r="J735" s="4"/>
      <c r="K735" s="38">
        <f t="shared" si="35"/>
        <v>0</v>
      </c>
    </row>
    <row r="736" spans="1:11">
      <c r="A736" t="s">
        <v>810</v>
      </c>
      <c r="B736" t="s">
        <v>16</v>
      </c>
      <c r="C736" t="s">
        <v>6459</v>
      </c>
      <c r="D736" t="s">
        <v>6460</v>
      </c>
      <c r="E736">
        <v>75002.39</v>
      </c>
      <c r="G736" s="35"/>
      <c r="H736" s="36">
        <f t="shared" si="33"/>
        <v>47251.505700000002</v>
      </c>
      <c r="I736" s="37">
        <f t="shared" si="34"/>
        <v>47251.505700000002</v>
      </c>
      <c r="J736" s="4"/>
      <c r="K736" s="38">
        <f t="shared" si="35"/>
        <v>0</v>
      </c>
    </row>
    <row r="737" spans="1:11">
      <c r="A737" t="s">
        <v>811</v>
      </c>
      <c r="B737" t="s">
        <v>16</v>
      </c>
      <c r="C737" t="s">
        <v>6459</v>
      </c>
      <c r="D737" t="s">
        <v>6461</v>
      </c>
      <c r="E737">
        <v>98465.4</v>
      </c>
      <c r="G737" s="35"/>
      <c r="H737" s="36">
        <f t="shared" si="33"/>
        <v>62033.201999999997</v>
      </c>
      <c r="I737" s="37">
        <f t="shared" si="34"/>
        <v>62033.201999999997</v>
      </c>
      <c r="J737" s="4"/>
      <c r="K737" s="38">
        <f t="shared" si="35"/>
        <v>0</v>
      </c>
    </row>
    <row r="738" spans="1:11">
      <c r="A738" t="s">
        <v>812</v>
      </c>
      <c r="B738" t="s">
        <v>16</v>
      </c>
      <c r="C738" t="s">
        <v>6459</v>
      </c>
      <c r="D738" t="s">
        <v>6462</v>
      </c>
      <c r="E738">
        <v>31985.98</v>
      </c>
      <c r="G738" s="35"/>
      <c r="H738" s="36">
        <f t="shared" si="33"/>
        <v>20151.167399999998</v>
      </c>
      <c r="I738" s="37">
        <f t="shared" si="34"/>
        <v>20151.167399999998</v>
      </c>
      <c r="J738" s="4"/>
      <c r="K738" s="38">
        <f t="shared" si="35"/>
        <v>0</v>
      </c>
    </row>
    <row r="739" spans="1:11">
      <c r="A739" t="s">
        <v>813</v>
      </c>
      <c r="B739" t="s">
        <v>16</v>
      </c>
      <c r="C739" t="s">
        <v>6459</v>
      </c>
      <c r="D739" t="s">
        <v>6463</v>
      </c>
      <c r="E739">
        <v>67965.03</v>
      </c>
      <c r="G739" s="35"/>
      <c r="H739" s="36">
        <f t="shared" si="33"/>
        <v>42817.9689</v>
      </c>
      <c r="I739" s="37">
        <f t="shared" si="34"/>
        <v>42817.9689</v>
      </c>
      <c r="J739" s="4"/>
      <c r="K739" s="38">
        <f t="shared" si="35"/>
        <v>0</v>
      </c>
    </row>
    <row r="740" spans="1:11">
      <c r="A740" t="s">
        <v>814</v>
      </c>
      <c r="B740" t="s">
        <v>16</v>
      </c>
      <c r="C740" t="s">
        <v>6459</v>
      </c>
      <c r="D740" t="s">
        <v>6464</v>
      </c>
      <c r="E740">
        <v>159367.16</v>
      </c>
      <c r="G740" s="35"/>
      <c r="H740" s="36">
        <f t="shared" si="33"/>
        <v>100401.31080000001</v>
      </c>
      <c r="I740" s="37">
        <f t="shared" si="34"/>
        <v>100401.31080000001</v>
      </c>
      <c r="J740" s="4"/>
      <c r="K740" s="38">
        <f t="shared" si="35"/>
        <v>0</v>
      </c>
    </row>
    <row r="741" spans="1:11">
      <c r="A741" t="s">
        <v>815</v>
      </c>
      <c r="B741" t="s">
        <v>16</v>
      </c>
      <c r="C741" t="s">
        <v>6459</v>
      </c>
      <c r="D741" t="s">
        <v>6465</v>
      </c>
      <c r="E741">
        <v>209156.69</v>
      </c>
      <c r="G741" s="35"/>
      <c r="H741" s="36">
        <f t="shared" si="33"/>
        <v>131768.71470000001</v>
      </c>
      <c r="I741" s="37">
        <f t="shared" si="34"/>
        <v>131768.71470000001</v>
      </c>
      <c r="J741" s="4"/>
      <c r="K741" s="38">
        <f t="shared" si="35"/>
        <v>0</v>
      </c>
    </row>
    <row r="742" spans="1:11">
      <c r="A742" t="s">
        <v>3750</v>
      </c>
      <c r="B742" t="s">
        <v>16</v>
      </c>
      <c r="C742" t="s">
        <v>9226</v>
      </c>
      <c r="D742" t="s">
        <v>9227</v>
      </c>
      <c r="E742">
        <v>19445.05</v>
      </c>
      <c r="G742" s="35"/>
      <c r="H742" s="36">
        <f t="shared" si="33"/>
        <v>12250.3815</v>
      </c>
      <c r="I742" s="37">
        <f t="shared" si="34"/>
        <v>12250.3815</v>
      </c>
      <c r="J742" s="4"/>
      <c r="K742" s="38">
        <f t="shared" si="35"/>
        <v>0</v>
      </c>
    </row>
    <row r="743" spans="1:11">
      <c r="A743" t="s">
        <v>3751</v>
      </c>
      <c r="B743" t="s">
        <v>16</v>
      </c>
      <c r="C743" t="s">
        <v>9226</v>
      </c>
      <c r="D743" t="s">
        <v>9228</v>
      </c>
      <c r="E743">
        <v>53430.84</v>
      </c>
      <c r="G743" s="35"/>
      <c r="H743" s="36">
        <f t="shared" si="33"/>
        <v>33661.429199999999</v>
      </c>
      <c r="I743" s="37">
        <f t="shared" si="34"/>
        <v>33661.429199999999</v>
      </c>
      <c r="J743" s="4"/>
      <c r="K743" s="38">
        <f t="shared" si="35"/>
        <v>0</v>
      </c>
    </row>
    <row r="744" spans="1:11">
      <c r="A744" t="s">
        <v>3752</v>
      </c>
      <c r="B744" t="s">
        <v>16</v>
      </c>
      <c r="C744" t="s">
        <v>9226</v>
      </c>
      <c r="D744" t="s">
        <v>9229</v>
      </c>
      <c r="E744">
        <v>144742.69</v>
      </c>
      <c r="G744" s="35"/>
      <c r="H744" s="36">
        <f t="shared" si="33"/>
        <v>91187.894700000004</v>
      </c>
      <c r="I744" s="37">
        <f t="shared" si="34"/>
        <v>91187.894700000004</v>
      </c>
      <c r="J744" s="4"/>
      <c r="K744" s="38">
        <f t="shared" si="35"/>
        <v>0</v>
      </c>
    </row>
    <row r="745" spans="1:11">
      <c r="A745" t="s">
        <v>3753</v>
      </c>
      <c r="B745" t="s">
        <v>16</v>
      </c>
      <c r="C745" t="s">
        <v>9226</v>
      </c>
      <c r="D745" t="s">
        <v>9230</v>
      </c>
      <c r="E745">
        <v>95082.1</v>
      </c>
      <c r="G745" s="35"/>
      <c r="H745" s="36">
        <f t="shared" si="33"/>
        <v>59901.723000000005</v>
      </c>
      <c r="I745" s="37">
        <f t="shared" si="34"/>
        <v>59901.723000000005</v>
      </c>
      <c r="J745" s="4"/>
      <c r="K745" s="38">
        <f t="shared" si="35"/>
        <v>0</v>
      </c>
    </row>
    <row r="746" spans="1:11">
      <c r="A746" t="s">
        <v>2896</v>
      </c>
      <c r="B746" t="s">
        <v>10179</v>
      </c>
      <c r="C746" t="s">
        <v>8397</v>
      </c>
      <c r="D746" t="s">
        <v>8398</v>
      </c>
      <c r="E746">
        <v>20333.7</v>
      </c>
      <c r="G746" s="35"/>
      <c r="H746" s="36">
        <f t="shared" si="33"/>
        <v>12810.231</v>
      </c>
      <c r="I746" s="37">
        <f t="shared" si="34"/>
        <v>12810.231</v>
      </c>
      <c r="J746" s="4"/>
      <c r="K746" s="38">
        <f t="shared" si="35"/>
        <v>0</v>
      </c>
    </row>
    <row r="747" spans="1:11">
      <c r="A747" t="s">
        <v>2897</v>
      </c>
      <c r="B747" t="s">
        <v>10179</v>
      </c>
      <c r="C747" t="s">
        <v>8397</v>
      </c>
      <c r="D747" t="s">
        <v>8399</v>
      </c>
      <c r="E747">
        <v>25981.89</v>
      </c>
      <c r="G747" s="35"/>
      <c r="H747" s="36">
        <f t="shared" si="33"/>
        <v>16368.590700000001</v>
      </c>
      <c r="I747" s="37">
        <f t="shared" si="34"/>
        <v>16368.590700000001</v>
      </c>
      <c r="J747" s="4"/>
      <c r="K747" s="38">
        <f t="shared" si="35"/>
        <v>0</v>
      </c>
    </row>
    <row r="748" spans="1:11">
      <c r="A748" t="s">
        <v>2898</v>
      </c>
      <c r="B748" t="s">
        <v>10179</v>
      </c>
      <c r="C748" t="s">
        <v>8397</v>
      </c>
      <c r="D748" t="s">
        <v>8400</v>
      </c>
      <c r="E748">
        <v>34160.129999999997</v>
      </c>
      <c r="G748" s="35"/>
      <c r="H748" s="36">
        <f t="shared" si="33"/>
        <v>21520.8819</v>
      </c>
      <c r="I748" s="37">
        <f t="shared" si="34"/>
        <v>21520.8819</v>
      </c>
      <c r="J748" s="4"/>
      <c r="K748" s="38">
        <f t="shared" si="35"/>
        <v>0</v>
      </c>
    </row>
    <row r="749" spans="1:11">
      <c r="A749" t="s">
        <v>2899</v>
      </c>
      <c r="B749" t="s">
        <v>10179</v>
      </c>
      <c r="C749" t="s">
        <v>8397</v>
      </c>
      <c r="D749" t="s">
        <v>8401</v>
      </c>
      <c r="E749">
        <v>55035.98</v>
      </c>
      <c r="G749" s="35"/>
      <c r="H749" s="36">
        <f t="shared" si="33"/>
        <v>34672.667400000006</v>
      </c>
      <c r="I749" s="37">
        <f t="shared" si="34"/>
        <v>34672.667400000006</v>
      </c>
      <c r="J749" s="4"/>
      <c r="K749" s="38">
        <f t="shared" si="35"/>
        <v>0</v>
      </c>
    </row>
    <row r="750" spans="1:11">
      <c r="A750" t="s">
        <v>2900</v>
      </c>
      <c r="B750" t="s">
        <v>10179</v>
      </c>
      <c r="C750" t="s">
        <v>8397</v>
      </c>
      <c r="D750" t="s">
        <v>8402</v>
      </c>
      <c r="E750">
        <v>82838.87</v>
      </c>
      <c r="G750" s="35"/>
      <c r="H750" s="36">
        <f t="shared" si="33"/>
        <v>52188.488099999995</v>
      </c>
      <c r="I750" s="37">
        <f t="shared" si="34"/>
        <v>52188.488099999995</v>
      </c>
      <c r="J750" s="4"/>
      <c r="K750" s="38">
        <f t="shared" si="35"/>
        <v>0</v>
      </c>
    </row>
    <row r="751" spans="1:11">
      <c r="A751" t="s">
        <v>2901</v>
      </c>
      <c r="B751" t="s">
        <v>10179</v>
      </c>
      <c r="C751" t="s">
        <v>8397</v>
      </c>
      <c r="D751" t="s">
        <v>8403</v>
      </c>
      <c r="E751">
        <v>103548.83</v>
      </c>
      <c r="G751" s="35"/>
      <c r="H751" s="36">
        <f t="shared" si="33"/>
        <v>65235.762900000002</v>
      </c>
      <c r="I751" s="37">
        <f t="shared" si="34"/>
        <v>65235.762900000002</v>
      </c>
      <c r="J751" s="4"/>
      <c r="K751" s="38">
        <f t="shared" si="35"/>
        <v>0</v>
      </c>
    </row>
    <row r="752" spans="1:11">
      <c r="A752" t="s">
        <v>2902</v>
      </c>
      <c r="B752" t="s">
        <v>10179</v>
      </c>
      <c r="C752" t="s">
        <v>8397</v>
      </c>
      <c r="D752" t="s">
        <v>8404</v>
      </c>
      <c r="E752">
        <v>240986.15</v>
      </c>
      <c r="G752" s="35"/>
      <c r="H752" s="36">
        <f t="shared" si="33"/>
        <v>151821.2745</v>
      </c>
      <c r="I752" s="37">
        <f t="shared" si="34"/>
        <v>151821.2745</v>
      </c>
      <c r="J752" s="4"/>
      <c r="K752" s="38">
        <f t="shared" si="35"/>
        <v>0</v>
      </c>
    </row>
    <row r="753" spans="1:11">
      <c r="A753" t="s">
        <v>2903</v>
      </c>
      <c r="B753" t="s">
        <v>10179</v>
      </c>
      <c r="C753" t="s">
        <v>8397</v>
      </c>
      <c r="D753" t="s">
        <v>8405</v>
      </c>
      <c r="E753">
        <v>263578.48</v>
      </c>
      <c r="G753" s="35"/>
      <c r="H753" s="36">
        <f t="shared" si="33"/>
        <v>166054.4424</v>
      </c>
      <c r="I753" s="37">
        <f t="shared" si="34"/>
        <v>166054.4424</v>
      </c>
      <c r="J753" s="4"/>
      <c r="K753" s="38">
        <f t="shared" si="35"/>
        <v>0</v>
      </c>
    </row>
    <row r="754" spans="1:11">
      <c r="A754" t="s">
        <v>2904</v>
      </c>
      <c r="B754" t="s">
        <v>10179</v>
      </c>
      <c r="C754" t="s">
        <v>8397</v>
      </c>
      <c r="D754" t="s">
        <v>8117</v>
      </c>
      <c r="E754">
        <v>489503.76</v>
      </c>
      <c r="G754" s="35"/>
      <c r="H754" s="36">
        <f t="shared" si="33"/>
        <v>308387.3688</v>
      </c>
      <c r="I754" s="37">
        <f t="shared" si="34"/>
        <v>308387.3688</v>
      </c>
      <c r="J754" s="4"/>
      <c r="K754" s="38">
        <f t="shared" si="35"/>
        <v>0</v>
      </c>
    </row>
    <row r="755" spans="1:11">
      <c r="A755" t="s">
        <v>2905</v>
      </c>
      <c r="B755" t="s">
        <v>10179</v>
      </c>
      <c r="C755" t="s">
        <v>8397</v>
      </c>
      <c r="D755" t="s">
        <v>8406</v>
      </c>
      <c r="E755">
        <v>3671.37</v>
      </c>
      <c r="G755" s="35"/>
      <c r="H755" s="36">
        <f t="shared" si="33"/>
        <v>2312.9630999999999</v>
      </c>
      <c r="I755" s="37">
        <f t="shared" si="34"/>
        <v>2312.9630999999999</v>
      </c>
      <c r="J755" s="4"/>
      <c r="K755" s="38">
        <f t="shared" si="35"/>
        <v>0</v>
      </c>
    </row>
    <row r="756" spans="1:11">
      <c r="A756" t="s">
        <v>3781</v>
      </c>
      <c r="B756" t="s">
        <v>10179</v>
      </c>
      <c r="C756" t="s">
        <v>9264</v>
      </c>
      <c r="D756" t="s">
        <v>9265</v>
      </c>
      <c r="E756">
        <v>643.48</v>
      </c>
      <c r="G756" s="35"/>
      <c r="H756" s="36">
        <f t="shared" si="33"/>
        <v>405.39240000000001</v>
      </c>
      <c r="I756" s="37">
        <f t="shared" si="34"/>
        <v>405.39240000000001</v>
      </c>
      <c r="J756" s="4"/>
      <c r="K756" s="38">
        <f t="shared" si="35"/>
        <v>0</v>
      </c>
    </row>
    <row r="757" spans="1:11">
      <c r="A757" t="s">
        <v>3782</v>
      </c>
      <c r="B757" t="s">
        <v>10179</v>
      </c>
      <c r="C757" t="s">
        <v>9264</v>
      </c>
      <c r="D757" t="s">
        <v>9266</v>
      </c>
      <c r="E757">
        <v>967.35</v>
      </c>
      <c r="G757" s="35"/>
      <c r="H757" s="36">
        <f t="shared" si="33"/>
        <v>609.43050000000005</v>
      </c>
      <c r="I757" s="37">
        <f t="shared" si="34"/>
        <v>609.43050000000005</v>
      </c>
      <c r="J757" s="4"/>
      <c r="K757" s="38">
        <f t="shared" si="35"/>
        <v>0</v>
      </c>
    </row>
    <row r="758" spans="1:11">
      <c r="A758" t="s">
        <v>3783</v>
      </c>
      <c r="B758" t="s">
        <v>10179</v>
      </c>
      <c r="C758" t="s">
        <v>9264</v>
      </c>
      <c r="D758" t="s">
        <v>9267</v>
      </c>
      <c r="E758">
        <v>931.55</v>
      </c>
      <c r="G758" s="35"/>
      <c r="H758" s="36">
        <f t="shared" si="33"/>
        <v>586.87649999999996</v>
      </c>
      <c r="I758" s="37">
        <f t="shared" si="34"/>
        <v>586.87649999999996</v>
      </c>
      <c r="J758" s="4"/>
      <c r="K758" s="38">
        <f t="shared" si="35"/>
        <v>0</v>
      </c>
    </row>
    <row r="759" spans="1:11">
      <c r="A759" t="s">
        <v>3784</v>
      </c>
      <c r="B759" t="s">
        <v>10179</v>
      </c>
      <c r="C759" t="s">
        <v>9264</v>
      </c>
      <c r="D759" t="s">
        <v>9268</v>
      </c>
      <c r="E759">
        <v>2075.88</v>
      </c>
      <c r="G759" s="35"/>
      <c r="H759" s="36">
        <f t="shared" si="33"/>
        <v>1307.8044</v>
      </c>
      <c r="I759" s="37">
        <f t="shared" si="34"/>
        <v>1307.8044</v>
      </c>
      <c r="J759" s="4"/>
      <c r="K759" s="38">
        <f t="shared" si="35"/>
        <v>0</v>
      </c>
    </row>
    <row r="760" spans="1:11">
      <c r="A760" t="s">
        <v>3785</v>
      </c>
      <c r="B760" t="s">
        <v>10179</v>
      </c>
      <c r="C760" t="s">
        <v>9264</v>
      </c>
      <c r="D760" t="s">
        <v>9269</v>
      </c>
      <c r="E760">
        <v>1886.07</v>
      </c>
      <c r="G760" s="35"/>
      <c r="H760" s="36">
        <f t="shared" si="33"/>
        <v>1188.2240999999999</v>
      </c>
      <c r="I760" s="37">
        <f t="shared" si="34"/>
        <v>1188.2240999999999</v>
      </c>
      <c r="J760" s="4"/>
      <c r="K760" s="38">
        <f t="shared" si="35"/>
        <v>0</v>
      </c>
    </row>
    <row r="761" spans="1:11">
      <c r="A761" t="s">
        <v>3786</v>
      </c>
      <c r="B761" t="s">
        <v>10179</v>
      </c>
      <c r="C761" t="s">
        <v>9264</v>
      </c>
      <c r="D761" t="s">
        <v>9270</v>
      </c>
      <c r="E761">
        <v>4167.58</v>
      </c>
      <c r="G761" s="35"/>
      <c r="H761" s="36">
        <f t="shared" si="33"/>
        <v>2625.5754000000002</v>
      </c>
      <c r="I761" s="37">
        <f t="shared" si="34"/>
        <v>2625.5754000000002</v>
      </c>
      <c r="J761" s="4"/>
      <c r="K761" s="38">
        <f t="shared" si="35"/>
        <v>0</v>
      </c>
    </row>
    <row r="762" spans="1:11">
      <c r="A762" t="s">
        <v>3787</v>
      </c>
      <c r="B762" t="s">
        <v>10179</v>
      </c>
      <c r="C762" t="s">
        <v>9264</v>
      </c>
      <c r="D762" t="s">
        <v>9271</v>
      </c>
      <c r="E762">
        <v>3352.08</v>
      </c>
      <c r="G762" s="35"/>
      <c r="H762" s="36">
        <f t="shared" si="33"/>
        <v>2111.8103999999998</v>
      </c>
      <c r="I762" s="37">
        <f t="shared" si="34"/>
        <v>2111.8103999999998</v>
      </c>
      <c r="J762" s="4"/>
      <c r="K762" s="38">
        <f t="shared" si="35"/>
        <v>0</v>
      </c>
    </row>
    <row r="763" spans="1:11">
      <c r="A763" t="s">
        <v>3788</v>
      </c>
      <c r="B763" t="s">
        <v>10179</v>
      </c>
      <c r="C763" t="s">
        <v>9264</v>
      </c>
      <c r="D763" t="s">
        <v>9272</v>
      </c>
      <c r="E763">
        <v>5796.65</v>
      </c>
      <c r="G763" s="35"/>
      <c r="H763" s="36">
        <f t="shared" si="33"/>
        <v>3651.8894999999998</v>
      </c>
      <c r="I763" s="37">
        <f t="shared" si="34"/>
        <v>3651.8894999999998</v>
      </c>
      <c r="J763" s="4"/>
      <c r="K763" s="38">
        <f t="shared" si="35"/>
        <v>0</v>
      </c>
    </row>
    <row r="764" spans="1:11">
      <c r="A764" t="s">
        <v>3789</v>
      </c>
      <c r="B764" t="s">
        <v>10179</v>
      </c>
      <c r="C764" t="s">
        <v>9264</v>
      </c>
      <c r="D764" t="s">
        <v>9273</v>
      </c>
      <c r="E764">
        <v>5791.02</v>
      </c>
      <c r="G764" s="35"/>
      <c r="H764" s="36">
        <f t="shared" si="33"/>
        <v>3648.3426000000004</v>
      </c>
      <c r="I764" s="37">
        <f t="shared" si="34"/>
        <v>3648.3426000000004</v>
      </c>
      <c r="J764" s="4"/>
      <c r="K764" s="38">
        <f t="shared" si="35"/>
        <v>0</v>
      </c>
    </row>
    <row r="765" spans="1:11">
      <c r="A765" t="s">
        <v>3790</v>
      </c>
      <c r="B765" t="s">
        <v>10179</v>
      </c>
      <c r="C765" t="s">
        <v>9264</v>
      </c>
      <c r="D765" t="s">
        <v>9274</v>
      </c>
      <c r="E765">
        <v>10561.12</v>
      </c>
      <c r="G765" s="35"/>
      <c r="H765" s="36">
        <f t="shared" si="33"/>
        <v>6653.5056000000004</v>
      </c>
      <c r="I765" s="37">
        <f t="shared" si="34"/>
        <v>6653.5056000000004</v>
      </c>
      <c r="J765" s="4"/>
      <c r="K765" s="38">
        <f t="shared" si="35"/>
        <v>0</v>
      </c>
    </row>
    <row r="766" spans="1:11">
      <c r="A766" t="s">
        <v>3791</v>
      </c>
      <c r="B766" t="s">
        <v>10179</v>
      </c>
      <c r="C766" t="s">
        <v>9264</v>
      </c>
      <c r="D766" t="s">
        <v>9275</v>
      </c>
      <c r="E766">
        <v>10003.65</v>
      </c>
      <c r="G766" s="35"/>
      <c r="H766" s="36">
        <f t="shared" si="33"/>
        <v>6302.2995000000001</v>
      </c>
      <c r="I766" s="37">
        <f t="shared" si="34"/>
        <v>6302.2995000000001</v>
      </c>
      <c r="J766" s="4"/>
      <c r="K766" s="38">
        <f t="shared" si="35"/>
        <v>0</v>
      </c>
    </row>
    <row r="767" spans="1:11">
      <c r="A767" t="s">
        <v>3792</v>
      </c>
      <c r="B767" t="s">
        <v>10179</v>
      </c>
      <c r="C767" t="s">
        <v>9264</v>
      </c>
      <c r="D767" t="s">
        <v>9276</v>
      </c>
      <c r="E767">
        <v>16568.86</v>
      </c>
      <c r="G767" s="35"/>
      <c r="H767" s="36">
        <f t="shared" si="33"/>
        <v>10438.381800000001</v>
      </c>
      <c r="I767" s="37">
        <f t="shared" si="34"/>
        <v>10438.381800000001</v>
      </c>
      <c r="J767" s="4"/>
      <c r="K767" s="38">
        <f t="shared" si="35"/>
        <v>0</v>
      </c>
    </row>
    <row r="768" spans="1:11">
      <c r="A768" t="s">
        <v>3793</v>
      </c>
      <c r="B768" t="s">
        <v>10179</v>
      </c>
      <c r="C768" t="s">
        <v>9264</v>
      </c>
      <c r="D768" t="s">
        <v>9277</v>
      </c>
      <c r="E768">
        <v>16568.86</v>
      </c>
      <c r="G768" s="35"/>
      <c r="H768" s="36">
        <f t="shared" si="33"/>
        <v>10438.381800000001</v>
      </c>
      <c r="I768" s="37">
        <f t="shared" si="34"/>
        <v>10438.381800000001</v>
      </c>
      <c r="J768" s="4"/>
      <c r="K768" s="38">
        <f t="shared" si="35"/>
        <v>0</v>
      </c>
    </row>
    <row r="769" spans="1:11">
      <c r="A769" t="s">
        <v>3794</v>
      </c>
      <c r="B769" t="s">
        <v>10179</v>
      </c>
      <c r="C769" t="s">
        <v>9264</v>
      </c>
      <c r="D769" t="s">
        <v>9278</v>
      </c>
      <c r="E769">
        <v>23282.2</v>
      </c>
      <c r="G769" s="35"/>
      <c r="H769" s="36">
        <f t="shared" si="33"/>
        <v>14667.786</v>
      </c>
      <c r="I769" s="37">
        <f t="shared" si="34"/>
        <v>14667.786</v>
      </c>
      <c r="J769" s="4"/>
      <c r="K769" s="38">
        <f t="shared" si="35"/>
        <v>0</v>
      </c>
    </row>
    <row r="770" spans="1:11">
      <c r="A770" t="s">
        <v>4115</v>
      </c>
      <c r="B770" t="s">
        <v>10179</v>
      </c>
      <c r="C770" t="s">
        <v>9574</v>
      </c>
      <c r="D770" t="s">
        <v>9575</v>
      </c>
      <c r="E770">
        <v>471.52</v>
      </c>
      <c r="G770" s="35"/>
      <c r="H770" s="36">
        <f t="shared" si="33"/>
        <v>297.05759999999998</v>
      </c>
      <c r="I770" s="37">
        <f t="shared" si="34"/>
        <v>297.05759999999998</v>
      </c>
      <c r="J770" s="4"/>
      <c r="K770" s="38">
        <f t="shared" si="35"/>
        <v>0</v>
      </c>
    </row>
    <row r="771" spans="1:11">
      <c r="A771" t="s">
        <v>4116</v>
      </c>
      <c r="B771" t="s">
        <v>10179</v>
      </c>
      <c r="C771" t="s">
        <v>9574</v>
      </c>
      <c r="D771" t="s">
        <v>9576</v>
      </c>
      <c r="E771">
        <v>708.81</v>
      </c>
      <c r="G771" s="35"/>
      <c r="H771" s="36">
        <f t="shared" si="33"/>
        <v>446.55029999999999</v>
      </c>
      <c r="I771" s="37">
        <f t="shared" si="34"/>
        <v>446.55029999999999</v>
      </c>
      <c r="J771" s="4"/>
      <c r="K771" s="38">
        <f t="shared" si="35"/>
        <v>0</v>
      </c>
    </row>
    <row r="772" spans="1:11">
      <c r="A772" t="s">
        <v>4117</v>
      </c>
      <c r="B772" t="s">
        <v>10179</v>
      </c>
      <c r="C772" t="s">
        <v>9574</v>
      </c>
      <c r="D772" t="s">
        <v>9577</v>
      </c>
      <c r="E772">
        <v>568.73</v>
      </c>
      <c r="G772" s="35"/>
      <c r="H772" s="36">
        <f t="shared" si="33"/>
        <v>358.29990000000004</v>
      </c>
      <c r="I772" s="37">
        <f t="shared" si="34"/>
        <v>358.29990000000004</v>
      </c>
      <c r="J772" s="4"/>
      <c r="K772" s="38">
        <f t="shared" si="35"/>
        <v>0</v>
      </c>
    </row>
    <row r="773" spans="1:11">
      <c r="A773" t="s">
        <v>4118</v>
      </c>
      <c r="B773" t="s">
        <v>10179</v>
      </c>
      <c r="C773" t="s">
        <v>9574</v>
      </c>
      <c r="D773" t="s">
        <v>9578</v>
      </c>
      <c r="E773">
        <v>1423.8</v>
      </c>
      <c r="G773" s="35"/>
      <c r="H773" s="36">
        <f t="shared" si="33"/>
        <v>896.99400000000003</v>
      </c>
      <c r="I773" s="37">
        <f t="shared" si="34"/>
        <v>896.99400000000003</v>
      </c>
      <c r="J773" s="4"/>
      <c r="K773" s="38">
        <f t="shared" si="35"/>
        <v>0</v>
      </c>
    </row>
    <row r="774" spans="1:11">
      <c r="A774" t="s">
        <v>4119</v>
      </c>
      <c r="B774" t="s">
        <v>10179</v>
      </c>
      <c r="C774" t="s">
        <v>9574</v>
      </c>
      <c r="D774" t="s">
        <v>9579</v>
      </c>
      <c r="E774">
        <v>1323.16</v>
      </c>
      <c r="G774" s="35"/>
      <c r="H774" s="36">
        <f t="shared" si="33"/>
        <v>833.59080000000006</v>
      </c>
      <c r="I774" s="37">
        <f t="shared" si="34"/>
        <v>833.59080000000006</v>
      </c>
      <c r="J774" s="4"/>
      <c r="K774" s="38">
        <f t="shared" si="35"/>
        <v>0</v>
      </c>
    </row>
    <row r="775" spans="1:11">
      <c r="A775" t="s">
        <v>4120</v>
      </c>
      <c r="B775" t="s">
        <v>10179</v>
      </c>
      <c r="C775" t="s">
        <v>9574</v>
      </c>
      <c r="D775" t="s">
        <v>9580</v>
      </c>
      <c r="E775">
        <v>3092.26</v>
      </c>
      <c r="G775" s="35"/>
      <c r="H775" s="36">
        <f t="shared" ref="H775:H838" si="36">+E775*$H$1*(1-G775)</f>
        <v>1948.1238000000001</v>
      </c>
      <c r="I775" s="37">
        <f t="shared" ref="I775:I838" si="37">H775*$H$4</f>
        <v>1948.1238000000001</v>
      </c>
      <c r="J775" s="4"/>
      <c r="K775" s="38">
        <f t="shared" ref="K775:K838" si="38">J775*I775</f>
        <v>0</v>
      </c>
    </row>
    <row r="776" spans="1:11">
      <c r="A776" t="s">
        <v>4121</v>
      </c>
      <c r="B776" t="s">
        <v>10179</v>
      </c>
      <c r="C776" t="s">
        <v>9574</v>
      </c>
      <c r="D776" t="s">
        <v>9581</v>
      </c>
      <c r="E776">
        <v>2917.25</v>
      </c>
      <c r="G776" s="35"/>
      <c r="H776" s="36">
        <f t="shared" si="36"/>
        <v>1837.8675000000001</v>
      </c>
      <c r="I776" s="37">
        <f t="shared" si="37"/>
        <v>1837.8675000000001</v>
      </c>
      <c r="J776" s="4"/>
      <c r="K776" s="38">
        <f t="shared" si="38"/>
        <v>0</v>
      </c>
    </row>
    <row r="777" spans="1:11">
      <c r="A777" t="s">
        <v>4122</v>
      </c>
      <c r="B777" t="s">
        <v>10179</v>
      </c>
      <c r="C777" t="s">
        <v>9574</v>
      </c>
      <c r="D777" t="s">
        <v>7896</v>
      </c>
      <c r="E777">
        <v>2737.3</v>
      </c>
      <c r="G777" s="35"/>
      <c r="H777" s="36">
        <f t="shared" si="36"/>
        <v>1724.499</v>
      </c>
      <c r="I777" s="37">
        <f t="shared" si="37"/>
        <v>1724.499</v>
      </c>
      <c r="J777" s="4"/>
      <c r="K777" s="38">
        <f t="shared" si="38"/>
        <v>0</v>
      </c>
    </row>
    <row r="778" spans="1:11">
      <c r="A778" t="s">
        <v>4123</v>
      </c>
      <c r="B778" t="s">
        <v>10179</v>
      </c>
      <c r="C778" t="s">
        <v>9574</v>
      </c>
      <c r="D778" t="s">
        <v>7897</v>
      </c>
      <c r="E778">
        <v>3969.65</v>
      </c>
      <c r="G778" s="35"/>
      <c r="H778" s="36">
        <f t="shared" si="36"/>
        <v>2500.8795</v>
      </c>
      <c r="I778" s="37">
        <f t="shared" si="37"/>
        <v>2500.8795</v>
      </c>
      <c r="J778" s="4"/>
      <c r="K778" s="38">
        <f t="shared" si="38"/>
        <v>0</v>
      </c>
    </row>
    <row r="779" spans="1:11">
      <c r="A779" t="s">
        <v>4124</v>
      </c>
      <c r="B779" t="s">
        <v>10179</v>
      </c>
      <c r="C779" t="s">
        <v>9574</v>
      </c>
      <c r="D779" t="s">
        <v>7898</v>
      </c>
      <c r="E779">
        <v>3905.48</v>
      </c>
      <c r="G779" s="35"/>
      <c r="H779" s="36">
        <f t="shared" si="36"/>
        <v>2460.4524000000001</v>
      </c>
      <c r="I779" s="37">
        <f t="shared" si="37"/>
        <v>2460.4524000000001</v>
      </c>
      <c r="J779" s="4"/>
      <c r="K779" s="38">
        <f t="shared" si="38"/>
        <v>0</v>
      </c>
    </row>
    <row r="780" spans="1:11">
      <c r="A780" t="s">
        <v>4125</v>
      </c>
      <c r="B780" t="s">
        <v>10179</v>
      </c>
      <c r="C780" t="s">
        <v>9574</v>
      </c>
      <c r="D780" t="s">
        <v>9582</v>
      </c>
      <c r="E780">
        <v>10905.17</v>
      </c>
      <c r="G780" s="35"/>
      <c r="H780" s="36">
        <f t="shared" si="36"/>
        <v>6870.2570999999998</v>
      </c>
      <c r="I780" s="37">
        <f t="shared" si="37"/>
        <v>6870.2570999999998</v>
      </c>
      <c r="J780" s="4"/>
      <c r="K780" s="38">
        <f t="shared" si="38"/>
        <v>0</v>
      </c>
    </row>
    <row r="781" spans="1:11">
      <c r="A781" t="s">
        <v>4126</v>
      </c>
      <c r="B781" t="s">
        <v>10179</v>
      </c>
      <c r="C781" t="s">
        <v>9574</v>
      </c>
      <c r="D781" t="s">
        <v>9583</v>
      </c>
      <c r="E781">
        <v>10691.41</v>
      </c>
      <c r="G781" s="35"/>
      <c r="H781" s="36">
        <f t="shared" si="36"/>
        <v>6735.5883000000003</v>
      </c>
      <c r="I781" s="37">
        <f t="shared" si="37"/>
        <v>6735.5883000000003</v>
      </c>
      <c r="J781" s="4"/>
      <c r="K781" s="38">
        <f t="shared" si="38"/>
        <v>0</v>
      </c>
    </row>
    <row r="782" spans="1:11">
      <c r="A782" t="s">
        <v>4127</v>
      </c>
      <c r="B782" t="s">
        <v>10179</v>
      </c>
      <c r="C782" t="s">
        <v>9574</v>
      </c>
      <c r="D782" t="s">
        <v>9278</v>
      </c>
      <c r="E782">
        <v>15625.71</v>
      </c>
      <c r="G782" s="35"/>
      <c r="H782" s="36">
        <f t="shared" si="36"/>
        <v>9844.1972999999998</v>
      </c>
      <c r="I782" s="37">
        <f t="shared" si="37"/>
        <v>9844.1972999999998</v>
      </c>
      <c r="J782" s="4"/>
      <c r="K782" s="38">
        <f t="shared" si="38"/>
        <v>0</v>
      </c>
    </row>
    <row r="783" spans="1:11">
      <c r="A783" t="s">
        <v>10586</v>
      </c>
      <c r="B783" t="s">
        <v>10179</v>
      </c>
      <c r="C783" t="s">
        <v>9574</v>
      </c>
      <c r="D783" t="s">
        <v>10587</v>
      </c>
      <c r="E783">
        <v>4049.08</v>
      </c>
      <c r="G783" s="35"/>
      <c r="H783" s="36">
        <f t="shared" si="36"/>
        <v>2550.9204</v>
      </c>
      <c r="I783" s="37">
        <f t="shared" si="37"/>
        <v>2550.9204</v>
      </c>
      <c r="J783" s="4"/>
      <c r="K783" s="38">
        <f t="shared" si="38"/>
        <v>0</v>
      </c>
    </row>
    <row r="784" spans="1:11">
      <c r="A784" t="s">
        <v>11935</v>
      </c>
      <c r="B784" t="s">
        <v>10179</v>
      </c>
      <c r="C784" t="s">
        <v>9574</v>
      </c>
      <c r="D784" t="s">
        <v>11936</v>
      </c>
      <c r="E784">
        <v>10398.25</v>
      </c>
      <c r="G784" s="35"/>
      <c r="H784" s="36">
        <f t="shared" si="36"/>
        <v>6550.8975</v>
      </c>
      <c r="I784" s="37">
        <f t="shared" si="37"/>
        <v>6550.8975</v>
      </c>
      <c r="J784" s="4"/>
      <c r="K784" s="38">
        <f t="shared" si="38"/>
        <v>0</v>
      </c>
    </row>
    <row r="785" spans="1:11">
      <c r="A785" t="s">
        <v>347</v>
      </c>
      <c r="B785" t="s">
        <v>10179</v>
      </c>
      <c r="C785" t="s">
        <v>5928</v>
      </c>
      <c r="D785" t="s">
        <v>6011</v>
      </c>
      <c r="E785">
        <v>2747.22</v>
      </c>
      <c r="G785" s="35"/>
      <c r="H785" s="36">
        <f t="shared" si="36"/>
        <v>1730.7485999999999</v>
      </c>
      <c r="I785" s="37">
        <f t="shared" si="37"/>
        <v>1730.7485999999999</v>
      </c>
      <c r="J785" s="4"/>
      <c r="K785" s="38">
        <f t="shared" si="38"/>
        <v>0</v>
      </c>
    </row>
    <row r="786" spans="1:11">
      <c r="A786" t="s">
        <v>4051</v>
      </c>
      <c r="B786" t="s">
        <v>10179</v>
      </c>
      <c r="C786" t="s">
        <v>6215</v>
      </c>
      <c r="D786" t="s">
        <v>9434</v>
      </c>
      <c r="E786">
        <v>958.71</v>
      </c>
      <c r="G786" s="35"/>
      <c r="H786" s="36">
        <f t="shared" si="36"/>
        <v>603.9873</v>
      </c>
      <c r="I786" s="37">
        <f t="shared" si="37"/>
        <v>603.9873</v>
      </c>
      <c r="J786" s="4"/>
      <c r="K786" s="38">
        <f t="shared" si="38"/>
        <v>0</v>
      </c>
    </row>
    <row r="787" spans="1:11">
      <c r="A787" t="s">
        <v>4052</v>
      </c>
      <c r="B787" t="s">
        <v>10179</v>
      </c>
      <c r="C787" t="s">
        <v>6215</v>
      </c>
      <c r="D787" t="s">
        <v>9435</v>
      </c>
      <c r="E787">
        <v>1367.94</v>
      </c>
      <c r="G787" s="35"/>
      <c r="H787" s="36">
        <f t="shared" si="36"/>
        <v>861.80220000000008</v>
      </c>
      <c r="I787" s="37">
        <f t="shared" si="37"/>
        <v>861.80220000000008</v>
      </c>
      <c r="J787" s="4"/>
      <c r="K787" s="38">
        <f t="shared" si="38"/>
        <v>0</v>
      </c>
    </row>
    <row r="788" spans="1:11">
      <c r="A788" t="s">
        <v>4053</v>
      </c>
      <c r="B788" t="s">
        <v>10179</v>
      </c>
      <c r="C788" t="s">
        <v>6215</v>
      </c>
      <c r="D788" t="s">
        <v>9519</v>
      </c>
      <c r="E788">
        <v>1869.62</v>
      </c>
      <c r="G788" s="35"/>
      <c r="H788" s="36">
        <f t="shared" si="36"/>
        <v>1177.8606</v>
      </c>
      <c r="I788" s="37">
        <f t="shared" si="37"/>
        <v>1177.8606</v>
      </c>
      <c r="J788" s="4"/>
      <c r="K788" s="38">
        <f t="shared" si="38"/>
        <v>0</v>
      </c>
    </row>
    <row r="789" spans="1:11">
      <c r="A789" t="s">
        <v>4054</v>
      </c>
      <c r="B789" t="s">
        <v>10179</v>
      </c>
      <c r="C789" t="s">
        <v>6215</v>
      </c>
      <c r="D789" t="s">
        <v>6529</v>
      </c>
      <c r="E789">
        <v>714.14</v>
      </c>
      <c r="G789" s="35"/>
      <c r="H789" s="36">
        <f t="shared" si="36"/>
        <v>449.90820000000002</v>
      </c>
      <c r="I789" s="37">
        <f t="shared" si="37"/>
        <v>449.90820000000002</v>
      </c>
      <c r="J789" s="4"/>
      <c r="K789" s="38">
        <f t="shared" si="38"/>
        <v>0</v>
      </c>
    </row>
    <row r="790" spans="1:11">
      <c r="A790" t="s">
        <v>4055</v>
      </c>
      <c r="B790" t="s">
        <v>10179</v>
      </c>
      <c r="C790" t="s">
        <v>6215</v>
      </c>
      <c r="D790" t="s">
        <v>6530</v>
      </c>
      <c r="E790">
        <v>902.41</v>
      </c>
      <c r="G790" s="35"/>
      <c r="H790" s="36">
        <f t="shared" si="36"/>
        <v>568.51829999999995</v>
      </c>
      <c r="I790" s="37">
        <f t="shared" si="37"/>
        <v>568.51829999999995</v>
      </c>
      <c r="J790" s="4"/>
      <c r="K790" s="38">
        <f t="shared" si="38"/>
        <v>0</v>
      </c>
    </row>
    <row r="791" spans="1:11">
      <c r="A791" t="s">
        <v>4056</v>
      </c>
      <c r="B791" t="s">
        <v>10179</v>
      </c>
      <c r="C791" t="s">
        <v>6215</v>
      </c>
      <c r="D791" t="s">
        <v>6849</v>
      </c>
      <c r="E791">
        <v>1443.38</v>
      </c>
      <c r="G791" s="35"/>
      <c r="H791" s="36">
        <f t="shared" si="36"/>
        <v>909.32940000000008</v>
      </c>
      <c r="I791" s="37">
        <f t="shared" si="37"/>
        <v>909.32940000000008</v>
      </c>
      <c r="J791" s="4"/>
      <c r="K791" s="38">
        <f t="shared" si="38"/>
        <v>0</v>
      </c>
    </row>
    <row r="792" spans="1:11">
      <c r="A792" t="s">
        <v>4057</v>
      </c>
      <c r="B792" t="s">
        <v>10179</v>
      </c>
      <c r="C792" t="s">
        <v>6215</v>
      </c>
      <c r="D792" t="s">
        <v>8149</v>
      </c>
      <c r="E792">
        <v>2956.56</v>
      </c>
      <c r="G792" s="35"/>
      <c r="H792" s="36">
        <f t="shared" si="36"/>
        <v>1862.6328000000001</v>
      </c>
      <c r="I792" s="37">
        <f t="shared" si="37"/>
        <v>1862.6328000000001</v>
      </c>
      <c r="J792" s="4"/>
      <c r="K792" s="38">
        <f t="shared" si="38"/>
        <v>0</v>
      </c>
    </row>
    <row r="793" spans="1:11">
      <c r="A793" t="s">
        <v>4058</v>
      </c>
      <c r="B793" t="s">
        <v>10179</v>
      </c>
      <c r="C793" t="s">
        <v>6215</v>
      </c>
      <c r="D793" t="s">
        <v>8150</v>
      </c>
      <c r="E793">
        <v>4830.34</v>
      </c>
      <c r="G793" s="35"/>
      <c r="H793" s="36">
        <f t="shared" si="36"/>
        <v>3043.1142</v>
      </c>
      <c r="I793" s="37">
        <f t="shared" si="37"/>
        <v>3043.1142</v>
      </c>
      <c r="J793" s="4"/>
      <c r="K793" s="38">
        <f t="shared" si="38"/>
        <v>0</v>
      </c>
    </row>
    <row r="794" spans="1:11">
      <c r="A794" t="s">
        <v>4059</v>
      </c>
      <c r="B794" t="s">
        <v>10179</v>
      </c>
      <c r="C794" t="s">
        <v>6215</v>
      </c>
      <c r="D794" t="s">
        <v>8151</v>
      </c>
      <c r="E794">
        <v>7592.32</v>
      </c>
      <c r="G794" s="35"/>
      <c r="H794" s="36">
        <f t="shared" si="36"/>
        <v>4783.1615999999995</v>
      </c>
      <c r="I794" s="37">
        <f t="shared" si="37"/>
        <v>4783.1615999999995</v>
      </c>
      <c r="J794" s="4"/>
      <c r="K794" s="38">
        <f t="shared" si="38"/>
        <v>0</v>
      </c>
    </row>
    <row r="795" spans="1:11">
      <c r="A795" t="s">
        <v>4060</v>
      </c>
      <c r="B795" t="s">
        <v>10179</v>
      </c>
      <c r="C795" t="s">
        <v>6215</v>
      </c>
      <c r="D795" t="s">
        <v>8152</v>
      </c>
      <c r="E795">
        <v>16783.36</v>
      </c>
      <c r="G795" s="35"/>
      <c r="H795" s="36">
        <f t="shared" si="36"/>
        <v>10573.516800000001</v>
      </c>
      <c r="I795" s="37">
        <f t="shared" si="37"/>
        <v>10573.516800000001</v>
      </c>
      <c r="J795" s="4"/>
      <c r="K795" s="38">
        <f t="shared" si="38"/>
        <v>0</v>
      </c>
    </row>
    <row r="796" spans="1:11">
      <c r="A796" t="s">
        <v>4061</v>
      </c>
      <c r="B796" t="s">
        <v>10179</v>
      </c>
      <c r="C796" t="s">
        <v>6215</v>
      </c>
      <c r="D796" t="s">
        <v>8153</v>
      </c>
      <c r="E796">
        <v>33352.04</v>
      </c>
      <c r="G796" s="35"/>
      <c r="H796" s="36">
        <f t="shared" si="36"/>
        <v>21011.785200000002</v>
      </c>
      <c r="I796" s="37">
        <f t="shared" si="37"/>
        <v>21011.785200000002</v>
      </c>
      <c r="J796" s="4"/>
      <c r="K796" s="38">
        <f t="shared" si="38"/>
        <v>0</v>
      </c>
    </row>
    <row r="797" spans="1:11">
      <c r="A797" t="s">
        <v>4062</v>
      </c>
      <c r="B797" t="s">
        <v>10179</v>
      </c>
      <c r="C797" t="s">
        <v>6215</v>
      </c>
      <c r="D797" t="s">
        <v>9520</v>
      </c>
      <c r="E797">
        <v>49038.31</v>
      </c>
      <c r="G797" s="35"/>
      <c r="H797" s="36">
        <f t="shared" si="36"/>
        <v>30894.135299999998</v>
      </c>
      <c r="I797" s="37">
        <f t="shared" si="37"/>
        <v>30894.135299999998</v>
      </c>
      <c r="J797" s="4"/>
      <c r="K797" s="38">
        <f t="shared" si="38"/>
        <v>0</v>
      </c>
    </row>
    <row r="798" spans="1:11">
      <c r="A798" t="s">
        <v>3959</v>
      </c>
      <c r="B798" t="s">
        <v>10179</v>
      </c>
      <c r="C798" t="s">
        <v>6605</v>
      </c>
      <c r="D798" t="s">
        <v>9238</v>
      </c>
      <c r="E798">
        <v>398.45</v>
      </c>
      <c r="G798" s="35"/>
      <c r="H798" s="36">
        <f t="shared" si="36"/>
        <v>251.02349999999998</v>
      </c>
      <c r="I798" s="37">
        <f t="shared" si="37"/>
        <v>251.02349999999998</v>
      </c>
      <c r="J798" s="4"/>
      <c r="K798" s="38">
        <f t="shared" si="38"/>
        <v>0</v>
      </c>
    </row>
    <row r="799" spans="1:11">
      <c r="A799" t="s">
        <v>3960</v>
      </c>
      <c r="B799" t="s">
        <v>10179</v>
      </c>
      <c r="C799" t="s">
        <v>6605</v>
      </c>
      <c r="D799" t="s">
        <v>8226</v>
      </c>
      <c r="E799">
        <v>643.48</v>
      </c>
      <c r="G799" s="35"/>
      <c r="H799" s="36">
        <f t="shared" si="36"/>
        <v>405.39240000000001</v>
      </c>
      <c r="I799" s="37">
        <f t="shared" si="37"/>
        <v>405.39240000000001</v>
      </c>
      <c r="J799" s="4"/>
      <c r="K799" s="38">
        <f t="shared" si="38"/>
        <v>0</v>
      </c>
    </row>
    <row r="800" spans="1:11">
      <c r="A800" t="s">
        <v>3961</v>
      </c>
      <c r="B800" t="s">
        <v>10179</v>
      </c>
      <c r="C800" t="s">
        <v>6605</v>
      </c>
      <c r="D800" t="s">
        <v>9430</v>
      </c>
      <c r="E800">
        <v>940.6</v>
      </c>
      <c r="G800" s="35"/>
      <c r="H800" s="36">
        <f t="shared" si="36"/>
        <v>592.57799999999997</v>
      </c>
      <c r="I800" s="37">
        <f t="shared" si="37"/>
        <v>592.57799999999997</v>
      </c>
      <c r="J800" s="4"/>
      <c r="K800" s="38">
        <f t="shared" si="38"/>
        <v>0</v>
      </c>
    </row>
    <row r="801" spans="1:11">
      <c r="A801" t="s">
        <v>3962</v>
      </c>
      <c r="B801" t="s">
        <v>10179</v>
      </c>
      <c r="C801" t="s">
        <v>6605</v>
      </c>
      <c r="D801" t="s">
        <v>8149</v>
      </c>
      <c r="E801">
        <v>2160.4899999999998</v>
      </c>
      <c r="G801" s="35"/>
      <c r="H801" s="36">
        <f t="shared" si="36"/>
        <v>1361.1086999999998</v>
      </c>
      <c r="I801" s="37">
        <f t="shared" si="37"/>
        <v>1361.1086999999998</v>
      </c>
      <c r="J801" s="4"/>
      <c r="K801" s="38">
        <f t="shared" si="38"/>
        <v>0</v>
      </c>
    </row>
    <row r="802" spans="1:11">
      <c r="A802" t="s">
        <v>3963</v>
      </c>
      <c r="B802" t="s">
        <v>10179</v>
      </c>
      <c r="C802" t="s">
        <v>6605</v>
      </c>
      <c r="D802" t="s">
        <v>8150</v>
      </c>
      <c r="E802">
        <v>3786.69</v>
      </c>
      <c r="G802" s="35"/>
      <c r="H802" s="36">
        <f t="shared" si="36"/>
        <v>2385.6147000000001</v>
      </c>
      <c r="I802" s="37">
        <f t="shared" si="37"/>
        <v>2385.6147000000001</v>
      </c>
      <c r="J802" s="4"/>
      <c r="K802" s="38">
        <f t="shared" si="38"/>
        <v>0</v>
      </c>
    </row>
    <row r="803" spans="1:11">
      <c r="A803" t="s">
        <v>3964</v>
      </c>
      <c r="B803" t="s">
        <v>10179</v>
      </c>
      <c r="C803" t="s">
        <v>6605</v>
      </c>
      <c r="D803" t="s">
        <v>8151</v>
      </c>
      <c r="E803">
        <v>6238.03</v>
      </c>
      <c r="G803" s="35"/>
      <c r="H803" s="36">
        <f t="shared" si="36"/>
        <v>3929.9589000000001</v>
      </c>
      <c r="I803" s="37">
        <f t="shared" si="37"/>
        <v>3929.9589000000001</v>
      </c>
      <c r="J803" s="4"/>
      <c r="K803" s="38">
        <f t="shared" si="38"/>
        <v>0</v>
      </c>
    </row>
    <row r="804" spans="1:11">
      <c r="A804" t="s">
        <v>3965</v>
      </c>
      <c r="B804" t="s">
        <v>10179</v>
      </c>
      <c r="C804" t="s">
        <v>6605</v>
      </c>
      <c r="D804" t="s">
        <v>8152</v>
      </c>
      <c r="E804">
        <v>15796.13</v>
      </c>
      <c r="G804" s="35"/>
      <c r="H804" s="36">
        <f t="shared" si="36"/>
        <v>9951.5618999999988</v>
      </c>
      <c r="I804" s="37">
        <f t="shared" si="37"/>
        <v>9951.5618999999988</v>
      </c>
      <c r="J804" s="4"/>
      <c r="K804" s="38">
        <f t="shared" si="38"/>
        <v>0</v>
      </c>
    </row>
    <row r="805" spans="1:11">
      <c r="A805" t="s">
        <v>3966</v>
      </c>
      <c r="B805" t="s">
        <v>10179</v>
      </c>
      <c r="C805" t="s">
        <v>6605</v>
      </c>
      <c r="D805" t="s">
        <v>8153</v>
      </c>
      <c r="E805">
        <v>31390.17</v>
      </c>
      <c r="G805" s="35"/>
      <c r="H805" s="36">
        <f t="shared" si="36"/>
        <v>19775.807099999998</v>
      </c>
      <c r="I805" s="37">
        <f t="shared" si="37"/>
        <v>19775.807099999998</v>
      </c>
      <c r="J805" s="4"/>
      <c r="K805" s="38">
        <f t="shared" si="38"/>
        <v>0</v>
      </c>
    </row>
    <row r="806" spans="1:11">
      <c r="A806" t="s">
        <v>3967</v>
      </c>
      <c r="B806" t="s">
        <v>10179</v>
      </c>
      <c r="C806" t="s">
        <v>6605</v>
      </c>
      <c r="D806" t="s">
        <v>8227</v>
      </c>
      <c r="E806">
        <v>49344.56</v>
      </c>
      <c r="G806" s="35"/>
      <c r="H806" s="36">
        <f t="shared" si="36"/>
        <v>31087.072799999998</v>
      </c>
      <c r="I806" s="37">
        <f t="shared" si="37"/>
        <v>31087.072799999998</v>
      </c>
      <c r="J806" s="4"/>
      <c r="K806" s="38">
        <f t="shared" si="38"/>
        <v>0</v>
      </c>
    </row>
    <row r="807" spans="1:11">
      <c r="A807" t="s">
        <v>3968</v>
      </c>
      <c r="B807" t="s">
        <v>10179</v>
      </c>
      <c r="C807" t="s">
        <v>6605</v>
      </c>
      <c r="D807" t="s">
        <v>9431</v>
      </c>
      <c r="E807">
        <v>9131.0300000000007</v>
      </c>
      <c r="G807" s="35"/>
      <c r="H807" s="36">
        <f t="shared" si="36"/>
        <v>5752.5489000000007</v>
      </c>
      <c r="I807" s="37">
        <f t="shared" si="37"/>
        <v>5752.5489000000007</v>
      </c>
      <c r="J807" s="4"/>
      <c r="K807" s="38">
        <f t="shared" si="38"/>
        <v>0</v>
      </c>
    </row>
    <row r="808" spans="1:11">
      <c r="A808" t="s">
        <v>3969</v>
      </c>
      <c r="B808" t="s">
        <v>10179</v>
      </c>
      <c r="C808" t="s">
        <v>6605</v>
      </c>
      <c r="D808" t="s">
        <v>9432</v>
      </c>
      <c r="E808">
        <v>18269.7</v>
      </c>
      <c r="G808" s="35"/>
      <c r="H808" s="36">
        <f t="shared" si="36"/>
        <v>11509.911</v>
      </c>
      <c r="I808" s="37">
        <f t="shared" si="37"/>
        <v>11509.911</v>
      </c>
      <c r="J808" s="4"/>
      <c r="K808" s="38">
        <f t="shared" si="38"/>
        <v>0</v>
      </c>
    </row>
    <row r="809" spans="1:11">
      <c r="A809" t="s">
        <v>3970</v>
      </c>
      <c r="B809" t="s">
        <v>10179</v>
      </c>
      <c r="C809" t="s">
        <v>6605</v>
      </c>
      <c r="D809" t="s">
        <v>9433</v>
      </c>
      <c r="E809">
        <v>20509.72</v>
      </c>
      <c r="G809" s="35"/>
      <c r="H809" s="36">
        <f t="shared" si="36"/>
        <v>12921.123600000001</v>
      </c>
      <c r="I809" s="37">
        <f t="shared" si="37"/>
        <v>12921.123600000001</v>
      </c>
      <c r="J809" s="4"/>
      <c r="K809" s="38">
        <f t="shared" si="38"/>
        <v>0</v>
      </c>
    </row>
    <row r="810" spans="1:11">
      <c r="A810" t="s">
        <v>3971</v>
      </c>
      <c r="B810" t="s">
        <v>10179</v>
      </c>
      <c r="C810" t="s">
        <v>6605</v>
      </c>
      <c r="D810" t="s">
        <v>9434</v>
      </c>
      <c r="E810">
        <v>685.34</v>
      </c>
      <c r="G810" s="35"/>
      <c r="H810" s="36">
        <f t="shared" si="36"/>
        <v>431.76420000000002</v>
      </c>
      <c r="I810" s="37">
        <f t="shared" si="37"/>
        <v>431.76420000000002</v>
      </c>
      <c r="J810" s="4"/>
      <c r="K810" s="38">
        <f t="shared" si="38"/>
        <v>0</v>
      </c>
    </row>
    <row r="811" spans="1:11">
      <c r="A811" t="s">
        <v>3972</v>
      </c>
      <c r="B811" t="s">
        <v>10179</v>
      </c>
      <c r="C811" t="s">
        <v>6605</v>
      </c>
      <c r="D811" t="s">
        <v>9435</v>
      </c>
      <c r="E811">
        <v>934.32</v>
      </c>
      <c r="G811" s="35"/>
      <c r="H811" s="36">
        <f t="shared" si="36"/>
        <v>588.62160000000006</v>
      </c>
      <c r="I811" s="37">
        <f t="shared" si="37"/>
        <v>588.62160000000006</v>
      </c>
      <c r="J811" s="4"/>
      <c r="K811" s="38">
        <f t="shared" si="38"/>
        <v>0</v>
      </c>
    </row>
    <row r="812" spans="1:11">
      <c r="A812" t="s">
        <v>3973</v>
      </c>
      <c r="B812" t="s">
        <v>10179</v>
      </c>
      <c r="C812" t="s">
        <v>6605</v>
      </c>
      <c r="D812" t="s">
        <v>9436</v>
      </c>
      <c r="E812">
        <v>888.37</v>
      </c>
      <c r="G812" s="35"/>
      <c r="H812" s="36">
        <f t="shared" si="36"/>
        <v>559.67309999999998</v>
      </c>
      <c r="I812" s="37">
        <f t="shared" si="37"/>
        <v>559.67309999999998</v>
      </c>
      <c r="J812" s="4"/>
      <c r="K812" s="38">
        <f t="shared" si="38"/>
        <v>0</v>
      </c>
    </row>
    <row r="813" spans="1:11">
      <c r="A813" t="s">
        <v>3974</v>
      </c>
      <c r="B813" t="s">
        <v>10179</v>
      </c>
      <c r="C813" t="s">
        <v>6605</v>
      </c>
      <c r="D813" t="s">
        <v>9437</v>
      </c>
      <c r="E813">
        <v>1408.76</v>
      </c>
      <c r="G813" s="35"/>
      <c r="H813" s="36">
        <f t="shared" si="36"/>
        <v>887.51880000000006</v>
      </c>
      <c r="I813" s="37">
        <f t="shared" si="37"/>
        <v>887.51880000000006</v>
      </c>
      <c r="J813" s="4"/>
      <c r="K813" s="38">
        <f t="shared" si="38"/>
        <v>0</v>
      </c>
    </row>
    <row r="814" spans="1:11">
      <c r="A814" t="s">
        <v>823</v>
      </c>
      <c r="B814" t="s">
        <v>10179</v>
      </c>
      <c r="C814" t="s">
        <v>6472</v>
      </c>
      <c r="D814" t="s">
        <v>6473</v>
      </c>
      <c r="E814">
        <v>3816.18</v>
      </c>
      <c r="G814" s="35"/>
      <c r="H814" s="36">
        <f t="shared" si="36"/>
        <v>2404.1934000000001</v>
      </c>
      <c r="I814" s="37">
        <f t="shared" si="37"/>
        <v>2404.1934000000001</v>
      </c>
      <c r="J814" s="4"/>
      <c r="K814" s="38">
        <f t="shared" si="38"/>
        <v>0</v>
      </c>
    </row>
    <row r="815" spans="1:11">
      <c r="A815" t="s">
        <v>824</v>
      </c>
      <c r="B815" t="s">
        <v>10179</v>
      </c>
      <c r="C815" t="s">
        <v>6472</v>
      </c>
      <c r="D815" t="s">
        <v>6474</v>
      </c>
      <c r="E815">
        <v>7356.43</v>
      </c>
      <c r="G815" s="35"/>
      <c r="H815" s="36">
        <f t="shared" si="36"/>
        <v>4634.5509000000002</v>
      </c>
      <c r="I815" s="37">
        <f t="shared" si="37"/>
        <v>4634.5509000000002</v>
      </c>
      <c r="J815" s="4"/>
      <c r="K815" s="38">
        <f t="shared" si="38"/>
        <v>0</v>
      </c>
    </row>
    <row r="816" spans="1:11">
      <c r="A816" t="s">
        <v>825</v>
      </c>
      <c r="B816" t="s">
        <v>10179</v>
      </c>
      <c r="C816" t="s">
        <v>6475</v>
      </c>
      <c r="D816" t="s">
        <v>6476</v>
      </c>
      <c r="E816">
        <v>2317.64</v>
      </c>
      <c r="G816" s="35"/>
      <c r="H816" s="36">
        <f t="shared" si="36"/>
        <v>1460.1132</v>
      </c>
      <c r="I816" s="37">
        <f t="shared" si="37"/>
        <v>1460.1132</v>
      </c>
      <c r="J816" s="4"/>
      <c r="K816" s="38">
        <f t="shared" si="38"/>
        <v>0</v>
      </c>
    </row>
    <row r="817" spans="1:11">
      <c r="A817" t="s">
        <v>826</v>
      </c>
      <c r="B817" t="s">
        <v>10179</v>
      </c>
      <c r="C817" t="s">
        <v>6475</v>
      </c>
      <c r="D817" t="s">
        <v>6477</v>
      </c>
      <c r="E817">
        <v>3750.73</v>
      </c>
      <c r="G817" s="35"/>
      <c r="H817" s="36">
        <f t="shared" si="36"/>
        <v>2362.9598999999998</v>
      </c>
      <c r="I817" s="37">
        <f t="shared" si="37"/>
        <v>2362.9598999999998</v>
      </c>
      <c r="J817" s="4"/>
      <c r="K817" s="38">
        <f t="shared" si="38"/>
        <v>0</v>
      </c>
    </row>
    <row r="818" spans="1:11">
      <c r="A818" t="s">
        <v>827</v>
      </c>
      <c r="B818" t="s">
        <v>10179</v>
      </c>
      <c r="C818" t="s">
        <v>6475</v>
      </c>
      <c r="D818" t="s">
        <v>6478</v>
      </c>
      <c r="E818">
        <v>3863.52</v>
      </c>
      <c r="G818" s="35"/>
      <c r="H818" s="36">
        <f t="shared" si="36"/>
        <v>2434.0176000000001</v>
      </c>
      <c r="I818" s="37">
        <f t="shared" si="37"/>
        <v>2434.0176000000001</v>
      </c>
      <c r="J818" s="4"/>
      <c r="K818" s="38">
        <f t="shared" si="38"/>
        <v>0</v>
      </c>
    </row>
    <row r="819" spans="1:11">
      <c r="A819" t="s">
        <v>828</v>
      </c>
      <c r="B819" t="s">
        <v>10179</v>
      </c>
      <c r="C819" t="s">
        <v>6475</v>
      </c>
      <c r="D819" t="s">
        <v>6479</v>
      </c>
      <c r="E819">
        <v>6758.3</v>
      </c>
      <c r="G819" s="35"/>
      <c r="H819" s="36">
        <f t="shared" si="36"/>
        <v>4257.7290000000003</v>
      </c>
      <c r="I819" s="37">
        <f t="shared" si="37"/>
        <v>4257.7290000000003</v>
      </c>
      <c r="J819" s="4"/>
      <c r="K819" s="38">
        <f t="shared" si="38"/>
        <v>0</v>
      </c>
    </row>
    <row r="820" spans="1:11">
      <c r="A820" t="s">
        <v>829</v>
      </c>
      <c r="B820" t="s">
        <v>10179</v>
      </c>
      <c r="C820" t="s">
        <v>6475</v>
      </c>
      <c r="D820" t="s">
        <v>6480</v>
      </c>
      <c r="E820">
        <v>6954.41</v>
      </c>
      <c r="G820" s="35"/>
      <c r="H820" s="36">
        <f t="shared" si="36"/>
        <v>4381.2782999999999</v>
      </c>
      <c r="I820" s="37">
        <f t="shared" si="37"/>
        <v>4381.2782999999999</v>
      </c>
      <c r="J820" s="4"/>
      <c r="K820" s="38">
        <f t="shared" si="38"/>
        <v>0</v>
      </c>
    </row>
    <row r="821" spans="1:11">
      <c r="A821" t="s">
        <v>830</v>
      </c>
      <c r="B821" t="s">
        <v>10179</v>
      </c>
      <c r="C821" t="s">
        <v>6475</v>
      </c>
      <c r="D821" t="s">
        <v>6481</v>
      </c>
      <c r="E821">
        <v>9039.4699999999993</v>
      </c>
      <c r="G821" s="35"/>
      <c r="H821" s="36">
        <f t="shared" si="36"/>
        <v>5694.8660999999993</v>
      </c>
      <c r="I821" s="37">
        <f t="shared" si="37"/>
        <v>5694.8660999999993</v>
      </c>
      <c r="J821" s="4"/>
      <c r="K821" s="38">
        <f t="shared" si="38"/>
        <v>0</v>
      </c>
    </row>
    <row r="822" spans="1:11">
      <c r="A822" t="s">
        <v>831</v>
      </c>
      <c r="B822" t="s">
        <v>10179</v>
      </c>
      <c r="C822" t="s">
        <v>6482</v>
      </c>
      <c r="D822" t="s">
        <v>6483</v>
      </c>
      <c r="E822">
        <v>3957.39</v>
      </c>
      <c r="G822" s="35"/>
      <c r="H822" s="36">
        <f t="shared" si="36"/>
        <v>2493.1556999999998</v>
      </c>
      <c r="I822" s="37">
        <f t="shared" si="37"/>
        <v>2493.1556999999998</v>
      </c>
      <c r="J822" s="4"/>
      <c r="K822" s="38">
        <f t="shared" si="38"/>
        <v>0</v>
      </c>
    </row>
    <row r="823" spans="1:11">
      <c r="A823" t="s">
        <v>832</v>
      </c>
      <c r="B823" t="s">
        <v>10179</v>
      </c>
      <c r="C823" t="s">
        <v>6482</v>
      </c>
      <c r="D823" t="s">
        <v>6484</v>
      </c>
      <c r="E823">
        <v>4412.3900000000003</v>
      </c>
      <c r="G823" s="35"/>
      <c r="H823" s="36">
        <f t="shared" si="36"/>
        <v>2779.8057000000003</v>
      </c>
      <c r="I823" s="37">
        <f t="shared" si="37"/>
        <v>2779.8057000000003</v>
      </c>
      <c r="J823" s="4"/>
      <c r="K823" s="38">
        <f t="shared" si="38"/>
        <v>0</v>
      </c>
    </row>
    <row r="824" spans="1:11">
      <c r="A824" t="s">
        <v>833</v>
      </c>
      <c r="B824" t="s">
        <v>10179</v>
      </c>
      <c r="C824" t="s">
        <v>6482</v>
      </c>
      <c r="D824" t="s">
        <v>6485</v>
      </c>
      <c r="E824">
        <v>5810.24</v>
      </c>
      <c r="G824" s="35"/>
      <c r="H824" s="36">
        <f t="shared" si="36"/>
        <v>3660.4512</v>
      </c>
      <c r="I824" s="37">
        <f t="shared" si="37"/>
        <v>3660.4512</v>
      </c>
      <c r="J824" s="4"/>
      <c r="K824" s="38">
        <f t="shared" si="38"/>
        <v>0</v>
      </c>
    </row>
    <row r="825" spans="1:11">
      <c r="A825" t="s">
        <v>834</v>
      </c>
      <c r="B825" t="s">
        <v>10179</v>
      </c>
      <c r="C825" t="s">
        <v>6482</v>
      </c>
      <c r="D825" t="s">
        <v>6480</v>
      </c>
      <c r="E825">
        <v>8633.32</v>
      </c>
      <c r="G825" s="35"/>
      <c r="H825" s="36">
        <f t="shared" si="36"/>
        <v>5438.9916000000003</v>
      </c>
      <c r="I825" s="37">
        <f t="shared" si="37"/>
        <v>5438.9916000000003</v>
      </c>
      <c r="J825" s="4"/>
      <c r="K825" s="38">
        <f t="shared" si="38"/>
        <v>0</v>
      </c>
    </row>
    <row r="826" spans="1:11">
      <c r="A826" t="s">
        <v>835</v>
      </c>
      <c r="B826" t="s">
        <v>10179</v>
      </c>
      <c r="C826" t="s">
        <v>6482</v>
      </c>
      <c r="D826" t="s">
        <v>6479</v>
      </c>
      <c r="E826">
        <v>9952.07</v>
      </c>
      <c r="G826" s="35"/>
      <c r="H826" s="36">
        <f t="shared" si="36"/>
        <v>6269.8041000000003</v>
      </c>
      <c r="I826" s="37">
        <f t="shared" si="37"/>
        <v>6269.8041000000003</v>
      </c>
      <c r="J826" s="4"/>
      <c r="K826" s="38">
        <f t="shared" si="38"/>
        <v>0</v>
      </c>
    </row>
    <row r="827" spans="1:11">
      <c r="A827" t="s">
        <v>836</v>
      </c>
      <c r="B827" t="s">
        <v>10179</v>
      </c>
      <c r="C827" t="s">
        <v>6482</v>
      </c>
      <c r="D827" t="s">
        <v>6481</v>
      </c>
      <c r="E827">
        <v>8250.91</v>
      </c>
      <c r="G827" s="35"/>
      <c r="H827" s="36">
        <f t="shared" si="36"/>
        <v>5198.0733</v>
      </c>
      <c r="I827" s="37">
        <f t="shared" si="37"/>
        <v>5198.0733</v>
      </c>
      <c r="J827" s="4"/>
      <c r="K827" s="38">
        <f t="shared" si="38"/>
        <v>0</v>
      </c>
    </row>
    <row r="828" spans="1:11">
      <c r="A828" t="s">
        <v>878</v>
      </c>
      <c r="B828" t="s">
        <v>10179</v>
      </c>
      <c r="C828" t="s">
        <v>5751</v>
      </c>
      <c r="D828" t="s">
        <v>6529</v>
      </c>
      <c r="E828">
        <v>5691.59</v>
      </c>
      <c r="G828" s="35"/>
      <c r="H828" s="36">
        <f t="shared" si="36"/>
        <v>3585.7017000000001</v>
      </c>
      <c r="I828" s="37">
        <f t="shared" si="37"/>
        <v>3585.7017000000001</v>
      </c>
      <c r="J828" s="4"/>
      <c r="K828" s="38">
        <f t="shared" si="38"/>
        <v>0</v>
      </c>
    </row>
    <row r="829" spans="1:11">
      <c r="A829" t="s">
        <v>879</v>
      </c>
      <c r="B829" t="s">
        <v>10179</v>
      </c>
      <c r="C829" t="s">
        <v>5751</v>
      </c>
      <c r="D829" t="s">
        <v>6530</v>
      </c>
      <c r="E829">
        <v>5323.09</v>
      </c>
      <c r="G829" s="35"/>
      <c r="H829" s="36">
        <f t="shared" si="36"/>
        <v>3353.5467000000003</v>
      </c>
      <c r="I829" s="37">
        <f t="shared" si="37"/>
        <v>3353.5467000000003</v>
      </c>
      <c r="J829" s="4"/>
      <c r="K829" s="38">
        <f t="shared" si="38"/>
        <v>0</v>
      </c>
    </row>
    <row r="830" spans="1:11">
      <c r="A830" t="s">
        <v>3795</v>
      </c>
      <c r="B830" t="s">
        <v>10179</v>
      </c>
      <c r="C830" t="s">
        <v>9279</v>
      </c>
      <c r="D830" t="s">
        <v>9280</v>
      </c>
      <c r="E830">
        <v>756.3</v>
      </c>
      <c r="G830" s="35"/>
      <c r="H830" s="36">
        <f t="shared" si="36"/>
        <v>476.46899999999999</v>
      </c>
      <c r="I830" s="37">
        <f t="shared" si="37"/>
        <v>476.46899999999999</v>
      </c>
      <c r="J830" s="4"/>
      <c r="K830" s="38">
        <f t="shared" si="38"/>
        <v>0</v>
      </c>
    </row>
    <row r="831" spans="1:11">
      <c r="A831" t="s">
        <v>3796</v>
      </c>
      <c r="B831" t="s">
        <v>10179</v>
      </c>
      <c r="C831" t="s">
        <v>9279</v>
      </c>
      <c r="D831" t="s">
        <v>9281</v>
      </c>
      <c r="E831">
        <v>834.32</v>
      </c>
      <c r="G831" s="35"/>
      <c r="H831" s="36">
        <f t="shared" si="36"/>
        <v>525.62160000000006</v>
      </c>
      <c r="I831" s="37">
        <f t="shared" si="37"/>
        <v>525.62160000000006</v>
      </c>
      <c r="J831" s="4"/>
      <c r="K831" s="38">
        <f t="shared" si="38"/>
        <v>0</v>
      </c>
    </row>
    <row r="832" spans="1:11">
      <c r="A832" t="s">
        <v>1085</v>
      </c>
      <c r="B832" t="s">
        <v>10179</v>
      </c>
      <c r="C832" t="s">
        <v>6685</v>
      </c>
      <c r="D832" t="s">
        <v>6686</v>
      </c>
      <c r="E832">
        <v>3918.06</v>
      </c>
      <c r="G832" s="35"/>
      <c r="H832" s="36">
        <f t="shared" si="36"/>
        <v>2468.3778000000002</v>
      </c>
      <c r="I832" s="37">
        <f t="shared" si="37"/>
        <v>2468.3778000000002</v>
      </c>
      <c r="J832" s="4"/>
      <c r="K832" s="38">
        <f t="shared" si="38"/>
        <v>0</v>
      </c>
    </row>
    <row r="833" spans="1:11">
      <c r="A833" t="s">
        <v>3956</v>
      </c>
      <c r="B833" t="s">
        <v>10179</v>
      </c>
      <c r="C833" t="s">
        <v>9429</v>
      </c>
      <c r="D833" t="s">
        <v>6529</v>
      </c>
      <c r="E833">
        <v>1268.06</v>
      </c>
      <c r="G833" s="35"/>
      <c r="H833" s="36">
        <f t="shared" si="36"/>
        <v>798.87779999999998</v>
      </c>
      <c r="I833" s="37">
        <f t="shared" si="37"/>
        <v>798.87779999999998</v>
      </c>
      <c r="J833" s="4"/>
      <c r="K833" s="38">
        <f t="shared" si="38"/>
        <v>0</v>
      </c>
    </row>
    <row r="834" spans="1:11">
      <c r="A834" t="s">
        <v>3957</v>
      </c>
      <c r="B834" t="s">
        <v>10179</v>
      </c>
      <c r="C834" t="s">
        <v>9429</v>
      </c>
      <c r="D834" t="s">
        <v>6530</v>
      </c>
      <c r="E834">
        <v>1736.92</v>
      </c>
      <c r="G834" s="35"/>
      <c r="H834" s="36">
        <f t="shared" si="36"/>
        <v>1094.2596000000001</v>
      </c>
      <c r="I834" s="37">
        <f t="shared" si="37"/>
        <v>1094.2596000000001</v>
      </c>
      <c r="J834" s="4"/>
      <c r="K834" s="38">
        <f t="shared" si="38"/>
        <v>0</v>
      </c>
    </row>
    <row r="835" spans="1:11">
      <c r="A835" t="s">
        <v>3958</v>
      </c>
      <c r="B835" t="s">
        <v>10179</v>
      </c>
      <c r="C835" t="s">
        <v>9429</v>
      </c>
      <c r="D835" t="s">
        <v>6849</v>
      </c>
      <c r="E835">
        <v>2709.77</v>
      </c>
      <c r="G835" s="35"/>
      <c r="H835" s="36">
        <f t="shared" si="36"/>
        <v>1707.1550999999999</v>
      </c>
      <c r="I835" s="37">
        <f t="shared" si="37"/>
        <v>1707.1550999999999</v>
      </c>
      <c r="J835" s="4"/>
      <c r="K835" s="38">
        <f t="shared" si="38"/>
        <v>0</v>
      </c>
    </row>
    <row r="836" spans="1:11">
      <c r="A836" t="s">
        <v>1269</v>
      </c>
      <c r="B836" t="s">
        <v>10179</v>
      </c>
      <c r="C836" t="s">
        <v>6664</v>
      </c>
      <c r="D836" t="s">
        <v>6529</v>
      </c>
      <c r="E836">
        <v>2848.41</v>
      </c>
      <c r="G836" s="35"/>
      <c r="H836" s="36">
        <f t="shared" si="36"/>
        <v>1794.4983</v>
      </c>
      <c r="I836" s="37">
        <f t="shared" si="37"/>
        <v>1794.4983</v>
      </c>
      <c r="J836" s="4"/>
      <c r="K836" s="38">
        <f t="shared" si="38"/>
        <v>0</v>
      </c>
    </row>
    <row r="837" spans="1:11">
      <c r="A837" t="s">
        <v>1270</v>
      </c>
      <c r="B837" t="s">
        <v>10179</v>
      </c>
      <c r="C837" t="s">
        <v>6664</v>
      </c>
      <c r="D837" t="s">
        <v>6530</v>
      </c>
      <c r="E837">
        <v>3960.17</v>
      </c>
      <c r="G837" s="35"/>
      <c r="H837" s="36">
        <f t="shared" si="36"/>
        <v>2494.9070999999999</v>
      </c>
      <c r="I837" s="37">
        <f t="shared" si="37"/>
        <v>2494.9070999999999</v>
      </c>
      <c r="J837" s="4"/>
      <c r="K837" s="38">
        <f t="shared" si="38"/>
        <v>0</v>
      </c>
    </row>
    <row r="838" spans="1:11">
      <c r="A838" t="s">
        <v>1271</v>
      </c>
      <c r="B838" t="s">
        <v>10179</v>
      </c>
      <c r="C838" t="s">
        <v>6664</v>
      </c>
      <c r="D838" t="s">
        <v>6849</v>
      </c>
      <c r="E838">
        <v>5742.23</v>
      </c>
      <c r="G838" s="35"/>
      <c r="H838" s="36">
        <f t="shared" si="36"/>
        <v>3617.6048999999998</v>
      </c>
      <c r="I838" s="37">
        <f t="shared" si="37"/>
        <v>3617.6048999999998</v>
      </c>
      <c r="J838" s="4"/>
      <c r="K838" s="38">
        <f t="shared" si="38"/>
        <v>0</v>
      </c>
    </row>
    <row r="839" spans="1:11">
      <c r="A839" t="s">
        <v>1272</v>
      </c>
      <c r="B839" t="s">
        <v>10179</v>
      </c>
      <c r="C839" t="s">
        <v>6850</v>
      </c>
      <c r="D839" t="s">
        <v>6529</v>
      </c>
      <c r="E839">
        <v>1270.48</v>
      </c>
      <c r="G839" s="35"/>
      <c r="H839" s="36">
        <f t="shared" ref="H839:H902" si="39">+E839*$H$1*(1-G839)</f>
        <v>800.40240000000006</v>
      </c>
      <c r="I839" s="37">
        <f t="shared" ref="I839:I902" si="40">H839*$H$4</f>
        <v>800.40240000000006</v>
      </c>
      <c r="J839" s="4"/>
      <c r="K839" s="38">
        <f t="shared" ref="K839:K902" si="41">J839*I839</f>
        <v>0</v>
      </c>
    </row>
    <row r="840" spans="1:11">
      <c r="A840" t="s">
        <v>1273</v>
      </c>
      <c r="B840" t="s">
        <v>10179</v>
      </c>
      <c r="C840" t="s">
        <v>6850</v>
      </c>
      <c r="D840" t="s">
        <v>6530</v>
      </c>
      <c r="E840">
        <v>1826.86</v>
      </c>
      <c r="G840" s="35"/>
      <c r="H840" s="36">
        <f t="shared" si="39"/>
        <v>1150.9217999999998</v>
      </c>
      <c r="I840" s="37">
        <f t="shared" si="40"/>
        <v>1150.9217999999998</v>
      </c>
      <c r="J840" s="4"/>
      <c r="K840" s="38">
        <f t="shared" si="41"/>
        <v>0</v>
      </c>
    </row>
    <row r="841" spans="1:11">
      <c r="A841" t="s">
        <v>1274</v>
      </c>
      <c r="B841" t="s">
        <v>10179</v>
      </c>
      <c r="C841" t="s">
        <v>6850</v>
      </c>
      <c r="D841" t="s">
        <v>6849</v>
      </c>
      <c r="E841">
        <v>2405.19</v>
      </c>
      <c r="G841" s="35"/>
      <c r="H841" s="36">
        <f t="shared" si="39"/>
        <v>1515.2697000000001</v>
      </c>
      <c r="I841" s="37">
        <f t="shared" si="40"/>
        <v>1515.2697000000001</v>
      </c>
      <c r="J841" s="4"/>
      <c r="K841" s="38">
        <f t="shared" si="41"/>
        <v>0</v>
      </c>
    </row>
    <row r="842" spans="1:11">
      <c r="A842" t="s">
        <v>3949</v>
      </c>
      <c r="B842" t="s">
        <v>10179</v>
      </c>
      <c r="C842" t="s">
        <v>6630</v>
      </c>
      <c r="D842" t="s">
        <v>9424</v>
      </c>
      <c r="E842">
        <v>14942.86</v>
      </c>
      <c r="G842" s="35"/>
      <c r="H842" s="36">
        <f t="shared" si="39"/>
        <v>9414.0018</v>
      </c>
      <c r="I842" s="37">
        <f t="shared" si="40"/>
        <v>9414.0018</v>
      </c>
      <c r="J842" s="4"/>
      <c r="K842" s="38">
        <f t="shared" si="41"/>
        <v>0</v>
      </c>
    </row>
    <row r="843" spans="1:11">
      <c r="A843" t="s">
        <v>3950</v>
      </c>
      <c r="B843" t="s">
        <v>10179</v>
      </c>
      <c r="C843" t="s">
        <v>6630</v>
      </c>
      <c r="D843" t="s">
        <v>9425</v>
      </c>
      <c r="E843">
        <v>15331.22</v>
      </c>
      <c r="G843" s="35"/>
      <c r="H843" s="36">
        <f t="shared" si="39"/>
        <v>9658.6685999999991</v>
      </c>
      <c r="I843" s="37">
        <f t="shared" si="40"/>
        <v>9658.6685999999991</v>
      </c>
      <c r="J843" s="4"/>
      <c r="K843" s="38">
        <f t="shared" si="41"/>
        <v>0</v>
      </c>
    </row>
    <row r="844" spans="1:11">
      <c r="A844" t="s">
        <v>3951</v>
      </c>
      <c r="B844" t="s">
        <v>10179</v>
      </c>
      <c r="C844" t="s">
        <v>6630</v>
      </c>
      <c r="D844" t="s">
        <v>9426</v>
      </c>
      <c r="E844">
        <v>28304.94</v>
      </c>
      <c r="G844" s="35"/>
      <c r="H844" s="36">
        <f t="shared" si="39"/>
        <v>17832.1122</v>
      </c>
      <c r="I844" s="37">
        <f t="shared" si="40"/>
        <v>17832.1122</v>
      </c>
      <c r="J844" s="4"/>
      <c r="K844" s="38">
        <f t="shared" si="41"/>
        <v>0</v>
      </c>
    </row>
    <row r="845" spans="1:11">
      <c r="A845" t="s">
        <v>3952</v>
      </c>
      <c r="B845" t="s">
        <v>10179</v>
      </c>
      <c r="C845" t="s">
        <v>6630</v>
      </c>
      <c r="D845" t="s">
        <v>9427</v>
      </c>
      <c r="E845">
        <v>16701.09</v>
      </c>
      <c r="G845" s="35"/>
      <c r="H845" s="36">
        <f t="shared" si="39"/>
        <v>10521.6867</v>
      </c>
      <c r="I845" s="37">
        <f t="shared" si="40"/>
        <v>10521.6867</v>
      </c>
      <c r="J845" s="4"/>
      <c r="K845" s="38">
        <f t="shared" si="41"/>
        <v>0</v>
      </c>
    </row>
    <row r="846" spans="1:11">
      <c r="A846" t="s">
        <v>3953</v>
      </c>
      <c r="B846" t="s">
        <v>10179</v>
      </c>
      <c r="C846" t="s">
        <v>6630</v>
      </c>
      <c r="D846" t="s">
        <v>9428</v>
      </c>
      <c r="E846">
        <v>17805.29</v>
      </c>
      <c r="G846" s="35"/>
      <c r="H846" s="36">
        <f t="shared" si="39"/>
        <v>11217.332700000001</v>
      </c>
      <c r="I846" s="37">
        <f t="shared" si="40"/>
        <v>11217.332700000001</v>
      </c>
      <c r="J846" s="4"/>
      <c r="K846" s="38">
        <f t="shared" si="41"/>
        <v>0</v>
      </c>
    </row>
    <row r="847" spans="1:11">
      <c r="A847" t="s">
        <v>3954</v>
      </c>
      <c r="B847" t="s">
        <v>10179</v>
      </c>
      <c r="C847" t="s">
        <v>6630</v>
      </c>
      <c r="D847" t="s">
        <v>12951</v>
      </c>
      <c r="E847">
        <v>19429.96</v>
      </c>
      <c r="G847" s="35"/>
      <c r="H847" s="36">
        <f t="shared" si="39"/>
        <v>12240.8748</v>
      </c>
      <c r="I847" s="37">
        <f t="shared" si="40"/>
        <v>12240.8748</v>
      </c>
      <c r="J847" s="4"/>
      <c r="K847" s="38">
        <f t="shared" si="41"/>
        <v>0</v>
      </c>
    </row>
    <row r="848" spans="1:11">
      <c r="A848" t="s">
        <v>3955</v>
      </c>
      <c r="B848" t="s">
        <v>10179</v>
      </c>
      <c r="C848" t="s">
        <v>6630</v>
      </c>
      <c r="D848" t="s">
        <v>12952</v>
      </c>
      <c r="E848">
        <v>20125.46</v>
      </c>
      <c r="G848" s="35"/>
      <c r="H848" s="36">
        <f t="shared" si="39"/>
        <v>12679.039799999999</v>
      </c>
      <c r="I848" s="37">
        <f t="shared" si="40"/>
        <v>12679.039799999999</v>
      </c>
      <c r="J848" s="4"/>
      <c r="K848" s="38">
        <f t="shared" si="41"/>
        <v>0</v>
      </c>
    </row>
    <row r="849" spans="1:11">
      <c r="A849" t="s">
        <v>1543</v>
      </c>
      <c r="B849" t="s">
        <v>10179</v>
      </c>
      <c r="C849" t="s">
        <v>7125</v>
      </c>
      <c r="D849" t="s">
        <v>7126</v>
      </c>
      <c r="E849">
        <v>2707.23</v>
      </c>
      <c r="G849" s="35"/>
      <c r="H849" s="36">
        <f t="shared" si="39"/>
        <v>1705.5549000000001</v>
      </c>
      <c r="I849" s="37">
        <f t="shared" si="40"/>
        <v>1705.5549000000001</v>
      </c>
      <c r="J849" s="4"/>
      <c r="K849" s="38">
        <f t="shared" si="41"/>
        <v>0</v>
      </c>
    </row>
    <row r="850" spans="1:11">
      <c r="A850" t="s">
        <v>1544</v>
      </c>
      <c r="B850" t="s">
        <v>10179</v>
      </c>
      <c r="C850" t="s">
        <v>7125</v>
      </c>
      <c r="D850" t="s">
        <v>7127</v>
      </c>
      <c r="E850">
        <v>3211.93</v>
      </c>
      <c r="G850" s="35"/>
      <c r="H850" s="36">
        <f t="shared" si="39"/>
        <v>2023.5158999999999</v>
      </c>
      <c r="I850" s="37">
        <f t="shared" si="40"/>
        <v>2023.5158999999999</v>
      </c>
      <c r="J850" s="4"/>
      <c r="K850" s="38">
        <f t="shared" si="41"/>
        <v>0</v>
      </c>
    </row>
    <row r="851" spans="1:11">
      <c r="A851" t="s">
        <v>1545</v>
      </c>
      <c r="B851" t="s">
        <v>10179</v>
      </c>
      <c r="C851" t="s">
        <v>7125</v>
      </c>
      <c r="D851" t="s">
        <v>7128</v>
      </c>
      <c r="E851">
        <v>3481.31</v>
      </c>
      <c r="G851" s="35"/>
      <c r="H851" s="36">
        <f t="shared" si="39"/>
        <v>2193.2253000000001</v>
      </c>
      <c r="I851" s="37">
        <f t="shared" si="40"/>
        <v>2193.2253000000001</v>
      </c>
      <c r="J851" s="4"/>
      <c r="K851" s="38">
        <f t="shared" si="41"/>
        <v>0</v>
      </c>
    </row>
    <row r="852" spans="1:11">
      <c r="A852" t="s">
        <v>1546</v>
      </c>
      <c r="B852" t="s">
        <v>10179</v>
      </c>
      <c r="C852" t="s">
        <v>7125</v>
      </c>
      <c r="D852" t="s">
        <v>7129</v>
      </c>
      <c r="E852">
        <v>3417.04</v>
      </c>
      <c r="G852" s="35"/>
      <c r="H852" s="36">
        <f t="shared" si="39"/>
        <v>2152.7352000000001</v>
      </c>
      <c r="I852" s="37">
        <f t="shared" si="40"/>
        <v>2152.7352000000001</v>
      </c>
      <c r="J852" s="4"/>
      <c r="K852" s="38">
        <f t="shared" si="41"/>
        <v>0</v>
      </c>
    </row>
    <row r="853" spans="1:11">
      <c r="A853" t="s">
        <v>1547</v>
      </c>
      <c r="B853" t="s">
        <v>10179</v>
      </c>
      <c r="C853" t="s">
        <v>7125</v>
      </c>
      <c r="D853" t="s">
        <v>7130</v>
      </c>
      <c r="E853">
        <v>2759.82</v>
      </c>
      <c r="G853" s="35"/>
      <c r="H853" s="36">
        <f t="shared" si="39"/>
        <v>1738.6866000000002</v>
      </c>
      <c r="I853" s="37">
        <f t="shared" si="40"/>
        <v>1738.6866000000002</v>
      </c>
      <c r="J853" s="4"/>
      <c r="K853" s="38">
        <f t="shared" si="41"/>
        <v>0</v>
      </c>
    </row>
    <row r="854" spans="1:11">
      <c r="A854" t="s">
        <v>1548</v>
      </c>
      <c r="B854" t="s">
        <v>10179</v>
      </c>
      <c r="C854" t="s">
        <v>7125</v>
      </c>
      <c r="D854" t="s">
        <v>7131</v>
      </c>
      <c r="E854">
        <v>3703.51</v>
      </c>
      <c r="G854" s="35"/>
      <c r="H854" s="36">
        <f t="shared" si="39"/>
        <v>2333.2112999999999</v>
      </c>
      <c r="I854" s="37">
        <f t="shared" si="40"/>
        <v>2333.2112999999999</v>
      </c>
      <c r="J854" s="4"/>
      <c r="K854" s="38">
        <f t="shared" si="41"/>
        <v>0</v>
      </c>
    </row>
    <row r="855" spans="1:11">
      <c r="A855" t="s">
        <v>1549</v>
      </c>
      <c r="B855" t="s">
        <v>10179</v>
      </c>
      <c r="C855" t="s">
        <v>7125</v>
      </c>
      <c r="D855" t="s">
        <v>7132</v>
      </c>
      <c r="E855">
        <v>3814.68</v>
      </c>
      <c r="G855" s="35"/>
      <c r="H855" s="36">
        <f t="shared" si="39"/>
        <v>2403.2483999999999</v>
      </c>
      <c r="I855" s="37">
        <f t="shared" si="40"/>
        <v>2403.2483999999999</v>
      </c>
      <c r="J855" s="4"/>
      <c r="K855" s="38">
        <f t="shared" si="41"/>
        <v>0</v>
      </c>
    </row>
    <row r="856" spans="1:11">
      <c r="A856" t="s">
        <v>144</v>
      </c>
      <c r="B856" t="s">
        <v>10179</v>
      </c>
      <c r="C856" t="s">
        <v>5717</v>
      </c>
      <c r="D856" t="s">
        <v>5718</v>
      </c>
      <c r="E856">
        <v>3507.13</v>
      </c>
      <c r="G856" s="35"/>
      <c r="H856" s="36">
        <f t="shared" si="39"/>
        <v>2209.4919</v>
      </c>
      <c r="I856" s="37">
        <f t="shared" si="40"/>
        <v>2209.4919</v>
      </c>
      <c r="J856" s="4"/>
      <c r="K856" s="38">
        <f t="shared" si="41"/>
        <v>0</v>
      </c>
    </row>
    <row r="857" spans="1:11">
      <c r="A857" t="s">
        <v>145</v>
      </c>
      <c r="B857" t="s">
        <v>10179</v>
      </c>
      <c r="C857" t="s">
        <v>5717</v>
      </c>
      <c r="D857" t="s">
        <v>5719</v>
      </c>
      <c r="E857">
        <v>9137.8799999999992</v>
      </c>
      <c r="G857" s="35"/>
      <c r="H857" s="36">
        <f t="shared" si="39"/>
        <v>5756.8643999999995</v>
      </c>
      <c r="I857" s="37">
        <f t="shared" si="40"/>
        <v>5756.8643999999995</v>
      </c>
      <c r="J857" s="4"/>
      <c r="K857" s="38">
        <f t="shared" si="41"/>
        <v>0</v>
      </c>
    </row>
    <row r="858" spans="1:11">
      <c r="A858" t="s">
        <v>2624</v>
      </c>
      <c r="B858" t="s">
        <v>10179</v>
      </c>
      <c r="C858" t="s">
        <v>6646</v>
      </c>
      <c r="D858" t="s">
        <v>6529</v>
      </c>
      <c r="E858">
        <v>381.1</v>
      </c>
      <c r="G858" s="35"/>
      <c r="H858" s="36">
        <f t="shared" si="39"/>
        <v>240.09300000000002</v>
      </c>
      <c r="I858" s="37">
        <f t="shared" si="40"/>
        <v>240.09300000000002</v>
      </c>
      <c r="J858" s="4"/>
      <c r="K858" s="38">
        <f t="shared" si="41"/>
        <v>0</v>
      </c>
    </row>
    <row r="859" spans="1:11">
      <c r="A859" t="s">
        <v>2625</v>
      </c>
      <c r="B859" t="s">
        <v>10179</v>
      </c>
      <c r="C859" t="s">
        <v>6646</v>
      </c>
      <c r="D859" t="s">
        <v>6530</v>
      </c>
      <c r="E859">
        <v>608.62</v>
      </c>
      <c r="G859" s="35"/>
      <c r="H859" s="36">
        <f t="shared" si="39"/>
        <v>383.43060000000003</v>
      </c>
      <c r="I859" s="37">
        <f t="shared" si="40"/>
        <v>383.43060000000003</v>
      </c>
      <c r="J859" s="4"/>
      <c r="K859" s="38">
        <f t="shared" si="41"/>
        <v>0</v>
      </c>
    </row>
    <row r="860" spans="1:11">
      <c r="A860" t="s">
        <v>2626</v>
      </c>
      <c r="B860" t="s">
        <v>10179</v>
      </c>
      <c r="C860" t="s">
        <v>6646</v>
      </c>
      <c r="D860" t="s">
        <v>6849</v>
      </c>
      <c r="E860">
        <v>796.36</v>
      </c>
      <c r="G860" s="35"/>
      <c r="H860" s="36">
        <f t="shared" si="39"/>
        <v>501.70679999999999</v>
      </c>
      <c r="I860" s="37">
        <f t="shared" si="40"/>
        <v>501.70679999999999</v>
      </c>
      <c r="J860" s="4"/>
      <c r="K860" s="38">
        <f t="shared" si="41"/>
        <v>0</v>
      </c>
    </row>
    <row r="861" spans="1:11">
      <c r="A861" t="s">
        <v>2627</v>
      </c>
      <c r="B861" t="s">
        <v>10179</v>
      </c>
      <c r="C861" t="s">
        <v>6646</v>
      </c>
      <c r="D861" t="s">
        <v>8149</v>
      </c>
      <c r="E861">
        <v>2151.5</v>
      </c>
      <c r="G861" s="35"/>
      <c r="H861" s="36">
        <f t="shared" si="39"/>
        <v>1355.4449999999999</v>
      </c>
      <c r="I861" s="37">
        <f t="shared" si="40"/>
        <v>1355.4449999999999</v>
      </c>
      <c r="J861" s="4"/>
      <c r="K861" s="38">
        <f t="shared" si="41"/>
        <v>0</v>
      </c>
    </row>
    <row r="862" spans="1:11">
      <c r="A862" t="s">
        <v>2628</v>
      </c>
      <c r="B862" t="s">
        <v>10179</v>
      </c>
      <c r="C862" t="s">
        <v>6646</v>
      </c>
      <c r="D862" t="s">
        <v>8150</v>
      </c>
      <c r="E862">
        <v>3189.01</v>
      </c>
      <c r="G862" s="35"/>
      <c r="H862" s="36">
        <f t="shared" si="39"/>
        <v>2009.0763000000002</v>
      </c>
      <c r="I862" s="37">
        <f t="shared" si="40"/>
        <v>2009.0763000000002</v>
      </c>
      <c r="J862" s="4"/>
      <c r="K862" s="38">
        <f t="shared" si="41"/>
        <v>0</v>
      </c>
    </row>
    <row r="863" spans="1:11">
      <c r="A863" t="s">
        <v>2629</v>
      </c>
      <c r="B863" t="s">
        <v>10179</v>
      </c>
      <c r="C863" t="s">
        <v>6646</v>
      </c>
      <c r="D863" t="s">
        <v>8151</v>
      </c>
      <c r="E863">
        <v>4992.46</v>
      </c>
      <c r="G863" s="35"/>
      <c r="H863" s="36">
        <f t="shared" si="39"/>
        <v>3145.2498000000001</v>
      </c>
      <c r="I863" s="37">
        <f t="shared" si="40"/>
        <v>3145.2498000000001</v>
      </c>
      <c r="J863" s="4"/>
      <c r="K863" s="38">
        <f t="shared" si="41"/>
        <v>0</v>
      </c>
    </row>
    <row r="864" spans="1:11">
      <c r="A864" t="s">
        <v>2630</v>
      </c>
      <c r="B864" t="s">
        <v>10179</v>
      </c>
      <c r="C864" t="s">
        <v>6646</v>
      </c>
      <c r="D864" t="s">
        <v>8152</v>
      </c>
      <c r="E864">
        <v>14610.48</v>
      </c>
      <c r="G864" s="35"/>
      <c r="H864" s="36">
        <f t="shared" si="39"/>
        <v>9204.6023999999998</v>
      </c>
      <c r="I864" s="37">
        <f t="shared" si="40"/>
        <v>9204.6023999999998</v>
      </c>
      <c r="J864" s="4"/>
      <c r="K864" s="38">
        <f t="shared" si="41"/>
        <v>0</v>
      </c>
    </row>
    <row r="865" spans="1:11">
      <c r="A865" t="s">
        <v>2631</v>
      </c>
      <c r="B865" t="s">
        <v>10179</v>
      </c>
      <c r="C865" t="s">
        <v>6646</v>
      </c>
      <c r="D865" t="s">
        <v>8153</v>
      </c>
      <c r="E865">
        <v>18266.25</v>
      </c>
      <c r="G865" s="35"/>
      <c r="H865" s="36">
        <f t="shared" si="39"/>
        <v>11507.737499999999</v>
      </c>
      <c r="I865" s="37">
        <f t="shared" si="40"/>
        <v>11507.737499999999</v>
      </c>
      <c r="J865" s="4"/>
      <c r="K865" s="38">
        <f t="shared" si="41"/>
        <v>0</v>
      </c>
    </row>
    <row r="866" spans="1:11">
      <c r="A866" t="s">
        <v>2632</v>
      </c>
      <c r="B866" t="s">
        <v>10179</v>
      </c>
      <c r="C866" t="s">
        <v>6646</v>
      </c>
      <c r="D866" t="s">
        <v>8154</v>
      </c>
      <c r="E866">
        <v>22711.81</v>
      </c>
      <c r="G866" s="35"/>
      <c r="H866" s="36">
        <f t="shared" si="39"/>
        <v>14308.4403</v>
      </c>
      <c r="I866" s="37">
        <f t="shared" si="40"/>
        <v>14308.4403</v>
      </c>
      <c r="J866" s="4"/>
      <c r="K866" s="38">
        <f t="shared" si="41"/>
        <v>0</v>
      </c>
    </row>
    <row r="867" spans="1:11">
      <c r="A867" t="s">
        <v>2723</v>
      </c>
      <c r="B867" t="s">
        <v>10179</v>
      </c>
      <c r="C867" t="s">
        <v>8228</v>
      </c>
      <c r="D867" t="s">
        <v>8229</v>
      </c>
      <c r="E867">
        <v>581.84</v>
      </c>
      <c r="G867" s="35"/>
      <c r="H867" s="36">
        <f t="shared" si="39"/>
        <v>366.55920000000003</v>
      </c>
      <c r="I867" s="37">
        <f t="shared" si="40"/>
        <v>366.55920000000003</v>
      </c>
      <c r="J867" s="4"/>
      <c r="K867" s="38">
        <f t="shared" si="41"/>
        <v>0</v>
      </c>
    </row>
    <row r="868" spans="1:11">
      <c r="A868" t="s">
        <v>2714</v>
      </c>
      <c r="B868" t="s">
        <v>10179</v>
      </c>
      <c r="C868" t="s">
        <v>6618</v>
      </c>
      <c r="D868" t="s">
        <v>8225</v>
      </c>
      <c r="E868">
        <v>536.42999999999995</v>
      </c>
      <c r="G868" s="35"/>
      <c r="H868" s="36">
        <f t="shared" si="39"/>
        <v>337.95089999999999</v>
      </c>
      <c r="I868" s="37">
        <f t="shared" si="40"/>
        <v>337.95089999999999</v>
      </c>
      <c r="J868" s="4"/>
      <c r="K868" s="38">
        <f t="shared" si="41"/>
        <v>0</v>
      </c>
    </row>
    <row r="869" spans="1:11">
      <c r="A869" t="s">
        <v>2715</v>
      </c>
      <c r="B869" t="s">
        <v>10179</v>
      </c>
      <c r="C869" t="s">
        <v>6618</v>
      </c>
      <c r="D869" t="s">
        <v>8226</v>
      </c>
      <c r="E869">
        <v>930.66</v>
      </c>
      <c r="G869" s="35"/>
      <c r="H869" s="36">
        <f t="shared" si="39"/>
        <v>586.31579999999997</v>
      </c>
      <c r="I869" s="37">
        <f t="shared" si="40"/>
        <v>586.31579999999997</v>
      </c>
      <c r="J869" s="4"/>
      <c r="K869" s="38">
        <f t="shared" si="41"/>
        <v>0</v>
      </c>
    </row>
    <row r="870" spans="1:11">
      <c r="A870" t="s">
        <v>2716</v>
      </c>
      <c r="B870" t="s">
        <v>10179</v>
      </c>
      <c r="C870" t="s">
        <v>6618</v>
      </c>
      <c r="D870" t="s">
        <v>6849</v>
      </c>
      <c r="E870">
        <v>1354.81</v>
      </c>
      <c r="G870" s="35"/>
      <c r="H870" s="36">
        <f t="shared" si="39"/>
        <v>853.53030000000001</v>
      </c>
      <c r="I870" s="37">
        <f t="shared" si="40"/>
        <v>853.53030000000001</v>
      </c>
      <c r="J870" s="4"/>
      <c r="K870" s="38">
        <f t="shared" si="41"/>
        <v>0</v>
      </c>
    </row>
    <row r="871" spans="1:11">
      <c r="A871" t="s">
        <v>2717</v>
      </c>
      <c r="B871" t="s">
        <v>10179</v>
      </c>
      <c r="C871" t="s">
        <v>6618</v>
      </c>
      <c r="D871" t="s">
        <v>8149</v>
      </c>
      <c r="E871">
        <v>3192.98</v>
      </c>
      <c r="G871" s="35"/>
      <c r="H871" s="36">
        <f t="shared" si="39"/>
        <v>2011.5774000000001</v>
      </c>
      <c r="I871" s="37">
        <f t="shared" si="40"/>
        <v>2011.5774000000001</v>
      </c>
      <c r="J871" s="4"/>
      <c r="K871" s="38">
        <f t="shared" si="41"/>
        <v>0</v>
      </c>
    </row>
    <row r="872" spans="1:11">
      <c r="A872" t="s">
        <v>2718</v>
      </c>
      <c r="B872" t="s">
        <v>10179</v>
      </c>
      <c r="C872" t="s">
        <v>6618</v>
      </c>
      <c r="D872" t="s">
        <v>8150</v>
      </c>
      <c r="E872">
        <v>5398.14</v>
      </c>
      <c r="G872" s="35"/>
      <c r="H872" s="36">
        <f t="shared" si="39"/>
        <v>3400.8282000000004</v>
      </c>
      <c r="I872" s="37">
        <f t="shared" si="40"/>
        <v>3400.8282000000004</v>
      </c>
      <c r="J872" s="4"/>
      <c r="K872" s="38">
        <f t="shared" si="41"/>
        <v>0</v>
      </c>
    </row>
    <row r="873" spans="1:11">
      <c r="A873" t="s">
        <v>2719</v>
      </c>
      <c r="B873" t="s">
        <v>10179</v>
      </c>
      <c r="C873" t="s">
        <v>6618</v>
      </c>
      <c r="D873" t="s">
        <v>8151</v>
      </c>
      <c r="E873">
        <v>8278.5</v>
      </c>
      <c r="G873" s="35"/>
      <c r="H873" s="36">
        <f t="shared" si="39"/>
        <v>5215.4549999999999</v>
      </c>
      <c r="I873" s="37">
        <f t="shared" si="40"/>
        <v>5215.4549999999999</v>
      </c>
      <c r="J873" s="4"/>
      <c r="K873" s="38">
        <f t="shared" si="41"/>
        <v>0</v>
      </c>
    </row>
    <row r="874" spans="1:11">
      <c r="A874" t="s">
        <v>2720</v>
      </c>
      <c r="B874" t="s">
        <v>10179</v>
      </c>
      <c r="C874" t="s">
        <v>6618</v>
      </c>
      <c r="D874" t="s">
        <v>8152</v>
      </c>
      <c r="E874">
        <v>19953.939999999999</v>
      </c>
      <c r="G874" s="35"/>
      <c r="H874" s="36">
        <f t="shared" si="39"/>
        <v>12570.982199999999</v>
      </c>
      <c r="I874" s="37">
        <f t="shared" si="40"/>
        <v>12570.982199999999</v>
      </c>
      <c r="J874" s="4"/>
      <c r="K874" s="38">
        <f t="shared" si="41"/>
        <v>0</v>
      </c>
    </row>
    <row r="875" spans="1:11">
      <c r="A875" t="s">
        <v>2721</v>
      </c>
      <c r="B875" t="s">
        <v>10179</v>
      </c>
      <c r="C875" t="s">
        <v>6618</v>
      </c>
      <c r="D875" t="s">
        <v>8153</v>
      </c>
      <c r="E875">
        <v>40831.120000000003</v>
      </c>
      <c r="G875" s="35"/>
      <c r="H875" s="36">
        <f t="shared" si="39"/>
        <v>25723.605600000003</v>
      </c>
      <c r="I875" s="37">
        <f t="shared" si="40"/>
        <v>25723.605600000003</v>
      </c>
      <c r="J875" s="4"/>
      <c r="K875" s="38">
        <f t="shared" si="41"/>
        <v>0</v>
      </c>
    </row>
    <row r="876" spans="1:11">
      <c r="A876" t="s">
        <v>2722</v>
      </c>
      <c r="B876" t="s">
        <v>10179</v>
      </c>
      <c r="C876" t="s">
        <v>6618</v>
      </c>
      <c r="D876" t="s">
        <v>8227</v>
      </c>
      <c r="E876">
        <v>64565.02</v>
      </c>
      <c r="G876" s="35"/>
      <c r="H876" s="36">
        <f t="shared" si="39"/>
        <v>40675.962599999999</v>
      </c>
      <c r="I876" s="37">
        <f t="shared" si="40"/>
        <v>40675.962599999999</v>
      </c>
      <c r="J876" s="4"/>
      <c r="K876" s="38">
        <f t="shared" si="41"/>
        <v>0</v>
      </c>
    </row>
    <row r="877" spans="1:11">
      <c r="A877" t="s">
        <v>3975</v>
      </c>
      <c r="B877" t="s">
        <v>10179</v>
      </c>
      <c r="C877" t="s">
        <v>9438</v>
      </c>
      <c r="D877" t="s">
        <v>9439</v>
      </c>
      <c r="E877">
        <v>1037.47</v>
      </c>
      <c r="G877" s="35"/>
      <c r="H877" s="36">
        <f t="shared" si="39"/>
        <v>653.60609999999997</v>
      </c>
      <c r="I877" s="37">
        <f t="shared" si="40"/>
        <v>653.60609999999997</v>
      </c>
      <c r="J877" s="4"/>
      <c r="K877" s="38">
        <f t="shared" si="41"/>
        <v>0</v>
      </c>
    </row>
    <row r="878" spans="1:11">
      <c r="A878" t="s">
        <v>3976</v>
      </c>
      <c r="B878" t="s">
        <v>10179</v>
      </c>
      <c r="C878" t="s">
        <v>9438</v>
      </c>
      <c r="D878" t="s">
        <v>9440</v>
      </c>
      <c r="E878">
        <v>1242.76</v>
      </c>
      <c r="G878" s="35"/>
      <c r="H878" s="36">
        <f t="shared" si="39"/>
        <v>782.93880000000001</v>
      </c>
      <c r="I878" s="37">
        <f t="shared" si="40"/>
        <v>782.93880000000001</v>
      </c>
      <c r="J878" s="4"/>
      <c r="K878" s="38">
        <f t="shared" si="41"/>
        <v>0</v>
      </c>
    </row>
    <row r="879" spans="1:11">
      <c r="A879" t="s">
        <v>2778</v>
      </c>
      <c r="B879" t="s">
        <v>10179</v>
      </c>
      <c r="C879" t="s">
        <v>8278</v>
      </c>
      <c r="D879" t="s">
        <v>8279</v>
      </c>
      <c r="E879">
        <v>3562.49</v>
      </c>
      <c r="G879" s="35"/>
      <c r="H879" s="36">
        <f t="shared" si="39"/>
        <v>2244.3687</v>
      </c>
      <c r="I879" s="37">
        <f t="shared" si="40"/>
        <v>2244.3687</v>
      </c>
      <c r="J879" s="4"/>
      <c r="K879" s="38">
        <f t="shared" si="41"/>
        <v>0</v>
      </c>
    </row>
    <row r="880" spans="1:11">
      <c r="A880" t="s">
        <v>2779</v>
      </c>
      <c r="B880" t="s">
        <v>10179</v>
      </c>
      <c r="C880" t="s">
        <v>8278</v>
      </c>
      <c r="D880" t="s">
        <v>6484</v>
      </c>
      <c r="E880">
        <v>3962.64</v>
      </c>
      <c r="G880" s="35"/>
      <c r="H880" s="36">
        <f t="shared" si="39"/>
        <v>2496.4632000000001</v>
      </c>
      <c r="I880" s="37">
        <f t="shared" si="40"/>
        <v>2496.4632000000001</v>
      </c>
      <c r="J880" s="4"/>
      <c r="K880" s="38">
        <f t="shared" si="41"/>
        <v>0</v>
      </c>
    </row>
    <row r="881" spans="1:11">
      <c r="A881" t="s">
        <v>2780</v>
      </c>
      <c r="B881" t="s">
        <v>10179</v>
      </c>
      <c r="C881" t="s">
        <v>8278</v>
      </c>
      <c r="D881" t="s">
        <v>6485</v>
      </c>
      <c r="E881">
        <v>4936.79</v>
      </c>
      <c r="G881" s="35"/>
      <c r="H881" s="36">
        <f t="shared" si="39"/>
        <v>3110.1777000000002</v>
      </c>
      <c r="I881" s="37">
        <f t="shared" si="40"/>
        <v>3110.1777000000002</v>
      </c>
      <c r="J881" s="4"/>
      <c r="K881" s="38">
        <f t="shared" si="41"/>
        <v>0</v>
      </c>
    </row>
    <row r="882" spans="1:11">
      <c r="A882" t="s">
        <v>2781</v>
      </c>
      <c r="B882" t="s">
        <v>10179</v>
      </c>
      <c r="C882" t="s">
        <v>8278</v>
      </c>
      <c r="D882" t="s">
        <v>6481</v>
      </c>
      <c r="E882">
        <v>7860.46</v>
      </c>
      <c r="G882" s="35"/>
      <c r="H882" s="36">
        <f t="shared" si="39"/>
        <v>4952.0897999999997</v>
      </c>
      <c r="I882" s="37">
        <f t="shared" si="40"/>
        <v>4952.0897999999997</v>
      </c>
      <c r="J882" s="4"/>
      <c r="K882" s="38">
        <f t="shared" si="41"/>
        <v>0</v>
      </c>
    </row>
    <row r="883" spans="1:11">
      <c r="A883" t="s">
        <v>2782</v>
      </c>
      <c r="B883" t="s">
        <v>10179</v>
      </c>
      <c r="C883" t="s">
        <v>8278</v>
      </c>
      <c r="D883" t="s">
        <v>6480</v>
      </c>
      <c r="E883">
        <v>8018.23</v>
      </c>
      <c r="G883" s="35"/>
      <c r="H883" s="36">
        <f t="shared" si="39"/>
        <v>5051.4848999999995</v>
      </c>
      <c r="I883" s="37">
        <f t="shared" si="40"/>
        <v>5051.4848999999995</v>
      </c>
      <c r="J883" s="4"/>
      <c r="K883" s="38">
        <f t="shared" si="41"/>
        <v>0</v>
      </c>
    </row>
    <row r="884" spans="1:11">
      <c r="A884" t="s">
        <v>2783</v>
      </c>
      <c r="B884" t="s">
        <v>10179</v>
      </c>
      <c r="C884" t="s">
        <v>8278</v>
      </c>
      <c r="D884" t="s">
        <v>6479</v>
      </c>
      <c r="E884">
        <v>8234.5300000000007</v>
      </c>
      <c r="G884" s="35"/>
      <c r="H884" s="36">
        <f t="shared" si="39"/>
        <v>5187.7539000000006</v>
      </c>
      <c r="I884" s="37">
        <f t="shared" si="40"/>
        <v>5187.7539000000006</v>
      </c>
      <c r="J884" s="4"/>
      <c r="K884" s="38">
        <f t="shared" si="41"/>
        <v>0</v>
      </c>
    </row>
    <row r="885" spans="1:11">
      <c r="A885" t="s">
        <v>2784</v>
      </c>
      <c r="B885" t="s">
        <v>10179</v>
      </c>
      <c r="C885" t="s">
        <v>8280</v>
      </c>
      <c r="D885" t="s">
        <v>6483</v>
      </c>
      <c r="E885">
        <v>4941.25</v>
      </c>
      <c r="G885" s="35"/>
      <c r="H885" s="36">
        <f t="shared" si="39"/>
        <v>3112.9875000000002</v>
      </c>
      <c r="I885" s="37">
        <f t="shared" si="40"/>
        <v>3112.9875000000002</v>
      </c>
      <c r="J885" s="4"/>
      <c r="K885" s="38">
        <f t="shared" si="41"/>
        <v>0</v>
      </c>
    </row>
    <row r="886" spans="1:11">
      <c r="A886" t="s">
        <v>2785</v>
      </c>
      <c r="B886" t="s">
        <v>10179</v>
      </c>
      <c r="C886" t="s">
        <v>8280</v>
      </c>
      <c r="D886" t="s">
        <v>6484</v>
      </c>
      <c r="E886">
        <v>6454.22</v>
      </c>
      <c r="G886" s="35"/>
      <c r="H886" s="36">
        <f t="shared" si="39"/>
        <v>4066.1586000000002</v>
      </c>
      <c r="I886" s="37">
        <f t="shared" si="40"/>
        <v>4066.1586000000002</v>
      </c>
      <c r="J886" s="4"/>
      <c r="K886" s="38">
        <f t="shared" si="41"/>
        <v>0</v>
      </c>
    </row>
    <row r="887" spans="1:11">
      <c r="A887" t="s">
        <v>2786</v>
      </c>
      <c r="B887" t="s">
        <v>10179</v>
      </c>
      <c r="C887" t="s">
        <v>8280</v>
      </c>
      <c r="D887" t="s">
        <v>6485</v>
      </c>
      <c r="E887">
        <v>6915.92</v>
      </c>
      <c r="G887" s="35"/>
      <c r="H887" s="36">
        <f t="shared" si="39"/>
        <v>4357.0295999999998</v>
      </c>
      <c r="I887" s="37">
        <f t="shared" si="40"/>
        <v>4357.0295999999998</v>
      </c>
      <c r="J887" s="4"/>
      <c r="K887" s="38">
        <f t="shared" si="41"/>
        <v>0</v>
      </c>
    </row>
    <row r="888" spans="1:11">
      <c r="A888" t="s">
        <v>2787</v>
      </c>
      <c r="B888" t="s">
        <v>10179</v>
      </c>
      <c r="C888" t="s">
        <v>8280</v>
      </c>
      <c r="D888" t="s">
        <v>6481</v>
      </c>
      <c r="E888">
        <v>9268.26</v>
      </c>
      <c r="G888" s="35"/>
      <c r="H888" s="36">
        <f t="shared" si="39"/>
        <v>5839.0038000000004</v>
      </c>
      <c r="I888" s="37">
        <f t="shared" si="40"/>
        <v>5839.0038000000004</v>
      </c>
      <c r="J888" s="4"/>
      <c r="K888" s="38">
        <f t="shared" si="41"/>
        <v>0</v>
      </c>
    </row>
    <row r="889" spans="1:11">
      <c r="A889" t="s">
        <v>2788</v>
      </c>
      <c r="B889" t="s">
        <v>10179</v>
      </c>
      <c r="C889" t="s">
        <v>8280</v>
      </c>
      <c r="D889" t="s">
        <v>6480</v>
      </c>
      <c r="E889">
        <v>9538.59</v>
      </c>
      <c r="G889" s="35"/>
      <c r="H889" s="36">
        <f t="shared" si="39"/>
        <v>6009.3117000000002</v>
      </c>
      <c r="I889" s="37">
        <f t="shared" si="40"/>
        <v>6009.3117000000002</v>
      </c>
      <c r="J889" s="4"/>
      <c r="K889" s="38">
        <f t="shared" si="41"/>
        <v>0</v>
      </c>
    </row>
    <row r="890" spans="1:11">
      <c r="A890" t="s">
        <v>2789</v>
      </c>
      <c r="B890" t="s">
        <v>10179</v>
      </c>
      <c r="C890" t="s">
        <v>8280</v>
      </c>
      <c r="D890" t="s">
        <v>6479</v>
      </c>
      <c r="E890">
        <v>11392.63</v>
      </c>
      <c r="G890" s="35"/>
      <c r="H890" s="36">
        <f t="shared" si="39"/>
        <v>7177.3568999999998</v>
      </c>
      <c r="I890" s="37">
        <f t="shared" si="40"/>
        <v>7177.3568999999998</v>
      </c>
      <c r="J890" s="4"/>
      <c r="K890" s="38">
        <f t="shared" si="41"/>
        <v>0</v>
      </c>
    </row>
    <row r="891" spans="1:11">
      <c r="A891" t="s">
        <v>2790</v>
      </c>
      <c r="B891" t="s">
        <v>10179</v>
      </c>
      <c r="C891" t="s">
        <v>6619</v>
      </c>
      <c r="D891" t="s">
        <v>8281</v>
      </c>
      <c r="E891">
        <v>931.3</v>
      </c>
      <c r="G891" s="35"/>
      <c r="H891" s="36">
        <f t="shared" si="39"/>
        <v>586.71899999999994</v>
      </c>
      <c r="I891" s="37">
        <f t="shared" si="40"/>
        <v>586.71899999999994</v>
      </c>
      <c r="J891" s="4"/>
      <c r="K891" s="38">
        <f t="shared" si="41"/>
        <v>0</v>
      </c>
    </row>
    <row r="892" spans="1:11">
      <c r="A892" t="s">
        <v>2791</v>
      </c>
      <c r="B892" t="s">
        <v>10179</v>
      </c>
      <c r="C892" t="s">
        <v>6619</v>
      </c>
      <c r="D892" t="s">
        <v>8282</v>
      </c>
      <c r="E892">
        <v>2040.71</v>
      </c>
      <c r="G892" s="35"/>
      <c r="H892" s="36">
        <f t="shared" si="39"/>
        <v>1285.6473000000001</v>
      </c>
      <c r="I892" s="37">
        <f t="shared" si="40"/>
        <v>1285.6473000000001</v>
      </c>
      <c r="J892" s="4"/>
      <c r="K892" s="38">
        <f t="shared" si="41"/>
        <v>0</v>
      </c>
    </row>
    <row r="893" spans="1:11">
      <c r="A893" t="s">
        <v>2792</v>
      </c>
      <c r="B893" t="s">
        <v>10179</v>
      </c>
      <c r="C893" t="s">
        <v>6619</v>
      </c>
      <c r="D893" t="s">
        <v>8283</v>
      </c>
      <c r="E893">
        <v>1708.61</v>
      </c>
      <c r="G893" s="35"/>
      <c r="H893" s="36">
        <f t="shared" si="39"/>
        <v>1076.4242999999999</v>
      </c>
      <c r="I893" s="37">
        <f t="shared" si="40"/>
        <v>1076.4242999999999</v>
      </c>
      <c r="J893" s="4"/>
      <c r="K893" s="38">
        <f t="shared" si="41"/>
        <v>0</v>
      </c>
    </row>
    <row r="894" spans="1:11">
      <c r="A894" t="s">
        <v>2793</v>
      </c>
      <c r="B894" t="s">
        <v>10179</v>
      </c>
      <c r="C894" t="s">
        <v>6619</v>
      </c>
      <c r="D894" t="s">
        <v>8284</v>
      </c>
      <c r="E894">
        <v>3220.04</v>
      </c>
      <c r="G894" s="35"/>
      <c r="H894" s="36">
        <f t="shared" si="39"/>
        <v>2028.6251999999999</v>
      </c>
      <c r="I894" s="37">
        <f t="shared" si="40"/>
        <v>2028.6251999999999</v>
      </c>
      <c r="J894" s="4"/>
      <c r="K894" s="38">
        <f t="shared" si="41"/>
        <v>0</v>
      </c>
    </row>
    <row r="895" spans="1:11">
      <c r="A895" t="s">
        <v>2794</v>
      </c>
      <c r="B895" t="s">
        <v>10179</v>
      </c>
      <c r="C895" t="s">
        <v>6619</v>
      </c>
      <c r="D895" t="s">
        <v>8285</v>
      </c>
      <c r="E895">
        <v>3303.26</v>
      </c>
      <c r="G895" s="35"/>
      <c r="H895" s="36">
        <f t="shared" si="39"/>
        <v>2081.0538000000001</v>
      </c>
      <c r="I895" s="37">
        <f t="shared" si="40"/>
        <v>2081.0538000000001</v>
      </c>
      <c r="J895" s="4"/>
      <c r="K895" s="38">
        <f t="shared" si="41"/>
        <v>0</v>
      </c>
    </row>
    <row r="896" spans="1:11">
      <c r="A896" t="s">
        <v>2795</v>
      </c>
      <c r="B896" t="s">
        <v>10179</v>
      </c>
      <c r="C896" t="s">
        <v>6619</v>
      </c>
      <c r="D896" t="s">
        <v>8286</v>
      </c>
      <c r="E896">
        <v>4948.2700000000004</v>
      </c>
      <c r="G896" s="35"/>
      <c r="H896" s="36">
        <f t="shared" si="39"/>
        <v>3117.4101000000005</v>
      </c>
      <c r="I896" s="37">
        <f t="shared" si="40"/>
        <v>3117.4101000000005</v>
      </c>
      <c r="J896" s="4"/>
      <c r="K896" s="38">
        <f t="shared" si="41"/>
        <v>0</v>
      </c>
    </row>
    <row r="897" spans="1:11">
      <c r="A897" t="s">
        <v>2796</v>
      </c>
      <c r="B897" t="s">
        <v>10179</v>
      </c>
      <c r="C897" t="s">
        <v>6619</v>
      </c>
      <c r="D897" t="s">
        <v>8287</v>
      </c>
      <c r="E897">
        <v>4608.1499999999996</v>
      </c>
      <c r="G897" s="35"/>
      <c r="H897" s="36">
        <f t="shared" si="39"/>
        <v>2903.1344999999997</v>
      </c>
      <c r="I897" s="37">
        <f t="shared" si="40"/>
        <v>2903.1344999999997</v>
      </c>
      <c r="J897" s="4"/>
      <c r="K897" s="38">
        <f t="shared" si="41"/>
        <v>0</v>
      </c>
    </row>
    <row r="898" spans="1:11">
      <c r="A898" t="s">
        <v>2797</v>
      </c>
      <c r="B898" t="s">
        <v>10179</v>
      </c>
      <c r="C898" t="s">
        <v>6619</v>
      </c>
      <c r="D898" t="s">
        <v>8288</v>
      </c>
      <c r="E898">
        <v>8271.2199999999993</v>
      </c>
      <c r="G898" s="35"/>
      <c r="H898" s="36">
        <f t="shared" si="39"/>
        <v>5210.8685999999998</v>
      </c>
      <c r="I898" s="37">
        <f t="shared" si="40"/>
        <v>5210.8685999999998</v>
      </c>
      <c r="J898" s="4"/>
      <c r="K898" s="38">
        <f t="shared" si="41"/>
        <v>0</v>
      </c>
    </row>
    <row r="899" spans="1:11">
      <c r="A899" t="s">
        <v>2798</v>
      </c>
      <c r="B899" t="s">
        <v>10179</v>
      </c>
      <c r="C899" t="s">
        <v>6619</v>
      </c>
      <c r="D899" t="s">
        <v>8289</v>
      </c>
      <c r="E899">
        <v>7896.03</v>
      </c>
      <c r="G899" s="35"/>
      <c r="H899" s="36">
        <f t="shared" si="39"/>
        <v>4974.4988999999996</v>
      </c>
      <c r="I899" s="37">
        <f t="shared" si="40"/>
        <v>4974.4988999999996</v>
      </c>
      <c r="J899" s="4"/>
      <c r="K899" s="38">
        <f t="shared" si="41"/>
        <v>0</v>
      </c>
    </row>
    <row r="900" spans="1:11">
      <c r="A900" t="s">
        <v>2799</v>
      </c>
      <c r="B900" t="s">
        <v>10179</v>
      </c>
      <c r="C900" t="s">
        <v>6619</v>
      </c>
      <c r="D900" t="s">
        <v>8290</v>
      </c>
      <c r="E900">
        <v>22076.25</v>
      </c>
      <c r="G900" s="35"/>
      <c r="H900" s="36">
        <f t="shared" si="39"/>
        <v>13908.0375</v>
      </c>
      <c r="I900" s="37">
        <f t="shared" si="40"/>
        <v>13908.0375</v>
      </c>
      <c r="J900" s="4"/>
      <c r="K900" s="38">
        <f t="shared" si="41"/>
        <v>0</v>
      </c>
    </row>
    <row r="901" spans="1:11">
      <c r="A901" t="s">
        <v>2800</v>
      </c>
      <c r="B901" t="s">
        <v>10179</v>
      </c>
      <c r="C901" t="s">
        <v>6619</v>
      </c>
      <c r="D901" t="s">
        <v>8291</v>
      </c>
      <c r="E901">
        <v>19953.939999999999</v>
      </c>
      <c r="G901" s="35"/>
      <c r="H901" s="36">
        <f t="shared" si="39"/>
        <v>12570.982199999999</v>
      </c>
      <c r="I901" s="37">
        <f t="shared" si="40"/>
        <v>12570.982199999999</v>
      </c>
      <c r="J901" s="4"/>
      <c r="K901" s="38">
        <f t="shared" si="41"/>
        <v>0</v>
      </c>
    </row>
    <row r="902" spans="1:11">
      <c r="A902" t="s">
        <v>2801</v>
      </c>
      <c r="B902" t="s">
        <v>10179</v>
      </c>
      <c r="C902" t="s">
        <v>6619</v>
      </c>
      <c r="D902" t="s">
        <v>8292</v>
      </c>
      <c r="E902">
        <v>49683.01</v>
      </c>
      <c r="G902" s="35"/>
      <c r="H902" s="36">
        <f t="shared" si="39"/>
        <v>31300.296300000002</v>
      </c>
      <c r="I902" s="37">
        <f t="shared" si="40"/>
        <v>31300.296300000002</v>
      </c>
      <c r="J902" s="4"/>
      <c r="K902" s="38">
        <f t="shared" si="41"/>
        <v>0</v>
      </c>
    </row>
    <row r="903" spans="1:11">
      <c r="A903" t="s">
        <v>2802</v>
      </c>
      <c r="B903" t="s">
        <v>10179</v>
      </c>
      <c r="C903" t="s">
        <v>6619</v>
      </c>
      <c r="D903" t="s">
        <v>8293</v>
      </c>
      <c r="E903">
        <v>40831.120000000003</v>
      </c>
      <c r="G903" s="35"/>
      <c r="H903" s="36">
        <f t="shared" ref="H903:H966" si="42">+E903*$H$1*(1-G903)</f>
        <v>25723.605600000003</v>
      </c>
      <c r="I903" s="37">
        <f t="shared" ref="I903:I966" si="43">H903*$H$4</f>
        <v>25723.605600000003</v>
      </c>
      <c r="J903" s="4"/>
      <c r="K903" s="38">
        <f t="shared" ref="K903:K966" si="44">J903*I903</f>
        <v>0</v>
      </c>
    </row>
    <row r="904" spans="1:11">
      <c r="A904" t="s">
        <v>2803</v>
      </c>
      <c r="B904" t="s">
        <v>10179</v>
      </c>
      <c r="C904" t="s">
        <v>6619</v>
      </c>
      <c r="D904" t="s">
        <v>8294</v>
      </c>
      <c r="E904">
        <v>40033.370000000003</v>
      </c>
      <c r="G904" s="35"/>
      <c r="H904" s="36">
        <f t="shared" si="42"/>
        <v>25221.023100000002</v>
      </c>
      <c r="I904" s="37">
        <f t="shared" si="43"/>
        <v>25221.023100000002</v>
      </c>
      <c r="J904" s="4"/>
      <c r="K904" s="38">
        <f t="shared" si="44"/>
        <v>0</v>
      </c>
    </row>
    <row r="905" spans="1:11">
      <c r="A905" t="s">
        <v>2849</v>
      </c>
      <c r="B905" t="s">
        <v>10179</v>
      </c>
      <c r="C905" t="s">
        <v>8343</v>
      </c>
      <c r="D905" t="s">
        <v>8344</v>
      </c>
      <c r="E905">
        <v>2445.0300000000002</v>
      </c>
      <c r="G905" s="35"/>
      <c r="H905" s="36">
        <f t="shared" si="42"/>
        <v>1540.3689000000002</v>
      </c>
      <c r="I905" s="37">
        <f t="shared" si="43"/>
        <v>1540.3689000000002</v>
      </c>
      <c r="J905" s="4"/>
      <c r="K905" s="38">
        <f t="shared" si="44"/>
        <v>0</v>
      </c>
    </row>
    <row r="906" spans="1:11">
      <c r="A906" t="s">
        <v>2850</v>
      </c>
      <c r="B906" t="s">
        <v>10179</v>
      </c>
      <c r="C906" t="s">
        <v>8343</v>
      </c>
      <c r="D906" t="s">
        <v>8345</v>
      </c>
      <c r="E906">
        <v>1398.96</v>
      </c>
      <c r="G906" s="35"/>
      <c r="H906" s="36">
        <f t="shared" si="42"/>
        <v>881.34480000000008</v>
      </c>
      <c r="I906" s="37">
        <f t="shared" si="43"/>
        <v>881.34480000000008</v>
      </c>
      <c r="J906" s="4"/>
      <c r="K906" s="38">
        <f t="shared" si="44"/>
        <v>0</v>
      </c>
    </row>
    <row r="907" spans="1:11">
      <c r="A907" t="s">
        <v>2851</v>
      </c>
      <c r="B907" t="s">
        <v>10179</v>
      </c>
      <c r="C907" t="s">
        <v>8343</v>
      </c>
      <c r="D907" t="s">
        <v>8346</v>
      </c>
      <c r="E907">
        <v>2299.25</v>
      </c>
      <c r="G907" s="35"/>
      <c r="H907" s="36">
        <f t="shared" si="42"/>
        <v>1448.5274999999999</v>
      </c>
      <c r="I907" s="37">
        <f t="shared" si="43"/>
        <v>1448.5274999999999</v>
      </c>
      <c r="J907" s="4"/>
      <c r="K907" s="38">
        <f t="shared" si="44"/>
        <v>0</v>
      </c>
    </row>
    <row r="908" spans="1:11">
      <c r="A908" t="s">
        <v>2852</v>
      </c>
      <c r="B908" t="s">
        <v>10179</v>
      </c>
      <c r="C908" t="s">
        <v>8343</v>
      </c>
      <c r="D908" t="s">
        <v>8347</v>
      </c>
      <c r="E908">
        <v>2391.06</v>
      </c>
      <c r="G908" s="35"/>
      <c r="H908" s="36">
        <f t="shared" si="42"/>
        <v>1506.3678</v>
      </c>
      <c r="I908" s="37">
        <f t="shared" si="43"/>
        <v>1506.3678</v>
      </c>
      <c r="J908" s="4"/>
      <c r="K908" s="38">
        <f t="shared" si="44"/>
        <v>0</v>
      </c>
    </row>
    <row r="909" spans="1:11">
      <c r="A909" t="s">
        <v>2885</v>
      </c>
      <c r="B909" t="s">
        <v>10179</v>
      </c>
      <c r="C909" t="s">
        <v>8384</v>
      </c>
      <c r="D909" t="s">
        <v>8385</v>
      </c>
      <c r="E909">
        <v>2338.66</v>
      </c>
      <c r="G909" s="35"/>
      <c r="H909" s="36">
        <f t="shared" si="42"/>
        <v>1473.3557999999998</v>
      </c>
      <c r="I909" s="37">
        <f t="shared" si="43"/>
        <v>1473.3557999999998</v>
      </c>
      <c r="J909" s="4"/>
      <c r="K909" s="38">
        <f t="shared" si="44"/>
        <v>0</v>
      </c>
    </row>
    <row r="910" spans="1:11">
      <c r="A910" t="s">
        <v>2886</v>
      </c>
      <c r="B910" t="s">
        <v>10179</v>
      </c>
      <c r="C910" t="s">
        <v>8384</v>
      </c>
      <c r="D910" t="s">
        <v>8386</v>
      </c>
      <c r="E910">
        <v>1796.4</v>
      </c>
      <c r="G910" s="35"/>
      <c r="H910" s="36">
        <f t="shared" si="42"/>
        <v>1131.732</v>
      </c>
      <c r="I910" s="37">
        <f t="shared" si="43"/>
        <v>1131.732</v>
      </c>
      <c r="J910" s="4"/>
      <c r="K910" s="38">
        <f t="shared" si="44"/>
        <v>0</v>
      </c>
    </row>
    <row r="911" spans="1:11">
      <c r="A911" t="s">
        <v>2887</v>
      </c>
      <c r="B911" t="s">
        <v>10179</v>
      </c>
      <c r="C911" t="s">
        <v>8384</v>
      </c>
      <c r="D911" t="s">
        <v>8387</v>
      </c>
      <c r="E911">
        <v>2551.23</v>
      </c>
      <c r="G911" s="35"/>
      <c r="H911" s="36">
        <f t="shared" si="42"/>
        <v>1607.2749000000001</v>
      </c>
      <c r="I911" s="37">
        <f t="shared" si="43"/>
        <v>1607.2749000000001</v>
      </c>
      <c r="J911" s="4"/>
      <c r="K911" s="38">
        <f t="shared" si="44"/>
        <v>0</v>
      </c>
    </row>
    <row r="912" spans="1:11">
      <c r="A912" t="s">
        <v>2888</v>
      </c>
      <c r="B912" t="s">
        <v>10179</v>
      </c>
      <c r="C912" t="s">
        <v>8384</v>
      </c>
      <c r="D912" t="s">
        <v>8388</v>
      </c>
      <c r="E912">
        <v>2445.0300000000002</v>
      </c>
      <c r="G912" s="35"/>
      <c r="H912" s="36">
        <f t="shared" si="42"/>
        <v>1540.3689000000002</v>
      </c>
      <c r="I912" s="37">
        <f t="shared" si="43"/>
        <v>1540.3689000000002</v>
      </c>
      <c r="J912" s="4"/>
      <c r="K912" s="38">
        <f t="shared" si="44"/>
        <v>0</v>
      </c>
    </row>
    <row r="913" spans="1:11">
      <c r="A913" t="s">
        <v>2889</v>
      </c>
      <c r="B913" t="s">
        <v>10179</v>
      </c>
      <c r="C913" t="s">
        <v>8384</v>
      </c>
      <c r="D913" t="s">
        <v>8389</v>
      </c>
      <c r="E913">
        <v>1640.16</v>
      </c>
      <c r="G913" s="35"/>
      <c r="H913" s="36">
        <f t="shared" si="42"/>
        <v>1033.3008</v>
      </c>
      <c r="I913" s="37">
        <f t="shared" si="43"/>
        <v>1033.3008</v>
      </c>
      <c r="J913" s="4"/>
      <c r="K913" s="38">
        <f t="shared" si="44"/>
        <v>0</v>
      </c>
    </row>
    <row r="914" spans="1:11">
      <c r="A914" t="s">
        <v>3886</v>
      </c>
      <c r="B914" t="s">
        <v>10179</v>
      </c>
      <c r="C914" t="s">
        <v>9352</v>
      </c>
      <c r="D914" t="s">
        <v>9353</v>
      </c>
      <c r="E914">
        <v>679580.95</v>
      </c>
      <c r="G914" s="35"/>
      <c r="H914" s="36">
        <f t="shared" si="42"/>
        <v>428135.99849999999</v>
      </c>
      <c r="I914" s="37">
        <f t="shared" si="43"/>
        <v>428135.99849999999</v>
      </c>
      <c r="J914" s="4"/>
      <c r="K914" s="38">
        <f t="shared" si="44"/>
        <v>0</v>
      </c>
    </row>
    <row r="915" spans="1:11">
      <c r="A915" t="s">
        <v>3887</v>
      </c>
      <c r="B915" t="s">
        <v>10179</v>
      </c>
      <c r="C915" t="s">
        <v>9352</v>
      </c>
      <c r="D915" t="s">
        <v>9354</v>
      </c>
      <c r="E915">
        <v>668962.56000000006</v>
      </c>
      <c r="G915" s="35"/>
      <c r="H915" s="36">
        <f t="shared" si="42"/>
        <v>421446.41280000005</v>
      </c>
      <c r="I915" s="37">
        <f t="shared" si="43"/>
        <v>421446.41280000005</v>
      </c>
      <c r="J915" s="4"/>
      <c r="K915" s="38">
        <f t="shared" si="44"/>
        <v>0</v>
      </c>
    </row>
    <row r="916" spans="1:11">
      <c r="A916" t="s">
        <v>3888</v>
      </c>
      <c r="B916" t="s">
        <v>10179</v>
      </c>
      <c r="C916" t="s">
        <v>9355</v>
      </c>
      <c r="D916" t="s">
        <v>9356</v>
      </c>
      <c r="E916">
        <v>27370.57</v>
      </c>
      <c r="G916" s="35"/>
      <c r="H916" s="36">
        <f t="shared" si="42"/>
        <v>17243.4591</v>
      </c>
      <c r="I916" s="37">
        <f t="shared" si="43"/>
        <v>17243.4591</v>
      </c>
      <c r="J916" s="4"/>
      <c r="K916" s="38">
        <f t="shared" si="44"/>
        <v>0</v>
      </c>
    </row>
    <row r="917" spans="1:11">
      <c r="A917" t="s">
        <v>3889</v>
      </c>
      <c r="B917" t="s">
        <v>10179</v>
      </c>
      <c r="C917" t="s">
        <v>9355</v>
      </c>
      <c r="D917" t="s">
        <v>9357</v>
      </c>
      <c r="E917">
        <v>122569.11</v>
      </c>
      <c r="G917" s="35"/>
      <c r="H917" s="36">
        <f t="shared" si="42"/>
        <v>77218.539300000004</v>
      </c>
      <c r="I917" s="37">
        <f t="shared" si="43"/>
        <v>77218.539300000004</v>
      </c>
      <c r="J917" s="4"/>
      <c r="K917" s="38">
        <f t="shared" si="44"/>
        <v>0</v>
      </c>
    </row>
    <row r="918" spans="1:11">
      <c r="A918" t="s">
        <v>2973</v>
      </c>
      <c r="B918" t="s">
        <v>10179</v>
      </c>
      <c r="C918" t="s">
        <v>8472</v>
      </c>
      <c r="D918" t="s">
        <v>8473</v>
      </c>
      <c r="E918">
        <v>6046.6</v>
      </c>
      <c r="G918" s="35"/>
      <c r="H918" s="36">
        <f t="shared" si="42"/>
        <v>3809.3580000000002</v>
      </c>
      <c r="I918" s="37">
        <f t="shared" si="43"/>
        <v>3809.3580000000002</v>
      </c>
      <c r="J918" s="4"/>
      <c r="K918" s="38">
        <f t="shared" si="44"/>
        <v>0</v>
      </c>
    </row>
    <row r="919" spans="1:11">
      <c r="A919" t="s">
        <v>2974</v>
      </c>
      <c r="B919" t="s">
        <v>10179</v>
      </c>
      <c r="C919" t="s">
        <v>8472</v>
      </c>
      <c r="D919" t="s">
        <v>8474</v>
      </c>
      <c r="E919">
        <v>8777.0300000000007</v>
      </c>
      <c r="G919" s="35"/>
      <c r="H919" s="36">
        <f t="shared" si="42"/>
        <v>5529.5289000000002</v>
      </c>
      <c r="I919" s="37">
        <f t="shared" si="43"/>
        <v>5529.5289000000002</v>
      </c>
      <c r="J919" s="4"/>
      <c r="K919" s="38">
        <f t="shared" si="44"/>
        <v>0</v>
      </c>
    </row>
    <row r="920" spans="1:11">
      <c r="A920" t="s">
        <v>2975</v>
      </c>
      <c r="B920" t="s">
        <v>10179</v>
      </c>
      <c r="C920" t="s">
        <v>8472</v>
      </c>
      <c r="D920" t="s">
        <v>8475</v>
      </c>
      <c r="E920">
        <v>13649.56</v>
      </c>
      <c r="G920" s="35"/>
      <c r="H920" s="36">
        <f t="shared" si="42"/>
        <v>8599.2227999999996</v>
      </c>
      <c r="I920" s="37">
        <f t="shared" si="43"/>
        <v>8599.2227999999996</v>
      </c>
      <c r="J920" s="4"/>
      <c r="K920" s="38">
        <f t="shared" si="44"/>
        <v>0</v>
      </c>
    </row>
    <row r="921" spans="1:11">
      <c r="A921" t="s">
        <v>2976</v>
      </c>
      <c r="B921" t="s">
        <v>10179</v>
      </c>
      <c r="C921" t="s">
        <v>8472</v>
      </c>
      <c r="D921" t="s">
        <v>8476</v>
      </c>
      <c r="E921">
        <v>23439.64</v>
      </c>
      <c r="G921" s="35"/>
      <c r="H921" s="36">
        <f t="shared" si="42"/>
        <v>14766.9732</v>
      </c>
      <c r="I921" s="37">
        <f t="shared" si="43"/>
        <v>14766.9732</v>
      </c>
      <c r="J921" s="4"/>
      <c r="K921" s="38">
        <f t="shared" si="44"/>
        <v>0</v>
      </c>
    </row>
    <row r="922" spans="1:11">
      <c r="A922" t="s">
        <v>2977</v>
      </c>
      <c r="B922" t="s">
        <v>10179</v>
      </c>
      <c r="C922" t="s">
        <v>8472</v>
      </c>
      <c r="D922" t="s">
        <v>8477</v>
      </c>
      <c r="E922">
        <v>37782.15</v>
      </c>
      <c r="G922" s="35"/>
      <c r="H922" s="36">
        <f t="shared" si="42"/>
        <v>23802.754500000003</v>
      </c>
      <c r="I922" s="37">
        <f t="shared" si="43"/>
        <v>23802.754500000003</v>
      </c>
      <c r="J922" s="4"/>
      <c r="K922" s="38">
        <f t="shared" si="44"/>
        <v>0</v>
      </c>
    </row>
    <row r="923" spans="1:11">
      <c r="A923" t="s">
        <v>2978</v>
      </c>
      <c r="B923" t="s">
        <v>10179</v>
      </c>
      <c r="C923" t="s">
        <v>8472</v>
      </c>
      <c r="D923" t="s">
        <v>8478</v>
      </c>
      <c r="E923">
        <v>59253.34</v>
      </c>
      <c r="G923" s="35"/>
      <c r="H923" s="36">
        <f t="shared" si="42"/>
        <v>37329.604200000002</v>
      </c>
      <c r="I923" s="37">
        <f t="shared" si="43"/>
        <v>37329.604200000002</v>
      </c>
      <c r="J923" s="4"/>
      <c r="K923" s="38">
        <f t="shared" si="44"/>
        <v>0</v>
      </c>
    </row>
    <row r="924" spans="1:11">
      <c r="A924" t="s">
        <v>2979</v>
      </c>
      <c r="B924" t="s">
        <v>10179</v>
      </c>
      <c r="C924" t="s">
        <v>8472</v>
      </c>
      <c r="D924" t="s">
        <v>8479</v>
      </c>
      <c r="E924">
        <v>92682.65</v>
      </c>
      <c r="G924" s="35"/>
      <c r="H924" s="36">
        <f t="shared" si="42"/>
        <v>58390.069499999998</v>
      </c>
      <c r="I924" s="37">
        <f t="shared" si="43"/>
        <v>58390.069499999998</v>
      </c>
      <c r="J924" s="4"/>
      <c r="K924" s="38">
        <f t="shared" si="44"/>
        <v>0</v>
      </c>
    </row>
    <row r="925" spans="1:11">
      <c r="A925" t="s">
        <v>2980</v>
      </c>
      <c r="B925" t="s">
        <v>10179</v>
      </c>
      <c r="C925" t="s">
        <v>8472</v>
      </c>
      <c r="D925" t="s">
        <v>8480</v>
      </c>
      <c r="E925">
        <v>132391.54</v>
      </c>
      <c r="G925" s="35"/>
      <c r="H925" s="36">
        <f t="shared" si="42"/>
        <v>83406.670200000008</v>
      </c>
      <c r="I925" s="37">
        <f t="shared" si="43"/>
        <v>83406.670200000008</v>
      </c>
      <c r="J925" s="4"/>
      <c r="K925" s="38">
        <f t="shared" si="44"/>
        <v>0</v>
      </c>
    </row>
    <row r="926" spans="1:11">
      <c r="A926" t="s">
        <v>2981</v>
      </c>
      <c r="B926" t="s">
        <v>10179</v>
      </c>
      <c r="C926" t="s">
        <v>8472</v>
      </c>
      <c r="D926" t="s">
        <v>8481</v>
      </c>
      <c r="E926">
        <v>6140.99</v>
      </c>
      <c r="G926" s="35"/>
      <c r="H926" s="36">
        <f t="shared" si="42"/>
        <v>3868.8236999999999</v>
      </c>
      <c r="I926" s="37">
        <f t="shared" si="43"/>
        <v>3868.8236999999999</v>
      </c>
      <c r="J926" s="4"/>
      <c r="K926" s="38">
        <f t="shared" si="44"/>
        <v>0</v>
      </c>
    </row>
    <row r="927" spans="1:11">
      <c r="A927" t="s">
        <v>2982</v>
      </c>
      <c r="B927" t="s">
        <v>10179</v>
      </c>
      <c r="C927" t="s">
        <v>8472</v>
      </c>
      <c r="D927" t="s">
        <v>8482</v>
      </c>
      <c r="E927">
        <v>8591.6299999999992</v>
      </c>
      <c r="G927" s="35"/>
      <c r="H927" s="36">
        <f t="shared" si="42"/>
        <v>5412.7268999999997</v>
      </c>
      <c r="I927" s="37">
        <f t="shared" si="43"/>
        <v>5412.7268999999997</v>
      </c>
      <c r="J927" s="4"/>
      <c r="K927" s="38">
        <f t="shared" si="44"/>
        <v>0</v>
      </c>
    </row>
    <row r="928" spans="1:11">
      <c r="A928" t="s">
        <v>2983</v>
      </c>
      <c r="B928" t="s">
        <v>10179</v>
      </c>
      <c r="C928" t="s">
        <v>8472</v>
      </c>
      <c r="D928" t="s">
        <v>8483</v>
      </c>
      <c r="E928">
        <v>12648.88</v>
      </c>
      <c r="G928" s="35"/>
      <c r="H928" s="36">
        <f t="shared" si="42"/>
        <v>7968.7943999999998</v>
      </c>
      <c r="I928" s="37">
        <f t="shared" si="43"/>
        <v>7968.7943999999998</v>
      </c>
      <c r="J928" s="4"/>
      <c r="K928" s="38">
        <f t="shared" si="44"/>
        <v>0</v>
      </c>
    </row>
    <row r="929" spans="1:11">
      <c r="A929" t="s">
        <v>2984</v>
      </c>
      <c r="B929" t="s">
        <v>10179</v>
      </c>
      <c r="C929" t="s">
        <v>8472</v>
      </c>
      <c r="D929" t="s">
        <v>8484</v>
      </c>
      <c r="E929">
        <v>20273.93</v>
      </c>
      <c r="G929" s="35"/>
      <c r="H929" s="36">
        <f t="shared" si="42"/>
        <v>12772.5759</v>
      </c>
      <c r="I929" s="37">
        <f t="shared" si="43"/>
        <v>12772.5759</v>
      </c>
      <c r="J929" s="4"/>
      <c r="K929" s="38">
        <f t="shared" si="44"/>
        <v>0</v>
      </c>
    </row>
    <row r="930" spans="1:11">
      <c r="A930" t="s">
        <v>2985</v>
      </c>
      <c r="B930" t="s">
        <v>10179</v>
      </c>
      <c r="C930" t="s">
        <v>8472</v>
      </c>
      <c r="D930" t="s">
        <v>8485</v>
      </c>
      <c r="E930">
        <v>27174.63</v>
      </c>
      <c r="G930" s="35"/>
      <c r="H930" s="36">
        <f t="shared" si="42"/>
        <v>17120.016900000002</v>
      </c>
      <c r="I930" s="37">
        <f t="shared" si="43"/>
        <v>17120.016900000002</v>
      </c>
      <c r="J930" s="4"/>
      <c r="K930" s="38">
        <f t="shared" si="44"/>
        <v>0</v>
      </c>
    </row>
    <row r="931" spans="1:11">
      <c r="A931" t="s">
        <v>2986</v>
      </c>
      <c r="B931" t="s">
        <v>10179</v>
      </c>
      <c r="C931" t="s">
        <v>8472</v>
      </c>
      <c r="D931" t="s">
        <v>8486</v>
      </c>
      <c r="E931">
        <v>42111.89</v>
      </c>
      <c r="G931" s="35"/>
      <c r="H931" s="36">
        <f t="shared" si="42"/>
        <v>26530.490699999998</v>
      </c>
      <c r="I931" s="37">
        <f t="shared" si="43"/>
        <v>26530.490699999998</v>
      </c>
      <c r="J931" s="4"/>
      <c r="K931" s="38">
        <f t="shared" si="44"/>
        <v>0</v>
      </c>
    </row>
    <row r="932" spans="1:11">
      <c r="A932" t="s">
        <v>2987</v>
      </c>
      <c r="B932" t="s">
        <v>10179</v>
      </c>
      <c r="C932" t="s">
        <v>8472</v>
      </c>
      <c r="D932" t="s">
        <v>8487</v>
      </c>
      <c r="E932">
        <v>60331.26</v>
      </c>
      <c r="G932" s="35"/>
      <c r="H932" s="36">
        <f t="shared" si="42"/>
        <v>38008.693800000001</v>
      </c>
      <c r="I932" s="37">
        <f t="shared" si="43"/>
        <v>38008.693800000001</v>
      </c>
      <c r="J932" s="4"/>
      <c r="K932" s="38">
        <f t="shared" si="44"/>
        <v>0</v>
      </c>
    </row>
    <row r="933" spans="1:11">
      <c r="A933" t="s">
        <v>2988</v>
      </c>
      <c r="B933" t="s">
        <v>10179</v>
      </c>
      <c r="C933" t="s">
        <v>8472</v>
      </c>
      <c r="D933" t="s">
        <v>8488</v>
      </c>
      <c r="E933">
        <v>87952.7</v>
      </c>
      <c r="G933" s="35"/>
      <c r="H933" s="36">
        <f t="shared" si="42"/>
        <v>55410.201000000001</v>
      </c>
      <c r="I933" s="37">
        <f t="shared" si="43"/>
        <v>55410.201000000001</v>
      </c>
      <c r="J933" s="4"/>
      <c r="K933" s="38">
        <f t="shared" si="44"/>
        <v>0</v>
      </c>
    </row>
    <row r="934" spans="1:11">
      <c r="A934" t="s">
        <v>2989</v>
      </c>
      <c r="B934" t="s">
        <v>10179</v>
      </c>
      <c r="C934" t="s">
        <v>8472</v>
      </c>
      <c r="D934" t="s">
        <v>8489</v>
      </c>
      <c r="E934">
        <v>126269.09</v>
      </c>
      <c r="G934" s="35"/>
      <c r="H934" s="36">
        <f t="shared" si="42"/>
        <v>79549.526700000002</v>
      </c>
      <c r="I934" s="37">
        <f t="shared" si="43"/>
        <v>79549.526700000002</v>
      </c>
      <c r="J934" s="4"/>
      <c r="K934" s="38">
        <f t="shared" si="44"/>
        <v>0</v>
      </c>
    </row>
    <row r="935" spans="1:11">
      <c r="A935" t="s">
        <v>2990</v>
      </c>
      <c r="B935" t="s">
        <v>10179</v>
      </c>
      <c r="C935" t="s">
        <v>8472</v>
      </c>
      <c r="D935" t="s">
        <v>8490</v>
      </c>
      <c r="E935">
        <v>8185.38</v>
      </c>
      <c r="G935" s="35"/>
      <c r="H935" s="36">
        <f t="shared" si="42"/>
        <v>5156.7893999999997</v>
      </c>
      <c r="I935" s="37">
        <f t="shared" si="43"/>
        <v>5156.7893999999997</v>
      </c>
      <c r="J935" s="4"/>
      <c r="K935" s="38">
        <f t="shared" si="44"/>
        <v>0</v>
      </c>
    </row>
    <row r="936" spans="1:11">
      <c r="A936" t="s">
        <v>2991</v>
      </c>
      <c r="B936" t="s">
        <v>10179</v>
      </c>
      <c r="C936" t="s">
        <v>8472</v>
      </c>
      <c r="D936" t="s">
        <v>8491</v>
      </c>
      <c r="E936">
        <v>12176.22</v>
      </c>
      <c r="G936" s="35"/>
      <c r="H936" s="36">
        <f t="shared" si="42"/>
        <v>7671.0185999999994</v>
      </c>
      <c r="I936" s="37">
        <f t="shared" si="43"/>
        <v>7671.0185999999994</v>
      </c>
      <c r="J936" s="4"/>
      <c r="K936" s="38">
        <f t="shared" si="44"/>
        <v>0</v>
      </c>
    </row>
    <row r="937" spans="1:11">
      <c r="A937" t="s">
        <v>2992</v>
      </c>
      <c r="B937" t="s">
        <v>10179</v>
      </c>
      <c r="C937" t="s">
        <v>8472</v>
      </c>
      <c r="D937" t="s">
        <v>8492</v>
      </c>
      <c r="E937">
        <v>18956.54</v>
      </c>
      <c r="G937" s="35"/>
      <c r="H937" s="36">
        <f t="shared" si="42"/>
        <v>11942.620200000001</v>
      </c>
      <c r="I937" s="37">
        <f t="shared" si="43"/>
        <v>11942.620200000001</v>
      </c>
      <c r="J937" s="4"/>
      <c r="K937" s="38">
        <f t="shared" si="44"/>
        <v>0</v>
      </c>
    </row>
    <row r="938" spans="1:11">
      <c r="A938" t="s">
        <v>2993</v>
      </c>
      <c r="B938" t="s">
        <v>10179</v>
      </c>
      <c r="C938" t="s">
        <v>8472</v>
      </c>
      <c r="D938" t="s">
        <v>8493</v>
      </c>
      <c r="E938">
        <v>28873.040000000001</v>
      </c>
      <c r="G938" s="35"/>
      <c r="H938" s="36">
        <f t="shared" si="42"/>
        <v>18190.015200000002</v>
      </c>
      <c r="I938" s="37">
        <f t="shared" si="43"/>
        <v>18190.015200000002</v>
      </c>
      <c r="J938" s="4"/>
      <c r="K938" s="38">
        <f t="shared" si="44"/>
        <v>0</v>
      </c>
    </row>
    <row r="939" spans="1:11">
      <c r="A939" t="s">
        <v>2994</v>
      </c>
      <c r="B939" t="s">
        <v>10179</v>
      </c>
      <c r="C939" t="s">
        <v>8472</v>
      </c>
      <c r="D939" t="s">
        <v>8494</v>
      </c>
      <c r="E939">
        <v>43916.84</v>
      </c>
      <c r="G939" s="35"/>
      <c r="H939" s="36">
        <f t="shared" si="42"/>
        <v>27667.609199999999</v>
      </c>
      <c r="I939" s="37">
        <f t="shared" si="43"/>
        <v>27667.609199999999</v>
      </c>
      <c r="J939" s="4"/>
      <c r="K939" s="38">
        <f t="shared" si="44"/>
        <v>0</v>
      </c>
    </row>
    <row r="940" spans="1:11">
      <c r="A940" t="s">
        <v>2995</v>
      </c>
      <c r="B940" t="s">
        <v>10179</v>
      </c>
      <c r="C940" t="s">
        <v>8472</v>
      </c>
      <c r="D940" t="s">
        <v>8495</v>
      </c>
      <c r="E940">
        <v>69750.899999999994</v>
      </c>
      <c r="G940" s="35"/>
      <c r="H940" s="36">
        <f t="shared" si="42"/>
        <v>43943.066999999995</v>
      </c>
      <c r="I940" s="37">
        <f t="shared" si="43"/>
        <v>43943.066999999995</v>
      </c>
      <c r="J940" s="4"/>
      <c r="K940" s="38">
        <f t="shared" si="44"/>
        <v>0</v>
      </c>
    </row>
    <row r="941" spans="1:11">
      <c r="A941" t="s">
        <v>2996</v>
      </c>
      <c r="B941" t="s">
        <v>10179</v>
      </c>
      <c r="C941" t="s">
        <v>8472</v>
      </c>
      <c r="D941" t="s">
        <v>8496</v>
      </c>
      <c r="E941">
        <v>107761.06</v>
      </c>
      <c r="G941" s="35"/>
      <c r="H941" s="36">
        <f t="shared" si="42"/>
        <v>67889.467799999999</v>
      </c>
      <c r="I941" s="37">
        <f t="shared" si="43"/>
        <v>67889.467799999999</v>
      </c>
      <c r="J941" s="4"/>
      <c r="K941" s="38">
        <f t="shared" si="44"/>
        <v>0</v>
      </c>
    </row>
    <row r="942" spans="1:11">
      <c r="A942" t="s">
        <v>2997</v>
      </c>
      <c r="B942" t="s">
        <v>10179</v>
      </c>
      <c r="C942" t="s">
        <v>8472</v>
      </c>
      <c r="D942" t="s">
        <v>8497</v>
      </c>
      <c r="E942">
        <v>142004.24</v>
      </c>
      <c r="G942" s="35"/>
      <c r="H942" s="36">
        <f t="shared" si="42"/>
        <v>89462.671199999997</v>
      </c>
      <c r="I942" s="37">
        <f t="shared" si="43"/>
        <v>89462.671199999997</v>
      </c>
      <c r="J942" s="4"/>
      <c r="K942" s="38">
        <f t="shared" si="44"/>
        <v>0</v>
      </c>
    </row>
    <row r="943" spans="1:11">
      <c r="A943" t="s">
        <v>2998</v>
      </c>
      <c r="B943" t="s">
        <v>10179</v>
      </c>
      <c r="C943" t="s">
        <v>8472</v>
      </c>
      <c r="D943" t="s">
        <v>8498</v>
      </c>
      <c r="E943">
        <v>191346.98</v>
      </c>
      <c r="G943" s="35"/>
      <c r="H943" s="36">
        <f t="shared" si="42"/>
        <v>120548.59740000001</v>
      </c>
      <c r="I943" s="37">
        <f t="shared" si="43"/>
        <v>120548.59740000001</v>
      </c>
      <c r="J943" s="4"/>
      <c r="K943" s="38">
        <f t="shared" si="44"/>
        <v>0</v>
      </c>
    </row>
    <row r="944" spans="1:11">
      <c r="A944" t="s">
        <v>11685</v>
      </c>
      <c r="B944" t="s">
        <v>10179</v>
      </c>
      <c r="C944" t="s">
        <v>8472</v>
      </c>
      <c r="D944" t="s">
        <v>11686</v>
      </c>
      <c r="E944">
        <v>11078.77</v>
      </c>
      <c r="G944" s="35"/>
      <c r="H944" s="36">
        <f t="shared" si="42"/>
        <v>6979.6251000000002</v>
      </c>
      <c r="I944" s="37">
        <f t="shared" si="43"/>
        <v>6979.6251000000002</v>
      </c>
      <c r="J944" s="4"/>
      <c r="K944" s="38">
        <f t="shared" si="44"/>
        <v>0</v>
      </c>
    </row>
    <row r="945" spans="1:11">
      <c r="A945" t="s">
        <v>11687</v>
      </c>
      <c r="B945" t="s">
        <v>10179</v>
      </c>
      <c r="C945" t="s">
        <v>8472</v>
      </c>
      <c r="D945" t="s">
        <v>11688</v>
      </c>
      <c r="E945">
        <v>16092.04</v>
      </c>
      <c r="G945" s="35"/>
      <c r="H945" s="36">
        <f t="shared" si="42"/>
        <v>10137.985200000001</v>
      </c>
      <c r="I945" s="37">
        <f t="shared" si="43"/>
        <v>10137.985200000001</v>
      </c>
      <c r="J945" s="4"/>
      <c r="K945" s="38">
        <f t="shared" si="44"/>
        <v>0</v>
      </c>
    </row>
    <row r="946" spans="1:11">
      <c r="A946" t="s">
        <v>11689</v>
      </c>
      <c r="B946" t="s">
        <v>10179</v>
      </c>
      <c r="C946" t="s">
        <v>8472</v>
      </c>
      <c r="D946" t="s">
        <v>11690</v>
      </c>
      <c r="E946">
        <v>25009.7</v>
      </c>
      <c r="G946" s="35"/>
      <c r="H946" s="36">
        <f t="shared" si="42"/>
        <v>15756.111000000001</v>
      </c>
      <c r="I946" s="37">
        <f t="shared" si="43"/>
        <v>15756.111000000001</v>
      </c>
      <c r="J946" s="4"/>
      <c r="K946" s="38">
        <f t="shared" si="44"/>
        <v>0</v>
      </c>
    </row>
    <row r="947" spans="1:11">
      <c r="A947" t="s">
        <v>11691</v>
      </c>
      <c r="B947" t="s">
        <v>10179</v>
      </c>
      <c r="C947" t="s">
        <v>8472</v>
      </c>
      <c r="D947" t="s">
        <v>11692</v>
      </c>
      <c r="E947">
        <v>37720.99</v>
      </c>
      <c r="G947" s="35"/>
      <c r="H947" s="36">
        <f t="shared" si="42"/>
        <v>23764.223699999999</v>
      </c>
      <c r="I947" s="37">
        <f t="shared" si="43"/>
        <v>23764.223699999999</v>
      </c>
      <c r="J947" s="4"/>
      <c r="K947" s="38">
        <f t="shared" si="44"/>
        <v>0</v>
      </c>
    </row>
    <row r="948" spans="1:11">
      <c r="A948" t="s">
        <v>11693</v>
      </c>
      <c r="B948" t="s">
        <v>10179</v>
      </c>
      <c r="C948" t="s">
        <v>8472</v>
      </c>
      <c r="D948" t="s">
        <v>11694</v>
      </c>
      <c r="E948">
        <v>49631.61</v>
      </c>
      <c r="G948" s="35"/>
      <c r="H948" s="36">
        <f t="shared" si="42"/>
        <v>31267.9143</v>
      </c>
      <c r="I948" s="37">
        <f t="shared" si="43"/>
        <v>31267.9143</v>
      </c>
      <c r="J948" s="4"/>
      <c r="K948" s="38">
        <f t="shared" si="44"/>
        <v>0</v>
      </c>
    </row>
    <row r="949" spans="1:11">
      <c r="A949" t="s">
        <v>11695</v>
      </c>
      <c r="B949" t="s">
        <v>10179</v>
      </c>
      <c r="C949" t="s">
        <v>8472</v>
      </c>
      <c r="D949" t="s">
        <v>11696</v>
      </c>
      <c r="E949">
        <v>69972.539999999994</v>
      </c>
      <c r="G949" s="35"/>
      <c r="H949" s="36">
        <f t="shared" si="42"/>
        <v>44082.700199999999</v>
      </c>
      <c r="I949" s="37">
        <f t="shared" si="43"/>
        <v>44082.700199999999</v>
      </c>
      <c r="J949" s="4"/>
      <c r="K949" s="38">
        <f t="shared" si="44"/>
        <v>0</v>
      </c>
    </row>
    <row r="950" spans="1:11">
      <c r="A950" t="s">
        <v>3380</v>
      </c>
      <c r="B950" t="s">
        <v>10179</v>
      </c>
      <c r="C950" t="s">
        <v>8877</v>
      </c>
      <c r="D950" t="s">
        <v>8878</v>
      </c>
      <c r="E950">
        <v>15014.79</v>
      </c>
      <c r="G950" s="35"/>
      <c r="H950" s="36">
        <f t="shared" si="42"/>
        <v>9459.3177000000014</v>
      </c>
      <c r="I950" s="37">
        <f t="shared" si="43"/>
        <v>9459.3177000000014</v>
      </c>
      <c r="J950" s="4"/>
      <c r="K950" s="38">
        <f t="shared" si="44"/>
        <v>0</v>
      </c>
    </row>
    <row r="951" spans="1:11">
      <c r="A951" t="s">
        <v>3381</v>
      </c>
      <c r="B951" t="s">
        <v>10179</v>
      </c>
      <c r="C951" t="s">
        <v>8877</v>
      </c>
      <c r="D951" t="s">
        <v>8879</v>
      </c>
      <c r="E951">
        <v>18914.05</v>
      </c>
      <c r="G951" s="35"/>
      <c r="H951" s="36">
        <f t="shared" si="42"/>
        <v>11915.851499999999</v>
      </c>
      <c r="I951" s="37">
        <f t="shared" si="43"/>
        <v>11915.851499999999</v>
      </c>
      <c r="J951" s="4"/>
      <c r="K951" s="38">
        <f t="shared" si="44"/>
        <v>0</v>
      </c>
    </row>
    <row r="952" spans="1:11">
      <c r="A952" t="s">
        <v>3382</v>
      </c>
      <c r="B952" t="s">
        <v>10179</v>
      </c>
      <c r="C952" t="s">
        <v>8877</v>
      </c>
      <c r="D952" t="s">
        <v>8880</v>
      </c>
      <c r="E952">
        <v>20393.8</v>
      </c>
      <c r="G952" s="35"/>
      <c r="H952" s="36">
        <f t="shared" si="42"/>
        <v>12848.093999999999</v>
      </c>
      <c r="I952" s="37">
        <f t="shared" si="43"/>
        <v>12848.093999999999</v>
      </c>
      <c r="J952" s="4"/>
      <c r="K952" s="38">
        <f t="shared" si="44"/>
        <v>0</v>
      </c>
    </row>
    <row r="953" spans="1:11">
      <c r="A953" t="s">
        <v>3383</v>
      </c>
      <c r="B953" t="s">
        <v>10179</v>
      </c>
      <c r="C953" t="s">
        <v>8881</v>
      </c>
      <c r="D953" t="s">
        <v>8882</v>
      </c>
      <c r="E953">
        <v>2299.04</v>
      </c>
      <c r="G953" s="35"/>
      <c r="H953" s="36">
        <f t="shared" si="42"/>
        <v>1448.3951999999999</v>
      </c>
      <c r="I953" s="37">
        <f t="shared" si="43"/>
        <v>1448.3951999999999</v>
      </c>
      <c r="J953" s="4"/>
      <c r="K953" s="38">
        <f t="shared" si="44"/>
        <v>0</v>
      </c>
    </row>
    <row r="954" spans="1:11">
      <c r="A954" t="s">
        <v>3384</v>
      </c>
      <c r="B954" t="s">
        <v>10179</v>
      </c>
      <c r="C954" t="s">
        <v>8881</v>
      </c>
      <c r="D954" t="s">
        <v>6476</v>
      </c>
      <c r="E954">
        <v>2570.29</v>
      </c>
      <c r="G954" s="35"/>
      <c r="H954" s="36">
        <f t="shared" si="42"/>
        <v>1619.2827</v>
      </c>
      <c r="I954" s="37">
        <f t="shared" si="43"/>
        <v>1619.2827</v>
      </c>
      <c r="J954" s="4"/>
      <c r="K954" s="38">
        <f t="shared" si="44"/>
        <v>0</v>
      </c>
    </row>
    <row r="955" spans="1:11">
      <c r="A955" t="s">
        <v>3385</v>
      </c>
      <c r="B955" t="s">
        <v>10179</v>
      </c>
      <c r="C955" t="s">
        <v>8881</v>
      </c>
      <c r="D955" t="s">
        <v>8883</v>
      </c>
      <c r="E955">
        <v>3937.19</v>
      </c>
      <c r="G955" s="35"/>
      <c r="H955" s="36">
        <f t="shared" si="42"/>
        <v>2480.4297000000001</v>
      </c>
      <c r="I955" s="37">
        <f t="shared" si="43"/>
        <v>2480.4297000000001</v>
      </c>
      <c r="J955" s="4"/>
      <c r="K955" s="38">
        <f t="shared" si="44"/>
        <v>0</v>
      </c>
    </row>
    <row r="956" spans="1:11">
      <c r="A956" t="s">
        <v>3386</v>
      </c>
      <c r="B956" t="s">
        <v>10179</v>
      </c>
      <c r="C956" t="s">
        <v>8881</v>
      </c>
      <c r="D956" t="s">
        <v>6484</v>
      </c>
      <c r="E956">
        <v>3264.95</v>
      </c>
      <c r="G956" s="35"/>
      <c r="H956" s="36">
        <f t="shared" si="42"/>
        <v>2056.9184999999998</v>
      </c>
      <c r="I956" s="37">
        <f t="shared" si="43"/>
        <v>2056.9184999999998</v>
      </c>
      <c r="J956" s="4"/>
      <c r="K956" s="38">
        <f t="shared" si="44"/>
        <v>0</v>
      </c>
    </row>
    <row r="957" spans="1:11">
      <c r="A957" t="s">
        <v>3387</v>
      </c>
      <c r="B957" t="s">
        <v>10179</v>
      </c>
      <c r="C957" t="s">
        <v>8881</v>
      </c>
      <c r="D957" t="s">
        <v>6478</v>
      </c>
      <c r="E957">
        <v>3708.58</v>
      </c>
      <c r="G957" s="35"/>
      <c r="H957" s="36">
        <f t="shared" si="42"/>
        <v>2336.4054000000001</v>
      </c>
      <c r="I957" s="37">
        <f t="shared" si="43"/>
        <v>2336.4054000000001</v>
      </c>
      <c r="J957" s="4"/>
      <c r="K957" s="38">
        <f t="shared" si="44"/>
        <v>0</v>
      </c>
    </row>
    <row r="958" spans="1:11">
      <c r="A958" t="s">
        <v>3388</v>
      </c>
      <c r="B958" t="s">
        <v>10179</v>
      </c>
      <c r="C958" t="s">
        <v>8881</v>
      </c>
      <c r="D958" t="s">
        <v>6480</v>
      </c>
      <c r="E958">
        <v>6483.01</v>
      </c>
      <c r="G958" s="35"/>
      <c r="H958" s="36">
        <f t="shared" si="42"/>
        <v>4084.2963</v>
      </c>
      <c r="I958" s="37">
        <f t="shared" si="43"/>
        <v>4084.2963</v>
      </c>
      <c r="J958" s="4"/>
      <c r="K958" s="38">
        <f t="shared" si="44"/>
        <v>0</v>
      </c>
    </row>
    <row r="959" spans="1:11">
      <c r="A959" t="s">
        <v>3389</v>
      </c>
      <c r="B959" t="s">
        <v>10179</v>
      </c>
      <c r="C959" t="s">
        <v>8881</v>
      </c>
      <c r="D959" t="s">
        <v>6479</v>
      </c>
      <c r="E959">
        <v>6535.57</v>
      </c>
      <c r="G959" s="35"/>
      <c r="H959" s="36">
        <f t="shared" si="42"/>
        <v>4117.4090999999999</v>
      </c>
      <c r="I959" s="37">
        <f t="shared" si="43"/>
        <v>4117.4090999999999</v>
      </c>
      <c r="J959" s="4"/>
      <c r="K959" s="38">
        <f t="shared" si="44"/>
        <v>0</v>
      </c>
    </row>
    <row r="960" spans="1:11">
      <c r="A960" t="s">
        <v>3390</v>
      </c>
      <c r="B960" t="s">
        <v>10179</v>
      </c>
      <c r="C960" t="s">
        <v>8881</v>
      </c>
      <c r="D960" t="s">
        <v>8884</v>
      </c>
      <c r="E960">
        <v>20102.580000000002</v>
      </c>
      <c r="G960" s="35"/>
      <c r="H960" s="36">
        <f t="shared" si="42"/>
        <v>12664.625400000001</v>
      </c>
      <c r="I960" s="37">
        <f t="shared" si="43"/>
        <v>12664.625400000001</v>
      </c>
      <c r="J960" s="4"/>
      <c r="K960" s="38">
        <f t="shared" si="44"/>
        <v>0</v>
      </c>
    </row>
    <row r="961" spans="1:11">
      <c r="A961" t="s">
        <v>3391</v>
      </c>
      <c r="B961" t="s">
        <v>10179</v>
      </c>
      <c r="C961" t="s">
        <v>8881</v>
      </c>
      <c r="D961" t="s">
        <v>8885</v>
      </c>
      <c r="E961">
        <v>27840.57</v>
      </c>
      <c r="G961" s="35"/>
      <c r="H961" s="36">
        <f t="shared" si="42"/>
        <v>17539.559099999999</v>
      </c>
      <c r="I961" s="37">
        <f t="shared" si="43"/>
        <v>17539.559099999999</v>
      </c>
      <c r="J961" s="4"/>
      <c r="K961" s="38">
        <f t="shared" si="44"/>
        <v>0</v>
      </c>
    </row>
    <row r="962" spans="1:11">
      <c r="A962" t="s">
        <v>3392</v>
      </c>
      <c r="B962" t="s">
        <v>10179</v>
      </c>
      <c r="C962" t="s">
        <v>8881</v>
      </c>
      <c r="D962" t="s">
        <v>8886</v>
      </c>
      <c r="E962">
        <v>36616.51</v>
      </c>
      <c r="G962" s="35"/>
      <c r="H962" s="36">
        <f t="shared" si="42"/>
        <v>23068.401300000001</v>
      </c>
      <c r="I962" s="37">
        <f t="shared" si="43"/>
        <v>23068.401300000001</v>
      </c>
      <c r="J962" s="4"/>
      <c r="K962" s="38">
        <f t="shared" si="44"/>
        <v>0</v>
      </c>
    </row>
    <row r="963" spans="1:11">
      <c r="A963" t="s">
        <v>3393</v>
      </c>
      <c r="B963" t="s">
        <v>10179</v>
      </c>
      <c r="C963" t="s">
        <v>8881</v>
      </c>
      <c r="D963" t="s">
        <v>8887</v>
      </c>
      <c r="E963">
        <v>84517.08</v>
      </c>
      <c r="G963" s="35"/>
      <c r="H963" s="36">
        <f t="shared" si="42"/>
        <v>53245.760399999999</v>
      </c>
      <c r="I963" s="37">
        <f t="shared" si="43"/>
        <v>53245.760399999999</v>
      </c>
      <c r="J963" s="4"/>
      <c r="K963" s="38">
        <f t="shared" si="44"/>
        <v>0</v>
      </c>
    </row>
    <row r="964" spans="1:11">
      <c r="A964" t="s">
        <v>3394</v>
      </c>
      <c r="B964" t="s">
        <v>10179</v>
      </c>
      <c r="C964" t="s">
        <v>8881</v>
      </c>
      <c r="D964" t="s">
        <v>8888</v>
      </c>
      <c r="E964">
        <v>92360.45</v>
      </c>
      <c r="G964" s="35"/>
      <c r="H964" s="36">
        <f t="shared" si="42"/>
        <v>58187.083500000001</v>
      </c>
      <c r="I964" s="37">
        <f t="shared" si="43"/>
        <v>58187.083500000001</v>
      </c>
      <c r="J964" s="4"/>
      <c r="K964" s="38">
        <f t="shared" si="44"/>
        <v>0</v>
      </c>
    </row>
    <row r="965" spans="1:11">
      <c r="A965" t="s">
        <v>3463</v>
      </c>
      <c r="B965" t="s">
        <v>10179</v>
      </c>
      <c r="C965" t="s">
        <v>8962</v>
      </c>
      <c r="D965" t="s">
        <v>6476</v>
      </c>
      <c r="E965">
        <v>3675.01</v>
      </c>
      <c r="G965" s="35"/>
      <c r="H965" s="36">
        <f t="shared" si="42"/>
        <v>2315.2563</v>
      </c>
      <c r="I965" s="37">
        <f t="shared" si="43"/>
        <v>2315.2563</v>
      </c>
      <c r="J965" s="4"/>
      <c r="K965" s="38">
        <f t="shared" si="44"/>
        <v>0</v>
      </c>
    </row>
    <row r="966" spans="1:11">
      <c r="A966" t="s">
        <v>3464</v>
      </c>
      <c r="B966" t="s">
        <v>10179</v>
      </c>
      <c r="C966" t="s">
        <v>8962</v>
      </c>
      <c r="D966" t="s">
        <v>8883</v>
      </c>
      <c r="E966">
        <v>5706.1</v>
      </c>
      <c r="G966" s="35"/>
      <c r="H966" s="36">
        <f t="shared" si="42"/>
        <v>3594.8430000000003</v>
      </c>
      <c r="I966" s="37">
        <f t="shared" si="43"/>
        <v>3594.8430000000003</v>
      </c>
      <c r="J966" s="4"/>
      <c r="K966" s="38">
        <f t="shared" si="44"/>
        <v>0</v>
      </c>
    </row>
    <row r="967" spans="1:11">
      <c r="A967" t="s">
        <v>3465</v>
      </c>
      <c r="B967" t="s">
        <v>10179</v>
      </c>
      <c r="C967" t="s">
        <v>8962</v>
      </c>
      <c r="D967" t="s">
        <v>6484</v>
      </c>
      <c r="E967">
        <v>4172.82</v>
      </c>
      <c r="G967" s="35"/>
      <c r="H967" s="36">
        <f t="shared" ref="H967:H1030" si="45">+E967*$H$1*(1-G967)</f>
        <v>2628.8766000000001</v>
      </c>
      <c r="I967" s="37">
        <f t="shared" ref="I967:I1030" si="46">H967*$H$4</f>
        <v>2628.8766000000001</v>
      </c>
      <c r="J967" s="4"/>
      <c r="K967" s="38">
        <f t="shared" ref="K967:K1030" si="47">J967*I967</f>
        <v>0</v>
      </c>
    </row>
    <row r="968" spans="1:11">
      <c r="A968" t="s">
        <v>3466</v>
      </c>
      <c r="B968" t="s">
        <v>10179</v>
      </c>
      <c r="C968" t="s">
        <v>8962</v>
      </c>
      <c r="D968" t="s">
        <v>6478</v>
      </c>
      <c r="E968">
        <v>5301.81</v>
      </c>
      <c r="G968" s="35"/>
      <c r="H968" s="36">
        <f t="shared" si="45"/>
        <v>3340.1403000000005</v>
      </c>
      <c r="I968" s="37">
        <f t="shared" si="46"/>
        <v>3340.1403000000005</v>
      </c>
      <c r="J968" s="4"/>
      <c r="K968" s="38">
        <f t="shared" si="47"/>
        <v>0</v>
      </c>
    </row>
    <row r="969" spans="1:11">
      <c r="A969" t="s">
        <v>3467</v>
      </c>
      <c r="B969" t="s">
        <v>10179</v>
      </c>
      <c r="C969" t="s">
        <v>8962</v>
      </c>
      <c r="D969" t="s">
        <v>6480</v>
      </c>
      <c r="E969">
        <v>8078.53</v>
      </c>
      <c r="G969" s="35"/>
      <c r="H969" s="36">
        <f t="shared" si="45"/>
        <v>5089.4739</v>
      </c>
      <c r="I969" s="37">
        <f t="shared" si="46"/>
        <v>5089.4739</v>
      </c>
      <c r="J969" s="4"/>
      <c r="K969" s="38">
        <f t="shared" si="47"/>
        <v>0</v>
      </c>
    </row>
    <row r="970" spans="1:11">
      <c r="A970" t="s">
        <v>3468</v>
      </c>
      <c r="B970" t="s">
        <v>10179</v>
      </c>
      <c r="C970" t="s">
        <v>8962</v>
      </c>
      <c r="D970" t="s">
        <v>8963</v>
      </c>
      <c r="E970">
        <v>9135.2999999999993</v>
      </c>
      <c r="G970" s="35"/>
      <c r="H970" s="36">
        <f t="shared" si="45"/>
        <v>5755.2389999999996</v>
      </c>
      <c r="I970" s="37">
        <f t="shared" si="46"/>
        <v>5755.2389999999996</v>
      </c>
      <c r="J970" s="4"/>
      <c r="K970" s="38">
        <f t="shared" si="47"/>
        <v>0</v>
      </c>
    </row>
    <row r="971" spans="1:11">
      <c r="A971" t="s">
        <v>3469</v>
      </c>
      <c r="B971" t="s">
        <v>10179</v>
      </c>
      <c r="C971" t="s">
        <v>8962</v>
      </c>
      <c r="D971" t="s">
        <v>8884</v>
      </c>
      <c r="E971">
        <v>22238.14</v>
      </c>
      <c r="G971" s="35"/>
      <c r="H971" s="36">
        <f t="shared" si="45"/>
        <v>14010.028199999999</v>
      </c>
      <c r="I971" s="37">
        <f t="shared" si="46"/>
        <v>14010.028199999999</v>
      </c>
      <c r="J971" s="4"/>
      <c r="K971" s="38">
        <f t="shared" si="47"/>
        <v>0</v>
      </c>
    </row>
    <row r="972" spans="1:11">
      <c r="A972" t="s">
        <v>3470</v>
      </c>
      <c r="B972" t="s">
        <v>10179</v>
      </c>
      <c r="C972" t="s">
        <v>8962</v>
      </c>
      <c r="D972" t="s">
        <v>8964</v>
      </c>
      <c r="E972">
        <v>29587.27</v>
      </c>
      <c r="G972" s="35"/>
      <c r="H972" s="36">
        <f t="shared" si="45"/>
        <v>18639.980100000001</v>
      </c>
      <c r="I972" s="37">
        <f t="shared" si="46"/>
        <v>18639.980100000001</v>
      </c>
      <c r="J972" s="4"/>
      <c r="K972" s="38">
        <f t="shared" si="47"/>
        <v>0</v>
      </c>
    </row>
    <row r="973" spans="1:11">
      <c r="A973" t="s">
        <v>3471</v>
      </c>
      <c r="B973" t="s">
        <v>10179</v>
      </c>
      <c r="C973" t="s">
        <v>8962</v>
      </c>
      <c r="D973" t="s">
        <v>8886</v>
      </c>
      <c r="E973">
        <v>47179.34</v>
      </c>
      <c r="G973" s="35"/>
      <c r="H973" s="36">
        <f t="shared" si="45"/>
        <v>29722.984199999999</v>
      </c>
      <c r="I973" s="37">
        <f t="shared" si="46"/>
        <v>29722.984199999999</v>
      </c>
      <c r="J973" s="4"/>
      <c r="K973" s="38">
        <f t="shared" si="47"/>
        <v>0</v>
      </c>
    </row>
    <row r="974" spans="1:11">
      <c r="A974" t="s">
        <v>3472</v>
      </c>
      <c r="B974" t="s">
        <v>10179</v>
      </c>
      <c r="C974" t="s">
        <v>8962</v>
      </c>
      <c r="D974" t="s">
        <v>8965</v>
      </c>
      <c r="E974">
        <v>103325.64</v>
      </c>
      <c r="G974" s="35"/>
      <c r="H974" s="36">
        <f t="shared" si="45"/>
        <v>65095.153200000001</v>
      </c>
      <c r="I974" s="37">
        <f t="shared" si="46"/>
        <v>65095.153200000001</v>
      </c>
      <c r="J974" s="4"/>
      <c r="K974" s="38">
        <f t="shared" si="47"/>
        <v>0</v>
      </c>
    </row>
    <row r="975" spans="1:11">
      <c r="A975" t="s">
        <v>3473</v>
      </c>
      <c r="B975" t="s">
        <v>10179</v>
      </c>
      <c r="C975" t="s">
        <v>8962</v>
      </c>
      <c r="D975" t="s">
        <v>8888</v>
      </c>
      <c r="E975">
        <v>113882.5</v>
      </c>
      <c r="G975" s="35"/>
      <c r="H975" s="36">
        <f t="shared" si="45"/>
        <v>71745.975000000006</v>
      </c>
      <c r="I975" s="37">
        <f t="shared" si="46"/>
        <v>71745.975000000006</v>
      </c>
      <c r="J975" s="4"/>
      <c r="K975" s="38">
        <f t="shared" si="47"/>
        <v>0</v>
      </c>
    </row>
    <row r="976" spans="1:11">
      <c r="A976" t="s">
        <v>3474</v>
      </c>
      <c r="B976" t="s">
        <v>10179</v>
      </c>
      <c r="C976" t="s">
        <v>8962</v>
      </c>
      <c r="D976" t="s">
        <v>8966</v>
      </c>
      <c r="E976">
        <v>155294.31</v>
      </c>
      <c r="G976" s="35"/>
      <c r="H976" s="36">
        <f t="shared" si="45"/>
        <v>97835.415299999993</v>
      </c>
      <c r="I976" s="37">
        <f t="shared" si="46"/>
        <v>97835.415299999993</v>
      </c>
      <c r="J976" s="4"/>
      <c r="K976" s="38">
        <f t="shared" si="47"/>
        <v>0</v>
      </c>
    </row>
    <row r="977" spans="1:11">
      <c r="A977" t="s">
        <v>3530</v>
      </c>
      <c r="B977" t="s">
        <v>10179</v>
      </c>
      <c r="C977" t="s">
        <v>9023</v>
      </c>
      <c r="D977" t="s">
        <v>9024</v>
      </c>
      <c r="E977">
        <v>298198.42</v>
      </c>
      <c r="G977" s="35"/>
      <c r="H977" s="36">
        <f t="shared" si="45"/>
        <v>187865.00459999999</v>
      </c>
      <c r="I977" s="37">
        <f t="shared" si="46"/>
        <v>187865.00459999999</v>
      </c>
      <c r="J977" s="4"/>
      <c r="K977" s="38">
        <f t="shared" si="47"/>
        <v>0</v>
      </c>
    </row>
    <row r="978" spans="1:11">
      <c r="A978" t="s">
        <v>3565</v>
      </c>
      <c r="B978" t="s">
        <v>10179</v>
      </c>
      <c r="C978" t="s">
        <v>9062</v>
      </c>
      <c r="D978" t="s">
        <v>8154</v>
      </c>
      <c r="E978">
        <v>272932.28999999998</v>
      </c>
      <c r="G978" s="35"/>
      <c r="H978" s="36">
        <f t="shared" si="45"/>
        <v>171947.34269999998</v>
      </c>
      <c r="I978" s="37">
        <f t="shared" si="46"/>
        <v>171947.34269999998</v>
      </c>
      <c r="J978" s="4"/>
      <c r="K978" s="38">
        <f t="shared" si="47"/>
        <v>0</v>
      </c>
    </row>
    <row r="979" spans="1:11">
      <c r="A979" t="s">
        <v>3566</v>
      </c>
      <c r="B979" t="s">
        <v>10179</v>
      </c>
      <c r="C979" t="s">
        <v>9062</v>
      </c>
      <c r="D979" t="s">
        <v>8149</v>
      </c>
      <c r="E979">
        <v>72090.48</v>
      </c>
      <c r="G979" s="35"/>
      <c r="H979" s="36">
        <f t="shared" si="45"/>
        <v>45417.002399999998</v>
      </c>
      <c r="I979" s="37">
        <f t="shared" si="46"/>
        <v>45417.002399999998</v>
      </c>
      <c r="J979" s="4"/>
      <c r="K979" s="38">
        <f t="shared" si="47"/>
        <v>0</v>
      </c>
    </row>
    <row r="980" spans="1:11">
      <c r="A980" t="s">
        <v>3567</v>
      </c>
      <c r="B980" t="s">
        <v>10179</v>
      </c>
      <c r="C980" t="s">
        <v>9062</v>
      </c>
      <c r="D980" t="s">
        <v>8150</v>
      </c>
      <c r="E980">
        <v>89956.51</v>
      </c>
      <c r="G980" s="35"/>
      <c r="H980" s="36">
        <f t="shared" si="45"/>
        <v>56672.601299999995</v>
      </c>
      <c r="I980" s="37">
        <f t="shared" si="46"/>
        <v>56672.601299999995</v>
      </c>
      <c r="J980" s="4"/>
      <c r="K980" s="38">
        <f t="shared" si="47"/>
        <v>0</v>
      </c>
    </row>
    <row r="981" spans="1:11">
      <c r="A981" t="s">
        <v>3568</v>
      </c>
      <c r="B981" t="s">
        <v>10179</v>
      </c>
      <c r="C981" t="s">
        <v>9062</v>
      </c>
      <c r="D981" t="s">
        <v>8151</v>
      </c>
      <c r="E981">
        <v>98019.39</v>
      </c>
      <c r="G981" s="35"/>
      <c r="H981" s="36">
        <f t="shared" si="45"/>
        <v>61752.215700000001</v>
      </c>
      <c r="I981" s="37">
        <f t="shared" si="46"/>
        <v>61752.215700000001</v>
      </c>
      <c r="J981" s="4"/>
      <c r="K981" s="38">
        <f t="shared" si="47"/>
        <v>0</v>
      </c>
    </row>
    <row r="982" spans="1:11">
      <c r="A982" t="s">
        <v>3569</v>
      </c>
      <c r="B982" t="s">
        <v>10179</v>
      </c>
      <c r="C982" t="s">
        <v>9062</v>
      </c>
      <c r="D982" t="s">
        <v>8152</v>
      </c>
      <c r="E982">
        <v>120738.34</v>
      </c>
      <c r="G982" s="35"/>
      <c r="H982" s="36">
        <f t="shared" si="45"/>
        <v>76065.154200000004</v>
      </c>
      <c r="I982" s="37">
        <f t="shared" si="46"/>
        <v>76065.154200000004</v>
      </c>
      <c r="J982" s="4"/>
      <c r="K982" s="38">
        <f t="shared" si="47"/>
        <v>0</v>
      </c>
    </row>
    <row r="983" spans="1:11">
      <c r="A983" t="s">
        <v>3570</v>
      </c>
      <c r="B983" t="s">
        <v>10179</v>
      </c>
      <c r="C983" t="s">
        <v>9062</v>
      </c>
      <c r="D983" t="s">
        <v>8153</v>
      </c>
      <c r="E983">
        <v>175311.09</v>
      </c>
      <c r="G983" s="35"/>
      <c r="H983" s="36">
        <f t="shared" si="45"/>
        <v>110445.98669999999</v>
      </c>
      <c r="I983" s="37">
        <f t="shared" si="46"/>
        <v>110445.98669999999</v>
      </c>
      <c r="J983" s="4"/>
      <c r="K983" s="38">
        <f t="shared" si="47"/>
        <v>0</v>
      </c>
    </row>
    <row r="984" spans="1:11">
      <c r="A984" t="s">
        <v>3531</v>
      </c>
      <c r="B984" t="s">
        <v>10179</v>
      </c>
      <c r="C984" t="s">
        <v>9025</v>
      </c>
      <c r="D984" t="s">
        <v>9026</v>
      </c>
      <c r="E984">
        <v>14680.79</v>
      </c>
      <c r="G984" s="35"/>
      <c r="H984" s="36">
        <f t="shared" si="45"/>
        <v>9248.8977000000014</v>
      </c>
      <c r="I984" s="37">
        <f t="shared" si="46"/>
        <v>9248.8977000000014</v>
      </c>
      <c r="J984" s="4"/>
      <c r="K984" s="38">
        <f t="shared" si="47"/>
        <v>0</v>
      </c>
    </row>
    <row r="985" spans="1:11">
      <c r="A985" t="s">
        <v>3532</v>
      </c>
      <c r="B985" t="s">
        <v>10179</v>
      </c>
      <c r="C985" t="s">
        <v>9025</v>
      </c>
      <c r="D985" t="s">
        <v>9027</v>
      </c>
      <c r="E985">
        <v>19035.71</v>
      </c>
      <c r="G985" s="35"/>
      <c r="H985" s="36">
        <f t="shared" si="45"/>
        <v>11992.497299999999</v>
      </c>
      <c r="I985" s="37">
        <f t="shared" si="46"/>
        <v>11992.497299999999</v>
      </c>
      <c r="J985" s="4"/>
      <c r="K985" s="38">
        <f t="shared" si="47"/>
        <v>0</v>
      </c>
    </row>
    <row r="986" spans="1:11">
      <c r="A986" t="s">
        <v>3533</v>
      </c>
      <c r="B986" t="s">
        <v>10179</v>
      </c>
      <c r="C986" t="s">
        <v>9025</v>
      </c>
      <c r="D986" t="s">
        <v>9028</v>
      </c>
      <c r="E986">
        <v>31752.67</v>
      </c>
      <c r="G986" s="35"/>
      <c r="H986" s="36">
        <f t="shared" si="45"/>
        <v>20004.182099999998</v>
      </c>
      <c r="I986" s="37">
        <f t="shared" si="46"/>
        <v>20004.182099999998</v>
      </c>
      <c r="J986" s="4"/>
      <c r="K986" s="38">
        <f t="shared" si="47"/>
        <v>0</v>
      </c>
    </row>
    <row r="987" spans="1:11">
      <c r="A987" t="s">
        <v>3534</v>
      </c>
      <c r="B987" t="s">
        <v>10179</v>
      </c>
      <c r="C987" t="s">
        <v>9025</v>
      </c>
      <c r="D987" t="s">
        <v>9029</v>
      </c>
      <c r="E987">
        <v>3389.34</v>
      </c>
      <c r="G987" s="35"/>
      <c r="H987" s="36">
        <f t="shared" si="45"/>
        <v>2135.2842000000001</v>
      </c>
      <c r="I987" s="37">
        <f t="shared" si="46"/>
        <v>2135.2842000000001</v>
      </c>
      <c r="J987" s="4"/>
      <c r="K987" s="38">
        <f t="shared" si="47"/>
        <v>0</v>
      </c>
    </row>
    <row r="988" spans="1:11">
      <c r="A988" t="s">
        <v>3535</v>
      </c>
      <c r="B988" t="s">
        <v>10179</v>
      </c>
      <c r="C988" t="s">
        <v>9025</v>
      </c>
      <c r="D988" t="s">
        <v>9030</v>
      </c>
      <c r="E988">
        <v>3728.27</v>
      </c>
      <c r="G988" s="35"/>
      <c r="H988" s="36">
        <f t="shared" si="45"/>
        <v>2348.8101000000001</v>
      </c>
      <c r="I988" s="37">
        <f t="shared" si="46"/>
        <v>2348.8101000000001</v>
      </c>
      <c r="J988" s="4"/>
      <c r="K988" s="38">
        <f t="shared" si="47"/>
        <v>0</v>
      </c>
    </row>
    <row r="989" spans="1:11">
      <c r="A989" t="s">
        <v>3536</v>
      </c>
      <c r="B989" t="s">
        <v>10179</v>
      </c>
      <c r="C989" t="s">
        <v>9025</v>
      </c>
      <c r="D989" t="s">
        <v>9031</v>
      </c>
      <c r="E989">
        <v>4102.1499999999996</v>
      </c>
      <c r="G989" s="35"/>
      <c r="H989" s="36">
        <f t="shared" si="45"/>
        <v>2584.3544999999999</v>
      </c>
      <c r="I989" s="37">
        <f t="shared" si="46"/>
        <v>2584.3544999999999</v>
      </c>
      <c r="J989" s="4"/>
      <c r="K989" s="38">
        <f t="shared" si="47"/>
        <v>0</v>
      </c>
    </row>
    <row r="990" spans="1:11">
      <c r="A990" t="s">
        <v>3626</v>
      </c>
      <c r="B990" t="s">
        <v>10179</v>
      </c>
      <c r="C990" t="s">
        <v>9113</v>
      </c>
      <c r="D990" t="s">
        <v>9114</v>
      </c>
      <c r="E990">
        <v>2702.47</v>
      </c>
      <c r="G990" s="35"/>
      <c r="H990" s="36">
        <f t="shared" si="45"/>
        <v>1702.5560999999998</v>
      </c>
      <c r="I990" s="37">
        <f t="shared" si="46"/>
        <v>1702.5560999999998</v>
      </c>
      <c r="J990" s="4"/>
      <c r="K990" s="38">
        <f t="shared" si="47"/>
        <v>0</v>
      </c>
    </row>
    <row r="991" spans="1:11">
      <c r="A991" t="s">
        <v>3627</v>
      </c>
      <c r="B991" t="s">
        <v>10179</v>
      </c>
      <c r="C991" t="s">
        <v>9113</v>
      </c>
      <c r="D991" t="s">
        <v>9115</v>
      </c>
      <c r="E991">
        <v>3429.43</v>
      </c>
      <c r="G991" s="35"/>
      <c r="H991" s="36">
        <f t="shared" si="45"/>
        <v>2160.5409</v>
      </c>
      <c r="I991" s="37">
        <f t="shared" si="46"/>
        <v>2160.5409</v>
      </c>
      <c r="J991" s="4"/>
      <c r="K991" s="38">
        <f t="shared" si="47"/>
        <v>0</v>
      </c>
    </row>
    <row r="992" spans="1:11">
      <c r="A992" t="s">
        <v>3628</v>
      </c>
      <c r="B992" t="s">
        <v>10179</v>
      </c>
      <c r="C992" t="s">
        <v>9113</v>
      </c>
      <c r="D992" t="s">
        <v>9116</v>
      </c>
      <c r="E992">
        <v>5076.05</v>
      </c>
      <c r="G992" s="35"/>
      <c r="H992" s="36">
        <f t="shared" si="45"/>
        <v>3197.9115000000002</v>
      </c>
      <c r="I992" s="37">
        <f t="shared" si="46"/>
        <v>3197.9115000000002</v>
      </c>
      <c r="J992" s="4"/>
      <c r="K992" s="38">
        <f t="shared" si="47"/>
        <v>0</v>
      </c>
    </row>
    <row r="993" spans="1:11">
      <c r="A993" t="s">
        <v>3629</v>
      </c>
      <c r="B993" t="s">
        <v>10179</v>
      </c>
      <c r="C993" t="s">
        <v>9113</v>
      </c>
      <c r="D993" t="s">
        <v>6483</v>
      </c>
      <c r="E993">
        <v>21509.9</v>
      </c>
      <c r="G993" s="35"/>
      <c r="H993" s="36">
        <f t="shared" si="45"/>
        <v>13551.237000000001</v>
      </c>
      <c r="I993" s="37">
        <f t="shared" si="46"/>
        <v>13551.237000000001</v>
      </c>
      <c r="J993" s="4"/>
      <c r="K993" s="38">
        <f t="shared" si="47"/>
        <v>0</v>
      </c>
    </row>
    <row r="994" spans="1:11">
      <c r="A994" t="s">
        <v>3630</v>
      </c>
      <c r="B994" t="s">
        <v>10179</v>
      </c>
      <c r="C994" t="s">
        <v>9113</v>
      </c>
      <c r="D994" t="s">
        <v>6485</v>
      </c>
      <c r="E994">
        <v>24599.19</v>
      </c>
      <c r="G994" s="35"/>
      <c r="H994" s="36">
        <f t="shared" si="45"/>
        <v>15497.4897</v>
      </c>
      <c r="I994" s="37">
        <f t="shared" si="46"/>
        <v>15497.4897</v>
      </c>
      <c r="J994" s="4"/>
      <c r="K994" s="38">
        <f t="shared" si="47"/>
        <v>0</v>
      </c>
    </row>
    <row r="995" spans="1:11">
      <c r="A995" t="s">
        <v>3631</v>
      </c>
      <c r="B995" t="s">
        <v>10179</v>
      </c>
      <c r="C995" t="s">
        <v>9113</v>
      </c>
      <c r="D995" t="s">
        <v>6479</v>
      </c>
      <c r="E995">
        <v>49198.36</v>
      </c>
      <c r="G995" s="35"/>
      <c r="H995" s="36">
        <f t="shared" si="45"/>
        <v>30994.966800000002</v>
      </c>
      <c r="I995" s="37">
        <f t="shared" si="46"/>
        <v>30994.966800000002</v>
      </c>
      <c r="J995" s="4"/>
      <c r="K995" s="38">
        <f t="shared" si="47"/>
        <v>0</v>
      </c>
    </row>
    <row r="996" spans="1:11">
      <c r="A996" t="s">
        <v>3640</v>
      </c>
      <c r="B996" t="s">
        <v>10179</v>
      </c>
      <c r="C996" t="s">
        <v>9123</v>
      </c>
      <c r="D996" t="s">
        <v>6529</v>
      </c>
      <c r="E996">
        <v>317.33</v>
      </c>
      <c r="G996" s="35"/>
      <c r="H996" s="36">
        <f t="shared" si="45"/>
        <v>199.9179</v>
      </c>
      <c r="I996" s="37">
        <f t="shared" si="46"/>
        <v>199.9179</v>
      </c>
      <c r="J996" s="4"/>
      <c r="K996" s="38">
        <f t="shared" si="47"/>
        <v>0</v>
      </c>
    </row>
    <row r="997" spans="1:11">
      <c r="A997" t="s">
        <v>3641</v>
      </c>
      <c r="B997" t="s">
        <v>10179</v>
      </c>
      <c r="C997" t="s">
        <v>9123</v>
      </c>
      <c r="D997" t="s">
        <v>9124</v>
      </c>
      <c r="E997">
        <v>487.68</v>
      </c>
      <c r="G997" s="35"/>
      <c r="H997" s="36">
        <f t="shared" si="45"/>
        <v>307.23840000000001</v>
      </c>
      <c r="I997" s="37">
        <f t="shared" si="46"/>
        <v>307.23840000000001</v>
      </c>
      <c r="J997" s="4"/>
      <c r="K997" s="38">
        <f t="shared" si="47"/>
        <v>0</v>
      </c>
    </row>
    <row r="998" spans="1:11">
      <c r="A998" t="s">
        <v>3642</v>
      </c>
      <c r="B998" t="s">
        <v>10179</v>
      </c>
      <c r="C998" t="s">
        <v>9123</v>
      </c>
      <c r="D998" t="s">
        <v>6849</v>
      </c>
      <c r="E998">
        <v>765.37</v>
      </c>
      <c r="G998" s="35"/>
      <c r="H998" s="36">
        <f t="shared" si="45"/>
        <v>482.18310000000002</v>
      </c>
      <c r="I998" s="37">
        <f t="shared" si="46"/>
        <v>482.18310000000002</v>
      </c>
      <c r="J998" s="4"/>
      <c r="K998" s="38">
        <f t="shared" si="47"/>
        <v>0</v>
      </c>
    </row>
    <row r="999" spans="1:11">
      <c r="A999" t="s">
        <v>3643</v>
      </c>
      <c r="B999" t="s">
        <v>10179</v>
      </c>
      <c r="C999" t="s">
        <v>9123</v>
      </c>
      <c r="D999" t="s">
        <v>8149</v>
      </c>
      <c r="E999">
        <v>1779.93</v>
      </c>
      <c r="G999" s="35"/>
      <c r="H999" s="36">
        <f t="shared" si="45"/>
        <v>1121.3559</v>
      </c>
      <c r="I999" s="37">
        <f t="shared" si="46"/>
        <v>1121.3559</v>
      </c>
      <c r="J999" s="4"/>
      <c r="K999" s="38">
        <f t="shared" si="47"/>
        <v>0</v>
      </c>
    </row>
    <row r="1000" spans="1:11">
      <c r="A1000" t="s">
        <v>3644</v>
      </c>
      <c r="B1000" t="s">
        <v>10179</v>
      </c>
      <c r="C1000" t="s">
        <v>9123</v>
      </c>
      <c r="D1000" t="s">
        <v>8150</v>
      </c>
      <c r="E1000">
        <v>2821.73</v>
      </c>
      <c r="G1000" s="35"/>
      <c r="H1000" s="36">
        <f t="shared" si="45"/>
        <v>1777.6899000000001</v>
      </c>
      <c r="I1000" s="37">
        <f t="shared" si="46"/>
        <v>1777.6899000000001</v>
      </c>
      <c r="J1000" s="4"/>
      <c r="K1000" s="38">
        <f t="shared" si="47"/>
        <v>0</v>
      </c>
    </row>
    <row r="1001" spans="1:11">
      <c r="A1001" t="s">
        <v>3645</v>
      </c>
      <c r="B1001" t="s">
        <v>10179</v>
      </c>
      <c r="C1001" t="s">
        <v>9123</v>
      </c>
      <c r="D1001" t="s">
        <v>8151</v>
      </c>
      <c r="E1001">
        <v>5207.09</v>
      </c>
      <c r="G1001" s="35"/>
      <c r="H1001" s="36">
        <f t="shared" si="45"/>
        <v>3280.4666999999999</v>
      </c>
      <c r="I1001" s="37">
        <f t="shared" si="46"/>
        <v>3280.4666999999999</v>
      </c>
      <c r="J1001" s="4"/>
      <c r="K1001" s="38">
        <f t="shared" si="47"/>
        <v>0</v>
      </c>
    </row>
    <row r="1002" spans="1:11">
      <c r="A1002" t="s">
        <v>3646</v>
      </c>
      <c r="B1002" t="s">
        <v>10179</v>
      </c>
      <c r="C1002" t="s">
        <v>9123</v>
      </c>
      <c r="D1002" t="s">
        <v>8152</v>
      </c>
      <c r="E1002">
        <v>11737.72</v>
      </c>
      <c r="G1002" s="35"/>
      <c r="H1002" s="36">
        <f t="shared" si="45"/>
        <v>7394.7635999999993</v>
      </c>
      <c r="I1002" s="37">
        <f t="shared" si="46"/>
        <v>7394.7635999999993</v>
      </c>
      <c r="J1002" s="4"/>
      <c r="K1002" s="38">
        <f t="shared" si="47"/>
        <v>0</v>
      </c>
    </row>
    <row r="1003" spans="1:11">
      <c r="A1003" t="s">
        <v>3647</v>
      </c>
      <c r="B1003" t="s">
        <v>10179</v>
      </c>
      <c r="C1003" t="s">
        <v>9123</v>
      </c>
      <c r="D1003" t="s">
        <v>8153</v>
      </c>
      <c r="E1003">
        <v>17450.64</v>
      </c>
      <c r="G1003" s="35"/>
      <c r="H1003" s="36">
        <f t="shared" si="45"/>
        <v>10993.903199999999</v>
      </c>
      <c r="I1003" s="37">
        <f t="shared" si="46"/>
        <v>10993.903199999999</v>
      </c>
      <c r="J1003" s="4"/>
      <c r="K1003" s="38">
        <f t="shared" si="47"/>
        <v>0</v>
      </c>
    </row>
    <row r="1004" spans="1:11">
      <c r="A1004" t="s">
        <v>3648</v>
      </c>
      <c r="B1004" t="s">
        <v>10179</v>
      </c>
      <c r="C1004" t="s">
        <v>9123</v>
      </c>
      <c r="D1004" t="s">
        <v>9125</v>
      </c>
      <c r="E1004">
        <v>29936.83</v>
      </c>
      <c r="G1004" s="35"/>
      <c r="H1004" s="36">
        <f t="shared" si="45"/>
        <v>18860.2029</v>
      </c>
      <c r="I1004" s="37">
        <f t="shared" si="46"/>
        <v>18860.2029</v>
      </c>
      <c r="J1004" s="4"/>
      <c r="K1004" s="38">
        <f t="shared" si="47"/>
        <v>0</v>
      </c>
    </row>
    <row r="1005" spans="1:11">
      <c r="A1005" t="s">
        <v>3761</v>
      </c>
      <c r="B1005" t="s">
        <v>10179</v>
      </c>
      <c r="C1005" t="s">
        <v>9239</v>
      </c>
      <c r="D1005" t="s">
        <v>9240</v>
      </c>
      <c r="E1005">
        <v>28787.77</v>
      </c>
      <c r="G1005" s="35"/>
      <c r="H1005" s="36">
        <f t="shared" si="45"/>
        <v>18136.295099999999</v>
      </c>
      <c r="I1005" s="37">
        <f t="shared" si="46"/>
        <v>18136.295099999999</v>
      </c>
      <c r="J1005" s="4"/>
      <c r="K1005" s="38">
        <f t="shared" si="47"/>
        <v>0</v>
      </c>
    </row>
    <row r="1006" spans="1:11">
      <c r="A1006" t="s">
        <v>3762</v>
      </c>
      <c r="B1006" t="s">
        <v>10179</v>
      </c>
      <c r="C1006" t="s">
        <v>9239</v>
      </c>
      <c r="D1006" t="s">
        <v>9241</v>
      </c>
      <c r="E1006">
        <v>55188.82</v>
      </c>
      <c r="G1006" s="35"/>
      <c r="H1006" s="36">
        <f t="shared" si="45"/>
        <v>34768.956599999998</v>
      </c>
      <c r="I1006" s="37">
        <f t="shared" si="46"/>
        <v>34768.956599999998</v>
      </c>
      <c r="J1006" s="4"/>
      <c r="K1006" s="38">
        <f t="shared" si="47"/>
        <v>0</v>
      </c>
    </row>
    <row r="1007" spans="1:11">
      <c r="A1007" t="s">
        <v>3763</v>
      </c>
      <c r="B1007" t="s">
        <v>10179</v>
      </c>
      <c r="C1007" t="s">
        <v>9239</v>
      </c>
      <c r="D1007" t="s">
        <v>9242</v>
      </c>
      <c r="E1007">
        <v>88343.74</v>
      </c>
      <c r="G1007" s="35"/>
      <c r="H1007" s="36">
        <f t="shared" si="45"/>
        <v>55656.556200000006</v>
      </c>
      <c r="I1007" s="37">
        <f t="shared" si="46"/>
        <v>55656.556200000006</v>
      </c>
      <c r="J1007" s="4"/>
      <c r="K1007" s="38">
        <f t="shared" si="47"/>
        <v>0</v>
      </c>
    </row>
    <row r="1008" spans="1:11">
      <c r="A1008" t="s">
        <v>3764</v>
      </c>
      <c r="B1008" t="s">
        <v>10179</v>
      </c>
      <c r="C1008" t="s">
        <v>9239</v>
      </c>
      <c r="D1008" t="s">
        <v>9243</v>
      </c>
      <c r="E1008">
        <v>119663.78</v>
      </c>
      <c r="G1008" s="35"/>
      <c r="H1008" s="36">
        <f t="shared" si="45"/>
        <v>75388.181400000001</v>
      </c>
      <c r="I1008" s="37">
        <f t="shared" si="46"/>
        <v>75388.181400000001</v>
      </c>
      <c r="J1008" s="4"/>
      <c r="K1008" s="38">
        <f t="shared" si="47"/>
        <v>0</v>
      </c>
    </row>
    <row r="1009" spans="1:11">
      <c r="A1009" t="s">
        <v>3765</v>
      </c>
      <c r="B1009" t="s">
        <v>10179</v>
      </c>
      <c r="C1009" t="s">
        <v>9239</v>
      </c>
      <c r="D1009" t="s">
        <v>9244</v>
      </c>
      <c r="E1009">
        <v>231733.52</v>
      </c>
      <c r="G1009" s="35"/>
      <c r="H1009" s="36">
        <f t="shared" si="45"/>
        <v>145992.1176</v>
      </c>
      <c r="I1009" s="37">
        <f t="shared" si="46"/>
        <v>145992.1176</v>
      </c>
      <c r="J1009" s="4"/>
      <c r="K1009" s="38">
        <f t="shared" si="47"/>
        <v>0</v>
      </c>
    </row>
    <row r="1010" spans="1:11">
      <c r="A1010" t="s">
        <v>3766</v>
      </c>
      <c r="B1010" t="s">
        <v>10179</v>
      </c>
      <c r="C1010" t="s">
        <v>9239</v>
      </c>
      <c r="D1010" t="s">
        <v>9245</v>
      </c>
      <c r="E1010">
        <v>20294.490000000002</v>
      </c>
      <c r="G1010" s="35"/>
      <c r="H1010" s="36">
        <f t="shared" si="45"/>
        <v>12785.528700000001</v>
      </c>
      <c r="I1010" s="37">
        <f t="shared" si="46"/>
        <v>12785.528700000001</v>
      </c>
      <c r="J1010" s="4"/>
      <c r="K1010" s="38">
        <f t="shared" si="47"/>
        <v>0</v>
      </c>
    </row>
    <row r="1011" spans="1:11">
      <c r="A1011" t="s">
        <v>3767</v>
      </c>
      <c r="B1011" t="s">
        <v>10179</v>
      </c>
      <c r="C1011" t="s">
        <v>9239</v>
      </c>
      <c r="D1011" t="s">
        <v>9246</v>
      </c>
      <c r="E1011">
        <v>23407.16</v>
      </c>
      <c r="G1011" s="35"/>
      <c r="H1011" s="36">
        <f t="shared" si="45"/>
        <v>14746.5108</v>
      </c>
      <c r="I1011" s="37">
        <f t="shared" si="46"/>
        <v>14746.5108</v>
      </c>
      <c r="J1011" s="4"/>
      <c r="K1011" s="38">
        <f t="shared" si="47"/>
        <v>0</v>
      </c>
    </row>
    <row r="1012" spans="1:11">
      <c r="A1012" t="s">
        <v>3768</v>
      </c>
      <c r="B1012" t="s">
        <v>10179</v>
      </c>
      <c r="C1012" t="s">
        <v>9239</v>
      </c>
      <c r="D1012" t="s">
        <v>9247</v>
      </c>
      <c r="E1012">
        <v>37545.86</v>
      </c>
      <c r="G1012" s="35"/>
      <c r="H1012" s="36">
        <f t="shared" si="45"/>
        <v>23653.891800000001</v>
      </c>
      <c r="I1012" s="37">
        <f t="shared" si="46"/>
        <v>23653.891800000001</v>
      </c>
      <c r="J1012" s="4"/>
      <c r="K1012" s="38">
        <f t="shared" si="47"/>
        <v>0</v>
      </c>
    </row>
    <row r="1013" spans="1:11">
      <c r="A1013" t="s">
        <v>9891</v>
      </c>
      <c r="B1013" t="s">
        <v>10179</v>
      </c>
      <c r="C1013" t="s">
        <v>9237</v>
      </c>
      <c r="D1013" t="s">
        <v>9892</v>
      </c>
      <c r="E1013">
        <v>31612.34</v>
      </c>
      <c r="G1013" s="35"/>
      <c r="H1013" s="36">
        <f t="shared" si="45"/>
        <v>19915.7742</v>
      </c>
      <c r="I1013" s="37">
        <f t="shared" si="46"/>
        <v>19915.7742</v>
      </c>
      <c r="J1013" s="4"/>
      <c r="K1013" s="38">
        <f t="shared" si="47"/>
        <v>0</v>
      </c>
    </row>
    <row r="1014" spans="1:11">
      <c r="A1014" t="s">
        <v>9814</v>
      </c>
      <c r="B1014" t="s">
        <v>10179</v>
      </c>
      <c r="C1014" t="s">
        <v>9237</v>
      </c>
      <c r="D1014" t="s">
        <v>9815</v>
      </c>
      <c r="E1014">
        <v>47287.32</v>
      </c>
      <c r="G1014" s="35"/>
      <c r="H1014" s="36">
        <f t="shared" si="45"/>
        <v>29791.011600000002</v>
      </c>
      <c r="I1014" s="37">
        <f t="shared" si="46"/>
        <v>29791.011600000002</v>
      </c>
      <c r="J1014" s="4"/>
      <c r="K1014" s="38">
        <f t="shared" si="47"/>
        <v>0</v>
      </c>
    </row>
    <row r="1015" spans="1:11">
      <c r="A1015" t="s">
        <v>3759</v>
      </c>
      <c r="B1015" t="s">
        <v>10179</v>
      </c>
      <c r="C1015" t="s">
        <v>9237</v>
      </c>
      <c r="D1015" t="s">
        <v>9238</v>
      </c>
      <c r="E1015">
        <v>24563.4</v>
      </c>
      <c r="G1015" s="35"/>
      <c r="H1015" s="36">
        <f t="shared" si="45"/>
        <v>15474.942000000001</v>
      </c>
      <c r="I1015" s="37">
        <f t="shared" si="46"/>
        <v>15474.942000000001</v>
      </c>
      <c r="J1015" s="4"/>
      <c r="K1015" s="38">
        <f t="shared" si="47"/>
        <v>0</v>
      </c>
    </row>
    <row r="1016" spans="1:11">
      <c r="A1016" t="s">
        <v>3760</v>
      </c>
      <c r="B1016" t="s">
        <v>10179</v>
      </c>
      <c r="C1016" t="s">
        <v>9237</v>
      </c>
      <c r="D1016" t="s">
        <v>9124</v>
      </c>
      <c r="E1016">
        <v>26712.75</v>
      </c>
      <c r="G1016" s="35"/>
      <c r="H1016" s="36">
        <f t="shared" si="45"/>
        <v>16829.032500000001</v>
      </c>
      <c r="I1016" s="37">
        <f t="shared" si="46"/>
        <v>16829.032500000001</v>
      </c>
      <c r="J1016" s="4"/>
      <c r="K1016" s="38">
        <f t="shared" si="47"/>
        <v>0</v>
      </c>
    </row>
    <row r="1017" spans="1:11">
      <c r="A1017" t="s">
        <v>880</v>
      </c>
      <c r="B1017" t="s">
        <v>17</v>
      </c>
      <c r="C1017" t="s">
        <v>6531</v>
      </c>
      <c r="D1017" t="s">
        <v>6532</v>
      </c>
      <c r="E1017">
        <v>91703.33</v>
      </c>
      <c r="G1017" s="35"/>
      <c r="H1017" s="36">
        <f t="shared" si="45"/>
        <v>57773.097900000001</v>
      </c>
      <c r="I1017" s="37">
        <f t="shared" si="46"/>
        <v>57773.097900000001</v>
      </c>
      <c r="J1017" s="4"/>
      <c r="K1017" s="38">
        <f t="shared" si="47"/>
        <v>0</v>
      </c>
    </row>
    <row r="1018" spans="1:11">
      <c r="A1018" t="s">
        <v>2448</v>
      </c>
      <c r="B1018" t="s">
        <v>17</v>
      </c>
      <c r="C1018" t="s">
        <v>7971</v>
      </c>
      <c r="D1018" t="s">
        <v>7972</v>
      </c>
      <c r="E1018">
        <v>10485.78</v>
      </c>
      <c r="G1018" s="35"/>
      <c r="H1018" s="36">
        <f t="shared" si="45"/>
        <v>6606.0414000000001</v>
      </c>
      <c r="I1018" s="37">
        <f t="shared" si="46"/>
        <v>6606.0414000000001</v>
      </c>
      <c r="J1018" s="4"/>
      <c r="K1018" s="38">
        <f t="shared" si="47"/>
        <v>0</v>
      </c>
    </row>
    <row r="1019" spans="1:11">
      <c r="A1019" t="s">
        <v>2449</v>
      </c>
      <c r="B1019" t="s">
        <v>17</v>
      </c>
      <c r="C1019" t="s">
        <v>7971</v>
      </c>
      <c r="D1019" t="s">
        <v>7973</v>
      </c>
      <c r="E1019">
        <v>11895.94</v>
      </c>
      <c r="G1019" s="35"/>
      <c r="H1019" s="36">
        <f t="shared" si="45"/>
        <v>7494.4422000000004</v>
      </c>
      <c r="I1019" s="37">
        <f t="shared" si="46"/>
        <v>7494.4422000000004</v>
      </c>
      <c r="J1019" s="4"/>
      <c r="K1019" s="38">
        <f t="shared" si="47"/>
        <v>0</v>
      </c>
    </row>
    <row r="1020" spans="1:11">
      <c r="A1020" t="s">
        <v>2920</v>
      </c>
      <c r="B1020" t="s">
        <v>17</v>
      </c>
      <c r="C1020" t="s">
        <v>8418</v>
      </c>
      <c r="D1020" t="s">
        <v>8419</v>
      </c>
      <c r="E1020">
        <v>18656.29</v>
      </c>
      <c r="G1020" s="35"/>
      <c r="H1020" s="36">
        <f t="shared" si="45"/>
        <v>11753.4627</v>
      </c>
      <c r="I1020" s="37">
        <f t="shared" si="46"/>
        <v>11753.4627</v>
      </c>
      <c r="J1020" s="4"/>
      <c r="K1020" s="38">
        <f t="shared" si="47"/>
        <v>0</v>
      </c>
    </row>
    <row r="1021" spans="1:11">
      <c r="A1021" t="s">
        <v>2921</v>
      </c>
      <c r="B1021" t="s">
        <v>17</v>
      </c>
      <c r="C1021" t="s">
        <v>8418</v>
      </c>
      <c r="D1021" t="s">
        <v>8420</v>
      </c>
      <c r="E1021">
        <v>274445.42</v>
      </c>
      <c r="G1021" s="35"/>
      <c r="H1021" s="36">
        <f t="shared" si="45"/>
        <v>172900.6146</v>
      </c>
      <c r="I1021" s="37">
        <f t="shared" si="46"/>
        <v>172900.6146</v>
      </c>
      <c r="J1021" s="4"/>
      <c r="K1021" s="38">
        <f t="shared" si="47"/>
        <v>0</v>
      </c>
    </row>
    <row r="1022" spans="1:11">
      <c r="A1022" t="s">
        <v>2922</v>
      </c>
      <c r="B1022" t="s">
        <v>17</v>
      </c>
      <c r="C1022" t="s">
        <v>8418</v>
      </c>
      <c r="D1022" t="s">
        <v>8421</v>
      </c>
      <c r="E1022">
        <v>116139.96</v>
      </c>
      <c r="G1022" s="35"/>
      <c r="H1022" s="36">
        <f t="shared" si="45"/>
        <v>73168.174800000008</v>
      </c>
      <c r="I1022" s="37">
        <f t="shared" si="46"/>
        <v>73168.174800000008</v>
      </c>
      <c r="J1022" s="4"/>
      <c r="K1022" s="38">
        <f t="shared" si="47"/>
        <v>0</v>
      </c>
    </row>
    <row r="1023" spans="1:11">
      <c r="A1023" t="s">
        <v>2923</v>
      </c>
      <c r="B1023" t="s">
        <v>17</v>
      </c>
      <c r="C1023" t="s">
        <v>8418</v>
      </c>
      <c r="D1023" t="s">
        <v>8422</v>
      </c>
      <c r="E1023">
        <v>8059.72</v>
      </c>
      <c r="G1023" s="35"/>
      <c r="H1023" s="36">
        <f t="shared" si="45"/>
        <v>5077.6235999999999</v>
      </c>
      <c r="I1023" s="37">
        <f t="shared" si="46"/>
        <v>5077.6235999999999</v>
      </c>
      <c r="J1023" s="4"/>
      <c r="K1023" s="38">
        <f t="shared" si="47"/>
        <v>0</v>
      </c>
    </row>
    <row r="1024" spans="1:11">
      <c r="A1024" t="s">
        <v>2924</v>
      </c>
      <c r="B1024" t="s">
        <v>17</v>
      </c>
      <c r="C1024" t="s">
        <v>8418</v>
      </c>
      <c r="D1024" t="s">
        <v>8423</v>
      </c>
      <c r="E1024">
        <v>182203.25</v>
      </c>
      <c r="G1024" s="35"/>
      <c r="H1024" s="36">
        <f t="shared" si="45"/>
        <v>114788.0475</v>
      </c>
      <c r="I1024" s="37">
        <f t="shared" si="46"/>
        <v>114788.0475</v>
      </c>
      <c r="J1024" s="4"/>
      <c r="K1024" s="38">
        <f t="shared" si="47"/>
        <v>0</v>
      </c>
    </row>
    <row r="1025" spans="1:11">
      <c r="A1025" t="s">
        <v>2925</v>
      </c>
      <c r="B1025" t="s">
        <v>17</v>
      </c>
      <c r="C1025" t="s">
        <v>8418</v>
      </c>
      <c r="D1025" t="s">
        <v>8424</v>
      </c>
      <c r="E1025">
        <v>20555.54</v>
      </c>
      <c r="G1025" s="35"/>
      <c r="H1025" s="36">
        <f t="shared" si="45"/>
        <v>12949.9902</v>
      </c>
      <c r="I1025" s="37">
        <f t="shared" si="46"/>
        <v>12949.9902</v>
      </c>
      <c r="J1025" s="4"/>
      <c r="K1025" s="38">
        <f t="shared" si="47"/>
        <v>0</v>
      </c>
    </row>
    <row r="1026" spans="1:11">
      <c r="A1026" t="s">
        <v>2926</v>
      </c>
      <c r="B1026" t="s">
        <v>17</v>
      </c>
      <c r="C1026" t="s">
        <v>8418</v>
      </c>
      <c r="D1026" t="s">
        <v>8425</v>
      </c>
      <c r="E1026">
        <v>30133.46</v>
      </c>
      <c r="G1026" s="35"/>
      <c r="H1026" s="36">
        <f t="shared" si="45"/>
        <v>18984.0798</v>
      </c>
      <c r="I1026" s="37">
        <f t="shared" si="46"/>
        <v>18984.0798</v>
      </c>
      <c r="J1026" s="4"/>
      <c r="K1026" s="38">
        <f t="shared" si="47"/>
        <v>0</v>
      </c>
    </row>
    <row r="1027" spans="1:11">
      <c r="A1027" t="s">
        <v>2927</v>
      </c>
      <c r="B1027" t="s">
        <v>17</v>
      </c>
      <c r="C1027" t="s">
        <v>8418</v>
      </c>
      <c r="D1027" t="s">
        <v>8426</v>
      </c>
      <c r="E1027">
        <v>47395.7</v>
      </c>
      <c r="G1027" s="35"/>
      <c r="H1027" s="36">
        <f t="shared" si="45"/>
        <v>29859.290999999997</v>
      </c>
      <c r="I1027" s="37">
        <f t="shared" si="46"/>
        <v>29859.290999999997</v>
      </c>
      <c r="J1027" s="4"/>
      <c r="K1027" s="38">
        <f t="shared" si="47"/>
        <v>0</v>
      </c>
    </row>
    <row r="1028" spans="1:11">
      <c r="A1028" t="s">
        <v>2928</v>
      </c>
      <c r="B1028" t="s">
        <v>17</v>
      </c>
      <c r="C1028" t="s">
        <v>8418</v>
      </c>
      <c r="D1028" t="s">
        <v>8427</v>
      </c>
      <c r="E1028">
        <v>8059.72</v>
      </c>
      <c r="G1028" s="35"/>
      <c r="H1028" s="36">
        <f t="shared" si="45"/>
        <v>5077.6235999999999</v>
      </c>
      <c r="I1028" s="37">
        <f t="shared" si="46"/>
        <v>5077.6235999999999</v>
      </c>
      <c r="J1028" s="4"/>
      <c r="K1028" s="38">
        <f t="shared" si="47"/>
        <v>0</v>
      </c>
    </row>
    <row r="1029" spans="1:11">
      <c r="A1029" t="s">
        <v>2929</v>
      </c>
      <c r="B1029" t="s">
        <v>17</v>
      </c>
      <c r="C1029" t="s">
        <v>8418</v>
      </c>
      <c r="D1029" t="s">
        <v>8428</v>
      </c>
      <c r="E1029">
        <v>9623.7099999999991</v>
      </c>
      <c r="G1029" s="35"/>
      <c r="H1029" s="36">
        <f t="shared" si="45"/>
        <v>6062.9372999999996</v>
      </c>
      <c r="I1029" s="37">
        <f t="shared" si="46"/>
        <v>6062.9372999999996</v>
      </c>
      <c r="J1029" s="4"/>
      <c r="K1029" s="38">
        <f t="shared" si="47"/>
        <v>0</v>
      </c>
    </row>
    <row r="1030" spans="1:11">
      <c r="A1030" t="s">
        <v>2930</v>
      </c>
      <c r="B1030" t="s">
        <v>17</v>
      </c>
      <c r="C1030" t="s">
        <v>8418</v>
      </c>
      <c r="D1030" t="s">
        <v>8429</v>
      </c>
      <c r="E1030">
        <v>14743.98</v>
      </c>
      <c r="G1030" s="35"/>
      <c r="H1030" s="36">
        <f t="shared" si="45"/>
        <v>9288.7073999999993</v>
      </c>
      <c r="I1030" s="37">
        <f t="shared" si="46"/>
        <v>9288.7073999999993</v>
      </c>
      <c r="J1030" s="4"/>
      <c r="K1030" s="38">
        <f t="shared" si="47"/>
        <v>0</v>
      </c>
    </row>
    <row r="1031" spans="1:11">
      <c r="A1031" t="s">
        <v>2999</v>
      </c>
      <c r="B1031" t="s">
        <v>17</v>
      </c>
      <c r="C1031" t="s">
        <v>8499</v>
      </c>
      <c r="D1031" t="s">
        <v>8500</v>
      </c>
      <c r="E1031">
        <v>60547.7</v>
      </c>
      <c r="G1031" s="35"/>
      <c r="H1031" s="36">
        <f t="shared" ref="H1031:H1094" si="48">+E1031*$H$1*(1-G1031)</f>
        <v>38145.050999999999</v>
      </c>
      <c r="I1031" s="37">
        <f t="shared" ref="I1031:I1094" si="49">H1031*$H$4</f>
        <v>38145.050999999999</v>
      </c>
      <c r="J1031" s="4"/>
      <c r="K1031" s="38">
        <f t="shared" ref="K1031:K1094" si="50">J1031*I1031</f>
        <v>0</v>
      </c>
    </row>
    <row r="1032" spans="1:11">
      <c r="A1032" t="s">
        <v>3000</v>
      </c>
      <c r="B1032" t="s">
        <v>17</v>
      </c>
      <c r="C1032" t="s">
        <v>8499</v>
      </c>
      <c r="D1032" t="s">
        <v>8501</v>
      </c>
      <c r="E1032">
        <v>60925.19</v>
      </c>
      <c r="G1032" s="35"/>
      <c r="H1032" s="36">
        <f t="shared" si="48"/>
        <v>38382.869700000003</v>
      </c>
      <c r="I1032" s="37">
        <f t="shared" si="49"/>
        <v>38382.869700000003</v>
      </c>
      <c r="J1032" s="4"/>
      <c r="K1032" s="38">
        <f t="shared" si="50"/>
        <v>0</v>
      </c>
    </row>
    <row r="1033" spans="1:11">
      <c r="A1033" t="s">
        <v>3001</v>
      </c>
      <c r="B1033" t="s">
        <v>17</v>
      </c>
      <c r="C1033" t="s">
        <v>8499</v>
      </c>
      <c r="D1033" t="s">
        <v>8502</v>
      </c>
      <c r="E1033">
        <v>61700.99</v>
      </c>
      <c r="G1033" s="35"/>
      <c r="H1033" s="36">
        <f t="shared" si="48"/>
        <v>38871.623699999996</v>
      </c>
      <c r="I1033" s="37">
        <f t="shared" si="49"/>
        <v>38871.623699999996</v>
      </c>
      <c r="J1033" s="4"/>
      <c r="K1033" s="38">
        <f t="shared" si="50"/>
        <v>0</v>
      </c>
    </row>
    <row r="1034" spans="1:11">
      <c r="A1034" t="s">
        <v>3002</v>
      </c>
      <c r="B1034" t="s">
        <v>17</v>
      </c>
      <c r="C1034" t="s">
        <v>8499</v>
      </c>
      <c r="D1034" t="s">
        <v>8503</v>
      </c>
      <c r="E1034">
        <v>59447.91</v>
      </c>
      <c r="G1034" s="35"/>
      <c r="H1034" s="36">
        <f t="shared" si="48"/>
        <v>37452.183300000004</v>
      </c>
      <c r="I1034" s="37">
        <f t="shared" si="49"/>
        <v>37452.183300000004</v>
      </c>
      <c r="J1034" s="4"/>
      <c r="K1034" s="38">
        <f t="shared" si="50"/>
        <v>0</v>
      </c>
    </row>
    <row r="1035" spans="1:11">
      <c r="A1035" t="s">
        <v>3996</v>
      </c>
      <c r="B1035" t="s">
        <v>17</v>
      </c>
      <c r="C1035" t="s">
        <v>9460</v>
      </c>
      <c r="D1035" t="s">
        <v>9461</v>
      </c>
      <c r="E1035">
        <v>450.43</v>
      </c>
      <c r="G1035" s="35"/>
      <c r="H1035" s="36">
        <f t="shared" si="48"/>
        <v>283.77089999999998</v>
      </c>
      <c r="I1035" s="37">
        <f t="shared" si="49"/>
        <v>283.77089999999998</v>
      </c>
      <c r="J1035" s="4"/>
      <c r="K1035" s="38">
        <f t="shared" si="50"/>
        <v>0</v>
      </c>
    </row>
    <row r="1036" spans="1:11">
      <c r="A1036" t="s">
        <v>3997</v>
      </c>
      <c r="B1036" t="s">
        <v>17</v>
      </c>
      <c r="C1036" t="s">
        <v>9460</v>
      </c>
      <c r="D1036" t="s">
        <v>9462</v>
      </c>
      <c r="E1036">
        <v>502.29</v>
      </c>
      <c r="G1036" s="35"/>
      <c r="H1036" s="36">
        <f t="shared" si="48"/>
        <v>316.4427</v>
      </c>
      <c r="I1036" s="37">
        <f t="shared" si="49"/>
        <v>316.4427</v>
      </c>
      <c r="J1036" s="4"/>
      <c r="K1036" s="38">
        <f t="shared" si="50"/>
        <v>0</v>
      </c>
    </row>
    <row r="1037" spans="1:11">
      <c r="A1037" t="s">
        <v>11952</v>
      </c>
      <c r="B1037" t="s">
        <v>17</v>
      </c>
      <c r="C1037" t="s">
        <v>5622</v>
      </c>
      <c r="D1037" t="s">
        <v>5623</v>
      </c>
      <c r="E1037">
        <v>443.53</v>
      </c>
      <c r="G1037" s="35"/>
      <c r="H1037" s="36">
        <f t="shared" si="48"/>
        <v>279.4239</v>
      </c>
      <c r="I1037" s="37">
        <f t="shared" si="49"/>
        <v>279.4239</v>
      </c>
      <c r="J1037" s="4"/>
      <c r="K1037" s="38">
        <f t="shared" si="50"/>
        <v>0</v>
      </c>
    </row>
    <row r="1038" spans="1:11">
      <c r="A1038" t="s">
        <v>19</v>
      </c>
      <c r="B1038" t="s">
        <v>17</v>
      </c>
      <c r="C1038" t="s">
        <v>5622</v>
      </c>
      <c r="D1038" t="s">
        <v>5624</v>
      </c>
      <c r="E1038">
        <v>443.57</v>
      </c>
      <c r="G1038" s="35"/>
      <c r="H1038" s="36">
        <f t="shared" si="48"/>
        <v>279.44909999999999</v>
      </c>
      <c r="I1038" s="37">
        <f t="shared" si="49"/>
        <v>279.44909999999999</v>
      </c>
      <c r="J1038" s="4"/>
      <c r="K1038" s="38">
        <f t="shared" si="50"/>
        <v>0</v>
      </c>
    </row>
    <row r="1039" spans="1:11">
      <c r="A1039" t="s">
        <v>20</v>
      </c>
      <c r="B1039" t="s">
        <v>17</v>
      </c>
      <c r="C1039" t="s">
        <v>5622</v>
      </c>
      <c r="D1039" t="s">
        <v>5625</v>
      </c>
      <c r="E1039">
        <v>559.22</v>
      </c>
      <c r="G1039" s="35"/>
      <c r="H1039" s="36">
        <f t="shared" si="48"/>
        <v>352.30860000000001</v>
      </c>
      <c r="I1039" s="37">
        <f t="shared" si="49"/>
        <v>352.30860000000001</v>
      </c>
      <c r="J1039" s="4"/>
      <c r="K1039" s="38">
        <f t="shared" si="50"/>
        <v>0</v>
      </c>
    </row>
    <row r="1040" spans="1:11">
      <c r="A1040" t="s">
        <v>21</v>
      </c>
      <c r="B1040" t="s">
        <v>17</v>
      </c>
      <c r="C1040" t="s">
        <v>5622</v>
      </c>
      <c r="D1040" t="s">
        <v>5626</v>
      </c>
      <c r="E1040">
        <v>725.25</v>
      </c>
      <c r="G1040" s="35"/>
      <c r="H1040" s="36">
        <f t="shared" si="48"/>
        <v>456.90750000000003</v>
      </c>
      <c r="I1040" s="37">
        <f t="shared" si="49"/>
        <v>456.90750000000003</v>
      </c>
      <c r="J1040" s="4"/>
      <c r="K1040" s="38">
        <f t="shared" si="50"/>
        <v>0</v>
      </c>
    </row>
    <row r="1041" spans="1:11">
      <c r="A1041" t="s">
        <v>22</v>
      </c>
      <c r="B1041" t="s">
        <v>17</v>
      </c>
      <c r="C1041" t="s">
        <v>5622</v>
      </c>
      <c r="D1041" t="s">
        <v>5627</v>
      </c>
      <c r="E1041">
        <v>717.93</v>
      </c>
      <c r="G1041" s="35"/>
      <c r="H1041" s="36">
        <f t="shared" si="48"/>
        <v>452.29589999999996</v>
      </c>
      <c r="I1041" s="37">
        <f t="shared" si="49"/>
        <v>452.29589999999996</v>
      </c>
      <c r="J1041" s="4"/>
      <c r="K1041" s="38">
        <f t="shared" si="50"/>
        <v>0</v>
      </c>
    </row>
    <row r="1042" spans="1:11">
      <c r="A1042" t="s">
        <v>23</v>
      </c>
      <c r="B1042" t="s">
        <v>17</v>
      </c>
      <c r="C1042" t="s">
        <v>5622</v>
      </c>
      <c r="D1042" t="s">
        <v>5628</v>
      </c>
      <c r="E1042">
        <v>1763.43</v>
      </c>
      <c r="G1042" s="35"/>
      <c r="H1042" s="36">
        <f t="shared" si="48"/>
        <v>1110.9609</v>
      </c>
      <c r="I1042" s="37">
        <f t="shared" si="49"/>
        <v>1110.9609</v>
      </c>
      <c r="J1042" s="4"/>
      <c r="K1042" s="38">
        <f t="shared" si="50"/>
        <v>0</v>
      </c>
    </row>
    <row r="1043" spans="1:11">
      <c r="A1043" t="s">
        <v>24</v>
      </c>
      <c r="B1043" t="s">
        <v>17</v>
      </c>
      <c r="C1043" t="s">
        <v>5622</v>
      </c>
      <c r="D1043" t="s">
        <v>5629</v>
      </c>
      <c r="E1043">
        <v>2187.94</v>
      </c>
      <c r="G1043" s="35"/>
      <c r="H1043" s="36">
        <f t="shared" si="48"/>
        <v>1378.4022</v>
      </c>
      <c r="I1043" s="37">
        <f t="shared" si="49"/>
        <v>1378.4022</v>
      </c>
      <c r="J1043" s="4"/>
      <c r="K1043" s="38">
        <f t="shared" si="50"/>
        <v>0</v>
      </c>
    </row>
    <row r="1044" spans="1:11">
      <c r="A1044" t="s">
        <v>25</v>
      </c>
      <c r="B1044" t="s">
        <v>17</v>
      </c>
      <c r="C1044" t="s">
        <v>5622</v>
      </c>
      <c r="D1044" t="s">
        <v>5630</v>
      </c>
      <c r="E1044">
        <v>1990.96</v>
      </c>
      <c r="G1044" s="35"/>
      <c r="H1044" s="36">
        <f t="shared" si="48"/>
        <v>1254.3048000000001</v>
      </c>
      <c r="I1044" s="37">
        <f t="shared" si="49"/>
        <v>1254.3048000000001</v>
      </c>
      <c r="J1044" s="4"/>
      <c r="K1044" s="38">
        <f t="shared" si="50"/>
        <v>0</v>
      </c>
    </row>
    <row r="1045" spans="1:11">
      <c r="A1045" t="s">
        <v>26</v>
      </c>
      <c r="B1045" t="s">
        <v>17</v>
      </c>
      <c r="C1045" t="s">
        <v>5622</v>
      </c>
      <c r="D1045" t="s">
        <v>5631</v>
      </c>
      <c r="E1045">
        <v>1731.38</v>
      </c>
      <c r="G1045" s="35"/>
      <c r="H1045" s="36">
        <f t="shared" si="48"/>
        <v>1090.7694000000001</v>
      </c>
      <c r="I1045" s="37">
        <f t="shared" si="49"/>
        <v>1090.7694000000001</v>
      </c>
      <c r="J1045" s="4"/>
      <c r="K1045" s="38">
        <f t="shared" si="50"/>
        <v>0</v>
      </c>
    </row>
    <row r="1046" spans="1:11">
      <c r="A1046" t="s">
        <v>27</v>
      </c>
      <c r="B1046" t="s">
        <v>17</v>
      </c>
      <c r="C1046" t="s">
        <v>5622</v>
      </c>
      <c r="D1046" t="s">
        <v>5632</v>
      </c>
      <c r="E1046">
        <v>876.59</v>
      </c>
      <c r="G1046" s="35"/>
      <c r="H1046" s="36">
        <f t="shared" si="48"/>
        <v>552.25170000000003</v>
      </c>
      <c r="I1046" s="37">
        <f t="shared" si="49"/>
        <v>552.25170000000003</v>
      </c>
      <c r="J1046" s="4"/>
      <c r="K1046" s="38">
        <f t="shared" si="50"/>
        <v>0</v>
      </c>
    </row>
    <row r="1047" spans="1:11">
      <c r="A1047" t="s">
        <v>28</v>
      </c>
      <c r="B1047" t="s">
        <v>17</v>
      </c>
      <c r="C1047" t="s">
        <v>5622</v>
      </c>
      <c r="D1047" t="s">
        <v>5633</v>
      </c>
      <c r="E1047">
        <v>2125.71</v>
      </c>
      <c r="G1047" s="35"/>
      <c r="H1047" s="36">
        <f t="shared" si="48"/>
        <v>1339.1973</v>
      </c>
      <c r="I1047" s="37">
        <f t="shared" si="49"/>
        <v>1339.1973</v>
      </c>
      <c r="J1047" s="4"/>
      <c r="K1047" s="38">
        <f t="shared" si="50"/>
        <v>0</v>
      </c>
    </row>
    <row r="1048" spans="1:11">
      <c r="A1048" t="s">
        <v>29</v>
      </c>
      <c r="B1048" t="s">
        <v>17</v>
      </c>
      <c r="C1048" t="s">
        <v>5622</v>
      </c>
      <c r="D1048" t="s">
        <v>5634</v>
      </c>
      <c r="E1048">
        <v>6849.8</v>
      </c>
      <c r="G1048" s="35"/>
      <c r="H1048" s="36">
        <f t="shared" si="48"/>
        <v>4315.3739999999998</v>
      </c>
      <c r="I1048" s="37">
        <f t="shared" si="49"/>
        <v>4315.3739999999998</v>
      </c>
      <c r="J1048" s="4"/>
      <c r="K1048" s="38">
        <f t="shared" si="50"/>
        <v>0</v>
      </c>
    </row>
    <row r="1049" spans="1:11">
      <c r="A1049" t="s">
        <v>30</v>
      </c>
      <c r="B1049" t="s">
        <v>17</v>
      </c>
      <c r="C1049" t="s">
        <v>5622</v>
      </c>
      <c r="D1049" t="s">
        <v>5635</v>
      </c>
      <c r="E1049">
        <v>8313.36</v>
      </c>
      <c r="G1049" s="35"/>
      <c r="H1049" s="36">
        <f t="shared" si="48"/>
        <v>5237.4168</v>
      </c>
      <c r="I1049" s="37">
        <f t="shared" si="49"/>
        <v>5237.4168</v>
      </c>
      <c r="J1049" s="4"/>
      <c r="K1049" s="38">
        <f t="shared" si="50"/>
        <v>0</v>
      </c>
    </row>
    <row r="1050" spans="1:11">
      <c r="A1050" t="s">
        <v>31</v>
      </c>
      <c r="B1050" t="s">
        <v>17</v>
      </c>
      <c r="C1050" t="s">
        <v>5622</v>
      </c>
      <c r="D1050" t="s">
        <v>5636</v>
      </c>
      <c r="E1050">
        <v>1867.93</v>
      </c>
      <c r="G1050" s="35"/>
      <c r="H1050" s="36">
        <f t="shared" si="48"/>
        <v>1176.7959000000001</v>
      </c>
      <c r="I1050" s="37">
        <f t="shared" si="49"/>
        <v>1176.7959000000001</v>
      </c>
      <c r="J1050" s="4"/>
      <c r="K1050" s="38">
        <f t="shared" si="50"/>
        <v>0</v>
      </c>
    </row>
    <row r="1051" spans="1:11">
      <c r="A1051" t="s">
        <v>32</v>
      </c>
      <c r="B1051" t="s">
        <v>17</v>
      </c>
      <c r="C1051" t="s">
        <v>5622</v>
      </c>
      <c r="D1051" t="s">
        <v>5637</v>
      </c>
      <c r="E1051">
        <v>4965.88</v>
      </c>
      <c r="G1051" s="35"/>
      <c r="H1051" s="36">
        <f t="shared" si="48"/>
        <v>3128.5044000000003</v>
      </c>
      <c r="I1051" s="37">
        <f t="shared" si="49"/>
        <v>3128.5044000000003</v>
      </c>
      <c r="J1051" s="4"/>
      <c r="K1051" s="38">
        <f t="shared" si="50"/>
        <v>0</v>
      </c>
    </row>
    <row r="1052" spans="1:11">
      <c r="A1052" t="s">
        <v>33</v>
      </c>
      <c r="B1052" t="s">
        <v>17</v>
      </c>
      <c r="C1052" t="s">
        <v>5622</v>
      </c>
      <c r="D1052" t="s">
        <v>5638</v>
      </c>
      <c r="E1052">
        <v>4599.22</v>
      </c>
      <c r="G1052" s="35"/>
      <c r="H1052" s="36">
        <f t="shared" si="48"/>
        <v>2897.5086000000001</v>
      </c>
      <c r="I1052" s="37">
        <f t="shared" si="49"/>
        <v>2897.5086000000001</v>
      </c>
      <c r="J1052" s="4"/>
      <c r="K1052" s="38">
        <f t="shared" si="50"/>
        <v>0</v>
      </c>
    </row>
    <row r="1053" spans="1:11">
      <c r="A1053" t="s">
        <v>34</v>
      </c>
      <c r="B1053" t="s">
        <v>17</v>
      </c>
      <c r="C1053" t="s">
        <v>5622</v>
      </c>
      <c r="D1053" t="s">
        <v>5639</v>
      </c>
      <c r="E1053">
        <v>9825.65</v>
      </c>
      <c r="G1053" s="35"/>
      <c r="H1053" s="36">
        <f t="shared" si="48"/>
        <v>6190.1594999999998</v>
      </c>
      <c r="I1053" s="37">
        <f t="shared" si="49"/>
        <v>6190.1594999999998</v>
      </c>
      <c r="J1053" s="4"/>
      <c r="K1053" s="38">
        <f t="shared" si="50"/>
        <v>0</v>
      </c>
    </row>
    <row r="1054" spans="1:11">
      <c r="A1054" t="s">
        <v>35</v>
      </c>
      <c r="B1054" t="s">
        <v>17</v>
      </c>
      <c r="C1054" t="s">
        <v>5622</v>
      </c>
      <c r="D1054" t="s">
        <v>5640</v>
      </c>
      <c r="E1054">
        <v>19611</v>
      </c>
      <c r="G1054" s="35"/>
      <c r="H1054" s="36">
        <f t="shared" si="48"/>
        <v>12354.93</v>
      </c>
      <c r="I1054" s="37">
        <f t="shared" si="49"/>
        <v>12354.93</v>
      </c>
      <c r="J1054" s="4"/>
      <c r="K1054" s="38">
        <f t="shared" si="50"/>
        <v>0</v>
      </c>
    </row>
    <row r="1055" spans="1:11">
      <c r="A1055" t="s">
        <v>664</v>
      </c>
      <c r="B1055" t="s">
        <v>17</v>
      </c>
      <c r="C1055" t="s">
        <v>6321</v>
      </c>
      <c r="D1055" t="s">
        <v>6322</v>
      </c>
      <c r="E1055">
        <v>8976.11</v>
      </c>
      <c r="G1055" s="35"/>
      <c r="H1055" s="36">
        <f t="shared" si="48"/>
        <v>5654.9493000000002</v>
      </c>
      <c r="I1055" s="37">
        <f t="shared" si="49"/>
        <v>5654.9493000000002</v>
      </c>
      <c r="J1055" s="4"/>
      <c r="K1055" s="38">
        <f t="shared" si="50"/>
        <v>0</v>
      </c>
    </row>
    <row r="1056" spans="1:11">
      <c r="A1056" t="s">
        <v>665</v>
      </c>
      <c r="B1056" t="s">
        <v>17</v>
      </c>
      <c r="C1056" t="s">
        <v>6321</v>
      </c>
      <c r="D1056" t="s">
        <v>6323</v>
      </c>
      <c r="E1056">
        <v>16712.900000000001</v>
      </c>
      <c r="G1056" s="35"/>
      <c r="H1056" s="36">
        <f t="shared" si="48"/>
        <v>10529.127</v>
      </c>
      <c r="I1056" s="37">
        <f t="shared" si="49"/>
        <v>10529.127</v>
      </c>
      <c r="J1056" s="4"/>
      <c r="K1056" s="38">
        <f t="shared" si="50"/>
        <v>0</v>
      </c>
    </row>
    <row r="1057" spans="1:11">
      <c r="A1057" t="s">
        <v>666</v>
      </c>
      <c r="B1057" t="s">
        <v>17</v>
      </c>
      <c r="C1057" t="s">
        <v>6321</v>
      </c>
      <c r="D1057" t="s">
        <v>6324</v>
      </c>
      <c r="E1057">
        <v>20072.16</v>
      </c>
      <c r="G1057" s="35"/>
      <c r="H1057" s="36">
        <f t="shared" si="48"/>
        <v>12645.460800000001</v>
      </c>
      <c r="I1057" s="37">
        <f t="shared" si="49"/>
        <v>12645.460800000001</v>
      </c>
      <c r="J1057" s="4"/>
      <c r="K1057" s="38">
        <f t="shared" si="50"/>
        <v>0</v>
      </c>
    </row>
    <row r="1058" spans="1:11">
      <c r="A1058" t="s">
        <v>667</v>
      </c>
      <c r="B1058" t="s">
        <v>17</v>
      </c>
      <c r="C1058" t="s">
        <v>6325</v>
      </c>
      <c r="D1058" t="s">
        <v>6326</v>
      </c>
      <c r="E1058">
        <v>1056.0899999999999</v>
      </c>
      <c r="G1058" s="35"/>
      <c r="H1058" s="36">
        <f t="shared" si="48"/>
        <v>665.33669999999995</v>
      </c>
      <c r="I1058" s="37">
        <f t="shared" si="49"/>
        <v>665.33669999999995</v>
      </c>
      <c r="J1058" s="4"/>
      <c r="K1058" s="38">
        <f t="shared" si="50"/>
        <v>0</v>
      </c>
    </row>
    <row r="1059" spans="1:11">
      <c r="A1059" t="s">
        <v>668</v>
      </c>
      <c r="B1059" t="s">
        <v>17</v>
      </c>
      <c r="C1059" t="s">
        <v>6325</v>
      </c>
      <c r="D1059" t="s">
        <v>6327</v>
      </c>
      <c r="E1059">
        <v>1057.28</v>
      </c>
      <c r="G1059" s="35"/>
      <c r="H1059" s="36">
        <f t="shared" si="48"/>
        <v>666.08640000000003</v>
      </c>
      <c r="I1059" s="37">
        <f t="shared" si="49"/>
        <v>666.08640000000003</v>
      </c>
      <c r="J1059" s="4"/>
      <c r="K1059" s="38">
        <f t="shared" si="50"/>
        <v>0</v>
      </c>
    </row>
    <row r="1060" spans="1:11">
      <c r="A1060" t="s">
        <v>669</v>
      </c>
      <c r="B1060" t="s">
        <v>17</v>
      </c>
      <c r="C1060" t="s">
        <v>6325</v>
      </c>
      <c r="D1060" t="s">
        <v>6328</v>
      </c>
      <c r="E1060">
        <v>1335.52</v>
      </c>
      <c r="G1060" s="35"/>
      <c r="H1060" s="36">
        <f t="shared" si="48"/>
        <v>841.37760000000003</v>
      </c>
      <c r="I1060" s="37">
        <f t="shared" si="49"/>
        <v>841.37760000000003</v>
      </c>
      <c r="J1060" s="4"/>
      <c r="K1060" s="38">
        <f t="shared" si="50"/>
        <v>0</v>
      </c>
    </row>
    <row r="1061" spans="1:11">
      <c r="A1061" t="s">
        <v>670</v>
      </c>
      <c r="B1061" t="s">
        <v>17</v>
      </c>
      <c r="C1061" t="s">
        <v>6325</v>
      </c>
      <c r="D1061" t="s">
        <v>6329</v>
      </c>
      <c r="E1061">
        <v>1993.61</v>
      </c>
      <c r="G1061" s="35"/>
      <c r="H1061" s="36">
        <f t="shared" si="48"/>
        <v>1255.9742999999999</v>
      </c>
      <c r="I1061" s="37">
        <f t="shared" si="49"/>
        <v>1255.9742999999999</v>
      </c>
      <c r="J1061" s="4"/>
      <c r="K1061" s="38">
        <f t="shared" si="50"/>
        <v>0</v>
      </c>
    </row>
    <row r="1062" spans="1:11">
      <c r="A1062" t="s">
        <v>671</v>
      </c>
      <c r="B1062" t="s">
        <v>17</v>
      </c>
      <c r="C1062" t="s">
        <v>6325</v>
      </c>
      <c r="D1062" t="s">
        <v>6330</v>
      </c>
      <c r="E1062">
        <v>3367.06</v>
      </c>
      <c r="G1062" s="35"/>
      <c r="H1062" s="36">
        <f t="shared" si="48"/>
        <v>2121.2478000000001</v>
      </c>
      <c r="I1062" s="37">
        <f t="shared" si="49"/>
        <v>2121.2478000000001</v>
      </c>
      <c r="J1062" s="4"/>
      <c r="K1062" s="38">
        <f t="shared" si="50"/>
        <v>0</v>
      </c>
    </row>
    <row r="1063" spans="1:11">
      <c r="A1063" t="s">
        <v>672</v>
      </c>
      <c r="B1063" t="s">
        <v>17</v>
      </c>
      <c r="C1063" t="s">
        <v>6325</v>
      </c>
      <c r="D1063" t="s">
        <v>6331</v>
      </c>
      <c r="E1063">
        <v>5755.17</v>
      </c>
      <c r="G1063" s="35"/>
      <c r="H1063" s="36">
        <f t="shared" si="48"/>
        <v>3625.7571000000003</v>
      </c>
      <c r="I1063" s="37">
        <f t="shared" si="49"/>
        <v>3625.7571000000003</v>
      </c>
      <c r="J1063" s="4"/>
      <c r="K1063" s="38">
        <f t="shared" si="50"/>
        <v>0</v>
      </c>
    </row>
    <row r="1064" spans="1:11">
      <c r="A1064" t="s">
        <v>673</v>
      </c>
      <c r="B1064" t="s">
        <v>17</v>
      </c>
      <c r="C1064" t="s">
        <v>6325</v>
      </c>
      <c r="D1064" t="s">
        <v>6332</v>
      </c>
      <c r="E1064">
        <v>8599.15</v>
      </c>
      <c r="G1064" s="35"/>
      <c r="H1064" s="36">
        <f t="shared" si="48"/>
        <v>5417.4645</v>
      </c>
      <c r="I1064" s="37">
        <f t="shared" si="49"/>
        <v>5417.4645</v>
      </c>
      <c r="J1064" s="4"/>
      <c r="K1064" s="38">
        <f t="shared" si="50"/>
        <v>0</v>
      </c>
    </row>
    <row r="1065" spans="1:11">
      <c r="A1065" t="s">
        <v>674</v>
      </c>
      <c r="B1065" t="s">
        <v>17</v>
      </c>
      <c r="C1065" t="s">
        <v>6325</v>
      </c>
      <c r="D1065" t="s">
        <v>6333</v>
      </c>
      <c r="E1065">
        <v>12248.84</v>
      </c>
      <c r="G1065" s="35"/>
      <c r="H1065" s="36">
        <f t="shared" si="48"/>
        <v>7716.7691999999997</v>
      </c>
      <c r="I1065" s="37">
        <f t="shared" si="49"/>
        <v>7716.7691999999997</v>
      </c>
      <c r="J1065" s="4"/>
      <c r="K1065" s="38">
        <f t="shared" si="50"/>
        <v>0</v>
      </c>
    </row>
    <row r="1066" spans="1:11">
      <c r="A1066" t="s">
        <v>675</v>
      </c>
      <c r="B1066" t="s">
        <v>17</v>
      </c>
      <c r="C1066" t="s">
        <v>6325</v>
      </c>
      <c r="D1066" t="s">
        <v>6334</v>
      </c>
      <c r="E1066">
        <v>24765.3</v>
      </c>
      <c r="G1066" s="35"/>
      <c r="H1066" s="36">
        <f t="shared" si="48"/>
        <v>15602.138999999999</v>
      </c>
      <c r="I1066" s="37">
        <f t="shared" si="49"/>
        <v>15602.138999999999</v>
      </c>
      <c r="J1066" s="4"/>
      <c r="K1066" s="38">
        <f t="shared" si="50"/>
        <v>0</v>
      </c>
    </row>
    <row r="1067" spans="1:11">
      <c r="A1067" t="s">
        <v>676</v>
      </c>
      <c r="B1067" t="s">
        <v>17</v>
      </c>
      <c r="C1067" t="s">
        <v>6325</v>
      </c>
      <c r="D1067" t="s">
        <v>6335</v>
      </c>
      <c r="E1067">
        <v>29776.74</v>
      </c>
      <c r="G1067" s="35"/>
      <c r="H1067" s="36">
        <f t="shared" si="48"/>
        <v>18759.3462</v>
      </c>
      <c r="I1067" s="37">
        <f t="shared" si="49"/>
        <v>18759.3462</v>
      </c>
      <c r="J1067" s="4"/>
      <c r="K1067" s="38">
        <f t="shared" si="50"/>
        <v>0</v>
      </c>
    </row>
    <row r="1068" spans="1:11">
      <c r="A1068" t="s">
        <v>677</v>
      </c>
      <c r="B1068" t="s">
        <v>17</v>
      </c>
      <c r="C1068" t="s">
        <v>6325</v>
      </c>
      <c r="D1068" t="s">
        <v>6336</v>
      </c>
      <c r="E1068">
        <v>57931.519999999997</v>
      </c>
      <c r="G1068" s="35"/>
      <c r="H1068" s="36">
        <f t="shared" si="48"/>
        <v>36496.857599999996</v>
      </c>
      <c r="I1068" s="37">
        <f t="shared" si="49"/>
        <v>36496.857599999996</v>
      </c>
      <c r="J1068" s="4"/>
      <c r="K1068" s="38">
        <f t="shared" si="50"/>
        <v>0</v>
      </c>
    </row>
    <row r="1069" spans="1:11">
      <c r="A1069" t="s">
        <v>678</v>
      </c>
      <c r="B1069" t="s">
        <v>17</v>
      </c>
      <c r="C1069" t="s">
        <v>6337</v>
      </c>
      <c r="D1069" t="s">
        <v>6326</v>
      </c>
      <c r="E1069">
        <v>519.89</v>
      </c>
      <c r="G1069" s="35"/>
      <c r="H1069" s="36">
        <f t="shared" si="48"/>
        <v>327.53069999999997</v>
      </c>
      <c r="I1069" s="37">
        <f t="shared" si="49"/>
        <v>327.53069999999997</v>
      </c>
      <c r="J1069" s="4"/>
      <c r="K1069" s="38">
        <f t="shared" si="50"/>
        <v>0</v>
      </c>
    </row>
    <row r="1070" spans="1:11">
      <c r="A1070" t="s">
        <v>679</v>
      </c>
      <c r="B1070" t="s">
        <v>17</v>
      </c>
      <c r="C1070" t="s">
        <v>6337</v>
      </c>
      <c r="D1070" t="s">
        <v>6338</v>
      </c>
      <c r="E1070">
        <v>519.87</v>
      </c>
      <c r="G1070" s="35"/>
      <c r="H1070" s="36">
        <f t="shared" si="48"/>
        <v>327.5181</v>
      </c>
      <c r="I1070" s="37">
        <f t="shared" si="49"/>
        <v>327.5181</v>
      </c>
      <c r="J1070" s="4"/>
      <c r="K1070" s="38">
        <f t="shared" si="50"/>
        <v>0</v>
      </c>
    </row>
    <row r="1071" spans="1:11">
      <c r="A1071" t="s">
        <v>680</v>
      </c>
      <c r="B1071" t="s">
        <v>17</v>
      </c>
      <c r="C1071" t="s">
        <v>6337</v>
      </c>
      <c r="D1071" t="s">
        <v>6339</v>
      </c>
      <c r="E1071">
        <v>843.07</v>
      </c>
      <c r="G1071" s="35"/>
      <c r="H1071" s="36">
        <f t="shared" si="48"/>
        <v>531.13409999999999</v>
      </c>
      <c r="I1071" s="37">
        <f t="shared" si="49"/>
        <v>531.13409999999999</v>
      </c>
      <c r="J1071" s="4"/>
      <c r="K1071" s="38">
        <f t="shared" si="50"/>
        <v>0</v>
      </c>
    </row>
    <row r="1072" spans="1:11">
      <c r="A1072" t="s">
        <v>681</v>
      </c>
      <c r="B1072" t="s">
        <v>17</v>
      </c>
      <c r="C1072" t="s">
        <v>6337</v>
      </c>
      <c r="D1072" t="s">
        <v>6329</v>
      </c>
      <c r="E1072">
        <v>1283.4100000000001</v>
      </c>
      <c r="G1072" s="35"/>
      <c r="H1072" s="36">
        <f t="shared" si="48"/>
        <v>808.54830000000004</v>
      </c>
      <c r="I1072" s="37">
        <f t="shared" si="49"/>
        <v>808.54830000000004</v>
      </c>
      <c r="J1072" s="4"/>
      <c r="K1072" s="38">
        <f t="shared" si="50"/>
        <v>0</v>
      </c>
    </row>
    <row r="1073" spans="1:11">
      <c r="A1073" t="s">
        <v>682</v>
      </c>
      <c r="B1073" t="s">
        <v>17</v>
      </c>
      <c r="C1073" t="s">
        <v>6337</v>
      </c>
      <c r="D1073" t="s">
        <v>6330</v>
      </c>
      <c r="E1073">
        <v>2894.76</v>
      </c>
      <c r="G1073" s="35"/>
      <c r="H1073" s="36">
        <f t="shared" si="48"/>
        <v>1823.6988000000001</v>
      </c>
      <c r="I1073" s="37">
        <f t="shared" si="49"/>
        <v>1823.6988000000001</v>
      </c>
      <c r="J1073" s="4"/>
      <c r="K1073" s="38">
        <f t="shared" si="50"/>
        <v>0</v>
      </c>
    </row>
    <row r="1074" spans="1:11">
      <c r="A1074" t="s">
        <v>683</v>
      </c>
      <c r="B1074" t="s">
        <v>17</v>
      </c>
      <c r="C1074" t="s">
        <v>6337</v>
      </c>
      <c r="D1074" t="s">
        <v>6331</v>
      </c>
      <c r="E1074">
        <v>5397.94</v>
      </c>
      <c r="G1074" s="35"/>
      <c r="H1074" s="36">
        <f t="shared" si="48"/>
        <v>3400.7021999999997</v>
      </c>
      <c r="I1074" s="37">
        <f t="shared" si="49"/>
        <v>3400.7021999999997</v>
      </c>
      <c r="J1074" s="4"/>
      <c r="K1074" s="38">
        <f t="shared" si="50"/>
        <v>0</v>
      </c>
    </row>
    <row r="1075" spans="1:11">
      <c r="A1075" t="s">
        <v>684</v>
      </c>
      <c r="B1075" t="s">
        <v>17</v>
      </c>
      <c r="C1075" t="s">
        <v>6337</v>
      </c>
      <c r="D1075" t="s">
        <v>6332</v>
      </c>
      <c r="E1075">
        <v>8211.8799999999992</v>
      </c>
      <c r="G1075" s="35"/>
      <c r="H1075" s="36">
        <f t="shared" si="48"/>
        <v>5173.4843999999994</v>
      </c>
      <c r="I1075" s="37">
        <f t="shared" si="49"/>
        <v>5173.4843999999994</v>
      </c>
      <c r="J1075" s="4"/>
      <c r="K1075" s="38">
        <f t="shared" si="50"/>
        <v>0</v>
      </c>
    </row>
    <row r="1076" spans="1:11">
      <c r="A1076" t="s">
        <v>685</v>
      </c>
      <c r="B1076" t="s">
        <v>17</v>
      </c>
      <c r="C1076" t="s">
        <v>6337</v>
      </c>
      <c r="D1076" t="s">
        <v>6333</v>
      </c>
      <c r="E1076">
        <v>19842.259999999998</v>
      </c>
      <c r="G1076" s="35"/>
      <c r="H1076" s="36">
        <f t="shared" si="48"/>
        <v>12500.623799999999</v>
      </c>
      <c r="I1076" s="37">
        <f t="shared" si="49"/>
        <v>12500.623799999999</v>
      </c>
      <c r="J1076" s="4"/>
      <c r="K1076" s="38">
        <f t="shared" si="50"/>
        <v>0</v>
      </c>
    </row>
    <row r="1077" spans="1:11">
      <c r="A1077" t="s">
        <v>686</v>
      </c>
      <c r="B1077" t="s">
        <v>17</v>
      </c>
      <c r="C1077" t="s">
        <v>6337</v>
      </c>
      <c r="D1077" t="s">
        <v>6334</v>
      </c>
      <c r="E1077">
        <v>36196.86</v>
      </c>
      <c r="G1077" s="35"/>
      <c r="H1077" s="36">
        <f t="shared" si="48"/>
        <v>22804.021800000002</v>
      </c>
      <c r="I1077" s="37">
        <f t="shared" si="49"/>
        <v>22804.021800000002</v>
      </c>
      <c r="J1077" s="4"/>
      <c r="K1077" s="38">
        <f t="shared" si="50"/>
        <v>0</v>
      </c>
    </row>
    <row r="1078" spans="1:11">
      <c r="A1078" t="s">
        <v>687</v>
      </c>
      <c r="B1078" t="s">
        <v>17</v>
      </c>
      <c r="C1078" t="s">
        <v>6337</v>
      </c>
      <c r="D1078" t="s">
        <v>6340</v>
      </c>
      <c r="E1078">
        <v>2630.69</v>
      </c>
      <c r="G1078" s="35"/>
      <c r="H1078" s="36">
        <f t="shared" si="48"/>
        <v>1657.3347000000001</v>
      </c>
      <c r="I1078" s="37">
        <f t="shared" si="49"/>
        <v>1657.3347000000001</v>
      </c>
      <c r="J1078" s="4"/>
      <c r="K1078" s="38">
        <f t="shared" si="50"/>
        <v>0</v>
      </c>
    </row>
    <row r="1079" spans="1:11">
      <c r="A1079" t="s">
        <v>688</v>
      </c>
      <c r="B1079" t="s">
        <v>17</v>
      </c>
      <c r="C1079" t="s">
        <v>6337</v>
      </c>
      <c r="D1079" t="s">
        <v>6341</v>
      </c>
      <c r="E1079">
        <v>2617.89</v>
      </c>
      <c r="G1079" s="35"/>
      <c r="H1079" s="36">
        <f t="shared" si="48"/>
        <v>1649.2707</v>
      </c>
      <c r="I1079" s="37">
        <f t="shared" si="49"/>
        <v>1649.2707</v>
      </c>
      <c r="J1079" s="4"/>
      <c r="K1079" s="38">
        <f t="shared" si="50"/>
        <v>0</v>
      </c>
    </row>
    <row r="1080" spans="1:11">
      <c r="A1080" t="s">
        <v>689</v>
      </c>
      <c r="B1080" t="s">
        <v>17</v>
      </c>
      <c r="C1080" t="s">
        <v>6337</v>
      </c>
      <c r="D1080" t="s">
        <v>6342</v>
      </c>
      <c r="E1080">
        <v>3883.93</v>
      </c>
      <c r="G1080" s="35"/>
      <c r="H1080" s="36">
        <f t="shared" si="48"/>
        <v>2446.8759</v>
      </c>
      <c r="I1080" s="37">
        <f t="shared" si="49"/>
        <v>2446.8759</v>
      </c>
      <c r="J1080" s="4"/>
      <c r="K1080" s="38">
        <f t="shared" si="50"/>
        <v>0</v>
      </c>
    </row>
    <row r="1081" spans="1:11">
      <c r="A1081" t="s">
        <v>690</v>
      </c>
      <c r="B1081" t="s">
        <v>17</v>
      </c>
      <c r="C1081" t="s">
        <v>6337</v>
      </c>
      <c r="D1081" t="s">
        <v>6343</v>
      </c>
      <c r="E1081">
        <v>7622.47</v>
      </c>
      <c r="G1081" s="35"/>
      <c r="H1081" s="36">
        <f t="shared" si="48"/>
        <v>4802.1561000000002</v>
      </c>
      <c r="I1081" s="37">
        <f t="shared" si="49"/>
        <v>4802.1561000000002</v>
      </c>
      <c r="J1081" s="4"/>
      <c r="K1081" s="38">
        <f t="shared" si="50"/>
        <v>0</v>
      </c>
    </row>
    <row r="1082" spans="1:11">
      <c r="A1082" t="s">
        <v>691</v>
      </c>
      <c r="B1082" t="s">
        <v>17</v>
      </c>
      <c r="C1082" t="s">
        <v>6337</v>
      </c>
      <c r="D1082" t="s">
        <v>6344</v>
      </c>
      <c r="E1082">
        <v>28129.200000000001</v>
      </c>
      <c r="G1082" s="35"/>
      <c r="H1082" s="36">
        <f t="shared" si="48"/>
        <v>17721.396000000001</v>
      </c>
      <c r="I1082" s="37">
        <f t="shared" si="49"/>
        <v>17721.396000000001</v>
      </c>
      <c r="J1082" s="4"/>
      <c r="K1082" s="38">
        <f t="shared" si="50"/>
        <v>0</v>
      </c>
    </row>
    <row r="1083" spans="1:11">
      <c r="A1083" t="s">
        <v>692</v>
      </c>
      <c r="B1083" t="s">
        <v>17</v>
      </c>
      <c r="C1083" t="s">
        <v>6337</v>
      </c>
      <c r="D1083" t="s">
        <v>6345</v>
      </c>
      <c r="E1083">
        <v>41381.160000000003</v>
      </c>
      <c r="G1083" s="35"/>
      <c r="H1083" s="36">
        <f t="shared" si="48"/>
        <v>26070.130800000003</v>
      </c>
      <c r="I1083" s="37">
        <f t="shared" si="49"/>
        <v>26070.130800000003</v>
      </c>
      <c r="J1083" s="4"/>
      <c r="K1083" s="38">
        <f t="shared" si="50"/>
        <v>0</v>
      </c>
    </row>
    <row r="1084" spans="1:11">
      <c r="A1084" t="s">
        <v>693</v>
      </c>
      <c r="B1084" t="s">
        <v>17</v>
      </c>
      <c r="C1084" t="s">
        <v>6337</v>
      </c>
      <c r="D1084" t="s">
        <v>6346</v>
      </c>
      <c r="E1084">
        <v>56281.95</v>
      </c>
      <c r="G1084" s="35"/>
      <c r="H1084" s="36">
        <f t="shared" si="48"/>
        <v>35457.628499999999</v>
      </c>
      <c r="I1084" s="37">
        <f t="shared" si="49"/>
        <v>35457.628499999999</v>
      </c>
      <c r="J1084" s="4"/>
      <c r="K1084" s="38">
        <f t="shared" si="50"/>
        <v>0</v>
      </c>
    </row>
    <row r="1085" spans="1:11">
      <c r="A1085" t="s">
        <v>694</v>
      </c>
      <c r="B1085" t="s">
        <v>17</v>
      </c>
      <c r="C1085" t="s">
        <v>6337</v>
      </c>
      <c r="D1085" t="s">
        <v>6347</v>
      </c>
      <c r="E1085">
        <v>95110.5</v>
      </c>
      <c r="G1085" s="35"/>
      <c r="H1085" s="36">
        <f t="shared" si="48"/>
        <v>59919.614999999998</v>
      </c>
      <c r="I1085" s="37">
        <f t="shared" si="49"/>
        <v>59919.614999999998</v>
      </c>
      <c r="J1085" s="4"/>
      <c r="K1085" s="38">
        <f t="shared" si="50"/>
        <v>0</v>
      </c>
    </row>
    <row r="1086" spans="1:11">
      <c r="A1086" t="s">
        <v>695</v>
      </c>
      <c r="B1086" t="s">
        <v>17</v>
      </c>
      <c r="C1086" t="s">
        <v>6337</v>
      </c>
      <c r="D1086" t="s">
        <v>6348</v>
      </c>
      <c r="E1086">
        <v>3534.12</v>
      </c>
      <c r="G1086" s="35"/>
      <c r="H1086" s="36">
        <f t="shared" si="48"/>
        <v>2226.4955999999997</v>
      </c>
      <c r="I1086" s="37">
        <f t="shared" si="49"/>
        <v>2226.4955999999997</v>
      </c>
      <c r="J1086" s="4"/>
      <c r="K1086" s="38">
        <f t="shared" si="50"/>
        <v>0</v>
      </c>
    </row>
    <row r="1087" spans="1:11">
      <c r="A1087" t="s">
        <v>696</v>
      </c>
      <c r="B1087" t="s">
        <v>17</v>
      </c>
      <c r="C1087" t="s">
        <v>6337</v>
      </c>
      <c r="D1087" t="s">
        <v>6349</v>
      </c>
      <c r="E1087">
        <v>5140.29</v>
      </c>
      <c r="G1087" s="35"/>
      <c r="H1087" s="36">
        <f t="shared" si="48"/>
        <v>3238.3827000000001</v>
      </c>
      <c r="I1087" s="37">
        <f t="shared" si="49"/>
        <v>3238.3827000000001</v>
      </c>
      <c r="J1087" s="4"/>
      <c r="K1087" s="38">
        <f t="shared" si="50"/>
        <v>0</v>
      </c>
    </row>
    <row r="1088" spans="1:11">
      <c r="A1088" t="s">
        <v>697</v>
      </c>
      <c r="B1088" t="s">
        <v>17</v>
      </c>
      <c r="C1088" t="s">
        <v>6337</v>
      </c>
      <c r="D1088" t="s">
        <v>6350</v>
      </c>
      <c r="E1088">
        <v>13513.94</v>
      </c>
      <c r="G1088" s="35"/>
      <c r="H1088" s="36">
        <f t="shared" si="48"/>
        <v>8513.7821999999996</v>
      </c>
      <c r="I1088" s="37">
        <f t="shared" si="49"/>
        <v>8513.7821999999996</v>
      </c>
      <c r="J1088" s="4"/>
      <c r="K1088" s="38">
        <f t="shared" si="50"/>
        <v>0</v>
      </c>
    </row>
    <row r="1089" spans="1:11">
      <c r="A1089" t="s">
        <v>698</v>
      </c>
      <c r="B1089" t="s">
        <v>17</v>
      </c>
      <c r="C1089" t="s">
        <v>6337</v>
      </c>
      <c r="D1089" t="s">
        <v>6351</v>
      </c>
      <c r="E1089">
        <v>30811.65</v>
      </c>
      <c r="G1089" s="35"/>
      <c r="H1089" s="36">
        <f t="shared" si="48"/>
        <v>19411.339500000002</v>
      </c>
      <c r="I1089" s="37">
        <f t="shared" si="49"/>
        <v>19411.339500000002</v>
      </c>
      <c r="J1089" s="4"/>
      <c r="K1089" s="38">
        <f t="shared" si="50"/>
        <v>0</v>
      </c>
    </row>
    <row r="1090" spans="1:11">
      <c r="A1090" t="s">
        <v>699</v>
      </c>
      <c r="B1090" t="s">
        <v>17</v>
      </c>
      <c r="C1090" t="s">
        <v>6337</v>
      </c>
      <c r="D1090" t="s">
        <v>6352</v>
      </c>
      <c r="E1090">
        <v>42701.9</v>
      </c>
      <c r="G1090" s="35"/>
      <c r="H1090" s="36">
        <f t="shared" si="48"/>
        <v>26902.197</v>
      </c>
      <c r="I1090" s="37">
        <f t="shared" si="49"/>
        <v>26902.197</v>
      </c>
      <c r="J1090" s="4"/>
      <c r="K1090" s="38">
        <f t="shared" si="50"/>
        <v>0</v>
      </c>
    </row>
    <row r="1091" spans="1:11">
      <c r="A1091" t="s">
        <v>700</v>
      </c>
      <c r="B1091" t="s">
        <v>17</v>
      </c>
      <c r="C1091" t="s">
        <v>6337</v>
      </c>
      <c r="D1091" t="s">
        <v>6353</v>
      </c>
      <c r="E1091">
        <v>59391.02</v>
      </c>
      <c r="G1091" s="35"/>
      <c r="H1091" s="36">
        <f t="shared" si="48"/>
        <v>37416.342599999996</v>
      </c>
      <c r="I1091" s="37">
        <f t="shared" si="49"/>
        <v>37416.342599999996</v>
      </c>
      <c r="J1091" s="4"/>
      <c r="K1091" s="38">
        <f t="shared" si="50"/>
        <v>0</v>
      </c>
    </row>
    <row r="1092" spans="1:11">
      <c r="A1092" t="s">
        <v>701</v>
      </c>
      <c r="B1092" t="s">
        <v>17</v>
      </c>
      <c r="C1092" t="s">
        <v>6337</v>
      </c>
      <c r="D1092" t="s">
        <v>6354</v>
      </c>
      <c r="E1092">
        <v>127121.24</v>
      </c>
      <c r="G1092" s="35"/>
      <c r="H1092" s="36">
        <f t="shared" si="48"/>
        <v>80086.381200000003</v>
      </c>
      <c r="I1092" s="37">
        <f t="shared" si="49"/>
        <v>80086.381200000003</v>
      </c>
      <c r="J1092" s="4"/>
      <c r="K1092" s="38">
        <f t="shared" si="50"/>
        <v>0</v>
      </c>
    </row>
    <row r="1093" spans="1:11">
      <c r="A1093" t="s">
        <v>12846</v>
      </c>
      <c r="B1093" t="s">
        <v>17</v>
      </c>
      <c r="C1093" t="s">
        <v>6337</v>
      </c>
      <c r="D1093" t="s">
        <v>12847</v>
      </c>
      <c r="E1093">
        <v>4064.81</v>
      </c>
      <c r="G1093" s="35"/>
      <c r="H1093" s="36">
        <f t="shared" si="48"/>
        <v>2560.8303000000001</v>
      </c>
      <c r="I1093" s="37">
        <f t="shared" si="49"/>
        <v>2560.8303000000001</v>
      </c>
      <c r="J1093" s="4"/>
      <c r="K1093" s="38">
        <f t="shared" si="50"/>
        <v>0</v>
      </c>
    </row>
    <row r="1094" spans="1:11">
      <c r="A1094" t="s">
        <v>12848</v>
      </c>
      <c r="B1094" t="s">
        <v>17</v>
      </c>
      <c r="C1094" t="s">
        <v>6337</v>
      </c>
      <c r="D1094" t="s">
        <v>12849</v>
      </c>
      <c r="E1094">
        <v>4084.56</v>
      </c>
      <c r="G1094" s="35"/>
      <c r="H1094" s="36">
        <f t="shared" si="48"/>
        <v>2573.2728000000002</v>
      </c>
      <c r="I1094" s="37">
        <f t="shared" si="49"/>
        <v>2573.2728000000002</v>
      </c>
      <c r="J1094" s="4"/>
      <c r="K1094" s="38">
        <f t="shared" si="50"/>
        <v>0</v>
      </c>
    </row>
    <row r="1095" spans="1:11">
      <c r="A1095" t="s">
        <v>12850</v>
      </c>
      <c r="B1095" t="s">
        <v>17</v>
      </c>
      <c r="C1095" t="s">
        <v>6337</v>
      </c>
      <c r="D1095" t="s">
        <v>12851</v>
      </c>
      <c r="E1095">
        <v>4109.2299999999996</v>
      </c>
      <c r="G1095" s="35"/>
      <c r="H1095" s="36">
        <f t="shared" ref="H1095:H1158" si="51">+E1095*$H$1*(1-G1095)</f>
        <v>2588.8148999999999</v>
      </c>
      <c r="I1095" s="37">
        <f t="shared" ref="I1095:I1158" si="52">H1095*$H$4</f>
        <v>2588.8148999999999</v>
      </c>
      <c r="J1095" s="4"/>
      <c r="K1095" s="38">
        <f t="shared" ref="K1095:K1158" si="53">J1095*I1095</f>
        <v>0</v>
      </c>
    </row>
    <row r="1096" spans="1:11">
      <c r="A1096" t="s">
        <v>12852</v>
      </c>
      <c r="B1096" t="s">
        <v>17</v>
      </c>
      <c r="C1096" t="s">
        <v>6337</v>
      </c>
      <c r="D1096" t="s">
        <v>12853</v>
      </c>
      <c r="E1096">
        <v>7127.42</v>
      </c>
      <c r="G1096" s="35"/>
      <c r="H1096" s="36">
        <f t="shared" si="51"/>
        <v>4490.2745999999997</v>
      </c>
      <c r="I1096" s="37">
        <f t="shared" si="52"/>
        <v>4490.2745999999997</v>
      </c>
      <c r="J1096" s="4"/>
      <c r="K1096" s="38">
        <f t="shared" si="53"/>
        <v>0</v>
      </c>
    </row>
    <row r="1097" spans="1:11">
      <c r="A1097" t="s">
        <v>12854</v>
      </c>
      <c r="B1097" t="s">
        <v>17</v>
      </c>
      <c r="C1097" t="s">
        <v>6337</v>
      </c>
      <c r="D1097" t="s">
        <v>12855</v>
      </c>
      <c r="E1097">
        <v>8359.76</v>
      </c>
      <c r="G1097" s="35"/>
      <c r="H1097" s="36">
        <f t="shared" si="51"/>
        <v>5266.6487999999999</v>
      </c>
      <c r="I1097" s="37">
        <f t="shared" si="52"/>
        <v>5266.6487999999999</v>
      </c>
      <c r="J1097" s="4"/>
      <c r="K1097" s="38">
        <f t="shared" si="53"/>
        <v>0</v>
      </c>
    </row>
    <row r="1098" spans="1:11">
      <c r="A1098" t="s">
        <v>12856</v>
      </c>
      <c r="B1098" t="s">
        <v>17</v>
      </c>
      <c r="C1098" t="s">
        <v>6337</v>
      </c>
      <c r="D1098" t="s">
        <v>12857</v>
      </c>
      <c r="E1098">
        <v>8419.02</v>
      </c>
      <c r="G1098" s="35"/>
      <c r="H1098" s="36">
        <f t="shared" si="51"/>
        <v>5303.9826000000003</v>
      </c>
      <c r="I1098" s="37">
        <f t="shared" si="52"/>
        <v>5303.9826000000003</v>
      </c>
      <c r="J1098" s="4"/>
      <c r="K1098" s="38">
        <f t="shared" si="53"/>
        <v>0</v>
      </c>
    </row>
    <row r="1099" spans="1:11">
      <c r="A1099" t="s">
        <v>702</v>
      </c>
      <c r="B1099" t="s">
        <v>17</v>
      </c>
      <c r="C1099" t="s">
        <v>6337</v>
      </c>
      <c r="D1099" t="s">
        <v>6355</v>
      </c>
      <c r="E1099">
        <v>983.12</v>
      </c>
      <c r="G1099" s="35"/>
      <c r="H1099" s="36">
        <f t="shared" si="51"/>
        <v>619.36559999999997</v>
      </c>
      <c r="I1099" s="37">
        <f t="shared" si="52"/>
        <v>619.36559999999997</v>
      </c>
      <c r="J1099" s="4"/>
      <c r="K1099" s="38">
        <f t="shared" si="53"/>
        <v>0</v>
      </c>
    </row>
    <row r="1100" spans="1:11">
      <c r="A1100" t="s">
        <v>703</v>
      </c>
      <c r="B1100" t="s">
        <v>17</v>
      </c>
      <c r="C1100" t="s">
        <v>6337</v>
      </c>
      <c r="D1100" t="s">
        <v>6356</v>
      </c>
      <c r="E1100">
        <v>1579.53</v>
      </c>
      <c r="G1100" s="35"/>
      <c r="H1100" s="36">
        <f t="shared" si="51"/>
        <v>995.10389999999995</v>
      </c>
      <c r="I1100" s="37">
        <f t="shared" si="52"/>
        <v>995.10389999999995</v>
      </c>
      <c r="J1100" s="4"/>
      <c r="K1100" s="38">
        <f t="shared" si="53"/>
        <v>0</v>
      </c>
    </row>
    <row r="1101" spans="1:11">
      <c r="A1101" t="s">
        <v>704</v>
      </c>
      <c r="B1101" t="s">
        <v>17</v>
      </c>
      <c r="C1101" t="s">
        <v>6337</v>
      </c>
      <c r="D1101" t="s">
        <v>6357</v>
      </c>
      <c r="E1101">
        <v>2437.63</v>
      </c>
      <c r="G1101" s="35"/>
      <c r="H1101" s="36">
        <f t="shared" si="51"/>
        <v>1535.7069000000001</v>
      </c>
      <c r="I1101" s="37">
        <f t="shared" si="52"/>
        <v>1535.7069000000001</v>
      </c>
      <c r="J1101" s="4"/>
      <c r="K1101" s="38">
        <f t="shared" si="53"/>
        <v>0</v>
      </c>
    </row>
    <row r="1102" spans="1:11">
      <c r="A1102" t="s">
        <v>705</v>
      </c>
      <c r="B1102" t="s">
        <v>17</v>
      </c>
      <c r="C1102" t="s">
        <v>6337</v>
      </c>
      <c r="D1102" t="s">
        <v>6358</v>
      </c>
      <c r="E1102">
        <v>5675.25</v>
      </c>
      <c r="G1102" s="35"/>
      <c r="H1102" s="36">
        <f t="shared" si="51"/>
        <v>3575.4074999999998</v>
      </c>
      <c r="I1102" s="37">
        <f t="shared" si="52"/>
        <v>3575.4074999999998</v>
      </c>
      <c r="J1102" s="4"/>
      <c r="K1102" s="38">
        <f t="shared" si="53"/>
        <v>0</v>
      </c>
    </row>
    <row r="1103" spans="1:11">
      <c r="A1103" t="s">
        <v>706</v>
      </c>
      <c r="B1103" t="s">
        <v>17</v>
      </c>
      <c r="C1103" t="s">
        <v>6337</v>
      </c>
      <c r="D1103" t="s">
        <v>6359</v>
      </c>
      <c r="E1103">
        <v>9836.9599999999991</v>
      </c>
      <c r="G1103" s="35"/>
      <c r="H1103" s="36">
        <f t="shared" si="51"/>
        <v>6197.2847999999994</v>
      </c>
      <c r="I1103" s="37">
        <f t="shared" si="52"/>
        <v>6197.2847999999994</v>
      </c>
      <c r="J1103" s="4"/>
      <c r="K1103" s="38">
        <f t="shared" si="53"/>
        <v>0</v>
      </c>
    </row>
    <row r="1104" spans="1:11">
      <c r="A1104" t="s">
        <v>707</v>
      </c>
      <c r="B1104" t="s">
        <v>17</v>
      </c>
      <c r="C1104" t="s">
        <v>6337</v>
      </c>
      <c r="D1104" t="s">
        <v>6360</v>
      </c>
      <c r="E1104">
        <v>14759.54</v>
      </c>
      <c r="G1104" s="35"/>
      <c r="H1104" s="36">
        <f t="shared" si="51"/>
        <v>9298.5102000000006</v>
      </c>
      <c r="I1104" s="37">
        <f t="shared" si="52"/>
        <v>9298.5102000000006</v>
      </c>
      <c r="J1104" s="4"/>
      <c r="K1104" s="38">
        <f t="shared" si="53"/>
        <v>0</v>
      </c>
    </row>
    <row r="1105" spans="1:11">
      <c r="A1105" t="s">
        <v>708</v>
      </c>
      <c r="B1105" t="s">
        <v>17</v>
      </c>
      <c r="C1105" t="s">
        <v>6361</v>
      </c>
      <c r="D1105" t="s">
        <v>6362</v>
      </c>
      <c r="E1105">
        <v>20209.02</v>
      </c>
      <c r="G1105" s="35"/>
      <c r="H1105" s="36">
        <f t="shared" si="51"/>
        <v>12731.6826</v>
      </c>
      <c r="I1105" s="37">
        <f t="shared" si="52"/>
        <v>12731.6826</v>
      </c>
      <c r="J1105" s="4"/>
      <c r="K1105" s="38">
        <f t="shared" si="53"/>
        <v>0</v>
      </c>
    </row>
    <row r="1106" spans="1:11">
      <c r="A1106" t="s">
        <v>709</v>
      </c>
      <c r="B1106" t="s">
        <v>17</v>
      </c>
      <c r="C1106" t="s">
        <v>6361</v>
      </c>
      <c r="D1106" t="s">
        <v>6363</v>
      </c>
      <c r="E1106">
        <v>4098.76</v>
      </c>
      <c r="G1106" s="35"/>
      <c r="H1106" s="36">
        <f t="shared" si="51"/>
        <v>2582.2188000000001</v>
      </c>
      <c r="I1106" s="37">
        <f t="shared" si="52"/>
        <v>2582.2188000000001</v>
      </c>
      <c r="J1106" s="4"/>
      <c r="K1106" s="38">
        <f t="shared" si="53"/>
        <v>0</v>
      </c>
    </row>
    <row r="1107" spans="1:11">
      <c r="A1107" t="s">
        <v>710</v>
      </c>
      <c r="B1107" t="s">
        <v>17</v>
      </c>
      <c r="C1107" t="s">
        <v>6361</v>
      </c>
      <c r="D1107" t="s">
        <v>6364</v>
      </c>
      <c r="E1107">
        <v>6603.21</v>
      </c>
      <c r="G1107" s="35"/>
      <c r="H1107" s="36">
        <f t="shared" si="51"/>
        <v>4160.0222999999996</v>
      </c>
      <c r="I1107" s="37">
        <f t="shared" si="52"/>
        <v>4160.0222999999996</v>
      </c>
      <c r="J1107" s="4"/>
      <c r="K1107" s="38">
        <f t="shared" si="53"/>
        <v>0</v>
      </c>
    </row>
    <row r="1108" spans="1:11">
      <c r="A1108" t="s">
        <v>838</v>
      </c>
      <c r="B1108" t="s">
        <v>17</v>
      </c>
      <c r="C1108" t="s">
        <v>6488</v>
      </c>
      <c r="D1108" t="s">
        <v>5624</v>
      </c>
      <c r="E1108">
        <v>1124.3599999999999</v>
      </c>
      <c r="G1108" s="35"/>
      <c r="H1108" s="36">
        <f t="shared" si="51"/>
        <v>708.34679999999992</v>
      </c>
      <c r="I1108" s="37">
        <f t="shared" si="52"/>
        <v>708.34679999999992</v>
      </c>
      <c r="J1108" s="4"/>
      <c r="K1108" s="38">
        <f t="shared" si="53"/>
        <v>0</v>
      </c>
    </row>
    <row r="1109" spans="1:11">
      <c r="A1109" t="s">
        <v>839</v>
      </c>
      <c r="B1109" t="s">
        <v>17</v>
      </c>
      <c r="C1109" t="s">
        <v>6488</v>
      </c>
      <c r="D1109" t="s">
        <v>5625</v>
      </c>
      <c r="E1109">
        <v>1871.03</v>
      </c>
      <c r="G1109" s="35"/>
      <c r="H1109" s="36">
        <f t="shared" si="51"/>
        <v>1178.7489</v>
      </c>
      <c r="I1109" s="37">
        <f t="shared" si="52"/>
        <v>1178.7489</v>
      </c>
      <c r="J1109" s="4"/>
      <c r="K1109" s="38">
        <f t="shared" si="53"/>
        <v>0</v>
      </c>
    </row>
    <row r="1110" spans="1:11">
      <c r="A1110" t="s">
        <v>840</v>
      </c>
      <c r="B1110" t="s">
        <v>17</v>
      </c>
      <c r="C1110" t="s">
        <v>6488</v>
      </c>
      <c r="D1110" t="s">
        <v>6489</v>
      </c>
      <c r="E1110">
        <v>4430.63</v>
      </c>
      <c r="G1110" s="35"/>
      <c r="H1110" s="36">
        <f t="shared" si="51"/>
        <v>2791.2969000000003</v>
      </c>
      <c r="I1110" s="37">
        <f t="shared" si="52"/>
        <v>2791.2969000000003</v>
      </c>
      <c r="J1110" s="4"/>
      <c r="K1110" s="38">
        <f t="shared" si="53"/>
        <v>0</v>
      </c>
    </row>
    <row r="1111" spans="1:11">
      <c r="A1111" t="s">
        <v>841</v>
      </c>
      <c r="B1111" t="s">
        <v>17</v>
      </c>
      <c r="C1111" t="s">
        <v>6488</v>
      </c>
      <c r="D1111" t="s">
        <v>5631</v>
      </c>
      <c r="E1111">
        <v>8310.93</v>
      </c>
      <c r="G1111" s="35"/>
      <c r="H1111" s="36">
        <f t="shared" si="51"/>
        <v>5235.8859000000002</v>
      </c>
      <c r="I1111" s="37">
        <f t="shared" si="52"/>
        <v>5235.8859000000002</v>
      </c>
      <c r="J1111" s="4"/>
      <c r="K1111" s="38">
        <f t="shared" si="53"/>
        <v>0</v>
      </c>
    </row>
    <row r="1112" spans="1:11">
      <c r="A1112" t="s">
        <v>842</v>
      </c>
      <c r="B1112" t="s">
        <v>17</v>
      </c>
      <c r="C1112" t="s">
        <v>6488</v>
      </c>
      <c r="D1112" t="s">
        <v>5630</v>
      </c>
      <c r="E1112">
        <v>12092.63</v>
      </c>
      <c r="G1112" s="35"/>
      <c r="H1112" s="36">
        <f t="shared" si="51"/>
        <v>7618.3568999999998</v>
      </c>
      <c r="I1112" s="37">
        <f t="shared" si="52"/>
        <v>7618.3568999999998</v>
      </c>
      <c r="J1112" s="4"/>
      <c r="K1112" s="38">
        <f t="shared" si="53"/>
        <v>0</v>
      </c>
    </row>
    <row r="1113" spans="1:11">
      <c r="A1113" t="s">
        <v>843</v>
      </c>
      <c r="B1113" t="s">
        <v>17</v>
      </c>
      <c r="C1113" t="s">
        <v>6488</v>
      </c>
      <c r="D1113" t="s">
        <v>6490</v>
      </c>
      <c r="E1113">
        <v>59013.69</v>
      </c>
      <c r="G1113" s="35"/>
      <c r="H1113" s="36">
        <f t="shared" si="51"/>
        <v>37178.6247</v>
      </c>
      <c r="I1113" s="37">
        <f t="shared" si="52"/>
        <v>37178.6247</v>
      </c>
      <c r="J1113" s="4"/>
      <c r="K1113" s="38">
        <f t="shared" si="53"/>
        <v>0</v>
      </c>
    </row>
    <row r="1114" spans="1:11">
      <c r="A1114" t="s">
        <v>844</v>
      </c>
      <c r="B1114" t="s">
        <v>17</v>
      </c>
      <c r="C1114" t="s">
        <v>6488</v>
      </c>
      <c r="D1114" t="s">
        <v>6491</v>
      </c>
      <c r="E1114">
        <v>871.77</v>
      </c>
      <c r="G1114" s="35"/>
      <c r="H1114" s="36">
        <f t="shared" si="51"/>
        <v>549.21510000000001</v>
      </c>
      <c r="I1114" s="37">
        <f t="shared" si="52"/>
        <v>549.21510000000001</v>
      </c>
      <c r="J1114" s="4"/>
      <c r="K1114" s="38">
        <f t="shared" si="53"/>
        <v>0</v>
      </c>
    </row>
    <row r="1115" spans="1:11">
      <c r="A1115" t="s">
        <v>845</v>
      </c>
      <c r="B1115" t="s">
        <v>17</v>
      </c>
      <c r="C1115" t="s">
        <v>6488</v>
      </c>
      <c r="D1115" t="s">
        <v>6492</v>
      </c>
      <c r="E1115">
        <v>59013.69</v>
      </c>
      <c r="G1115" s="35"/>
      <c r="H1115" s="36">
        <f t="shared" si="51"/>
        <v>37178.6247</v>
      </c>
      <c r="I1115" s="37">
        <f t="shared" si="52"/>
        <v>37178.6247</v>
      </c>
      <c r="J1115" s="4"/>
      <c r="K1115" s="38">
        <f t="shared" si="53"/>
        <v>0</v>
      </c>
    </row>
    <row r="1116" spans="1:11">
      <c r="A1116" t="s">
        <v>846</v>
      </c>
      <c r="B1116" t="s">
        <v>17</v>
      </c>
      <c r="C1116" t="s">
        <v>6488</v>
      </c>
      <c r="D1116" t="s">
        <v>6493</v>
      </c>
      <c r="E1116">
        <v>3627.21</v>
      </c>
      <c r="G1116" s="35"/>
      <c r="H1116" s="36">
        <f t="shared" si="51"/>
        <v>2285.1423</v>
      </c>
      <c r="I1116" s="37">
        <f t="shared" si="52"/>
        <v>2285.1423</v>
      </c>
      <c r="J1116" s="4"/>
      <c r="K1116" s="38">
        <f t="shared" si="53"/>
        <v>0</v>
      </c>
    </row>
    <row r="1117" spans="1:11">
      <c r="A1117" t="s">
        <v>847</v>
      </c>
      <c r="B1117" t="s">
        <v>17</v>
      </c>
      <c r="C1117" t="s">
        <v>6488</v>
      </c>
      <c r="D1117" t="s">
        <v>6494</v>
      </c>
      <c r="E1117">
        <v>103299.39</v>
      </c>
      <c r="G1117" s="35"/>
      <c r="H1117" s="36">
        <f t="shared" si="51"/>
        <v>65078.615700000002</v>
      </c>
      <c r="I1117" s="37">
        <f t="shared" si="52"/>
        <v>65078.615700000002</v>
      </c>
      <c r="J1117" s="4"/>
      <c r="K1117" s="38">
        <f t="shared" si="53"/>
        <v>0</v>
      </c>
    </row>
    <row r="1118" spans="1:11">
      <c r="A1118" t="s">
        <v>848</v>
      </c>
      <c r="B1118" t="s">
        <v>17</v>
      </c>
      <c r="C1118" t="s">
        <v>6488</v>
      </c>
      <c r="D1118" t="s">
        <v>6495</v>
      </c>
      <c r="E1118">
        <v>3887.33</v>
      </c>
      <c r="G1118" s="35"/>
      <c r="H1118" s="36">
        <f t="shared" si="51"/>
        <v>2449.0178999999998</v>
      </c>
      <c r="I1118" s="37">
        <f t="shared" si="52"/>
        <v>2449.0178999999998</v>
      </c>
      <c r="J1118" s="4"/>
      <c r="K1118" s="38">
        <f t="shared" si="53"/>
        <v>0</v>
      </c>
    </row>
    <row r="1119" spans="1:11">
      <c r="A1119" t="s">
        <v>849</v>
      </c>
      <c r="B1119" t="s">
        <v>17</v>
      </c>
      <c r="C1119" t="s">
        <v>6488</v>
      </c>
      <c r="D1119" t="s">
        <v>6496</v>
      </c>
      <c r="E1119">
        <v>4466.8599999999997</v>
      </c>
      <c r="G1119" s="35"/>
      <c r="H1119" s="36">
        <f t="shared" si="51"/>
        <v>2814.1217999999999</v>
      </c>
      <c r="I1119" s="37">
        <f t="shared" si="52"/>
        <v>2814.1217999999999</v>
      </c>
      <c r="J1119" s="4"/>
      <c r="K1119" s="38">
        <f t="shared" si="53"/>
        <v>0</v>
      </c>
    </row>
    <row r="1120" spans="1:11">
      <c r="A1120" t="s">
        <v>850</v>
      </c>
      <c r="B1120" t="s">
        <v>17</v>
      </c>
      <c r="C1120" t="s">
        <v>6488</v>
      </c>
      <c r="D1120" t="s">
        <v>6497</v>
      </c>
      <c r="E1120">
        <v>6301.36</v>
      </c>
      <c r="G1120" s="35"/>
      <c r="H1120" s="36">
        <f t="shared" si="51"/>
        <v>3969.8568</v>
      </c>
      <c r="I1120" s="37">
        <f t="shared" si="52"/>
        <v>3969.8568</v>
      </c>
      <c r="J1120" s="4"/>
      <c r="K1120" s="38">
        <f t="shared" si="53"/>
        <v>0</v>
      </c>
    </row>
    <row r="1121" spans="1:11">
      <c r="A1121" t="s">
        <v>851</v>
      </c>
      <c r="B1121" t="s">
        <v>17</v>
      </c>
      <c r="C1121" t="s">
        <v>6488</v>
      </c>
      <c r="D1121" t="s">
        <v>6498</v>
      </c>
      <c r="E1121">
        <v>10816.08</v>
      </c>
      <c r="G1121" s="35"/>
      <c r="H1121" s="36">
        <f t="shared" si="51"/>
        <v>6814.1304</v>
      </c>
      <c r="I1121" s="37">
        <f t="shared" si="52"/>
        <v>6814.1304</v>
      </c>
      <c r="J1121" s="4"/>
      <c r="K1121" s="38">
        <f t="shared" si="53"/>
        <v>0</v>
      </c>
    </row>
    <row r="1122" spans="1:11">
      <c r="A1122" t="s">
        <v>852</v>
      </c>
      <c r="B1122" t="s">
        <v>17</v>
      </c>
      <c r="C1122" t="s">
        <v>6488</v>
      </c>
      <c r="D1122" t="s">
        <v>6499</v>
      </c>
      <c r="E1122">
        <v>30055.37</v>
      </c>
      <c r="G1122" s="35"/>
      <c r="H1122" s="36">
        <f t="shared" si="51"/>
        <v>18934.883099999999</v>
      </c>
      <c r="I1122" s="37">
        <f t="shared" si="52"/>
        <v>18934.883099999999</v>
      </c>
      <c r="J1122" s="4"/>
      <c r="K1122" s="38">
        <f t="shared" si="53"/>
        <v>0</v>
      </c>
    </row>
    <row r="1123" spans="1:11">
      <c r="A1123" t="s">
        <v>853</v>
      </c>
      <c r="B1123" t="s">
        <v>17</v>
      </c>
      <c r="C1123" t="s">
        <v>6488</v>
      </c>
      <c r="D1123" t="s">
        <v>6500</v>
      </c>
      <c r="E1123">
        <v>5935.4</v>
      </c>
      <c r="G1123" s="35"/>
      <c r="H1123" s="36">
        <f t="shared" si="51"/>
        <v>3739.3019999999997</v>
      </c>
      <c r="I1123" s="37">
        <f t="shared" si="52"/>
        <v>3739.3019999999997</v>
      </c>
      <c r="J1123" s="4"/>
      <c r="K1123" s="38">
        <f t="shared" si="53"/>
        <v>0</v>
      </c>
    </row>
    <row r="1124" spans="1:11">
      <c r="A1124" t="s">
        <v>854</v>
      </c>
      <c r="B1124" t="s">
        <v>17</v>
      </c>
      <c r="C1124" t="s">
        <v>6488</v>
      </c>
      <c r="D1124" t="s">
        <v>6501</v>
      </c>
      <c r="E1124">
        <v>40937.629999999997</v>
      </c>
      <c r="G1124" s="35"/>
      <c r="H1124" s="36">
        <f t="shared" si="51"/>
        <v>25790.706899999997</v>
      </c>
      <c r="I1124" s="37">
        <f t="shared" si="52"/>
        <v>25790.706899999997</v>
      </c>
      <c r="J1124" s="4"/>
      <c r="K1124" s="38">
        <f t="shared" si="53"/>
        <v>0</v>
      </c>
    </row>
    <row r="1125" spans="1:11">
      <c r="A1125" t="s">
        <v>855</v>
      </c>
      <c r="B1125" t="s">
        <v>17</v>
      </c>
      <c r="C1125" t="s">
        <v>6488</v>
      </c>
      <c r="D1125" t="s">
        <v>6502</v>
      </c>
      <c r="E1125">
        <v>2789.2</v>
      </c>
      <c r="G1125" s="35"/>
      <c r="H1125" s="36">
        <f t="shared" si="51"/>
        <v>1757.1959999999999</v>
      </c>
      <c r="I1125" s="37">
        <f t="shared" si="52"/>
        <v>1757.1959999999999</v>
      </c>
      <c r="J1125" s="4"/>
      <c r="K1125" s="38">
        <f t="shared" si="53"/>
        <v>0</v>
      </c>
    </row>
    <row r="1126" spans="1:11">
      <c r="A1126" t="s">
        <v>856</v>
      </c>
      <c r="B1126" t="s">
        <v>17</v>
      </c>
      <c r="C1126" t="s">
        <v>6488</v>
      </c>
      <c r="D1126" t="s">
        <v>6503</v>
      </c>
      <c r="E1126">
        <v>3640.86</v>
      </c>
      <c r="G1126" s="35"/>
      <c r="H1126" s="36">
        <f t="shared" si="51"/>
        <v>2293.7418000000002</v>
      </c>
      <c r="I1126" s="37">
        <f t="shared" si="52"/>
        <v>2293.7418000000002</v>
      </c>
      <c r="J1126" s="4"/>
      <c r="K1126" s="38">
        <f t="shared" si="53"/>
        <v>0</v>
      </c>
    </row>
    <row r="1127" spans="1:11">
      <c r="A1127" t="s">
        <v>857</v>
      </c>
      <c r="B1127" t="s">
        <v>17</v>
      </c>
      <c r="C1127" t="s">
        <v>6488</v>
      </c>
      <c r="D1127" t="s">
        <v>6504</v>
      </c>
      <c r="E1127">
        <v>5759.8</v>
      </c>
      <c r="G1127" s="35"/>
      <c r="H1127" s="36">
        <f t="shared" si="51"/>
        <v>3628.674</v>
      </c>
      <c r="I1127" s="37">
        <f t="shared" si="52"/>
        <v>3628.674</v>
      </c>
      <c r="J1127" s="4"/>
      <c r="K1127" s="38">
        <f t="shared" si="53"/>
        <v>0</v>
      </c>
    </row>
    <row r="1128" spans="1:11">
      <c r="A1128" t="s">
        <v>858</v>
      </c>
      <c r="B1128" t="s">
        <v>17</v>
      </c>
      <c r="C1128" t="s">
        <v>6488</v>
      </c>
      <c r="D1128" t="s">
        <v>6505</v>
      </c>
      <c r="E1128">
        <v>8868.3700000000008</v>
      </c>
      <c r="G1128" s="35"/>
      <c r="H1128" s="36">
        <f t="shared" si="51"/>
        <v>5587.0731000000005</v>
      </c>
      <c r="I1128" s="37">
        <f t="shared" si="52"/>
        <v>5587.0731000000005</v>
      </c>
      <c r="J1128" s="4"/>
      <c r="K1128" s="38">
        <f t="shared" si="53"/>
        <v>0</v>
      </c>
    </row>
    <row r="1129" spans="1:11">
      <c r="A1129" t="s">
        <v>859</v>
      </c>
      <c r="B1129" t="s">
        <v>17</v>
      </c>
      <c r="C1129" t="s">
        <v>6488</v>
      </c>
      <c r="D1129" t="s">
        <v>6506</v>
      </c>
      <c r="E1129">
        <v>17261.72</v>
      </c>
      <c r="G1129" s="35"/>
      <c r="H1129" s="36">
        <f t="shared" si="51"/>
        <v>10874.883600000001</v>
      </c>
      <c r="I1129" s="37">
        <f t="shared" si="52"/>
        <v>10874.883600000001</v>
      </c>
      <c r="J1129" s="4"/>
      <c r="K1129" s="38">
        <f t="shared" si="53"/>
        <v>0</v>
      </c>
    </row>
    <row r="1130" spans="1:11">
      <c r="A1130" t="s">
        <v>860</v>
      </c>
      <c r="B1130" t="s">
        <v>17</v>
      </c>
      <c r="C1130" t="s">
        <v>6488</v>
      </c>
      <c r="D1130" t="s">
        <v>6507</v>
      </c>
      <c r="E1130">
        <v>35374.58</v>
      </c>
      <c r="G1130" s="35"/>
      <c r="H1130" s="36">
        <f t="shared" si="51"/>
        <v>22285.985400000001</v>
      </c>
      <c r="I1130" s="37">
        <f t="shared" si="52"/>
        <v>22285.985400000001</v>
      </c>
      <c r="J1130" s="4"/>
      <c r="K1130" s="38">
        <f t="shared" si="53"/>
        <v>0</v>
      </c>
    </row>
    <row r="1131" spans="1:11">
      <c r="A1131" t="s">
        <v>861</v>
      </c>
      <c r="B1131" t="s">
        <v>17</v>
      </c>
      <c r="C1131" t="s">
        <v>6488</v>
      </c>
      <c r="D1131" t="s">
        <v>6508</v>
      </c>
      <c r="E1131">
        <v>47270.95</v>
      </c>
      <c r="G1131" s="35"/>
      <c r="H1131" s="36">
        <f t="shared" si="51"/>
        <v>29780.698499999999</v>
      </c>
      <c r="I1131" s="37">
        <f t="shared" si="52"/>
        <v>29780.698499999999</v>
      </c>
      <c r="J1131" s="4"/>
      <c r="K1131" s="38">
        <f t="shared" si="53"/>
        <v>0</v>
      </c>
    </row>
    <row r="1132" spans="1:11">
      <c r="A1132" t="s">
        <v>862</v>
      </c>
      <c r="B1132" t="s">
        <v>17</v>
      </c>
      <c r="C1132" t="s">
        <v>6488</v>
      </c>
      <c r="D1132" t="s">
        <v>6509</v>
      </c>
      <c r="E1132">
        <v>111110.08</v>
      </c>
      <c r="G1132" s="35"/>
      <c r="H1132" s="36">
        <f t="shared" si="51"/>
        <v>69999.350399999996</v>
      </c>
      <c r="I1132" s="37">
        <f t="shared" si="52"/>
        <v>69999.350399999996</v>
      </c>
      <c r="J1132" s="4"/>
      <c r="K1132" s="38">
        <f t="shared" si="53"/>
        <v>0</v>
      </c>
    </row>
    <row r="1133" spans="1:11">
      <c r="A1133" t="s">
        <v>3807</v>
      </c>
      <c r="B1133" t="s">
        <v>17</v>
      </c>
      <c r="C1133" t="s">
        <v>9291</v>
      </c>
      <c r="D1133" t="s">
        <v>9292</v>
      </c>
      <c r="E1133">
        <v>386111.98</v>
      </c>
      <c r="G1133" s="35"/>
      <c r="H1133" s="36">
        <f t="shared" si="51"/>
        <v>243250.54739999998</v>
      </c>
      <c r="I1133" s="37">
        <f t="shared" si="52"/>
        <v>243250.54739999998</v>
      </c>
      <c r="J1133" s="4"/>
      <c r="K1133" s="38">
        <f t="shared" si="53"/>
        <v>0</v>
      </c>
    </row>
    <row r="1134" spans="1:11">
      <c r="A1134" t="s">
        <v>3808</v>
      </c>
      <c r="B1134" t="s">
        <v>17</v>
      </c>
      <c r="C1134" t="s">
        <v>9291</v>
      </c>
      <c r="D1134" t="s">
        <v>9293</v>
      </c>
      <c r="E1134">
        <v>454095.03</v>
      </c>
      <c r="G1134" s="35"/>
      <c r="H1134" s="36">
        <f t="shared" si="51"/>
        <v>286079.8689</v>
      </c>
      <c r="I1134" s="37">
        <f t="shared" si="52"/>
        <v>286079.8689</v>
      </c>
      <c r="J1134" s="4"/>
      <c r="K1134" s="38">
        <f t="shared" si="53"/>
        <v>0</v>
      </c>
    </row>
    <row r="1135" spans="1:11">
      <c r="A1135" t="s">
        <v>3809</v>
      </c>
      <c r="B1135" t="s">
        <v>17</v>
      </c>
      <c r="C1135" t="s">
        <v>9291</v>
      </c>
      <c r="D1135" t="s">
        <v>9294</v>
      </c>
      <c r="E1135">
        <v>526693.11</v>
      </c>
      <c r="G1135" s="35"/>
      <c r="H1135" s="36">
        <f t="shared" si="51"/>
        <v>331816.6593</v>
      </c>
      <c r="I1135" s="37">
        <f t="shared" si="52"/>
        <v>331816.6593</v>
      </c>
      <c r="J1135" s="4"/>
      <c r="K1135" s="38">
        <f t="shared" si="53"/>
        <v>0</v>
      </c>
    </row>
    <row r="1136" spans="1:11">
      <c r="A1136" t="s">
        <v>3810</v>
      </c>
      <c r="B1136" t="s">
        <v>17</v>
      </c>
      <c r="C1136" t="s">
        <v>9291</v>
      </c>
      <c r="D1136" t="s">
        <v>9295</v>
      </c>
      <c r="E1136">
        <v>596891.63</v>
      </c>
      <c r="G1136" s="35"/>
      <c r="H1136" s="36">
        <f t="shared" si="51"/>
        <v>376041.72690000001</v>
      </c>
      <c r="I1136" s="37">
        <f t="shared" si="52"/>
        <v>376041.72690000001</v>
      </c>
      <c r="J1136" s="4"/>
      <c r="K1136" s="38">
        <f t="shared" si="53"/>
        <v>0</v>
      </c>
    </row>
    <row r="1137" spans="1:11">
      <c r="A1137" t="s">
        <v>3811</v>
      </c>
      <c r="B1137" t="s">
        <v>17</v>
      </c>
      <c r="C1137" t="s">
        <v>9291</v>
      </c>
      <c r="D1137" t="s">
        <v>9296</v>
      </c>
      <c r="E1137">
        <v>671038.43000000005</v>
      </c>
      <c r="G1137" s="35"/>
      <c r="H1137" s="36">
        <f t="shared" si="51"/>
        <v>422754.21090000006</v>
      </c>
      <c r="I1137" s="37">
        <f t="shared" si="52"/>
        <v>422754.21090000006</v>
      </c>
      <c r="J1137" s="4"/>
      <c r="K1137" s="38">
        <f t="shared" si="53"/>
        <v>0</v>
      </c>
    </row>
    <row r="1138" spans="1:11">
      <c r="A1138" t="s">
        <v>3812</v>
      </c>
      <c r="B1138" t="s">
        <v>17</v>
      </c>
      <c r="C1138" t="s">
        <v>9291</v>
      </c>
      <c r="D1138" t="s">
        <v>9297</v>
      </c>
      <c r="E1138">
        <v>737582.79</v>
      </c>
      <c r="G1138" s="35"/>
      <c r="H1138" s="36">
        <f t="shared" si="51"/>
        <v>464677.15770000004</v>
      </c>
      <c r="I1138" s="37">
        <f t="shared" si="52"/>
        <v>464677.15770000004</v>
      </c>
      <c r="J1138" s="4"/>
      <c r="K1138" s="38">
        <f t="shared" si="53"/>
        <v>0</v>
      </c>
    </row>
    <row r="1139" spans="1:11">
      <c r="A1139" t="s">
        <v>3813</v>
      </c>
      <c r="B1139" t="s">
        <v>17</v>
      </c>
      <c r="C1139" t="s">
        <v>9291</v>
      </c>
      <c r="D1139" t="s">
        <v>9298</v>
      </c>
      <c r="E1139">
        <v>386111.98</v>
      </c>
      <c r="G1139" s="35"/>
      <c r="H1139" s="36">
        <f t="shared" si="51"/>
        <v>243250.54739999998</v>
      </c>
      <c r="I1139" s="37">
        <f t="shared" si="52"/>
        <v>243250.54739999998</v>
      </c>
      <c r="J1139" s="4"/>
      <c r="K1139" s="38">
        <f t="shared" si="53"/>
        <v>0</v>
      </c>
    </row>
    <row r="1140" spans="1:11">
      <c r="A1140" t="s">
        <v>3814</v>
      </c>
      <c r="B1140" t="s">
        <v>17</v>
      </c>
      <c r="C1140" t="s">
        <v>9291</v>
      </c>
      <c r="D1140" t="s">
        <v>9299</v>
      </c>
      <c r="E1140">
        <v>454095.03</v>
      </c>
      <c r="G1140" s="35"/>
      <c r="H1140" s="36">
        <f t="shared" si="51"/>
        <v>286079.8689</v>
      </c>
      <c r="I1140" s="37">
        <f t="shared" si="52"/>
        <v>286079.8689</v>
      </c>
      <c r="J1140" s="4"/>
      <c r="K1140" s="38">
        <f t="shared" si="53"/>
        <v>0</v>
      </c>
    </row>
    <row r="1141" spans="1:11">
      <c r="A1141" t="s">
        <v>3815</v>
      </c>
      <c r="B1141" t="s">
        <v>17</v>
      </c>
      <c r="C1141" t="s">
        <v>9291</v>
      </c>
      <c r="D1141" t="s">
        <v>9300</v>
      </c>
      <c r="E1141">
        <v>526693.11</v>
      </c>
      <c r="G1141" s="35"/>
      <c r="H1141" s="36">
        <f t="shared" si="51"/>
        <v>331816.6593</v>
      </c>
      <c r="I1141" s="37">
        <f t="shared" si="52"/>
        <v>331816.6593</v>
      </c>
      <c r="J1141" s="4"/>
      <c r="K1141" s="38">
        <f t="shared" si="53"/>
        <v>0</v>
      </c>
    </row>
    <row r="1142" spans="1:11">
      <c r="A1142" t="s">
        <v>3816</v>
      </c>
      <c r="B1142" t="s">
        <v>17</v>
      </c>
      <c r="C1142" t="s">
        <v>9291</v>
      </c>
      <c r="D1142" t="s">
        <v>9301</v>
      </c>
      <c r="E1142">
        <v>596891.63</v>
      </c>
      <c r="G1142" s="35"/>
      <c r="H1142" s="36">
        <f t="shared" si="51"/>
        <v>376041.72690000001</v>
      </c>
      <c r="I1142" s="37">
        <f t="shared" si="52"/>
        <v>376041.72690000001</v>
      </c>
      <c r="J1142" s="4"/>
      <c r="K1142" s="38">
        <f t="shared" si="53"/>
        <v>0</v>
      </c>
    </row>
    <row r="1143" spans="1:11">
      <c r="A1143" t="s">
        <v>3817</v>
      </c>
      <c r="B1143" t="s">
        <v>17</v>
      </c>
      <c r="C1143" t="s">
        <v>9291</v>
      </c>
      <c r="D1143" t="s">
        <v>9302</v>
      </c>
      <c r="E1143">
        <v>671038.43000000005</v>
      </c>
      <c r="G1143" s="35"/>
      <c r="H1143" s="36">
        <f t="shared" si="51"/>
        <v>422754.21090000006</v>
      </c>
      <c r="I1143" s="37">
        <f t="shared" si="52"/>
        <v>422754.21090000006</v>
      </c>
      <c r="J1143" s="4"/>
      <c r="K1143" s="38">
        <f t="shared" si="53"/>
        <v>0</v>
      </c>
    </row>
    <row r="1144" spans="1:11">
      <c r="A1144" t="s">
        <v>3818</v>
      </c>
      <c r="B1144" t="s">
        <v>17</v>
      </c>
      <c r="C1144" t="s">
        <v>9291</v>
      </c>
      <c r="D1144" t="s">
        <v>9303</v>
      </c>
      <c r="E1144">
        <v>737582.79</v>
      </c>
      <c r="G1144" s="35"/>
      <c r="H1144" s="36">
        <f t="shared" si="51"/>
        <v>464677.15770000004</v>
      </c>
      <c r="I1144" s="37">
        <f t="shared" si="52"/>
        <v>464677.15770000004</v>
      </c>
      <c r="J1144" s="4"/>
      <c r="K1144" s="38">
        <f t="shared" si="53"/>
        <v>0</v>
      </c>
    </row>
    <row r="1145" spans="1:11">
      <c r="A1145" t="s">
        <v>3819</v>
      </c>
      <c r="B1145" t="s">
        <v>17</v>
      </c>
      <c r="C1145" t="s">
        <v>9291</v>
      </c>
      <c r="D1145" t="s">
        <v>9304</v>
      </c>
      <c r="E1145">
        <v>358190.73</v>
      </c>
      <c r="G1145" s="35"/>
      <c r="H1145" s="36">
        <f t="shared" si="51"/>
        <v>225660.1599</v>
      </c>
      <c r="I1145" s="37">
        <f t="shared" si="52"/>
        <v>225660.1599</v>
      </c>
      <c r="J1145" s="4"/>
      <c r="K1145" s="38">
        <f t="shared" si="53"/>
        <v>0</v>
      </c>
    </row>
    <row r="1146" spans="1:11">
      <c r="A1146" t="s">
        <v>3820</v>
      </c>
      <c r="B1146" t="s">
        <v>17</v>
      </c>
      <c r="C1146" t="s">
        <v>9291</v>
      </c>
      <c r="D1146" t="s">
        <v>9305</v>
      </c>
      <c r="E1146">
        <v>410010.31</v>
      </c>
      <c r="G1146" s="35"/>
      <c r="H1146" s="36">
        <f t="shared" si="51"/>
        <v>258306.49530000001</v>
      </c>
      <c r="I1146" s="37">
        <f t="shared" si="52"/>
        <v>258306.49530000001</v>
      </c>
      <c r="J1146" s="4"/>
      <c r="K1146" s="38">
        <f t="shared" si="53"/>
        <v>0</v>
      </c>
    </row>
    <row r="1147" spans="1:11">
      <c r="A1147" t="s">
        <v>3821</v>
      </c>
      <c r="B1147" t="s">
        <v>17</v>
      </c>
      <c r="C1147" t="s">
        <v>9291</v>
      </c>
      <c r="D1147" t="s">
        <v>9306</v>
      </c>
      <c r="E1147">
        <v>454901.74</v>
      </c>
      <c r="G1147" s="35"/>
      <c r="H1147" s="36">
        <f t="shared" si="51"/>
        <v>286588.09619999997</v>
      </c>
      <c r="I1147" s="37">
        <f t="shared" si="52"/>
        <v>286588.09619999997</v>
      </c>
      <c r="J1147" s="4"/>
      <c r="K1147" s="38">
        <f t="shared" si="53"/>
        <v>0</v>
      </c>
    </row>
    <row r="1148" spans="1:11">
      <c r="A1148" t="s">
        <v>3822</v>
      </c>
      <c r="B1148" t="s">
        <v>17</v>
      </c>
      <c r="C1148" t="s">
        <v>9291</v>
      </c>
      <c r="D1148" t="s">
        <v>9307</v>
      </c>
      <c r="E1148">
        <v>524957.94999999995</v>
      </c>
      <c r="G1148" s="35"/>
      <c r="H1148" s="36">
        <f t="shared" si="51"/>
        <v>330723.5085</v>
      </c>
      <c r="I1148" s="37">
        <f t="shared" si="52"/>
        <v>330723.5085</v>
      </c>
      <c r="J1148" s="4"/>
      <c r="K1148" s="38">
        <f t="shared" si="53"/>
        <v>0</v>
      </c>
    </row>
    <row r="1149" spans="1:11">
      <c r="A1149" t="s">
        <v>3823</v>
      </c>
      <c r="B1149" t="s">
        <v>17</v>
      </c>
      <c r="C1149" t="s">
        <v>9291</v>
      </c>
      <c r="D1149" t="s">
        <v>9308</v>
      </c>
      <c r="E1149">
        <v>571736.46</v>
      </c>
      <c r="G1149" s="35"/>
      <c r="H1149" s="36">
        <f t="shared" si="51"/>
        <v>360193.96979999996</v>
      </c>
      <c r="I1149" s="37">
        <f t="shared" si="52"/>
        <v>360193.96979999996</v>
      </c>
      <c r="J1149" s="4"/>
      <c r="K1149" s="38">
        <f t="shared" si="53"/>
        <v>0</v>
      </c>
    </row>
    <row r="1150" spans="1:11">
      <c r="A1150" t="s">
        <v>3824</v>
      </c>
      <c r="B1150" t="s">
        <v>17</v>
      </c>
      <c r="C1150" t="s">
        <v>9291</v>
      </c>
      <c r="D1150" t="s">
        <v>9309</v>
      </c>
      <c r="E1150">
        <v>624533.57999999996</v>
      </c>
      <c r="G1150" s="35"/>
      <c r="H1150" s="36">
        <f t="shared" si="51"/>
        <v>393456.15539999999</v>
      </c>
      <c r="I1150" s="37">
        <f t="shared" si="52"/>
        <v>393456.15539999999</v>
      </c>
      <c r="J1150" s="4"/>
      <c r="K1150" s="38">
        <f t="shared" si="53"/>
        <v>0</v>
      </c>
    </row>
    <row r="1151" spans="1:11">
      <c r="A1151" t="s">
        <v>3825</v>
      </c>
      <c r="B1151" t="s">
        <v>17</v>
      </c>
      <c r="C1151" t="s">
        <v>9291</v>
      </c>
      <c r="D1151" t="s">
        <v>9310</v>
      </c>
      <c r="E1151">
        <v>358190.73</v>
      </c>
      <c r="G1151" s="35"/>
      <c r="H1151" s="36">
        <f t="shared" si="51"/>
        <v>225660.1599</v>
      </c>
      <c r="I1151" s="37">
        <f t="shared" si="52"/>
        <v>225660.1599</v>
      </c>
      <c r="J1151" s="4"/>
      <c r="K1151" s="38">
        <f t="shared" si="53"/>
        <v>0</v>
      </c>
    </row>
    <row r="1152" spans="1:11">
      <c r="A1152" t="s">
        <v>3826</v>
      </c>
      <c r="B1152" t="s">
        <v>17</v>
      </c>
      <c r="C1152" t="s">
        <v>9291</v>
      </c>
      <c r="D1152" t="s">
        <v>9311</v>
      </c>
      <c r="E1152">
        <v>410010.31</v>
      </c>
      <c r="G1152" s="35"/>
      <c r="H1152" s="36">
        <f t="shared" si="51"/>
        <v>258306.49530000001</v>
      </c>
      <c r="I1152" s="37">
        <f t="shared" si="52"/>
        <v>258306.49530000001</v>
      </c>
      <c r="J1152" s="4"/>
      <c r="K1152" s="38">
        <f t="shared" si="53"/>
        <v>0</v>
      </c>
    </row>
    <row r="1153" spans="1:11">
      <c r="A1153" t="s">
        <v>3827</v>
      </c>
      <c r="B1153" t="s">
        <v>17</v>
      </c>
      <c r="C1153" t="s">
        <v>9291</v>
      </c>
      <c r="D1153" t="s">
        <v>9312</v>
      </c>
      <c r="E1153">
        <v>454901.74</v>
      </c>
      <c r="G1153" s="35"/>
      <c r="H1153" s="36">
        <f t="shared" si="51"/>
        <v>286588.09619999997</v>
      </c>
      <c r="I1153" s="37">
        <f t="shared" si="52"/>
        <v>286588.09619999997</v>
      </c>
      <c r="J1153" s="4"/>
      <c r="K1153" s="38">
        <f t="shared" si="53"/>
        <v>0</v>
      </c>
    </row>
    <row r="1154" spans="1:11">
      <c r="A1154" t="s">
        <v>3828</v>
      </c>
      <c r="B1154" t="s">
        <v>17</v>
      </c>
      <c r="C1154" t="s">
        <v>9291</v>
      </c>
      <c r="D1154" t="s">
        <v>9313</v>
      </c>
      <c r="E1154">
        <v>524957.94999999995</v>
      </c>
      <c r="G1154" s="35"/>
      <c r="H1154" s="36">
        <f t="shared" si="51"/>
        <v>330723.5085</v>
      </c>
      <c r="I1154" s="37">
        <f t="shared" si="52"/>
        <v>330723.5085</v>
      </c>
      <c r="J1154" s="4"/>
      <c r="K1154" s="38">
        <f t="shared" si="53"/>
        <v>0</v>
      </c>
    </row>
    <row r="1155" spans="1:11">
      <c r="A1155" t="s">
        <v>3829</v>
      </c>
      <c r="B1155" t="s">
        <v>17</v>
      </c>
      <c r="C1155" t="s">
        <v>9291</v>
      </c>
      <c r="D1155" t="s">
        <v>9314</v>
      </c>
      <c r="E1155">
        <v>571736.46</v>
      </c>
      <c r="G1155" s="35"/>
      <c r="H1155" s="36">
        <f t="shared" si="51"/>
        <v>360193.96979999996</v>
      </c>
      <c r="I1155" s="37">
        <f t="shared" si="52"/>
        <v>360193.96979999996</v>
      </c>
      <c r="J1155" s="4"/>
      <c r="K1155" s="38">
        <f t="shared" si="53"/>
        <v>0</v>
      </c>
    </row>
    <row r="1156" spans="1:11">
      <c r="A1156" t="s">
        <v>3830</v>
      </c>
      <c r="B1156" t="s">
        <v>17</v>
      </c>
      <c r="C1156" t="s">
        <v>9291</v>
      </c>
      <c r="D1156" t="s">
        <v>9315</v>
      </c>
      <c r="E1156">
        <v>624533.57999999996</v>
      </c>
      <c r="G1156" s="35"/>
      <c r="H1156" s="36">
        <f t="shared" si="51"/>
        <v>393456.15539999999</v>
      </c>
      <c r="I1156" s="37">
        <f t="shared" si="52"/>
        <v>393456.15539999999</v>
      </c>
      <c r="J1156" s="4"/>
      <c r="K1156" s="38">
        <f t="shared" si="53"/>
        <v>0</v>
      </c>
    </row>
    <row r="1157" spans="1:11">
      <c r="A1157" t="s">
        <v>3841</v>
      </c>
      <c r="B1157" t="s">
        <v>17</v>
      </c>
      <c r="C1157" t="s">
        <v>9326</v>
      </c>
      <c r="D1157" t="s">
        <v>9292</v>
      </c>
      <c r="E1157">
        <v>424280.4</v>
      </c>
      <c r="G1157" s="35"/>
      <c r="H1157" s="36">
        <f t="shared" si="51"/>
        <v>267296.652</v>
      </c>
      <c r="I1157" s="37">
        <f t="shared" si="52"/>
        <v>267296.652</v>
      </c>
      <c r="J1157" s="4"/>
      <c r="K1157" s="38">
        <f t="shared" si="53"/>
        <v>0</v>
      </c>
    </row>
    <row r="1158" spans="1:11">
      <c r="A1158" t="s">
        <v>3842</v>
      </c>
      <c r="B1158" t="s">
        <v>17</v>
      </c>
      <c r="C1158" t="s">
        <v>9326</v>
      </c>
      <c r="D1158" t="s">
        <v>9293</v>
      </c>
      <c r="E1158">
        <v>491362.64</v>
      </c>
      <c r="G1158" s="35"/>
      <c r="H1158" s="36">
        <f t="shared" si="51"/>
        <v>309558.4632</v>
      </c>
      <c r="I1158" s="37">
        <f t="shared" si="52"/>
        <v>309558.4632</v>
      </c>
      <c r="J1158" s="4"/>
      <c r="K1158" s="38">
        <f t="shared" si="53"/>
        <v>0</v>
      </c>
    </row>
    <row r="1159" spans="1:11">
      <c r="A1159" t="s">
        <v>3843</v>
      </c>
      <c r="B1159" t="s">
        <v>17</v>
      </c>
      <c r="C1159" t="s">
        <v>9326</v>
      </c>
      <c r="D1159" t="s">
        <v>9294</v>
      </c>
      <c r="E1159">
        <v>565779.18000000005</v>
      </c>
      <c r="G1159" s="35"/>
      <c r="H1159" s="36">
        <f t="shared" ref="H1159:H1222" si="54">+E1159*$H$1*(1-G1159)</f>
        <v>356440.88340000005</v>
      </c>
      <c r="I1159" s="37">
        <f t="shared" ref="I1159:I1222" si="55">H1159*$H$4</f>
        <v>356440.88340000005</v>
      </c>
      <c r="J1159" s="4"/>
      <c r="K1159" s="38">
        <f t="shared" ref="K1159:K1222" si="56">J1159*I1159</f>
        <v>0</v>
      </c>
    </row>
    <row r="1160" spans="1:11">
      <c r="A1160" t="s">
        <v>3844</v>
      </c>
      <c r="B1160" t="s">
        <v>17</v>
      </c>
      <c r="C1160" t="s">
        <v>9326</v>
      </c>
      <c r="D1160" t="s">
        <v>9295</v>
      </c>
      <c r="E1160">
        <v>646847.05000000005</v>
      </c>
      <c r="G1160" s="35"/>
      <c r="H1160" s="36">
        <f t="shared" si="54"/>
        <v>407513.64150000003</v>
      </c>
      <c r="I1160" s="37">
        <f t="shared" si="55"/>
        <v>407513.64150000003</v>
      </c>
      <c r="J1160" s="4"/>
      <c r="K1160" s="38">
        <f t="shared" si="56"/>
        <v>0</v>
      </c>
    </row>
    <row r="1161" spans="1:11">
      <c r="A1161" t="s">
        <v>3845</v>
      </c>
      <c r="B1161" t="s">
        <v>17</v>
      </c>
      <c r="C1161" t="s">
        <v>9326</v>
      </c>
      <c r="D1161" t="s">
        <v>9296</v>
      </c>
      <c r="E1161">
        <v>723023.54</v>
      </c>
      <c r="G1161" s="35"/>
      <c r="H1161" s="36">
        <f t="shared" si="54"/>
        <v>455504.83020000003</v>
      </c>
      <c r="I1161" s="37">
        <f t="shared" si="55"/>
        <v>455504.83020000003</v>
      </c>
      <c r="J1161" s="4"/>
      <c r="K1161" s="38">
        <f t="shared" si="56"/>
        <v>0</v>
      </c>
    </row>
    <row r="1162" spans="1:11">
      <c r="A1162" t="s">
        <v>3846</v>
      </c>
      <c r="B1162" t="s">
        <v>17</v>
      </c>
      <c r="C1162" t="s">
        <v>9326</v>
      </c>
      <c r="D1162" t="s">
        <v>9297</v>
      </c>
      <c r="E1162">
        <v>796969.76</v>
      </c>
      <c r="G1162" s="35"/>
      <c r="H1162" s="36">
        <f t="shared" si="54"/>
        <v>502090.94880000001</v>
      </c>
      <c r="I1162" s="37">
        <f t="shared" si="55"/>
        <v>502090.94880000001</v>
      </c>
      <c r="J1162" s="4"/>
      <c r="K1162" s="38">
        <f t="shared" si="56"/>
        <v>0</v>
      </c>
    </row>
    <row r="1163" spans="1:11">
      <c r="A1163" t="s">
        <v>3847</v>
      </c>
      <c r="B1163" t="s">
        <v>17</v>
      </c>
      <c r="C1163" t="s">
        <v>9326</v>
      </c>
      <c r="D1163" t="s">
        <v>9298</v>
      </c>
      <c r="E1163">
        <v>424280.4</v>
      </c>
      <c r="G1163" s="35"/>
      <c r="H1163" s="36">
        <f t="shared" si="54"/>
        <v>267296.652</v>
      </c>
      <c r="I1163" s="37">
        <f t="shared" si="55"/>
        <v>267296.652</v>
      </c>
      <c r="J1163" s="4"/>
      <c r="K1163" s="38">
        <f t="shared" si="56"/>
        <v>0</v>
      </c>
    </row>
    <row r="1164" spans="1:11">
      <c r="A1164" t="s">
        <v>3848</v>
      </c>
      <c r="B1164" t="s">
        <v>17</v>
      </c>
      <c r="C1164" t="s">
        <v>9326</v>
      </c>
      <c r="D1164" t="s">
        <v>9299</v>
      </c>
      <c r="E1164">
        <v>491362.64</v>
      </c>
      <c r="G1164" s="35"/>
      <c r="H1164" s="36">
        <f t="shared" si="54"/>
        <v>309558.4632</v>
      </c>
      <c r="I1164" s="37">
        <f t="shared" si="55"/>
        <v>309558.4632</v>
      </c>
      <c r="J1164" s="4"/>
      <c r="K1164" s="38">
        <f t="shared" si="56"/>
        <v>0</v>
      </c>
    </row>
    <row r="1165" spans="1:11">
      <c r="A1165" t="s">
        <v>3849</v>
      </c>
      <c r="B1165" t="s">
        <v>17</v>
      </c>
      <c r="C1165" t="s">
        <v>9326</v>
      </c>
      <c r="D1165" t="s">
        <v>9300</v>
      </c>
      <c r="E1165">
        <v>565779.18000000005</v>
      </c>
      <c r="G1165" s="35"/>
      <c r="H1165" s="36">
        <f t="shared" si="54"/>
        <v>356440.88340000005</v>
      </c>
      <c r="I1165" s="37">
        <f t="shared" si="55"/>
        <v>356440.88340000005</v>
      </c>
      <c r="J1165" s="4"/>
      <c r="K1165" s="38">
        <f t="shared" si="56"/>
        <v>0</v>
      </c>
    </row>
    <row r="1166" spans="1:11">
      <c r="A1166" t="s">
        <v>3850</v>
      </c>
      <c r="B1166" t="s">
        <v>17</v>
      </c>
      <c r="C1166" t="s">
        <v>9326</v>
      </c>
      <c r="D1166" t="s">
        <v>9301</v>
      </c>
      <c r="E1166">
        <v>646847.05000000005</v>
      </c>
      <c r="G1166" s="35"/>
      <c r="H1166" s="36">
        <f t="shared" si="54"/>
        <v>407513.64150000003</v>
      </c>
      <c r="I1166" s="37">
        <f t="shared" si="55"/>
        <v>407513.64150000003</v>
      </c>
      <c r="J1166" s="4"/>
      <c r="K1166" s="38">
        <f t="shared" si="56"/>
        <v>0</v>
      </c>
    </row>
    <row r="1167" spans="1:11">
      <c r="A1167" t="s">
        <v>3851</v>
      </c>
      <c r="B1167" t="s">
        <v>17</v>
      </c>
      <c r="C1167" t="s">
        <v>9326</v>
      </c>
      <c r="D1167" t="s">
        <v>9302</v>
      </c>
      <c r="E1167">
        <v>723023.54</v>
      </c>
      <c r="G1167" s="35"/>
      <c r="H1167" s="36">
        <f t="shared" si="54"/>
        <v>455504.83020000003</v>
      </c>
      <c r="I1167" s="37">
        <f t="shared" si="55"/>
        <v>455504.83020000003</v>
      </c>
      <c r="J1167" s="4"/>
      <c r="K1167" s="38">
        <f t="shared" si="56"/>
        <v>0</v>
      </c>
    </row>
    <row r="1168" spans="1:11">
      <c r="A1168" t="s">
        <v>3852</v>
      </c>
      <c r="B1168" t="s">
        <v>17</v>
      </c>
      <c r="C1168" t="s">
        <v>9326</v>
      </c>
      <c r="D1168" t="s">
        <v>9303</v>
      </c>
      <c r="E1168">
        <v>796969.76</v>
      </c>
      <c r="G1168" s="35"/>
      <c r="H1168" s="36">
        <f t="shared" si="54"/>
        <v>502090.94880000001</v>
      </c>
      <c r="I1168" s="37">
        <f t="shared" si="55"/>
        <v>502090.94880000001</v>
      </c>
      <c r="J1168" s="4"/>
      <c r="K1168" s="38">
        <f t="shared" si="56"/>
        <v>0</v>
      </c>
    </row>
    <row r="1169" spans="1:11">
      <c r="A1169" t="s">
        <v>3853</v>
      </c>
      <c r="B1169" t="s">
        <v>17</v>
      </c>
      <c r="C1169" t="s">
        <v>9326</v>
      </c>
      <c r="D1169" t="s">
        <v>9327</v>
      </c>
      <c r="E1169">
        <v>403400.94</v>
      </c>
      <c r="G1169" s="35"/>
      <c r="H1169" s="36">
        <f t="shared" si="54"/>
        <v>254142.59220000001</v>
      </c>
      <c r="I1169" s="37">
        <f t="shared" si="55"/>
        <v>254142.59220000001</v>
      </c>
      <c r="J1169" s="4"/>
      <c r="K1169" s="38">
        <f t="shared" si="56"/>
        <v>0</v>
      </c>
    </row>
    <row r="1170" spans="1:11">
      <c r="A1170" t="s">
        <v>3854</v>
      </c>
      <c r="B1170" t="s">
        <v>17</v>
      </c>
      <c r="C1170" t="s">
        <v>9326</v>
      </c>
      <c r="D1170" t="s">
        <v>9328</v>
      </c>
      <c r="E1170">
        <v>450509.01</v>
      </c>
      <c r="G1170" s="35"/>
      <c r="H1170" s="36">
        <f t="shared" si="54"/>
        <v>283820.67629999999</v>
      </c>
      <c r="I1170" s="37">
        <f t="shared" si="55"/>
        <v>283820.67629999999</v>
      </c>
      <c r="J1170" s="4"/>
      <c r="K1170" s="38">
        <f t="shared" si="56"/>
        <v>0</v>
      </c>
    </row>
    <row r="1171" spans="1:11">
      <c r="A1171" t="s">
        <v>3855</v>
      </c>
      <c r="B1171" t="s">
        <v>17</v>
      </c>
      <c r="C1171" t="s">
        <v>9326</v>
      </c>
      <c r="D1171" t="s">
        <v>9329</v>
      </c>
      <c r="E1171">
        <v>495693.54</v>
      </c>
      <c r="G1171" s="35"/>
      <c r="H1171" s="36">
        <f t="shared" si="54"/>
        <v>312286.9302</v>
      </c>
      <c r="I1171" s="37">
        <f t="shared" si="55"/>
        <v>312286.9302</v>
      </c>
      <c r="J1171" s="4"/>
      <c r="K1171" s="38">
        <f t="shared" si="56"/>
        <v>0</v>
      </c>
    </row>
    <row r="1172" spans="1:11">
      <c r="A1172" t="s">
        <v>3856</v>
      </c>
      <c r="B1172" t="s">
        <v>17</v>
      </c>
      <c r="C1172" t="s">
        <v>9326</v>
      </c>
      <c r="D1172" t="s">
        <v>9330</v>
      </c>
      <c r="E1172">
        <v>549820.42000000004</v>
      </c>
      <c r="G1172" s="35"/>
      <c r="H1172" s="36">
        <f t="shared" si="54"/>
        <v>346386.86460000003</v>
      </c>
      <c r="I1172" s="37">
        <f t="shared" si="55"/>
        <v>346386.86460000003</v>
      </c>
      <c r="J1172" s="4"/>
      <c r="K1172" s="38">
        <f t="shared" si="56"/>
        <v>0</v>
      </c>
    </row>
    <row r="1173" spans="1:11">
      <c r="A1173" t="s">
        <v>3857</v>
      </c>
      <c r="B1173" t="s">
        <v>17</v>
      </c>
      <c r="C1173" t="s">
        <v>9326</v>
      </c>
      <c r="D1173" t="s">
        <v>9331</v>
      </c>
      <c r="E1173">
        <v>606195.64</v>
      </c>
      <c r="G1173" s="35"/>
      <c r="H1173" s="36">
        <f t="shared" si="54"/>
        <v>381903.25320000004</v>
      </c>
      <c r="I1173" s="37">
        <f t="shared" si="55"/>
        <v>381903.25320000004</v>
      </c>
      <c r="J1173" s="4"/>
      <c r="K1173" s="38">
        <f t="shared" si="56"/>
        <v>0</v>
      </c>
    </row>
    <row r="1174" spans="1:11">
      <c r="A1174" t="s">
        <v>3858</v>
      </c>
      <c r="B1174" t="s">
        <v>17</v>
      </c>
      <c r="C1174" t="s">
        <v>9326</v>
      </c>
      <c r="D1174" t="s">
        <v>9332</v>
      </c>
      <c r="E1174">
        <v>677221.83</v>
      </c>
      <c r="G1174" s="35"/>
      <c r="H1174" s="36">
        <f t="shared" si="54"/>
        <v>426649.75289999996</v>
      </c>
      <c r="I1174" s="37">
        <f t="shared" si="55"/>
        <v>426649.75289999996</v>
      </c>
      <c r="J1174" s="4"/>
      <c r="K1174" s="38">
        <f t="shared" si="56"/>
        <v>0</v>
      </c>
    </row>
    <row r="1175" spans="1:11">
      <c r="A1175" t="s">
        <v>3859</v>
      </c>
      <c r="B1175" t="s">
        <v>17</v>
      </c>
      <c r="C1175" t="s">
        <v>9326</v>
      </c>
      <c r="D1175" t="s">
        <v>9310</v>
      </c>
      <c r="E1175">
        <v>403400.94</v>
      </c>
      <c r="G1175" s="35"/>
      <c r="H1175" s="36">
        <f t="shared" si="54"/>
        <v>254142.59220000001</v>
      </c>
      <c r="I1175" s="37">
        <f t="shared" si="55"/>
        <v>254142.59220000001</v>
      </c>
      <c r="J1175" s="4"/>
      <c r="K1175" s="38">
        <f t="shared" si="56"/>
        <v>0</v>
      </c>
    </row>
    <row r="1176" spans="1:11">
      <c r="A1176" t="s">
        <v>3860</v>
      </c>
      <c r="B1176" t="s">
        <v>17</v>
      </c>
      <c r="C1176" t="s">
        <v>9326</v>
      </c>
      <c r="D1176" t="s">
        <v>9311</v>
      </c>
      <c r="E1176">
        <v>450509.01</v>
      </c>
      <c r="G1176" s="35"/>
      <c r="H1176" s="36">
        <f t="shared" si="54"/>
        <v>283820.67629999999</v>
      </c>
      <c r="I1176" s="37">
        <f t="shared" si="55"/>
        <v>283820.67629999999</v>
      </c>
      <c r="J1176" s="4"/>
      <c r="K1176" s="38">
        <f t="shared" si="56"/>
        <v>0</v>
      </c>
    </row>
    <row r="1177" spans="1:11">
      <c r="A1177" t="s">
        <v>3861</v>
      </c>
      <c r="B1177" t="s">
        <v>17</v>
      </c>
      <c r="C1177" t="s">
        <v>9326</v>
      </c>
      <c r="D1177" t="s">
        <v>9312</v>
      </c>
      <c r="E1177">
        <v>495693.54</v>
      </c>
      <c r="G1177" s="35"/>
      <c r="H1177" s="36">
        <f t="shared" si="54"/>
        <v>312286.9302</v>
      </c>
      <c r="I1177" s="37">
        <f t="shared" si="55"/>
        <v>312286.9302</v>
      </c>
      <c r="J1177" s="4"/>
      <c r="K1177" s="38">
        <f t="shared" si="56"/>
        <v>0</v>
      </c>
    </row>
    <row r="1178" spans="1:11">
      <c r="A1178" t="s">
        <v>3862</v>
      </c>
      <c r="B1178" t="s">
        <v>17</v>
      </c>
      <c r="C1178" t="s">
        <v>9326</v>
      </c>
      <c r="D1178" t="s">
        <v>9313</v>
      </c>
      <c r="E1178">
        <v>549820.42000000004</v>
      </c>
      <c r="G1178" s="35"/>
      <c r="H1178" s="36">
        <f t="shared" si="54"/>
        <v>346386.86460000003</v>
      </c>
      <c r="I1178" s="37">
        <f t="shared" si="55"/>
        <v>346386.86460000003</v>
      </c>
      <c r="J1178" s="4"/>
      <c r="K1178" s="38">
        <f t="shared" si="56"/>
        <v>0</v>
      </c>
    </row>
    <row r="1179" spans="1:11">
      <c r="A1179" t="s">
        <v>3863</v>
      </c>
      <c r="B1179" t="s">
        <v>17</v>
      </c>
      <c r="C1179" t="s">
        <v>9326</v>
      </c>
      <c r="D1179" t="s">
        <v>9314</v>
      </c>
      <c r="E1179">
        <v>606195.64</v>
      </c>
      <c r="G1179" s="35"/>
      <c r="H1179" s="36">
        <f t="shared" si="54"/>
        <v>381903.25320000004</v>
      </c>
      <c r="I1179" s="37">
        <f t="shared" si="55"/>
        <v>381903.25320000004</v>
      </c>
      <c r="J1179" s="4"/>
      <c r="K1179" s="38">
        <f t="shared" si="56"/>
        <v>0</v>
      </c>
    </row>
    <row r="1180" spans="1:11">
      <c r="A1180" t="s">
        <v>3864</v>
      </c>
      <c r="B1180" t="s">
        <v>17</v>
      </c>
      <c r="C1180" t="s">
        <v>9326</v>
      </c>
      <c r="D1180" t="s">
        <v>9315</v>
      </c>
      <c r="E1180">
        <v>677221.83</v>
      </c>
      <c r="G1180" s="35"/>
      <c r="H1180" s="36">
        <f t="shared" si="54"/>
        <v>426649.75289999996</v>
      </c>
      <c r="I1180" s="37">
        <f t="shared" si="55"/>
        <v>426649.75289999996</v>
      </c>
      <c r="J1180" s="4"/>
      <c r="K1180" s="38">
        <f t="shared" si="56"/>
        <v>0</v>
      </c>
    </row>
    <row r="1181" spans="1:11">
      <c r="A1181" t="s">
        <v>907</v>
      </c>
      <c r="B1181" t="s">
        <v>17</v>
      </c>
      <c r="C1181" t="s">
        <v>6555</v>
      </c>
      <c r="D1181" t="s">
        <v>6556</v>
      </c>
      <c r="E1181">
        <v>2025.43</v>
      </c>
      <c r="G1181" s="35"/>
      <c r="H1181" s="36">
        <f t="shared" si="54"/>
        <v>1276.0209</v>
      </c>
      <c r="I1181" s="37">
        <f t="shared" si="55"/>
        <v>1276.0209</v>
      </c>
      <c r="J1181" s="4"/>
      <c r="K1181" s="38">
        <f t="shared" si="56"/>
        <v>0</v>
      </c>
    </row>
    <row r="1182" spans="1:11">
      <c r="A1182" t="s">
        <v>908</v>
      </c>
      <c r="B1182" t="s">
        <v>17</v>
      </c>
      <c r="C1182" t="s">
        <v>6555</v>
      </c>
      <c r="D1182" t="s">
        <v>6557</v>
      </c>
      <c r="E1182">
        <v>1450.55</v>
      </c>
      <c r="G1182" s="35"/>
      <c r="H1182" s="36">
        <f t="shared" si="54"/>
        <v>913.84649999999999</v>
      </c>
      <c r="I1182" s="37">
        <f t="shared" si="55"/>
        <v>913.84649999999999</v>
      </c>
      <c r="J1182" s="4"/>
      <c r="K1182" s="38">
        <f t="shared" si="56"/>
        <v>0</v>
      </c>
    </row>
    <row r="1183" spans="1:11">
      <c r="A1183" t="s">
        <v>909</v>
      </c>
      <c r="B1183" t="s">
        <v>17</v>
      </c>
      <c r="C1183" t="s">
        <v>6555</v>
      </c>
      <c r="D1183" t="s">
        <v>6558</v>
      </c>
      <c r="E1183">
        <v>2025.6</v>
      </c>
      <c r="G1183" s="35"/>
      <c r="H1183" s="36">
        <f t="shared" si="54"/>
        <v>1276.1279999999999</v>
      </c>
      <c r="I1183" s="37">
        <f t="shared" si="55"/>
        <v>1276.1279999999999</v>
      </c>
      <c r="J1183" s="4"/>
      <c r="K1183" s="38">
        <f t="shared" si="56"/>
        <v>0</v>
      </c>
    </row>
    <row r="1184" spans="1:11">
      <c r="A1184" t="s">
        <v>910</v>
      </c>
      <c r="B1184" t="s">
        <v>17</v>
      </c>
      <c r="C1184" t="s">
        <v>6555</v>
      </c>
      <c r="D1184" t="s">
        <v>6559</v>
      </c>
      <c r="E1184">
        <v>2866.94</v>
      </c>
      <c r="G1184" s="35"/>
      <c r="H1184" s="36">
        <f t="shared" si="54"/>
        <v>1806.1722</v>
      </c>
      <c r="I1184" s="37">
        <f t="shared" si="55"/>
        <v>1806.1722</v>
      </c>
      <c r="J1184" s="4"/>
      <c r="K1184" s="38">
        <f t="shared" si="56"/>
        <v>0</v>
      </c>
    </row>
    <row r="1185" spans="1:11">
      <c r="A1185" t="s">
        <v>911</v>
      </c>
      <c r="B1185" t="s">
        <v>17</v>
      </c>
      <c r="C1185" t="s">
        <v>6555</v>
      </c>
      <c r="D1185" t="s">
        <v>6560</v>
      </c>
      <c r="E1185">
        <v>2481.66</v>
      </c>
      <c r="G1185" s="35"/>
      <c r="H1185" s="36">
        <f t="shared" si="54"/>
        <v>1563.4458</v>
      </c>
      <c r="I1185" s="37">
        <f t="shared" si="55"/>
        <v>1563.4458</v>
      </c>
      <c r="J1185" s="4"/>
      <c r="K1185" s="38">
        <f t="shared" si="56"/>
        <v>0</v>
      </c>
    </row>
    <row r="1186" spans="1:11">
      <c r="A1186" t="s">
        <v>912</v>
      </c>
      <c r="B1186" t="s">
        <v>17</v>
      </c>
      <c r="C1186" t="s">
        <v>6555</v>
      </c>
      <c r="D1186" t="s">
        <v>6561</v>
      </c>
      <c r="E1186">
        <v>4225.1099999999997</v>
      </c>
      <c r="G1186" s="35"/>
      <c r="H1186" s="36">
        <f t="shared" si="54"/>
        <v>2661.8192999999997</v>
      </c>
      <c r="I1186" s="37">
        <f t="shared" si="55"/>
        <v>2661.8192999999997</v>
      </c>
      <c r="J1186" s="4"/>
      <c r="K1186" s="38">
        <f t="shared" si="56"/>
        <v>0</v>
      </c>
    </row>
    <row r="1187" spans="1:11">
      <c r="A1187" t="s">
        <v>913</v>
      </c>
      <c r="B1187" t="s">
        <v>17</v>
      </c>
      <c r="C1187" t="s">
        <v>6555</v>
      </c>
      <c r="D1187" t="s">
        <v>6562</v>
      </c>
      <c r="E1187">
        <v>12882.11</v>
      </c>
      <c r="G1187" s="35"/>
      <c r="H1187" s="36">
        <f t="shared" si="54"/>
        <v>8115.7293000000009</v>
      </c>
      <c r="I1187" s="37">
        <f t="shared" si="55"/>
        <v>8115.7293000000009</v>
      </c>
      <c r="J1187" s="4"/>
      <c r="K1187" s="38">
        <f t="shared" si="56"/>
        <v>0</v>
      </c>
    </row>
    <row r="1188" spans="1:11">
      <c r="A1188" t="s">
        <v>914</v>
      </c>
      <c r="B1188" t="s">
        <v>17</v>
      </c>
      <c r="C1188" t="s">
        <v>6555</v>
      </c>
      <c r="D1188" t="s">
        <v>6563</v>
      </c>
      <c r="E1188">
        <v>3046.9</v>
      </c>
      <c r="G1188" s="35"/>
      <c r="H1188" s="36">
        <f t="shared" si="54"/>
        <v>1919.547</v>
      </c>
      <c r="I1188" s="37">
        <f t="shared" si="55"/>
        <v>1919.547</v>
      </c>
      <c r="J1188" s="4"/>
      <c r="K1188" s="38">
        <f t="shared" si="56"/>
        <v>0</v>
      </c>
    </row>
    <row r="1189" spans="1:11">
      <c r="A1189" t="s">
        <v>915</v>
      </c>
      <c r="B1189" t="s">
        <v>17</v>
      </c>
      <c r="C1189" t="s">
        <v>6555</v>
      </c>
      <c r="D1189" t="s">
        <v>6564</v>
      </c>
      <c r="E1189">
        <v>5650.3</v>
      </c>
      <c r="G1189" s="35"/>
      <c r="H1189" s="36">
        <f t="shared" si="54"/>
        <v>3559.6890000000003</v>
      </c>
      <c r="I1189" s="37">
        <f t="shared" si="55"/>
        <v>3559.6890000000003</v>
      </c>
      <c r="J1189" s="4"/>
      <c r="K1189" s="38">
        <f t="shared" si="56"/>
        <v>0</v>
      </c>
    </row>
    <row r="1190" spans="1:11">
      <c r="A1190" t="s">
        <v>888</v>
      </c>
      <c r="B1190" t="s">
        <v>17</v>
      </c>
      <c r="C1190" t="s">
        <v>6541</v>
      </c>
      <c r="D1190" t="s">
        <v>6542</v>
      </c>
      <c r="E1190">
        <v>2407.77</v>
      </c>
      <c r="G1190" s="35"/>
      <c r="H1190" s="36">
        <f t="shared" si="54"/>
        <v>1516.8951</v>
      </c>
      <c r="I1190" s="37">
        <f t="shared" si="55"/>
        <v>1516.8951</v>
      </c>
      <c r="J1190" s="4"/>
      <c r="K1190" s="38">
        <f t="shared" si="56"/>
        <v>0</v>
      </c>
    </row>
    <row r="1191" spans="1:11">
      <c r="A1191" t="s">
        <v>889</v>
      </c>
      <c r="B1191" t="s">
        <v>17</v>
      </c>
      <c r="C1191" t="s">
        <v>6541</v>
      </c>
      <c r="D1191" t="s">
        <v>6543</v>
      </c>
      <c r="E1191">
        <v>2703.39</v>
      </c>
      <c r="G1191" s="35"/>
      <c r="H1191" s="36">
        <f t="shared" si="54"/>
        <v>1703.1357</v>
      </c>
      <c r="I1191" s="37">
        <f t="shared" si="55"/>
        <v>1703.1357</v>
      </c>
      <c r="J1191" s="4"/>
      <c r="K1191" s="38">
        <f t="shared" si="56"/>
        <v>0</v>
      </c>
    </row>
    <row r="1192" spans="1:11">
      <c r="A1192" t="s">
        <v>890</v>
      </c>
      <c r="B1192" t="s">
        <v>17</v>
      </c>
      <c r="C1192" t="s">
        <v>6541</v>
      </c>
      <c r="D1192" t="s">
        <v>6544</v>
      </c>
      <c r="E1192">
        <v>2883.08</v>
      </c>
      <c r="G1192" s="35"/>
      <c r="H1192" s="36">
        <f t="shared" si="54"/>
        <v>1816.3404</v>
      </c>
      <c r="I1192" s="37">
        <f t="shared" si="55"/>
        <v>1816.3404</v>
      </c>
      <c r="J1192" s="4"/>
      <c r="K1192" s="38">
        <f t="shared" si="56"/>
        <v>0</v>
      </c>
    </row>
    <row r="1193" spans="1:11">
      <c r="A1193" t="s">
        <v>891</v>
      </c>
      <c r="B1193" t="s">
        <v>17</v>
      </c>
      <c r="C1193" t="s">
        <v>6541</v>
      </c>
      <c r="D1193" t="s">
        <v>6545</v>
      </c>
      <c r="E1193">
        <v>3925.7</v>
      </c>
      <c r="G1193" s="35"/>
      <c r="H1193" s="36">
        <f t="shared" si="54"/>
        <v>2473.1909999999998</v>
      </c>
      <c r="I1193" s="37">
        <f t="shared" si="55"/>
        <v>2473.1909999999998</v>
      </c>
      <c r="J1193" s="4"/>
      <c r="K1193" s="38">
        <f t="shared" si="56"/>
        <v>0</v>
      </c>
    </row>
    <row r="1194" spans="1:11">
      <c r="A1194" t="s">
        <v>892</v>
      </c>
      <c r="B1194" t="s">
        <v>17</v>
      </c>
      <c r="C1194" t="s">
        <v>6541</v>
      </c>
      <c r="D1194" t="s">
        <v>6546</v>
      </c>
      <c r="E1194">
        <v>8184.26</v>
      </c>
      <c r="G1194" s="35"/>
      <c r="H1194" s="36">
        <f t="shared" si="54"/>
        <v>5156.0838000000003</v>
      </c>
      <c r="I1194" s="37">
        <f t="shared" si="55"/>
        <v>5156.0838000000003</v>
      </c>
      <c r="J1194" s="4"/>
      <c r="K1194" s="38">
        <f t="shared" si="56"/>
        <v>0</v>
      </c>
    </row>
    <row r="1195" spans="1:11">
      <c r="A1195" t="s">
        <v>893</v>
      </c>
      <c r="B1195" t="s">
        <v>17</v>
      </c>
      <c r="C1195" t="s">
        <v>6541</v>
      </c>
      <c r="D1195" t="s">
        <v>6547</v>
      </c>
      <c r="E1195">
        <v>9320.32</v>
      </c>
      <c r="G1195" s="35"/>
      <c r="H1195" s="36">
        <f t="shared" si="54"/>
        <v>5871.8015999999998</v>
      </c>
      <c r="I1195" s="37">
        <f t="shared" si="55"/>
        <v>5871.8015999999998</v>
      </c>
      <c r="J1195" s="4"/>
      <c r="K1195" s="38">
        <f t="shared" si="56"/>
        <v>0</v>
      </c>
    </row>
    <row r="1196" spans="1:11">
      <c r="A1196" t="s">
        <v>894</v>
      </c>
      <c r="B1196" t="s">
        <v>17</v>
      </c>
      <c r="C1196" t="s">
        <v>6541</v>
      </c>
      <c r="D1196" t="s">
        <v>6548</v>
      </c>
      <c r="E1196">
        <v>11153.52</v>
      </c>
      <c r="G1196" s="35"/>
      <c r="H1196" s="36">
        <f t="shared" si="54"/>
        <v>7026.7175999999999</v>
      </c>
      <c r="I1196" s="37">
        <f t="shared" si="55"/>
        <v>7026.7175999999999</v>
      </c>
      <c r="J1196" s="4"/>
      <c r="K1196" s="38">
        <f t="shared" si="56"/>
        <v>0</v>
      </c>
    </row>
    <row r="1197" spans="1:11">
      <c r="A1197" t="s">
        <v>895</v>
      </c>
      <c r="B1197" t="s">
        <v>17</v>
      </c>
      <c r="C1197" t="s">
        <v>6541</v>
      </c>
      <c r="D1197" t="s">
        <v>6549</v>
      </c>
      <c r="E1197">
        <v>17279</v>
      </c>
      <c r="G1197" s="35"/>
      <c r="H1197" s="36">
        <f t="shared" si="54"/>
        <v>10885.77</v>
      </c>
      <c r="I1197" s="37">
        <f t="shared" si="55"/>
        <v>10885.77</v>
      </c>
      <c r="J1197" s="4"/>
      <c r="K1197" s="38">
        <f t="shared" si="56"/>
        <v>0</v>
      </c>
    </row>
    <row r="1198" spans="1:11">
      <c r="A1198" t="s">
        <v>896</v>
      </c>
      <c r="B1198" t="s">
        <v>17</v>
      </c>
      <c r="C1198" t="s">
        <v>6541</v>
      </c>
      <c r="D1198" t="s">
        <v>6550</v>
      </c>
      <c r="E1198">
        <v>22782.54</v>
      </c>
      <c r="G1198" s="35"/>
      <c r="H1198" s="36">
        <f t="shared" si="54"/>
        <v>14353.0002</v>
      </c>
      <c r="I1198" s="37">
        <f t="shared" si="55"/>
        <v>14353.0002</v>
      </c>
      <c r="J1198" s="4"/>
      <c r="K1198" s="38">
        <f t="shared" si="56"/>
        <v>0</v>
      </c>
    </row>
    <row r="1199" spans="1:11">
      <c r="A1199" t="s">
        <v>897</v>
      </c>
      <c r="B1199" t="s">
        <v>17</v>
      </c>
      <c r="C1199" t="s">
        <v>6541</v>
      </c>
      <c r="D1199" t="s">
        <v>6551</v>
      </c>
      <c r="E1199">
        <v>36402.93</v>
      </c>
      <c r="G1199" s="35"/>
      <c r="H1199" s="36">
        <f t="shared" si="54"/>
        <v>22933.8459</v>
      </c>
      <c r="I1199" s="37">
        <f t="shared" si="55"/>
        <v>22933.8459</v>
      </c>
      <c r="J1199" s="4"/>
      <c r="K1199" s="38">
        <f t="shared" si="56"/>
        <v>0</v>
      </c>
    </row>
    <row r="1200" spans="1:11">
      <c r="A1200" t="s">
        <v>898</v>
      </c>
      <c r="B1200" t="s">
        <v>17</v>
      </c>
      <c r="C1200" t="s">
        <v>6552</v>
      </c>
      <c r="D1200" t="s">
        <v>6543</v>
      </c>
      <c r="E1200">
        <v>1755.09</v>
      </c>
      <c r="G1200" s="35"/>
      <c r="H1200" s="36">
        <f t="shared" si="54"/>
        <v>1105.7067</v>
      </c>
      <c r="I1200" s="37">
        <f t="shared" si="55"/>
        <v>1105.7067</v>
      </c>
      <c r="J1200" s="4"/>
      <c r="K1200" s="38">
        <f t="shared" si="56"/>
        <v>0</v>
      </c>
    </row>
    <row r="1201" spans="1:11">
      <c r="A1201" t="s">
        <v>899</v>
      </c>
      <c r="B1201" t="s">
        <v>17</v>
      </c>
      <c r="C1201" t="s">
        <v>6552</v>
      </c>
      <c r="D1201" t="s">
        <v>6544</v>
      </c>
      <c r="E1201">
        <v>1927.13</v>
      </c>
      <c r="G1201" s="35"/>
      <c r="H1201" s="36">
        <f t="shared" si="54"/>
        <v>1214.0919000000001</v>
      </c>
      <c r="I1201" s="37">
        <f t="shared" si="55"/>
        <v>1214.0919000000001</v>
      </c>
      <c r="J1201" s="4"/>
      <c r="K1201" s="38">
        <f t="shared" si="56"/>
        <v>0</v>
      </c>
    </row>
    <row r="1202" spans="1:11">
      <c r="A1202" t="s">
        <v>900</v>
      </c>
      <c r="B1202" t="s">
        <v>17</v>
      </c>
      <c r="C1202" t="s">
        <v>6552</v>
      </c>
      <c r="D1202" t="s">
        <v>6545</v>
      </c>
      <c r="E1202">
        <v>2497.4</v>
      </c>
      <c r="G1202" s="35"/>
      <c r="H1202" s="36">
        <f t="shared" si="54"/>
        <v>1573.3620000000001</v>
      </c>
      <c r="I1202" s="37">
        <f t="shared" si="55"/>
        <v>1573.3620000000001</v>
      </c>
      <c r="J1202" s="4"/>
      <c r="K1202" s="38">
        <f t="shared" si="56"/>
        <v>0</v>
      </c>
    </row>
    <row r="1203" spans="1:11">
      <c r="A1203" t="s">
        <v>901</v>
      </c>
      <c r="B1203" t="s">
        <v>17</v>
      </c>
      <c r="C1203" t="s">
        <v>6552</v>
      </c>
      <c r="D1203" t="s">
        <v>6546</v>
      </c>
      <c r="E1203">
        <v>4228.88</v>
      </c>
      <c r="G1203" s="35"/>
      <c r="H1203" s="36">
        <f t="shared" si="54"/>
        <v>2664.1944000000003</v>
      </c>
      <c r="I1203" s="37">
        <f t="shared" si="55"/>
        <v>2664.1944000000003</v>
      </c>
      <c r="J1203" s="4"/>
      <c r="K1203" s="38">
        <f t="shared" si="56"/>
        <v>0</v>
      </c>
    </row>
    <row r="1204" spans="1:11">
      <c r="A1204" t="s">
        <v>902</v>
      </c>
      <c r="B1204" t="s">
        <v>17</v>
      </c>
      <c r="C1204" t="s">
        <v>6552</v>
      </c>
      <c r="D1204" t="s">
        <v>6547</v>
      </c>
      <c r="E1204">
        <v>5367.55</v>
      </c>
      <c r="G1204" s="35"/>
      <c r="H1204" s="36">
        <f t="shared" si="54"/>
        <v>3381.5565000000001</v>
      </c>
      <c r="I1204" s="37">
        <f t="shared" si="55"/>
        <v>3381.5565000000001</v>
      </c>
      <c r="J1204" s="4"/>
      <c r="K1204" s="38">
        <f t="shared" si="56"/>
        <v>0</v>
      </c>
    </row>
    <row r="1205" spans="1:11">
      <c r="A1205" t="s">
        <v>903</v>
      </c>
      <c r="B1205" t="s">
        <v>17</v>
      </c>
      <c r="C1205" t="s">
        <v>6552</v>
      </c>
      <c r="D1205" t="s">
        <v>6548</v>
      </c>
      <c r="E1205">
        <v>6605.13</v>
      </c>
      <c r="G1205" s="35"/>
      <c r="H1205" s="36">
        <f t="shared" si="54"/>
        <v>4161.2318999999998</v>
      </c>
      <c r="I1205" s="37">
        <f t="shared" si="55"/>
        <v>4161.2318999999998</v>
      </c>
      <c r="J1205" s="4"/>
      <c r="K1205" s="38">
        <f t="shared" si="56"/>
        <v>0</v>
      </c>
    </row>
    <row r="1206" spans="1:11">
      <c r="A1206" t="s">
        <v>904</v>
      </c>
      <c r="B1206" t="s">
        <v>17</v>
      </c>
      <c r="C1206" t="s">
        <v>6552</v>
      </c>
      <c r="D1206" t="s">
        <v>6549</v>
      </c>
      <c r="E1206">
        <v>9687.15</v>
      </c>
      <c r="G1206" s="35"/>
      <c r="H1206" s="36">
        <f t="shared" si="54"/>
        <v>6102.9044999999996</v>
      </c>
      <c r="I1206" s="37">
        <f t="shared" si="55"/>
        <v>6102.9044999999996</v>
      </c>
      <c r="J1206" s="4"/>
      <c r="K1206" s="38">
        <f t="shared" si="56"/>
        <v>0</v>
      </c>
    </row>
    <row r="1207" spans="1:11">
      <c r="A1207" t="s">
        <v>905</v>
      </c>
      <c r="B1207" t="s">
        <v>17</v>
      </c>
      <c r="C1207" t="s">
        <v>6552</v>
      </c>
      <c r="D1207" t="s">
        <v>6553</v>
      </c>
      <c r="E1207">
        <v>13226.6</v>
      </c>
      <c r="G1207" s="35"/>
      <c r="H1207" s="36">
        <f t="shared" si="54"/>
        <v>8332.7579999999998</v>
      </c>
      <c r="I1207" s="37">
        <f t="shared" si="55"/>
        <v>8332.7579999999998</v>
      </c>
      <c r="J1207" s="4"/>
      <c r="K1207" s="38">
        <f t="shared" si="56"/>
        <v>0</v>
      </c>
    </row>
    <row r="1208" spans="1:11">
      <c r="A1208" t="s">
        <v>906</v>
      </c>
      <c r="B1208" t="s">
        <v>17</v>
      </c>
      <c r="C1208" t="s">
        <v>6552</v>
      </c>
      <c r="D1208" t="s">
        <v>6554</v>
      </c>
      <c r="E1208">
        <v>21132.51</v>
      </c>
      <c r="G1208" s="35"/>
      <c r="H1208" s="36">
        <f t="shared" si="54"/>
        <v>13313.481299999999</v>
      </c>
      <c r="I1208" s="37">
        <f t="shared" si="55"/>
        <v>13313.481299999999</v>
      </c>
      <c r="J1208" s="4"/>
      <c r="K1208" s="38">
        <f t="shared" si="56"/>
        <v>0</v>
      </c>
    </row>
    <row r="1209" spans="1:11">
      <c r="A1209" t="s">
        <v>916</v>
      </c>
      <c r="B1209" t="s">
        <v>17</v>
      </c>
      <c r="C1209" t="s">
        <v>6565</v>
      </c>
      <c r="D1209" t="s">
        <v>6566</v>
      </c>
      <c r="E1209">
        <v>8878.31</v>
      </c>
      <c r="G1209" s="35"/>
      <c r="H1209" s="36">
        <f t="shared" si="54"/>
        <v>5593.3352999999997</v>
      </c>
      <c r="I1209" s="37">
        <f t="shared" si="55"/>
        <v>5593.3352999999997</v>
      </c>
      <c r="J1209" s="4"/>
      <c r="K1209" s="38">
        <f t="shared" si="56"/>
        <v>0</v>
      </c>
    </row>
    <row r="1210" spans="1:11">
      <c r="A1210" t="s">
        <v>917</v>
      </c>
      <c r="B1210" t="s">
        <v>17</v>
      </c>
      <c r="C1210" t="s">
        <v>6565</v>
      </c>
      <c r="D1210" t="s">
        <v>6567</v>
      </c>
      <c r="E1210">
        <v>9655.2800000000007</v>
      </c>
      <c r="G1210" s="35"/>
      <c r="H1210" s="36">
        <f t="shared" si="54"/>
        <v>6082.8264000000008</v>
      </c>
      <c r="I1210" s="37">
        <f t="shared" si="55"/>
        <v>6082.8264000000008</v>
      </c>
      <c r="J1210" s="4"/>
      <c r="K1210" s="38">
        <f t="shared" si="56"/>
        <v>0</v>
      </c>
    </row>
    <row r="1211" spans="1:11">
      <c r="A1211" t="s">
        <v>918</v>
      </c>
      <c r="B1211" t="s">
        <v>17</v>
      </c>
      <c r="C1211" t="s">
        <v>6565</v>
      </c>
      <c r="D1211" t="s">
        <v>6568</v>
      </c>
      <c r="E1211">
        <v>10488.18</v>
      </c>
      <c r="G1211" s="35"/>
      <c r="H1211" s="36">
        <f t="shared" si="54"/>
        <v>6607.5533999999998</v>
      </c>
      <c r="I1211" s="37">
        <f t="shared" si="55"/>
        <v>6607.5533999999998</v>
      </c>
      <c r="J1211" s="4"/>
      <c r="K1211" s="38">
        <f t="shared" si="56"/>
        <v>0</v>
      </c>
    </row>
    <row r="1212" spans="1:11">
      <c r="A1212" t="s">
        <v>1072</v>
      </c>
      <c r="B1212" t="s">
        <v>17</v>
      </c>
      <c r="C1212" t="s">
        <v>6668</v>
      </c>
      <c r="D1212" t="s">
        <v>6669</v>
      </c>
      <c r="E1212">
        <v>7897.92</v>
      </c>
      <c r="G1212" s="35"/>
      <c r="H1212" s="36">
        <f t="shared" si="54"/>
        <v>4975.6895999999997</v>
      </c>
      <c r="I1212" s="37">
        <f t="shared" si="55"/>
        <v>4975.6895999999997</v>
      </c>
      <c r="J1212" s="4"/>
      <c r="K1212" s="38">
        <f t="shared" si="56"/>
        <v>0</v>
      </c>
    </row>
    <row r="1213" spans="1:11">
      <c r="A1213" t="s">
        <v>1073</v>
      </c>
      <c r="B1213" t="s">
        <v>17</v>
      </c>
      <c r="C1213" t="s">
        <v>6668</v>
      </c>
      <c r="D1213" t="s">
        <v>6670</v>
      </c>
      <c r="E1213">
        <v>12783.28</v>
      </c>
      <c r="G1213" s="35"/>
      <c r="H1213" s="36">
        <f t="shared" si="54"/>
        <v>8053.4664000000002</v>
      </c>
      <c r="I1213" s="37">
        <f t="shared" si="55"/>
        <v>8053.4664000000002</v>
      </c>
      <c r="J1213" s="4"/>
      <c r="K1213" s="38">
        <f t="shared" si="56"/>
        <v>0</v>
      </c>
    </row>
    <row r="1214" spans="1:11">
      <c r="A1214" t="s">
        <v>1074</v>
      </c>
      <c r="B1214" t="s">
        <v>17</v>
      </c>
      <c r="C1214" t="s">
        <v>6668</v>
      </c>
      <c r="D1214" t="s">
        <v>6671</v>
      </c>
      <c r="E1214">
        <v>24406.9</v>
      </c>
      <c r="G1214" s="35"/>
      <c r="H1214" s="36">
        <f t="shared" si="54"/>
        <v>15376.347000000002</v>
      </c>
      <c r="I1214" s="37">
        <f t="shared" si="55"/>
        <v>15376.347000000002</v>
      </c>
      <c r="J1214" s="4"/>
      <c r="K1214" s="38">
        <f t="shared" si="56"/>
        <v>0</v>
      </c>
    </row>
    <row r="1215" spans="1:11">
      <c r="A1215" t="s">
        <v>1086</v>
      </c>
      <c r="B1215" t="s">
        <v>17</v>
      </c>
      <c r="C1215" t="s">
        <v>6687</v>
      </c>
      <c r="D1215" t="s">
        <v>6326</v>
      </c>
      <c r="E1215">
        <v>401.9</v>
      </c>
      <c r="G1215" s="35"/>
      <c r="H1215" s="36">
        <f t="shared" si="54"/>
        <v>253.19699999999997</v>
      </c>
      <c r="I1215" s="37">
        <f t="shared" si="55"/>
        <v>253.19699999999997</v>
      </c>
      <c r="J1215" s="4"/>
      <c r="K1215" s="38">
        <f t="shared" si="56"/>
        <v>0</v>
      </c>
    </row>
    <row r="1216" spans="1:11">
      <c r="A1216" t="s">
        <v>1087</v>
      </c>
      <c r="B1216" t="s">
        <v>17</v>
      </c>
      <c r="C1216" t="s">
        <v>6687</v>
      </c>
      <c r="D1216" t="s">
        <v>6327</v>
      </c>
      <c r="E1216">
        <v>401.92</v>
      </c>
      <c r="G1216" s="35"/>
      <c r="H1216" s="36">
        <f t="shared" si="54"/>
        <v>253.20960000000002</v>
      </c>
      <c r="I1216" s="37">
        <f t="shared" si="55"/>
        <v>253.20960000000002</v>
      </c>
      <c r="J1216" s="4"/>
      <c r="K1216" s="38">
        <f t="shared" si="56"/>
        <v>0</v>
      </c>
    </row>
    <row r="1217" spans="1:11">
      <c r="A1217" t="s">
        <v>1088</v>
      </c>
      <c r="B1217" t="s">
        <v>17</v>
      </c>
      <c r="C1217" t="s">
        <v>6687</v>
      </c>
      <c r="D1217" t="s">
        <v>6328</v>
      </c>
      <c r="E1217">
        <v>671.37</v>
      </c>
      <c r="G1217" s="35"/>
      <c r="H1217" s="36">
        <f t="shared" si="54"/>
        <v>422.9631</v>
      </c>
      <c r="I1217" s="37">
        <f t="shared" si="55"/>
        <v>422.9631</v>
      </c>
      <c r="J1217" s="4"/>
      <c r="K1217" s="38">
        <f t="shared" si="56"/>
        <v>0</v>
      </c>
    </row>
    <row r="1218" spans="1:11">
      <c r="A1218" t="s">
        <v>1089</v>
      </c>
      <c r="B1218" t="s">
        <v>17</v>
      </c>
      <c r="C1218" t="s">
        <v>6687</v>
      </c>
      <c r="D1218" t="s">
        <v>6329</v>
      </c>
      <c r="E1218">
        <v>986.71</v>
      </c>
      <c r="G1218" s="35"/>
      <c r="H1218" s="36">
        <f t="shared" si="54"/>
        <v>621.62729999999999</v>
      </c>
      <c r="I1218" s="37">
        <f t="shared" si="55"/>
        <v>621.62729999999999</v>
      </c>
      <c r="J1218" s="4"/>
      <c r="K1218" s="38">
        <f t="shared" si="56"/>
        <v>0</v>
      </c>
    </row>
    <row r="1219" spans="1:11">
      <c r="A1219" t="s">
        <v>1090</v>
      </c>
      <c r="B1219" t="s">
        <v>17</v>
      </c>
      <c r="C1219" t="s">
        <v>6687</v>
      </c>
      <c r="D1219" t="s">
        <v>6330</v>
      </c>
      <c r="E1219">
        <v>2269.41</v>
      </c>
      <c r="G1219" s="35"/>
      <c r="H1219" s="36">
        <f t="shared" si="54"/>
        <v>1429.7283</v>
      </c>
      <c r="I1219" s="37">
        <f t="shared" si="55"/>
        <v>1429.7283</v>
      </c>
      <c r="J1219" s="4"/>
      <c r="K1219" s="38">
        <f t="shared" si="56"/>
        <v>0</v>
      </c>
    </row>
    <row r="1220" spans="1:11">
      <c r="A1220" t="s">
        <v>1091</v>
      </c>
      <c r="B1220" t="s">
        <v>17</v>
      </c>
      <c r="C1220" t="s">
        <v>6687</v>
      </c>
      <c r="D1220" t="s">
        <v>6331</v>
      </c>
      <c r="E1220">
        <v>3686.89</v>
      </c>
      <c r="G1220" s="35"/>
      <c r="H1220" s="36">
        <f t="shared" si="54"/>
        <v>2322.7406999999998</v>
      </c>
      <c r="I1220" s="37">
        <f t="shared" si="55"/>
        <v>2322.7406999999998</v>
      </c>
      <c r="J1220" s="4"/>
      <c r="K1220" s="38">
        <f t="shared" si="56"/>
        <v>0</v>
      </c>
    </row>
    <row r="1221" spans="1:11">
      <c r="A1221" t="s">
        <v>1092</v>
      </c>
      <c r="B1221" t="s">
        <v>17</v>
      </c>
      <c r="C1221" t="s">
        <v>6687</v>
      </c>
      <c r="D1221" t="s">
        <v>6332</v>
      </c>
      <c r="E1221">
        <v>6693.25</v>
      </c>
      <c r="G1221" s="35"/>
      <c r="H1221" s="36">
        <f t="shared" si="54"/>
        <v>4216.7475000000004</v>
      </c>
      <c r="I1221" s="37">
        <f t="shared" si="55"/>
        <v>4216.7475000000004</v>
      </c>
      <c r="J1221" s="4"/>
      <c r="K1221" s="38">
        <f t="shared" si="56"/>
        <v>0</v>
      </c>
    </row>
    <row r="1222" spans="1:11">
      <c r="A1222" t="s">
        <v>1093</v>
      </c>
      <c r="B1222" t="s">
        <v>17</v>
      </c>
      <c r="C1222" t="s">
        <v>6687</v>
      </c>
      <c r="D1222" t="s">
        <v>6333</v>
      </c>
      <c r="E1222">
        <v>11408.37</v>
      </c>
      <c r="G1222" s="35"/>
      <c r="H1222" s="36">
        <f t="shared" si="54"/>
        <v>7187.2731000000003</v>
      </c>
      <c r="I1222" s="37">
        <f t="shared" si="55"/>
        <v>7187.2731000000003</v>
      </c>
      <c r="J1222" s="4"/>
      <c r="K1222" s="38">
        <f t="shared" si="56"/>
        <v>0</v>
      </c>
    </row>
    <row r="1223" spans="1:11">
      <c r="A1223" t="s">
        <v>1094</v>
      </c>
      <c r="B1223" t="s">
        <v>17</v>
      </c>
      <c r="C1223" t="s">
        <v>6687</v>
      </c>
      <c r="D1223" t="s">
        <v>6334</v>
      </c>
      <c r="E1223">
        <v>14866.89</v>
      </c>
      <c r="G1223" s="35"/>
      <c r="H1223" s="36">
        <f t="shared" ref="H1223:H1286" si="57">+E1223*$H$1*(1-G1223)</f>
        <v>9366.1406999999999</v>
      </c>
      <c r="I1223" s="37">
        <f t="shared" ref="I1223:I1286" si="58">H1223*$H$4</f>
        <v>9366.1406999999999</v>
      </c>
      <c r="J1223" s="4"/>
      <c r="K1223" s="38">
        <f t="shared" ref="K1223:K1286" si="59">J1223*I1223</f>
        <v>0</v>
      </c>
    </row>
    <row r="1224" spans="1:11">
      <c r="A1224" t="s">
        <v>1095</v>
      </c>
      <c r="B1224" t="s">
        <v>17</v>
      </c>
      <c r="C1224" t="s">
        <v>6687</v>
      </c>
      <c r="D1224" t="s">
        <v>6335</v>
      </c>
      <c r="E1224">
        <v>19842.63</v>
      </c>
      <c r="G1224" s="35"/>
      <c r="H1224" s="36">
        <f t="shared" si="57"/>
        <v>12500.856900000001</v>
      </c>
      <c r="I1224" s="37">
        <f t="shared" si="58"/>
        <v>12500.856900000001</v>
      </c>
      <c r="J1224" s="4"/>
      <c r="K1224" s="38">
        <f t="shared" si="59"/>
        <v>0</v>
      </c>
    </row>
    <row r="1225" spans="1:11">
      <c r="A1225" t="s">
        <v>1096</v>
      </c>
      <c r="B1225" t="s">
        <v>17</v>
      </c>
      <c r="C1225" t="s">
        <v>6687</v>
      </c>
      <c r="D1225" t="s">
        <v>6336</v>
      </c>
      <c r="E1225">
        <v>31733.11</v>
      </c>
      <c r="G1225" s="35"/>
      <c r="H1225" s="36">
        <f t="shared" si="57"/>
        <v>19991.8593</v>
      </c>
      <c r="I1225" s="37">
        <f t="shared" si="58"/>
        <v>19991.8593</v>
      </c>
      <c r="J1225" s="4"/>
      <c r="K1225" s="38">
        <f t="shared" si="59"/>
        <v>0</v>
      </c>
    </row>
    <row r="1226" spans="1:11">
      <c r="A1226" t="s">
        <v>1097</v>
      </c>
      <c r="B1226" t="s">
        <v>17</v>
      </c>
      <c r="C1226" t="s">
        <v>6687</v>
      </c>
      <c r="D1226" t="s">
        <v>6688</v>
      </c>
      <c r="E1226">
        <v>701.17</v>
      </c>
      <c r="G1226" s="35"/>
      <c r="H1226" s="36">
        <f t="shared" si="57"/>
        <v>441.7371</v>
      </c>
      <c r="I1226" s="37">
        <f t="shared" si="58"/>
        <v>441.7371</v>
      </c>
      <c r="J1226" s="4"/>
      <c r="K1226" s="38">
        <f t="shared" si="59"/>
        <v>0</v>
      </c>
    </row>
    <row r="1227" spans="1:11">
      <c r="A1227" t="s">
        <v>1098</v>
      </c>
      <c r="B1227" t="s">
        <v>17</v>
      </c>
      <c r="C1227" t="s">
        <v>6687</v>
      </c>
      <c r="D1227" t="s">
        <v>6689</v>
      </c>
      <c r="E1227">
        <v>1212.6099999999999</v>
      </c>
      <c r="G1227" s="35"/>
      <c r="H1227" s="36">
        <f t="shared" si="57"/>
        <v>763.9443</v>
      </c>
      <c r="I1227" s="37">
        <f t="shared" si="58"/>
        <v>763.9443</v>
      </c>
      <c r="J1227" s="4"/>
      <c r="K1227" s="38">
        <f t="shared" si="59"/>
        <v>0</v>
      </c>
    </row>
    <row r="1228" spans="1:11">
      <c r="A1228" t="s">
        <v>1099</v>
      </c>
      <c r="B1228" t="s">
        <v>17</v>
      </c>
      <c r="C1228" t="s">
        <v>6687</v>
      </c>
      <c r="D1228" t="s">
        <v>6690</v>
      </c>
      <c r="E1228">
        <v>1910.63</v>
      </c>
      <c r="G1228" s="35"/>
      <c r="H1228" s="36">
        <f t="shared" si="57"/>
        <v>1203.6969000000001</v>
      </c>
      <c r="I1228" s="37">
        <f t="shared" si="58"/>
        <v>1203.6969000000001</v>
      </c>
      <c r="J1228" s="4"/>
      <c r="K1228" s="38">
        <f t="shared" si="59"/>
        <v>0</v>
      </c>
    </row>
    <row r="1229" spans="1:11">
      <c r="A1229" t="s">
        <v>1100</v>
      </c>
      <c r="B1229" t="s">
        <v>17</v>
      </c>
      <c r="C1229" t="s">
        <v>6687</v>
      </c>
      <c r="D1229" t="s">
        <v>6691</v>
      </c>
      <c r="E1229">
        <v>4347.83</v>
      </c>
      <c r="G1229" s="35"/>
      <c r="H1229" s="36">
        <f t="shared" si="57"/>
        <v>2739.1329000000001</v>
      </c>
      <c r="I1229" s="37">
        <f t="shared" si="58"/>
        <v>2739.1329000000001</v>
      </c>
      <c r="J1229" s="4"/>
      <c r="K1229" s="38">
        <f t="shared" si="59"/>
        <v>0</v>
      </c>
    </row>
    <row r="1230" spans="1:11">
      <c r="A1230" t="s">
        <v>1101</v>
      </c>
      <c r="B1230" t="s">
        <v>17</v>
      </c>
      <c r="C1230" t="s">
        <v>6687</v>
      </c>
      <c r="D1230" t="s">
        <v>6692</v>
      </c>
      <c r="E1230">
        <v>6618.78</v>
      </c>
      <c r="G1230" s="35"/>
      <c r="H1230" s="36">
        <f t="shared" si="57"/>
        <v>4169.8314</v>
      </c>
      <c r="I1230" s="37">
        <f t="shared" si="58"/>
        <v>4169.8314</v>
      </c>
      <c r="J1230" s="4"/>
      <c r="K1230" s="38">
        <f t="shared" si="59"/>
        <v>0</v>
      </c>
    </row>
    <row r="1231" spans="1:11">
      <c r="A1231" t="s">
        <v>1102</v>
      </c>
      <c r="B1231" t="s">
        <v>17</v>
      </c>
      <c r="C1231" t="s">
        <v>6687</v>
      </c>
      <c r="D1231" t="s">
        <v>6693</v>
      </c>
      <c r="E1231">
        <v>12210.88</v>
      </c>
      <c r="G1231" s="35"/>
      <c r="H1231" s="36">
        <f t="shared" si="57"/>
        <v>7692.8543999999993</v>
      </c>
      <c r="I1231" s="37">
        <f t="shared" si="58"/>
        <v>7692.8543999999993</v>
      </c>
      <c r="J1231" s="4"/>
      <c r="K1231" s="38">
        <f t="shared" si="59"/>
        <v>0</v>
      </c>
    </row>
    <row r="1232" spans="1:11">
      <c r="A1232" t="s">
        <v>1103</v>
      </c>
      <c r="B1232" t="s">
        <v>17</v>
      </c>
      <c r="C1232" t="s">
        <v>6687</v>
      </c>
      <c r="D1232" t="s">
        <v>6694</v>
      </c>
      <c r="E1232">
        <v>670.39</v>
      </c>
      <c r="G1232" s="35"/>
      <c r="H1232" s="36">
        <f t="shared" si="57"/>
        <v>422.34570000000002</v>
      </c>
      <c r="I1232" s="37">
        <f t="shared" si="58"/>
        <v>422.34570000000002</v>
      </c>
      <c r="J1232" s="4"/>
      <c r="K1232" s="38">
        <f t="shared" si="59"/>
        <v>0</v>
      </c>
    </row>
    <row r="1233" spans="1:11">
      <c r="A1233" t="s">
        <v>1104</v>
      </c>
      <c r="B1233" t="s">
        <v>17</v>
      </c>
      <c r="C1233" t="s">
        <v>6687</v>
      </c>
      <c r="D1233" t="s">
        <v>6695</v>
      </c>
      <c r="E1233">
        <v>763.29</v>
      </c>
      <c r="G1233" s="35"/>
      <c r="H1233" s="36">
        <f t="shared" si="57"/>
        <v>480.87269999999995</v>
      </c>
      <c r="I1233" s="37">
        <f t="shared" si="58"/>
        <v>480.87269999999995</v>
      </c>
      <c r="J1233" s="4"/>
      <c r="K1233" s="38">
        <f t="shared" si="59"/>
        <v>0</v>
      </c>
    </row>
    <row r="1234" spans="1:11">
      <c r="A1234" t="s">
        <v>1105</v>
      </c>
      <c r="B1234" t="s">
        <v>17</v>
      </c>
      <c r="C1234" t="s">
        <v>6687</v>
      </c>
      <c r="D1234" t="s">
        <v>6696</v>
      </c>
      <c r="E1234">
        <v>1255.47</v>
      </c>
      <c r="G1234" s="35"/>
      <c r="H1234" s="36">
        <f t="shared" si="57"/>
        <v>790.9461</v>
      </c>
      <c r="I1234" s="37">
        <f t="shared" si="58"/>
        <v>790.9461</v>
      </c>
      <c r="J1234" s="4"/>
      <c r="K1234" s="38">
        <f t="shared" si="59"/>
        <v>0</v>
      </c>
    </row>
    <row r="1235" spans="1:11">
      <c r="A1235" t="s">
        <v>1106</v>
      </c>
      <c r="B1235" t="s">
        <v>17</v>
      </c>
      <c r="C1235" t="s">
        <v>6687</v>
      </c>
      <c r="D1235" t="s">
        <v>6697</v>
      </c>
      <c r="E1235">
        <v>1795.67</v>
      </c>
      <c r="G1235" s="35"/>
      <c r="H1235" s="36">
        <f t="shared" si="57"/>
        <v>1131.2721000000001</v>
      </c>
      <c r="I1235" s="37">
        <f t="shared" si="58"/>
        <v>1131.2721000000001</v>
      </c>
      <c r="J1235" s="4"/>
      <c r="K1235" s="38">
        <f t="shared" si="59"/>
        <v>0</v>
      </c>
    </row>
    <row r="1236" spans="1:11">
      <c r="A1236" t="s">
        <v>1107</v>
      </c>
      <c r="B1236" t="s">
        <v>17</v>
      </c>
      <c r="C1236" t="s">
        <v>6687</v>
      </c>
      <c r="D1236" t="s">
        <v>6698</v>
      </c>
      <c r="E1236">
        <v>4264.4399999999996</v>
      </c>
      <c r="G1236" s="35"/>
      <c r="H1236" s="36">
        <f t="shared" si="57"/>
        <v>2686.5971999999997</v>
      </c>
      <c r="I1236" s="37">
        <f t="shared" si="58"/>
        <v>2686.5971999999997</v>
      </c>
      <c r="J1236" s="4"/>
      <c r="K1236" s="38">
        <f t="shared" si="59"/>
        <v>0</v>
      </c>
    </row>
    <row r="1237" spans="1:11">
      <c r="A1237" t="s">
        <v>1108</v>
      </c>
      <c r="B1237" t="s">
        <v>17</v>
      </c>
      <c r="C1237" t="s">
        <v>6687</v>
      </c>
      <c r="D1237" t="s">
        <v>6699</v>
      </c>
      <c r="E1237">
        <v>6817.31</v>
      </c>
      <c r="G1237" s="35"/>
      <c r="H1237" s="36">
        <f t="shared" si="57"/>
        <v>4294.9053000000004</v>
      </c>
      <c r="I1237" s="37">
        <f t="shared" si="58"/>
        <v>4294.9053000000004</v>
      </c>
      <c r="J1237" s="4"/>
      <c r="K1237" s="38">
        <f t="shared" si="59"/>
        <v>0</v>
      </c>
    </row>
    <row r="1238" spans="1:11">
      <c r="A1238" t="s">
        <v>1109</v>
      </c>
      <c r="B1238" t="s">
        <v>17</v>
      </c>
      <c r="C1238" t="s">
        <v>6687</v>
      </c>
      <c r="D1238" t="s">
        <v>6700</v>
      </c>
      <c r="E1238">
        <v>12576.31</v>
      </c>
      <c r="G1238" s="35"/>
      <c r="H1238" s="36">
        <f t="shared" si="57"/>
        <v>7923.0752999999995</v>
      </c>
      <c r="I1238" s="37">
        <f t="shared" si="58"/>
        <v>7923.0752999999995</v>
      </c>
      <c r="J1238" s="4"/>
      <c r="K1238" s="38">
        <f t="shared" si="59"/>
        <v>0</v>
      </c>
    </row>
    <row r="1239" spans="1:11">
      <c r="A1239" t="s">
        <v>1110</v>
      </c>
      <c r="B1239" t="s">
        <v>17</v>
      </c>
      <c r="C1239" t="s">
        <v>6701</v>
      </c>
      <c r="D1239" t="s">
        <v>6702</v>
      </c>
      <c r="E1239">
        <v>2683.35</v>
      </c>
      <c r="G1239" s="35"/>
      <c r="H1239" s="36">
        <f t="shared" si="57"/>
        <v>1690.5104999999999</v>
      </c>
      <c r="I1239" s="37">
        <f t="shared" si="58"/>
        <v>1690.5104999999999</v>
      </c>
      <c r="J1239" s="4"/>
      <c r="K1239" s="38">
        <f t="shared" si="59"/>
        <v>0</v>
      </c>
    </row>
    <row r="1240" spans="1:11">
      <c r="A1240" t="s">
        <v>1111</v>
      </c>
      <c r="B1240" t="s">
        <v>17</v>
      </c>
      <c r="C1240" t="s">
        <v>6701</v>
      </c>
      <c r="D1240" t="s">
        <v>6670</v>
      </c>
      <c r="E1240">
        <v>3907.08</v>
      </c>
      <c r="G1240" s="35"/>
      <c r="H1240" s="36">
        <f t="shared" si="57"/>
        <v>2461.4603999999999</v>
      </c>
      <c r="I1240" s="37">
        <f t="shared" si="58"/>
        <v>2461.4603999999999</v>
      </c>
      <c r="J1240" s="4"/>
      <c r="K1240" s="38">
        <f t="shared" si="59"/>
        <v>0</v>
      </c>
    </row>
    <row r="1241" spans="1:11">
      <c r="A1241" t="s">
        <v>1112</v>
      </c>
      <c r="B1241" t="s">
        <v>17</v>
      </c>
      <c r="C1241" t="s">
        <v>6701</v>
      </c>
      <c r="D1241" t="s">
        <v>6671</v>
      </c>
      <c r="E1241">
        <v>6718.55</v>
      </c>
      <c r="G1241" s="35"/>
      <c r="H1241" s="36">
        <f t="shared" si="57"/>
        <v>4232.6864999999998</v>
      </c>
      <c r="I1241" s="37">
        <f t="shared" si="58"/>
        <v>4232.6864999999998</v>
      </c>
      <c r="J1241" s="4"/>
      <c r="K1241" s="38">
        <f t="shared" si="59"/>
        <v>0</v>
      </c>
    </row>
    <row r="1242" spans="1:11">
      <c r="A1242" t="s">
        <v>1113</v>
      </c>
      <c r="B1242" t="s">
        <v>17</v>
      </c>
      <c r="C1242" t="s">
        <v>6701</v>
      </c>
      <c r="D1242" t="s">
        <v>6703</v>
      </c>
      <c r="E1242">
        <v>18661.88</v>
      </c>
      <c r="G1242" s="35"/>
      <c r="H1242" s="36">
        <f t="shared" si="57"/>
        <v>11756.984400000001</v>
      </c>
      <c r="I1242" s="37">
        <f t="shared" si="58"/>
        <v>11756.984400000001</v>
      </c>
      <c r="J1242" s="4"/>
      <c r="K1242" s="38">
        <f t="shared" si="59"/>
        <v>0</v>
      </c>
    </row>
    <row r="1243" spans="1:11">
      <c r="A1243" t="s">
        <v>1114</v>
      </c>
      <c r="B1243" t="s">
        <v>17</v>
      </c>
      <c r="C1243" t="s">
        <v>6701</v>
      </c>
      <c r="D1243" t="s">
        <v>6704</v>
      </c>
      <c r="E1243">
        <v>26340.14</v>
      </c>
      <c r="G1243" s="35"/>
      <c r="H1243" s="36">
        <f t="shared" si="57"/>
        <v>16594.288199999999</v>
      </c>
      <c r="I1243" s="37">
        <f t="shared" si="58"/>
        <v>16594.288199999999</v>
      </c>
      <c r="J1243" s="4"/>
      <c r="K1243" s="38">
        <f t="shared" si="59"/>
        <v>0</v>
      </c>
    </row>
    <row r="1244" spans="1:11">
      <c r="A1244" t="s">
        <v>1115</v>
      </c>
      <c r="B1244" t="s">
        <v>17</v>
      </c>
      <c r="C1244" t="s">
        <v>6701</v>
      </c>
      <c r="D1244" t="s">
        <v>6705</v>
      </c>
      <c r="E1244">
        <v>34839.980000000003</v>
      </c>
      <c r="G1244" s="35"/>
      <c r="H1244" s="36">
        <f t="shared" si="57"/>
        <v>21949.187400000003</v>
      </c>
      <c r="I1244" s="37">
        <f t="shared" si="58"/>
        <v>21949.187400000003</v>
      </c>
      <c r="J1244" s="4"/>
      <c r="K1244" s="38">
        <f t="shared" si="59"/>
        <v>0</v>
      </c>
    </row>
    <row r="1245" spans="1:11">
      <c r="A1245" t="s">
        <v>1116</v>
      </c>
      <c r="B1245" t="s">
        <v>17</v>
      </c>
      <c r="C1245" t="s">
        <v>6701</v>
      </c>
      <c r="D1245" t="s">
        <v>6706</v>
      </c>
      <c r="E1245">
        <v>78624.320000000007</v>
      </c>
      <c r="G1245" s="35"/>
      <c r="H1245" s="36">
        <f t="shared" si="57"/>
        <v>49533.321600000003</v>
      </c>
      <c r="I1245" s="37">
        <f t="shared" si="58"/>
        <v>49533.321600000003</v>
      </c>
      <c r="J1245" s="4"/>
      <c r="K1245" s="38">
        <f t="shared" si="59"/>
        <v>0</v>
      </c>
    </row>
    <row r="1246" spans="1:11">
      <c r="A1246" t="s">
        <v>1117</v>
      </c>
      <c r="B1246" t="s">
        <v>17</v>
      </c>
      <c r="C1246" t="s">
        <v>6701</v>
      </c>
      <c r="D1246" t="s">
        <v>6707</v>
      </c>
      <c r="E1246">
        <v>2839.87</v>
      </c>
      <c r="G1246" s="35"/>
      <c r="H1246" s="36">
        <f t="shared" si="57"/>
        <v>1789.1180999999999</v>
      </c>
      <c r="I1246" s="37">
        <f t="shared" si="58"/>
        <v>1789.1180999999999</v>
      </c>
      <c r="J1246" s="4"/>
      <c r="K1246" s="38">
        <f t="shared" si="59"/>
        <v>0</v>
      </c>
    </row>
    <row r="1247" spans="1:11">
      <c r="A1247" t="s">
        <v>1118</v>
      </c>
      <c r="B1247" t="s">
        <v>17</v>
      </c>
      <c r="C1247" t="s">
        <v>6701</v>
      </c>
      <c r="D1247" t="s">
        <v>6708</v>
      </c>
      <c r="E1247">
        <v>59674.52</v>
      </c>
      <c r="G1247" s="35"/>
      <c r="H1247" s="36">
        <f t="shared" si="57"/>
        <v>37594.9476</v>
      </c>
      <c r="I1247" s="37">
        <f t="shared" si="58"/>
        <v>37594.9476</v>
      </c>
      <c r="J1247" s="4"/>
      <c r="K1247" s="38">
        <f t="shared" si="59"/>
        <v>0</v>
      </c>
    </row>
    <row r="1248" spans="1:11">
      <c r="A1248" t="s">
        <v>1137</v>
      </c>
      <c r="B1248" t="s">
        <v>17</v>
      </c>
      <c r="C1248" t="s">
        <v>6719</v>
      </c>
      <c r="D1248" t="s">
        <v>6720</v>
      </c>
      <c r="E1248">
        <v>3500.98</v>
      </c>
      <c r="G1248" s="35"/>
      <c r="H1248" s="36">
        <f t="shared" si="57"/>
        <v>2205.6174000000001</v>
      </c>
      <c r="I1248" s="37">
        <f t="shared" si="58"/>
        <v>2205.6174000000001</v>
      </c>
      <c r="J1248" s="4"/>
      <c r="K1248" s="38">
        <f t="shared" si="59"/>
        <v>0</v>
      </c>
    </row>
    <row r="1249" spans="1:11">
      <c r="A1249" t="s">
        <v>1138</v>
      </c>
      <c r="B1249" t="s">
        <v>17</v>
      </c>
      <c r="C1249" t="s">
        <v>6719</v>
      </c>
      <c r="D1249" t="s">
        <v>6721</v>
      </c>
      <c r="E1249">
        <v>5079.17</v>
      </c>
      <c r="G1249" s="35"/>
      <c r="H1249" s="36">
        <f t="shared" si="57"/>
        <v>3199.8771000000002</v>
      </c>
      <c r="I1249" s="37">
        <f t="shared" si="58"/>
        <v>3199.8771000000002</v>
      </c>
      <c r="J1249" s="4"/>
      <c r="K1249" s="38">
        <f t="shared" si="59"/>
        <v>0</v>
      </c>
    </row>
    <row r="1250" spans="1:11">
      <c r="A1250" t="s">
        <v>1139</v>
      </c>
      <c r="B1250" t="s">
        <v>17</v>
      </c>
      <c r="C1250" t="s">
        <v>6719</v>
      </c>
      <c r="D1250" t="s">
        <v>6722</v>
      </c>
      <c r="E1250">
        <v>8533</v>
      </c>
      <c r="G1250" s="35"/>
      <c r="H1250" s="36">
        <f t="shared" si="57"/>
        <v>5375.79</v>
      </c>
      <c r="I1250" s="37">
        <f t="shared" si="58"/>
        <v>5375.79</v>
      </c>
      <c r="J1250" s="4"/>
      <c r="K1250" s="38">
        <f t="shared" si="59"/>
        <v>0</v>
      </c>
    </row>
    <row r="1251" spans="1:11">
      <c r="A1251" t="s">
        <v>1140</v>
      </c>
      <c r="B1251" t="s">
        <v>17</v>
      </c>
      <c r="C1251" t="s">
        <v>6719</v>
      </c>
      <c r="D1251" t="s">
        <v>6723</v>
      </c>
      <c r="E1251">
        <v>22141.47</v>
      </c>
      <c r="G1251" s="35"/>
      <c r="H1251" s="36">
        <f t="shared" si="57"/>
        <v>13949.126100000001</v>
      </c>
      <c r="I1251" s="37">
        <f t="shared" si="58"/>
        <v>13949.126100000001</v>
      </c>
      <c r="J1251" s="4"/>
      <c r="K1251" s="38">
        <f t="shared" si="59"/>
        <v>0</v>
      </c>
    </row>
    <row r="1252" spans="1:11">
      <c r="A1252" t="s">
        <v>1141</v>
      </c>
      <c r="B1252" t="s">
        <v>17</v>
      </c>
      <c r="C1252" t="s">
        <v>6719</v>
      </c>
      <c r="D1252" t="s">
        <v>6724</v>
      </c>
      <c r="E1252">
        <v>30392.89</v>
      </c>
      <c r="G1252" s="35"/>
      <c r="H1252" s="36">
        <f t="shared" si="57"/>
        <v>19147.520700000001</v>
      </c>
      <c r="I1252" s="37">
        <f t="shared" si="58"/>
        <v>19147.520700000001</v>
      </c>
      <c r="J1252" s="4"/>
      <c r="K1252" s="38">
        <f t="shared" si="59"/>
        <v>0</v>
      </c>
    </row>
    <row r="1253" spans="1:11">
      <c r="A1253" t="s">
        <v>1142</v>
      </c>
      <c r="B1253" t="s">
        <v>17</v>
      </c>
      <c r="C1253" t="s">
        <v>6719</v>
      </c>
      <c r="D1253" t="s">
        <v>6725</v>
      </c>
      <c r="E1253">
        <v>45007.98</v>
      </c>
      <c r="G1253" s="35"/>
      <c r="H1253" s="36">
        <f t="shared" si="57"/>
        <v>28355.027400000003</v>
      </c>
      <c r="I1253" s="37">
        <f t="shared" si="58"/>
        <v>28355.027400000003</v>
      </c>
      <c r="J1253" s="4"/>
      <c r="K1253" s="38">
        <f t="shared" si="59"/>
        <v>0</v>
      </c>
    </row>
    <row r="1254" spans="1:11">
      <c r="A1254" t="s">
        <v>1143</v>
      </c>
      <c r="B1254" t="s">
        <v>17</v>
      </c>
      <c r="C1254" t="s">
        <v>6719</v>
      </c>
      <c r="D1254" t="s">
        <v>6726</v>
      </c>
      <c r="E1254">
        <v>102665.93</v>
      </c>
      <c r="G1254" s="35"/>
      <c r="H1254" s="36">
        <f t="shared" si="57"/>
        <v>64679.535899999995</v>
      </c>
      <c r="I1254" s="37">
        <f t="shared" si="58"/>
        <v>64679.535899999995</v>
      </c>
      <c r="J1254" s="4"/>
      <c r="K1254" s="38">
        <f t="shared" si="59"/>
        <v>0</v>
      </c>
    </row>
    <row r="1255" spans="1:11">
      <c r="A1255" t="s">
        <v>1144</v>
      </c>
      <c r="B1255" t="s">
        <v>17</v>
      </c>
      <c r="C1255" t="s">
        <v>6719</v>
      </c>
      <c r="D1255" t="s">
        <v>6727</v>
      </c>
      <c r="E1255">
        <v>84900.91</v>
      </c>
      <c r="G1255" s="35"/>
      <c r="H1255" s="36">
        <f t="shared" si="57"/>
        <v>53487.573300000004</v>
      </c>
      <c r="I1255" s="37">
        <f t="shared" si="58"/>
        <v>53487.573300000004</v>
      </c>
      <c r="J1255" s="4"/>
      <c r="K1255" s="38">
        <f t="shared" si="59"/>
        <v>0</v>
      </c>
    </row>
    <row r="1256" spans="1:11">
      <c r="A1256" t="s">
        <v>1159</v>
      </c>
      <c r="B1256" t="s">
        <v>17</v>
      </c>
      <c r="C1256" t="s">
        <v>6744</v>
      </c>
      <c r="D1256" t="s">
        <v>6745</v>
      </c>
      <c r="E1256">
        <v>2790.74</v>
      </c>
      <c r="G1256" s="35"/>
      <c r="H1256" s="36">
        <f t="shared" si="57"/>
        <v>1758.1661999999999</v>
      </c>
      <c r="I1256" s="37">
        <f t="shared" si="58"/>
        <v>1758.1661999999999</v>
      </c>
      <c r="J1256" s="4"/>
      <c r="K1256" s="38">
        <f t="shared" si="59"/>
        <v>0</v>
      </c>
    </row>
    <row r="1257" spans="1:11">
      <c r="A1257" t="s">
        <v>1160</v>
      </c>
      <c r="B1257" t="s">
        <v>17</v>
      </c>
      <c r="C1257" t="s">
        <v>6744</v>
      </c>
      <c r="D1257" t="s">
        <v>6746</v>
      </c>
      <c r="E1257">
        <v>2770.91</v>
      </c>
      <c r="G1257" s="35"/>
      <c r="H1257" s="36">
        <f t="shared" si="57"/>
        <v>1745.6732999999999</v>
      </c>
      <c r="I1257" s="37">
        <f t="shared" si="58"/>
        <v>1745.6732999999999</v>
      </c>
      <c r="J1257" s="4"/>
      <c r="K1257" s="38">
        <f t="shared" si="59"/>
        <v>0</v>
      </c>
    </row>
    <row r="1258" spans="1:11">
      <c r="A1258" t="s">
        <v>1161</v>
      </c>
      <c r="B1258" t="s">
        <v>17</v>
      </c>
      <c r="C1258" t="s">
        <v>6744</v>
      </c>
      <c r="D1258" t="s">
        <v>6747</v>
      </c>
      <c r="E1258">
        <v>3881.24</v>
      </c>
      <c r="G1258" s="35"/>
      <c r="H1258" s="36">
        <f t="shared" si="57"/>
        <v>2445.1812</v>
      </c>
      <c r="I1258" s="37">
        <f t="shared" si="58"/>
        <v>2445.1812</v>
      </c>
      <c r="J1258" s="4"/>
      <c r="K1258" s="38">
        <f t="shared" si="59"/>
        <v>0</v>
      </c>
    </row>
    <row r="1259" spans="1:11">
      <c r="A1259" t="s">
        <v>1162</v>
      </c>
      <c r="B1259" t="s">
        <v>17</v>
      </c>
      <c r="C1259" t="s">
        <v>6744</v>
      </c>
      <c r="D1259" t="s">
        <v>6748</v>
      </c>
      <c r="E1259">
        <v>4175.67</v>
      </c>
      <c r="G1259" s="35"/>
      <c r="H1259" s="36">
        <f t="shared" si="57"/>
        <v>2630.6721000000002</v>
      </c>
      <c r="I1259" s="37">
        <f t="shared" si="58"/>
        <v>2630.6721000000002</v>
      </c>
      <c r="J1259" s="4"/>
      <c r="K1259" s="38">
        <f t="shared" si="59"/>
        <v>0</v>
      </c>
    </row>
    <row r="1260" spans="1:11">
      <c r="A1260" t="s">
        <v>1163</v>
      </c>
      <c r="B1260" t="s">
        <v>17</v>
      </c>
      <c r="C1260" t="s">
        <v>6744</v>
      </c>
      <c r="D1260" t="s">
        <v>6749</v>
      </c>
      <c r="E1260">
        <v>6439.05</v>
      </c>
      <c r="G1260" s="35"/>
      <c r="H1260" s="36">
        <f t="shared" si="57"/>
        <v>4056.6015000000002</v>
      </c>
      <c r="I1260" s="37">
        <f t="shared" si="58"/>
        <v>4056.6015000000002</v>
      </c>
      <c r="J1260" s="4"/>
      <c r="K1260" s="38">
        <f t="shared" si="59"/>
        <v>0</v>
      </c>
    </row>
    <row r="1261" spans="1:11">
      <c r="A1261" t="s">
        <v>1164</v>
      </c>
      <c r="B1261" t="s">
        <v>17</v>
      </c>
      <c r="C1261" t="s">
        <v>6744</v>
      </c>
      <c r="D1261" t="s">
        <v>6750</v>
      </c>
      <c r="E1261">
        <v>5244.98</v>
      </c>
      <c r="G1261" s="35"/>
      <c r="H1261" s="36">
        <f t="shared" si="57"/>
        <v>3304.3373999999999</v>
      </c>
      <c r="I1261" s="37">
        <f t="shared" si="58"/>
        <v>3304.3373999999999</v>
      </c>
      <c r="J1261" s="4"/>
      <c r="K1261" s="38">
        <f t="shared" si="59"/>
        <v>0</v>
      </c>
    </row>
    <row r="1262" spans="1:11">
      <c r="A1262" t="s">
        <v>1165</v>
      </c>
      <c r="B1262" t="s">
        <v>17</v>
      </c>
      <c r="C1262" t="s">
        <v>6744</v>
      </c>
      <c r="D1262" t="s">
        <v>6751</v>
      </c>
      <c r="E1262">
        <v>11479.06</v>
      </c>
      <c r="G1262" s="35"/>
      <c r="H1262" s="36">
        <f t="shared" si="57"/>
        <v>7231.8077999999996</v>
      </c>
      <c r="I1262" s="37">
        <f t="shared" si="58"/>
        <v>7231.8077999999996</v>
      </c>
      <c r="J1262" s="4"/>
      <c r="K1262" s="38">
        <f t="shared" si="59"/>
        <v>0</v>
      </c>
    </row>
    <row r="1263" spans="1:11">
      <c r="A1263" t="s">
        <v>1166</v>
      </c>
      <c r="B1263" t="s">
        <v>17</v>
      </c>
      <c r="C1263" t="s">
        <v>6744</v>
      </c>
      <c r="D1263" t="s">
        <v>6752</v>
      </c>
      <c r="E1263">
        <v>8745.73</v>
      </c>
      <c r="G1263" s="35"/>
      <c r="H1263" s="36">
        <f t="shared" si="57"/>
        <v>5509.8099000000002</v>
      </c>
      <c r="I1263" s="37">
        <f t="shared" si="58"/>
        <v>5509.8099000000002</v>
      </c>
      <c r="J1263" s="4"/>
      <c r="K1263" s="38">
        <f t="shared" si="59"/>
        <v>0</v>
      </c>
    </row>
    <row r="1264" spans="1:11">
      <c r="A1264" t="s">
        <v>1167</v>
      </c>
      <c r="B1264" t="s">
        <v>17</v>
      </c>
      <c r="C1264" t="s">
        <v>6744</v>
      </c>
      <c r="D1264" t="s">
        <v>6753</v>
      </c>
      <c r="E1264">
        <v>29318.62</v>
      </c>
      <c r="G1264" s="35"/>
      <c r="H1264" s="36">
        <f t="shared" si="57"/>
        <v>18470.730599999999</v>
      </c>
      <c r="I1264" s="37">
        <f t="shared" si="58"/>
        <v>18470.730599999999</v>
      </c>
      <c r="J1264" s="4"/>
      <c r="K1264" s="38">
        <f t="shared" si="59"/>
        <v>0</v>
      </c>
    </row>
    <row r="1265" spans="1:11">
      <c r="A1265" t="s">
        <v>1168</v>
      </c>
      <c r="B1265" t="s">
        <v>17</v>
      </c>
      <c r="C1265" t="s">
        <v>6744</v>
      </c>
      <c r="D1265" t="s">
        <v>6754</v>
      </c>
      <c r="E1265">
        <v>13809.28</v>
      </c>
      <c r="G1265" s="35"/>
      <c r="H1265" s="36">
        <f t="shared" si="57"/>
        <v>8699.8464000000004</v>
      </c>
      <c r="I1265" s="37">
        <f t="shared" si="58"/>
        <v>8699.8464000000004</v>
      </c>
      <c r="J1265" s="4"/>
      <c r="K1265" s="38">
        <f t="shared" si="59"/>
        <v>0</v>
      </c>
    </row>
    <row r="1266" spans="1:11">
      <c r="A1266" t="s">
        <v>1169</v>
      </c>
      <c r="B1266" t="s">
        <v>17</v>
      </c>
      <c r="C1266" t="s">
        <v>6744</v>
      </c>
      <c r="D1266" t="s">
        <v>6755</v>
      </c>
      <c r="E1266">
        <v>40534.89</v>
      </c>
      <c r="G1266" s="35"/>
      <c r="H1266" s="36">
        <f t="shared" si="57"/>
        <v>25536.9807</v>
      </c>
      <c r="I1266" s="37">
        <f t="shared" si="58"/>
        <v>25536.9807</v>
      </c>
      <c r="J1266" s="4"/>
      <c r="K1266" s="38">
        <f t="shared" si="59"/>
        <v>0</v>
      </c>
    </row>
    <row r="1267" spans="1:11">
      <c r="A1267" t="s">
        <v>1170</v>
      </c>
      <c r="B1267" t="s">
        <v>17</v>
      </c>
      <c r="C1267" t="s">
        <v>6744</v>
      </c>
      <c r="D1267" t="s">
        <v>6756</v>
      </c>
      <c r="E1267">
        <v>33192.71</v>
      </c>
      <c r="G1267" s="35"/>
      <c r="H1267" s="36">
        <f t="shared" si="57"/>
        <v>20911.407299999999</v>
      </c>
      <c r="I1267" s="37">
        <f t="shared" si="58"/>
        <v>20911.407299999999</v>
      </c>
      <c r="J1267" s="4"/>
      <c r="K1267" s="38">
        <f t="shared" si="59"/>
        <v>0</v>
      </c>
    </row>
    <row r="1268" spans="1:11">
      <c r="A1268" t="s">
        <v>1171</v>
      </c>
      <c r="B1268" t="s">
        <v>17</v>
      </c>
      <c r="C1268" t="s">
        <v>6744</v>
      </c>
      <c r="D1268" t="s">
        <v>6757</v>
      </c>
      <c r="E1268">
        <v>87752.66</v>
      </c>
      <c r="G1268" s="35"/>
      <c r="H1268" s="36">
        <f t="shared" si="57"/>
        <v>55284.175800000005</v>
      </c>
      <c r="I1268" s="37">
        <f t="shared" si="58"/>
        <v>55284.175800000005</v>
      </c>
      <c r="J1268" s="4"/>
      <c r="K1268" s="38">
        <f t="shared" si="59"/>
        <v>0</v>
      </c>
    </row>
    <row r="1269" spans="1:11">
      <c r="A1269" t="s">
        <v>1172</v>
      </c>
      <c r="B1269" t="s">
        <v>17</v>
      </c>
      <c r="C1269" t="s">
        <v>6744</v>
      </c>
      <c r="D1269" t="s">
        <v>6758</v>
      </c>
      <c r="E1269">
        <v>5661.12</v>
      </c>
      <c r="G1269" s="35"/>
      <c r="H1269" s="36">
        <f t="shared" si="57"/>
        <v>3566.5056</v>
      </c>
      <c r="I1269" s="37">
        <f t="shared" si="58"/>
        <v>3566.5056</v>
      </c>
      <c r="J1269" s="4"/>
      <c r="K1269" s="38">
        <f t="shared" si="59"/>
        <v>0</v>
      </c>
    </row>
    <row r="1270" spans="1:11">
      <c r="A1270" t="s">
        <v>1173</v>
      </c>
      <c r="B1270" t="s">
        <v>17</v>
      </c>
      <c r="C1270" t="s">
        <v>6744</v>
      </c>
      <c r="D1270" t="s">
        <v>6759</v>
      </c>
      <c r="E1270">
        <v>8392.31</v>
      </c>
      <c r="G1270" s="35"/>
      <c r="H1270" s="36">
        <f t="shared" si="57"/>
        <v>5287.1552999999994</v>
      </c>
      <c r="I1270" s="37">
        <f t="shared" si="58"/>
        <v>5287.1552999999994</v>
      </c>
      <c r="J1270" s="4"/>
      <c r="K1270" s="38">
        <f t="shared" si="59"/>
        <v>0</v>
      </c>
    </row>
    <row r="1271" spans="1:11">
      <c r="A1271" t="s">
        <v>1174</v>
      </c>
      <c r="B1271" t="s">
        <v>17</v>
      </c>
      <c r="C1271" t="s">
        <v>6744</v>
      </c>
      <c r="D1271" t="s">
        <v>6760</v>
      </c>
      <c r="E1271">
        <v>6294.89</v>
      </c>
      <c r="G1271" s="35"/>
      <c r="H1271" s="36">
        <f t="shared" si="57"/>
        <v>3965.7807000000003</v>
      </c>
      <c r="I1271" s="37">
        <f t="shared" si="58"/>
        <v>3965.7807000000003</v>
      </c>
      <c r="J1271" s="4"/>
      <c r="K1271" s="38">
        <f t="shared" si="59"/>
        <v>0</v>
      </c>
    </row>
    <row r="1272" spans="1:11">
      <c r="A1272" t="s">
        <v>1175</v>
      </c>
      <c r="B1272" t="s">
        <v>17</v>
      </c>
      <c r="C1272" t="s">
        <v>6744</v>
      </c>
      <c r="D1272" t="s">
        <v>6761</v>
      </c>
      <c r="E1272">
        <v>15785.94</v>
      </c>
      <c r="G1272" s="35"/>
      <c r="H1272" s="36">
        <f t="shared" si="57"/>
        <v>9945.1422000000002</v>
      </c>
      <c r="I1272" s="37">
        <f t="shared" si="58"/>
        <v>9945.1422000000002</v>
      </c>
      <c r="J1272" s="4"/>
      <c r="K1272" s="38">
        <f t="shared" si="59"/>
        <v>0</v>
      </c>
    </row>
    <row r="1273" spans="1:11">
      <c r="A1273" t="s">
        <v>1176</v>
      </c>
      <c r="B1273" t="s">
        <v>17</v>
      </c>
      <c r="C1273" t="s">
        <v>6744</v>
      </c>
      <c r="D1273" t="s">
        <v>6762</v>
      </c>
      <c r="E1273">
        <v>10301.48</v>
      </c>
      <c r="G1273" s="35"/>
      <c r="H1273" s="36">
        <f t="shared" si="57"/>
        <v>6489.9323999999997</v>
      </c>
      <c r="I1273" s="37">
        <f t="shared" si="58"/>
        <v>6489.9323999999997</v>
      </c>
      <c r="J1273" s="4"/>
      <c r="K1273" s="38">
        <f t="shared" si="59"/>
        <v>0</v>
      </c>
    </row>
    <row r="1274" spans="1:11">
      <c r="A1274" t="s">
        <v>1177</v>
      </c>
      <c r="B1274" t="s">
        <v>17</v>
      </c>
      <c r="C1274" t="s">
        <v>6744</v>
      </c>
      <c r="D1274" t="s">
        <v>6763</v>
      </c>
      <c r="E1274">
        <v>31716.03</v>
      </c>
      <c r="G1274" s="35"/>
      <c r="H1274" s="36">
        <f t="shared" si="57"/>
        <v>19981.098900000001</v>
      </c>
      <c r="I1274" s="37">
        <f t="shared" si="58"/>
        <v>19981.098900000001</v>
      </c>
      <c r="J1274" s="4"/>
      <c r="K1274" s="38">
        <f t="shared" si="59"/>
        <v>0</v>
      </c>
    </row>
    <row r="1275" spans="1:11">
      <c r="A1275" t="s">
        <v>1178</v>
      </c>
      <c r="B1275" t="s">
        <v>17</v>
      </c>
      <c r="C1275" t="s">
        <v>6744</v>
      </c>
      <c r="D1275" t="s">
        <v>6764</v>
      </c>
      <c r="E1275">
        <v>18627.560000000001</v>
      </c>
      <c r="G1275" s="35"/>
      <c r="H1275" s="36">
        <f t="shared" si="57"/>
        <v>11735.362800000001</v>
      </c>
      <c r="I1275" s="37">
        <f t="shared" si="58"/>
        <v>11735.362800000001</v>
      </c>
      <c r="J1275" s="4"/>
      <c r="K1275" s="38">
        <f t="shared" si="59"/>
        <v>0</v>
      </c>
    </row>
    <row r="1276" spans="1:11">
      <c r="A1276" t="s">
        <v>1179</v>
      </c>
      <c r="B1276" t="s">
        <v>17</v>
      </c>
      <c r="C1276" t="s">
        <v>6744</v>
      </c>
      <c r="D1276" t="s">
        <v>6765</v>
      </c>
      <c r="E1276">
        <v>43638.26</v>
      </c>
      <c r="G1276" s="35"/>
      <c r="H1276" s="36">
        <f t="shared" si="57"/>
        <v>27492.103800000001</v>
      </c>
      <c r="I1276" s="37">
        <f t="shared" si="58"/>
        <v>27492.103800000001</v>
      </c>
      <c r="J1276" s="4"/>
      <c r="K1276" s="38">
        <f t="shared" si="59"/>
        <v>0</v>
      </c>
    </row>
    <row r="1277" spans="1:11">
      <c r="A1277" t="s">
        <v>1180</v>
      </c>
      <c r="B1277" t="s">
        <v>17</v>
      </c>
      <c r="C1277" t="s">
        <v>6744</v>
      </c>
      <c r="D1277" t="s">
        <v>6766</v>
      </c>
      <c r="E1277">
        <v>35590.14</v>
      </c>
      <c r="G1277" s="35"/>
      <c r="H1277" s="36">
        <f t="shared" si="57"/>
        <v>22421.788199999999</v>
      </c>
      <c r="I1277" s="37">
        <f t="shared" si="58"/>
        <v>22421.788199999999</v>
      </c>
      <c r="J1277" s="4"/>
      <c r="K1277" s="38">
        <f t="shared" si="59"/>
        <v>0</v>
      </c>
    </row>
    <row r="1278" spans="1:11">
      <c r="A1278" t="s">
        <v>1181</v>
      </c>
      <c r="B1278" t="s">
        <v>17</v>
      </c>
      <c r="C1278" t="s">
        <v>6744</v>
      </c>
      <c r="D1278" t="s">
        <v>6767</v>
      </c>
      <c r="E1278">
        <v>94803.94</v>
      </c>
      <c r="G1278" s="35"/>
      <c r="H1278" s="36">
        <f t="shared" si="57"/>
        <v>59726.482199999999</v>
      </c>
      <c r="I1278" s="37">
        <f t="shared" si="58"/>
        <v>59726.482199999999</v>
      </c>
      <c r="J1278" s="4"/>
      <c r="K1278" s="38">
        <f t="shared" si="59"/>
        <v>0</v>
      </c>
    </row>
    <row r="1279" spans="1:11">
      <c r="A1279" t="s">
        <v>1182</v>
      </c>
      <c r="B1279" t="s">
        <v>17</v>
      </c>
      <c r="C1279" t="s">
        <v>6744</v>
      </c>
      <c r="D1279" t="s">
        <v>6768</v>
      </c>
      <c r="E1279">
        <v>3034.08</v>
      </c>
      <c r="G1279" s="35"/>
      <c r="H1279" s="36">
        <f t="shared" si="57"/>
        <v>1911.4703999999999</v>
      </c>
      <c r="I1279" s="37">
        <f t="shared" si="58"/>
        <v>1911.4703999999999</v>
      </c>
      <c r="J1279" s="4"/>
      <c r="K1279" s="38">
        <f t="shared" si="59"/>
        <v>0</v>
      </c>
    </row>
    <row r="1280" spans="1:11">
      <c r="A1280" t="s">
        <v>1183</v>
      </c>
      <c r="B1280" t="s">
        <v>17</v>
      </c>
      <c r="C1280" t="s">
        <v>6769</v>
      </c>
      <c r="D1280" t="s">
        <v>5623</v>
      </c>
      <c r="E1280">
        <v>964.13</v>
      </c>
      <c r="G1280" s="35"/>
      <c r="H1280" s="36">
        <f t="shared" si="57"/>
        <v>607.40189999999996</v>
      </c>
      <c r="I1280" s="37">
        <f t="shared" si="58"/>
        <v>607.40189999999996</v>
      </c>
      <c r="J1280" s="4"/>
      <c r="K1280" s="38">
        <f t="shared" si="59"/>
        <v>0</v>
      </c>
    </row>
    <row r="1281" spans="1:11">
      <c r="A1281" t="s">
        <v>1184</v>
      </c>
      <c r="B1281" t="s">
        <v>17</v>
      </c>
      <c r="C1281" t="s">
        <v>6769</v>
      </c>
      <c r="D1281" t="s">
        <v>5624</v>
      </c>
      <c r="E1281">
        <v>968.15</v>
      </c>
      <c r="G1281" s="35"/>
      <c r="H1281" s="36">
        <f t="shared" si="57"/>
        <v>609.93449999999996</v>
      </c>
      <c r="I1281" s="37">
        <f t="shared" si="58"/>
        <v>609.93449999999996</v>
      </c>
      <c r="J1281" s="4"/>
      <c r="K1281" s="38">
        <f t="shared" si="59"/>
        <v>0</v>
      </c>
    </row>
    <row r="1282" spans="1:11">
      <c r="A1282" t="s">
        <v>1185</v>
      </c>
      <c r="B1282" t="s">
        <v>17</v>
      </c>
      <c r="C1282" t="s">
        <v>6769</v>
      </c>
      <c r="D1282" t="s">
        <v>5626</v>
      </c>
      <c r="E1282">
        <v>2526.2199999999998</v>
      </c>
      <c r="G1282" s="35"/>
      <c r="H1282" s="36">
        <f t="shared" si="57"/>
        <v>1591.5185999999999</v>
      </c>
      <c r="I1282" s="37">
        <f t="shared" si="58"/>
        <v>1591.5185999999999</v>
      </c>
      <c r="J1282" s="4"/>
      <c r="K1282" s="38">
        <f t="shared" si="59"/>
        <v>0</v>
      </c>
    </row>
    <row r="1283" spans="1:11">
      <c r="A1283" t="s">
        <v>1186</v>
      </c>
      <c r="B1283" t="s">
        <v>17</v>
      </c>
      <c r="C1283" t="s">
        <v>6769</v>
      </c>
      <c r="D1283" t="s">
        <v>5625</v>
      </c>
      <c r="E1283">
        <v>2136.9899999999998</v>
      </c>
      <c r="G1283" s="35"/>
      <c r="H1283" s="36">
        <f t="shared" si="57"/>
        <v>1346.3036999999999</v>
      </c>
      <c r="I1283" s="37">
        <f t="shared" si="58"/>
        <v>1346.3036999999999</v>
      </c>
      <c r="J1283" s="4"/>
      <c r="K1283" s="38">
        <f t="shared" si="59"/>
        <v>0</v>
      </c>
    </row>
    <row r="1284" spans="1:11">
      <c r="A1284" t="s">
        <v>1187</v>
      </c>
      <c r="B1284" t="s">
        <v>17</v>
      </c>
      <c r="C1284" t="s">
        <v>6769</v>
      </c>
      <c r="D1284" t="s">
        <v>5627</v>
      </c>
      <c r="E1284">
        <v>3406.25</v>
      </c>
      <c r="G1284" s="35"/>
      <c r="H1284" s="36">
        <f t="shared" si="57"/>
        <v>2145.9375</v>
      </c>
      <c r="I1284" s="37">
        <f t="shared" si="58"/>
        <v>2145.9375</v>
      </c>
      <c r="J1284" s="4"/>
      <c r="K1284" s="38">
        <f t="shared" si="59"/>
        <v>0</v>
      </c>
    </row>
    <row r="1285" spans="1:11">
      <c r="A1285" t="s">
        <v>1188</v>
      </c>
      <c r="B1285" t="s">
        <v>17</v>
      </c>
      <c r="C1285" t="s">
        <v>6769</v>
      </c>
      <c r="D1285" t="s">
        <v>5631</v>
      </c>
      <c r="E1285">
        <v>5400.85</v>
      </c>
      <c r="G1285" s="35"/>
      <c r="H1285" s="36">
        <f t="shared" si="57"/>
        <v>3402.5355000000004</v>
      </c>
      <c r="I1285" s="37">
        <f t="shared" si="58"/>
        <v>3402.5355000000004</v>
      </c>
      <c r="J1285" s="4"/>
      <c r="K1285" s="38">
        <f t="shared" si="59"/>
        <v>0</v>
      </c>
    </row>
    <row r="1286" spans="1:11">
      <c r="A1286" t="s">
        <v>1189</v>
      </c>
      <c r="B1286" t="s">
        <v>17</v>
      </c>
      <c r="C1286" t="s">
        <v>6769</v>
      </c>
      <c r="D1286" t="s">
        <v>5630</v>
      </c>
      <c r="E1286">
        <v>8718.8700000000008</v>
      </c>
      <c r="G1286" s="35"/>
      <c r="H1286" s="36">
        <f t="shared" si="57"/>
        <v>5492.8881000000001</v>
      </c>
      <c r="I1286" s="37">
        <f t="shared" si="58"/>
        <v>5492.8881000000001</v>
      </c>
      <c r="J1286" s="4"/>
      <c r="K1286" s="38">
        <f t="shared" si="59"/>
        <v>0</v>
      </c>
    </row>
    <row r="1287" spans="1:11">
      <c r="A1287" t="s">
        <v>1190</v>
      </c>
      <c r="B1287" t="s">
        <v>17</v>
      </c>
      <c r="C1287" t="s">
        <v>6769</v>
      </c>
      <c r="D1287" t="s">
        <v>5634</v>
      </c>
      <c r="E1287">
        <v>41475.199999999997</v>
      </c>
      <c r="G1287" s="35"/>
      <c r="H1287" s="36">
        <f t="shared" ref="H1287:H1350" si="60">+E1287*$H$1*(1-G1287)</f>
        <v>26129.375999999997</v>
      </c>
      <c r="I1287" s="37">
        <f t="shared" ref="I1287:I1350" si="61">H1287*$H$4</f>
        <v>26129.375999999997</v>
      </c>
      <c r="J1287" s="4"/>
      <c r="K1287" s="38">
        <f t="shared" ref="K1287:K1350" si="62">J1287*I1287</f>
        <v>0</v>
      </c>
    </row>
    <row r="1288" spans="1:11">
      <c r="A1288" t="s">
        <v>1191</v>
      </c>
      <c r="B1288" t="s">
        <v>17</v>
      </c>
      <c r="C1288" t="s">
        <v>6769</v>
      </c>
      <c r="D1288" t="s">
        <v>5637</v>
      </c>
      <c r="E1288">
        <v>41475.199999999997</v>
      </c>
      <c r="G1288" s="35"/>
      <c r="H1288" s="36">
        <f t="shared" si="60"/>
        <v>26129.375999999997</v>
      </c>
      <c r="I1288" s="37">
        <f t="shared" si="61"/>
        <v>26129.375999999997</v>
      </c>
      <c r="J1288" s="4"/>
      <c r="K1288" s="38">
        <f t="shared" si="62"/>
        <v>0</v>
      </c>
    </row>
    <row r="1289" spans="1:11">
      <c r="A1289" t="s">
        <v>1218</v>
      </c>
      <c r="B1289" t="s">
        <v>17</v>
      </c>
      <c r="C1289" t="s">
        <v>6796</v>
      </c>
      <c r="D1289" t="s">
        <v>6797</v>
      </c>
      <c r="E1289">
        <v>1222.71</v>
      </c>
      <c r="G1289" s="35"/>
      <c r="H1289" s="36">
        <f t="shared" si="60"/>
        <v>770.30730000000005</v>
      </c>
      <c r="I1289" s="37">
        <f t="shared" si="61"/>
        <v>770.30730000000005</v>
      </c>
      <c r="J1289" s="4"/>
      <c r="K1289" s="38">
        <f t="shared" si="62"/>
        <v>0</v>
      </c>
    </row>
    <row r="1290" spans="1:11">
      <c r="A1290" t="s">
        <v>1219</v>
      </c>
      <c r="B1290" t="s">
        <v>17</v>
      </c>
      <c r="C1290" t="s">
        <v>6796</v>
      </c>
      <c r="D1290" t="s">
        <v>6798</v>
      </c>
      <c r="E1290">
        <v>1222.75</v>
      </c>
      <c r="G1290" s="35"/>
      <c r="H1290" s="36">
        <f t="shared" si="60"/>
        <v>770.33249999999998</v>
      </c>
      <c r="I1290" s="37">
        <f t="shared" si="61"/>
        <v>770.33249999999998</v>
      </c>
      <c r="J1290" s="4"/>
      <c r="K1290" s="38">
        <f t="shared" si="62"/>
        <v>0</v>
      </c>
    </row>
    <row r="1291" spans="1:11">
      <c r="A1291" t="s">
        <v>1220</v>
      </c>
      <c r="B1291" t="s">
        <v>17</v>
      </c>
      <c r="C1291" t="s">
        <v>6796</v>
      </c>
      <c r="D1291" t="s">
        <v>6799</v>
      </c>
      <c r="E1291">
        <v>1727.21</v>
      </c>
      <c r="G1291" s="35"/>
      <c r="H1291" s="36">
        <f t="shared" si="60"/>
        <v>1088.1423</v>
      </c>
      <c r="I1291" s="37">
        <f t="shared" si="61"/>
        <v>1088.1423</v>
      </c>
      <c r="J1291" s="4"/>
      <c r="K1291" s="38">
        <f t="shared" si="62"/>
        <v>0</v>
      </c>
    </row>
    <row r="1292" spans="1:11">
      <c r="A1292" t="s">
        <v>1221</v>
      </c>
      <c r="B1292" t="s">
        <v>17</v>
      </c>
      <c r="C1292" t="s">
        <v>6796</v>
      </c>
      <c r="D1292" t="s">
        <v>6800</v>
      </c>
      <c r="E1292">
        <v>2449.9</v>
      </c>
      <c r="G1292" s="35"/>
      <c r="H1292" s="36">
        <f t="shared" si="60"/>
        <v>1543.4370000000001</v>
      </c>
      <c r="I1292" s="37">
        <f t="shared" si="61"/>
        <v>1543.4370000000001</v>
      </c>
      <c r="J1292" s="4"/>
      <c r="K1292" s="38">
        <f t="shared" si="62"/>
        <v>0</v>
      </c>
    </row>
    <row r="1293" spans="1:11">
      <c r="A1293" t="s">
        <v>1222</v>
      </c>
      <c r="B1293" t="s">
        <v>17</v>
      </c>
      <c r="C1293" t="s">
        <v>6796</v>
      </c>
      <c r="D1293" t="s">
        <v>6801</v>
      </c>
      <c r="E1293">
        <v>6164.31</v>
      </c>
      <c r="G1293" s="35"/>
      <c r="H1293" s="36">
        <f t="shared" si="60"/>
        <v>3883.5153000000005</v>
      </c>
      <c r="I1293" s="37">
        <f t="shared" si="61"/>
        <v>3883.5153000000005</v>
      </c>
      <c r="J1293" s="4"/>
      <c r="K1293" s="38">
        <f t="shared" si="62"/>
        <v>0</v>
      </c>
    </row>
    <row r="1294" spans="1:11">
      <c r="A1294" t="s">
        <v>1223</v>
      </c>
      <c r="B1294" t="s">
        <v>17</v>
      </c>
      <c r="C1294" t="s">
        <v>6796</v>
      </c>
      <c r="D1294" t="s">
        <v>6802</v>
      </c>
      <c r="E1294">
        <v>10730.49</v>
      </c>
      <c r="G1294" s="35"/>
      <c r="H1294" s="36">
        <f t="shared" si="60"/>
        <v>6760.2087000000001</v>
      </c>
      <c r="I1294" s="37">
        <f t="shared" si="61"/>
        <v>6760.2087000000001</v>
      </c>
      <c r="J1294" s="4"/>
      <c r="K1294" s="38">
        <f t="shared" si="62"/>
        <v>0</v>
      </c>
    </row>
    <row r="1295" spans="1:11">
      <c r="A1295" t="s">
        <v>1224</v>
      </c>
      <c r="B1295" t="s">
        <v>17</v>
      </c>
      <c r="C1295" t="s">
        <v>6796</v>
      </c>
      <c r="D1295" t="s">
        <v>6803</v>
      </c>
      <c r="E1295">
        <v>15888.37</v>
      </c>
      <c r="G1295" s="35"/>
      <c r="H1295" s="36">
        <f t="shared" si="60"/>
        <v>10009.6731</v>
      </c>
      <c r="I1295" s="37">
        <f t="shared" si="61"/>
        <v>10009.6731</v>
      </c>
      <c r="J1295" s="4"/>
      <c r="K1295" s="38">
        <f t="shared" si="62"/>
        <v>0</v>
      </c>
    </row>
    <row r="1296" spans="1:11">
      <c r="A1296" t="s">
        <v>2864</v>
      </c>
      <c r="B1296" t="s">
        <v>17</v>
      </c>
      <c r="C1296" t="s">
        <v>8360</v>
      </c>
      <c r="D1296" t="s">
        <v>8361</v>
      </c>
      <c r="E1296">
        <v>2505.67</v>
      </c>
      <c r="G1296" s="35"/>
      <c r="H1296" s="36">
        <f t="shared" si="60"/>
        <v>1578.5721000000001</v>
      </c>
      <c r="I1296" s="37">
        <f t="shared" si="61"/>
        <v>1578.5721000000001</v>
      </c>
      <c r="J1296" s="4"/>
      <c r="K1296" s="38">
        <f t="shared" si="62"/>
        <v>0</v>
      </c>
    </row>
    <row r="1297" spans="1:11">
      <c r="A1297" t="s">
        <v>2865</v>
      </c>
      <c r="B1297" t="s">
        <v>17</v>
      </c>
      <c r="C1297" t="s">
        <v>8360</v>
      </c>
      <c r="D1297" t="s">
        <v>8362</v>
      </c>
      <c r="E1297">
        <v>4272.07</v>
      </c>
      <c r="G1297" s="35"/>
      <c r="H1297" s="36">
        <f t="shared" si="60"/>
        <v>2691.4040999999997</v>
      </c>
      <c r="I1297" s="37">
        <f t="shared" si="61"/>
        <v>2691.4040999999997</v>
      </c>
      <c r="J1297" s="4"/>
      <c r="K1297" s="38">
        <f t="shared" si="62"/>
        <v>0</v>
      </c>
    </row>
    <row r="1298" spans="1:11">
      <c r="A1298" t="s">
        <v>873</v>
      </c>
      <c r="B1298" t="s">
        <v>17</v>
      </c>
      <c r="C1298" t="s">
        <v>6523</v>
      </c>
      <c r="D1298" t="s">
        <v>6524</v>
      </c>
      <c r="E1298">
        <v>126133.24</v>
      </c>
      <c r="G1298" s="35"/>
      <c r="H1298" s="36">
        <f t="shared" si="60"/>
        <v>79463.941200000001</v>
      </c>
      <c r="I1298" s="37">
        <f t="shared" si="61"/>
        <v>79463.941200000001</v>
      </c>
      <c r="J1298" s="4"/>
      <c r="K1298" s="38">
        <f t="shared" si="62"/>
        <v>0</v>
      </c>
    </row>
    <row r="1299" spans="1:11">
      <c r="A1299" t="s">
        <v>874</v>
      </c>
      <c r="B1299" t="s">
        <v>17</v>
      </c>
      <c r="C1299" t="s">
        <v>6523</v>
      </c>
      <c r="D1299" t="s">
        <v>6525</v>
      </c>
      <c r="E1299">
        <v>142433.49</v>
      </c>
      <c r="G1299" s="35"/>
      <c r="H1299" s="36">
        <f t="shared" si="60"/>
        <v>89733.098699999988</v>
      </c>
      <c r="I1299" s="37">
        <f t="shared" si="61"/>
        <v>89733.098699999988</v>
      </c>
      <c r="J1299" s="4"/>
      <c r="K1299" s="38">
        <f t="shared" si="62"/>
        <v>0</v>
      </c>
    </row>
    <row r="1300" spans="1:11">
      <c r="A1300" t="s">
        <v>875</v>
      </c>
      <c r="B1300" t="s">
        <v>17</v>
      </c>
      <c r="C1300" t="s">
        <v>6523</v>
      </c>
      <c r="D1300" t="s">
        <v>6526</v>
      </c>
      <c r="E1300">
        <v>155714.6</v>
      </c>
      <c r="G1300" s="35"/>
      <c r="H1300" s="36">
        <f t="shared" si="60"/>
        <v>98100.198000000004</v>
      </c>
      <c r="I1300" s="37">
        <f t="shared" si="61"/>
        <v>98100.198000000004</v>
      </c>
      <c r="J1300" s="4"/>
      <c r="K1300" s="38">
        <f t="shared" si="62"/>
        <v>0</v>
      </c>
    </row>
    <row r="1301" spans="1:11">
      <c r="A1301" t="s">
        <v>876</v>
      </c>
      <c r="B1301" t="s">
        <v>17</v>
      </c>
      <c r="C1301" t="s">
        <v>6523</v>
      </c>
      <c r="D1301" t="s">
        <v>6527</v>
      </c>
      <c r="E1301">
        <v>186779.76</v>
      </c>
      <c r="G1301" s="35"/>
      <c r="H1301" s="36">
        <f t="shared" si="60"/>
        <v>117671.2488</v>
      </c>
      <c r="I1301" s="37">
        <f t="shared" si="61"/>
        <v>117671.2488</v>
      </c>
      <c r="J1301" s="4"/>
      <c r="K1301" s="38">
        <f t="shared" si="62"/>
        <v>0</v>
      </c>
    </row>
    <row r="1302" spans="1:11">
      <c r="A1302" t="s">
        <v>877</v>
      </c>
      <c r="B1302" t="s">
        <v>17</v>
      </c>
      <c r="C1302" t="s">
        <v>6523</v>
      </c>
      <c r="D1302" t="s">
        <v>6528</v>
      </c>
      <c r="E1302">
        <v>224354.27</v>
      </c>
      <c r="G1302" s="35"/>
      <c r="H1302" s="36">
        <f t="shared" si="60"/>
        <v>141343.19010000001</v>
      </c>
      <c r="I1302" s="37">
        <f t="shared" si="61"/>
        <v>141343.19010000001</v>
      </c>
      <c r="J1302" s="4"/>
      <c r="K1302" s="38">
        <f t="shared" si="62"/>
        <v>0</v>
      </c>
    </row>
    <row r="1303" spans="1:11">
      <c r="A1303" t="s">
        <v>11980</v>
      </c>
      <c r="B1303" t="s">
        <v>17</v>
      </c>
      <c r="C1303" t="s">
        <v>11931</v>
      </c>
      <c r="D1303" t="s">
        <v>11981</v>
      </c>
      <c r="E1303">
        <v>120923.85</v>
      </c>
      <c r="G1303" s="35"/>
      <c r="H1303" s="36">
        <f t="shared" si="60"/>
        <v>76182.025500000003</v>
      </c>
      <c r="I1303" s="37">
        <f t="shared" si="61"/>
        <v>76182.025500000003</v>
      </c>
      <c r="J1303" s="4"/>
      <c r="K1303" s="38">
        <f t="shared" si="62"/>
        <v>0</v>
      </c>
    </row>
    <row r="1304" spans="1:11">
      <c r="A1304" t="s">
        <v>12615</v>
      </c>
      <c r="B1304" t="s">
        <v>17</v>
      </c>
      <c r="C1304" t="s">
        <v>11931</v>
      </c>
      <c r="D1304" t="s">
        <v>12616</v>
      </c>
      <c r="E1304">
        <v>230107.41</v>
      </c>
      <c r="G1304" s="35"/>
      <c r="H1304" s="36">
        <f t="shared" si="60"/>
        <v>144967.66829999999</v>
      </c>
      <c r="I1304" s="37">
        <f t="shared" si="61"/>
        <v>144967.66829999999</v>
      </c>
      <c r="J1304" s="4"/>
      <c r="K1304" s="38">
        <f t="shared" si="62"/>
        <v>0</v>
      </c>
    </row>
    <row r="1305" spans="1:11">
      <c r="A1305" t="s">
        <v>11982</v>
      </c>
      <c r="B1305" t="s">
        <v>17</v>
      </c>
      <c r="C1305" t="s">
        <v>11931</v>
      </c>
      <c r="D1305" t="s">
        <v>12617</v>
      </c>
      <c r="E1305">
        <v>202310.82</v>
      </c>
      <c r="G1305" s="35"/>
      <c r="H1305" s="36">
        <f t="shared" si="60"/>
        <v>127455.81660000001</v>
      </c>
      <c r="I1305" s="37">
        <f t="shared" si="61"/>
        <v>127455.81660000001</v>
      </c>
      <c r="J1305" s="4"/>
      <c r="K1305" s="38">
        <f t="shared" si="62"/>
        <v>0</v>
      </c>
    </row>
    <row r="1306" spans="1:11">
      <c r="A1306" t="s">
        <v>11983</v>
      </c>
      <c r="B1306" t="s">
        <v>17</v>
      </c>
      <c r="C1306" t="s">
        <v>11931</v>
      </c>
      <c r="D1306" t="s">
        <v>12618</v>
      </c>
      <c r="E1306">
        <v>246212.86</v>
      </c>
      <c r="G1306" s="35"/>
      <c r="H1306" s="36">
        <f t="shared" si="60"/>
        <v>155114.1018</v>
      </c>
      <c r="I1306" s="37">
        <f t="shared" si="61"/>
        <v>155114.1018</v>
      </c>
      <c r="J1306" s="4"/>
      <c r="K1306" s="38">
        <f t="shared" si="62"/>
        <v>0</v>
      </c>
    </row>
    <row r="1307" spans="1:11">
      <c r="A1307" t="s">
        <v>11930</v>
      </c>
      <c r="B1307" t="s">
        <v>17</v>
      </c>
      <c r="C1307" t="s">
        <v>11931</v>
      </c>
      <c r="D1307" t="s">
        <v>11932</v>
      </c>
      <c r="E1307">
        <v>21774.7</v>
      </c>
      <c r="G1307" s="35"/>
      <c r="H1307" s="36">
        <f t="shared" si="60"/>
        <v>13718.061</v>
      </c>
      <c r="I1307" s="37">
        <f t="shared" si="61"/>
        <v>13718.061</v>
      </c>
      <c r="J1307" s="4"/>
      <c r="K1307" s="38">
        <f t="shared" si="62"/>
        <v>0</v>
      </c>
    </row>
    <row r="1308" spans="1:11">
      <c r="A1308" t="s">
        <v>11984</v>
      </c>
      <c r="B1308" t="s">
        <v>17</v>
      </c>
      <c r="C1308" t="s">
        <v>11931</v>
      </c>
      <c r="D1308" t="s">
        <v>11985</v>
      </c>
      <c r="E1308">
        <v>2403.23</v>
      </c>
      <c r="G1308" s="35"/>
      <c r="H1308" s="36">
        <f t="shared" si="60"/>
        <v>1514.0349000000001</v>
      </c>
      <c r="I1308" s="37">
        <f t="shared" si="61"/>
        <v>1514.0349000000001</v>
      </c>
      <c r="J1308" s="4"/>
      <c r="K1308" s="38">
        <f t="shared" si="62"/>
        <v>0</v>
      </c>
    </row>
    <row r="1309" spans="1:11">
      <c r="A1309" t="s">
        <v>11933</v>
      </c>
      <c r="B1309" t="s">
        <v>17</v>
      </c>
      <c r="C1309" t="s">
        <v>11931</v>
      </c>
      <c r="D1309" t="s">
        <v>11934</v>
      </c>
      <c r="E1309">
        <v>31975.67</v>
      </c>
      <c r="G1309" s="35"/>
      <c r="H1309" s="36">
        <f t="shared" si="60"/>
        <v>20144.6721</v>
      </c>
      <c r="I1309" s="37">
        <f t="shared" si="61"/>
        <v>20144.6721</v>
      </c>
      <c r="J1309" s="4"/>
      <c r="K1309" s="38">
        <f t="shared" si="62"/>
        <v>0</v>
      </c>
    </row>
    <row r="1310" spans="1:11">
      <c r="A1310" t="s">
        <v>11986</v>
      </c>
      <c r="B1310" t="s">
        <v>17</v>
      </c>
      <c r="C1310" t="s">
        <v>11931</v>
      </c>
      <c r="D1310" t="s">
        <v>11987</v>
      </c>
      <c r="E1310">
        <v>28546.05</v>
      </c>
      <c r="G1310" s="35"/>
      <c r="H1310" s="36">
        <f t="shared" si="60"/>
        <v>17984.011500000001</v>
      </c>
      <c r="I1310" s="37">
        <f t="shared" si="61"/>
        <v>17984.011500000001</v>
      </c>
      <c r="J1310" s="4"/>
      <c r="K1310" s="38">
        <f t="shared" si="62"/>
        <v>0</v>
      </c>
    </row>
    <row r="1311" spans="1:11">
      <c r="A1311" t="s">
        <v>11988</v>
      </c>
      <c r="B1311" t="s">
        <v>17</v>
      </c>
      <c r="C1311" t="s">
        <v>11931</v>
      </c>
      <c r="D1311" t="s">
        <v>11989</v>
      </c>
      <c r="E1311">
        <v>92540.87</v>
      </c>
      <c r="G1311" s="35"/>
      <c r="H1311" s="36">
        <f t="shared" si="60"/>
        <v>58300.748099999997</v>
      </c>
      <c r="I1311" s="37">
        <f t="shared" si="61"/>
        <v>58300.748099999997</v>
      </c>
      <c r="J1311" s="4"/>
      <c r="K1311" s="38">
        <f t="shared" si="62"/>
        <v>0</v>
      </c>
    </row>
    <row r="1312" spans="1:11">
      <c r="A1312" t="s">
        <v>1491</v>
      </c>
      <c r="B1312" t="s">
        <v>17</v>
      </c>
      <c r="C1312" t="s">
        <v>7084</v>
      </c>
      <c r="D1312" t="s">
        <v>7085</v>
      </c>
      <c r="E1312">
        <v>3055.91</v>
      </c>
      <c r="G1312" s="35"/>
      <c r="H1312" s="36">
        <f t="shared" si="60"/>
        <v>1925.2232999999999</v>
      </c>
      <c r="I1312" s="37">
        <f t="shared" si="61"/>
        <v>1925.2232999999999</v>
      </c>
      <c r="J1312" s="4"/>
      <c r="K1312" s="38">
        <f t="shared" si="62"/>
        <v>0</v>
      </c>
    </row>
    <row r="1313" spans="1:11">
      <c r="A1313" t="s">
        <v>1492</v>
      </c>
      <c r="B1313" t="s">
        <v>17</v>
      </c>
      <c r="C1313" t="s">
        <v>7084</v>
      </c>
      <c r="D1313" t="s">
        <v>6669</v>
      </c>
      <c r="E1313">
        <v>3039.23</v>
      </c>
      <c r="G1313" s="35"/>
      <c r="H1313" s="36">
        <f t="shared" si="60"/>
        <v>1914.7148999999999</v>
      </c>
      <c r="I1313" s="37">
        <f t="shared" si="61"/>
        <v>1914.7148999999999</v>
      </c>
      <c r="J1313" s="4"/>
      <c r="K1313" s="38">
        <f t="shared" si="62"/>
        <v>0</v>
      </c>
    </row>
    <row r="1314" spans="1:11">
      <c r="A1314" t="s">
        <v>1493</v>
      </c>
      <c r="B1314" t="s">
        <v>17</v>
      </c>
      <c r="C1314" t="s">
        <v>7084</v>
      </c>
      <c r="D1314" t="s">
        <v>6670</v>
      </c>
      <c r="E1314">
        <v>4965.88</v>
      </c>
      <c r="G1314" s="35"/>
      <c r="H1314" s="36">
        <f t="shared" si="60"/>
        <v>3128.5044000000003</v>
      </c>
      <c r="I1314" s="37">
        <f t="shared" si="61"/>
        <v>3128.5044000000003</v>
      </c>
      <c r="J1314" s="4"/>
      <c r="K1314" s="38">
        <f t="shared" si="62"/>
        <v>0</v>
      </c>
    </row>
    <row r="1315" spans="1:11">
      <c r="A1315" t="s">
        <v>1494</v>
      </c>
      <c r="B1315" t="s">
        <v>17</v>
      </c>
      <c r="C1315" t="s">
        <v>7084</v>
      </c>
      <c r="D1315" t="s">
        <v>6671</v>
      </c>
      <c r="E1315">
        <v>8207.8799999999992</v>
      </c>
      <c r="G1315" s="35"/>
      <c r="H1315" s="36">
        <f t="shared" si="60"/>
        <v>5170.9643999999998</v>
      </c>
      <c r="I1315" s="37">
        <f t="shared" si="61"/>
        <v>5170.9643999999998</v>
      </c>
      <c r="J1315" s="4"/>
      <c r="K1315" s="38">
        <f t="shared" si="62"/>
        <v>0</v>
      </c>
    </row>
    <row r="1316" spans="1:11">
      <c r="A1316" t="s">
        <v>1495</v>
      </c>
      <c r="B1316" t="s">
        <v>17</v>
      </c>
      <c r="C1316" t="s">
        <v>7084</v>
      </c>
      <c r="D1316" t="s">
        <v>6703</v>
      </c>
      <c r="E1316">
        <v>22033.87</v>
      </c>
      <c r="G1316" s="35"/>
      <c r="H1316" s="36">
        <f t="shared" si="60"/>
        <v>13881.338099999999</v>
      </c>
      <c r="I1316" s="37">
        <f t="shared" si="61"/>
        <v>13881.338099999999</v>
      </c>
      <c r="J1316" s="4"/>
      <c r="K1316" s="38">
        <f t="shared" si="62"/>
        <v>0</v>
      </c>
    </row>
    <row r="1317" spans="1:11">
      <c r="A1317" t="s">
        <v>1496</v>
      </c>
      <c r="B1317" t="s">
        <v>17</v>
      </c>
      <c r="C1317" t="s">
        <v>7084</v>
      </c>
      <c r="D1317" t="s">
        <v>6704</v>
      </c>
      <c r="E1317">
        <v>30633.64</v>
      </c>
      <c r="G1317" s="35"/>
      <c r="H1317" s="36">
        <f t="shared" si="60"/>
        <v>19299.193200000002</v>
      </c>
      <c r="I1317" s="37">
        <f t="shared" si="61"/>
        <v>19299.193200000002</v>
      </c>
      <c r="J1317" s="4"/>
      <c r="K1317" s="38">
        <f t="shared" si="62"/>
        <v>0</v>
      </c>
    </row>
    <row r="1318" spans="1:11">
      <c r="A1318" t="s">
        <v>1497</v>
      </c>
      <c r="B1318" t="s">
        <v>17</v>
      </c>
      <c r="C1318" t="s">
        <v>7084</v>
      </c>
      <c r="D1318" t="s">
        <v>6705</v>
      </c>
      <c r="E1318">
        <v>40094.550000000003</v>
      </c>
      <c r="G1318" s="35"/>
      <c r="H1318" s="36">
        <f t="shared" si="60"/>
        <v>25259.566500000001</v>
      </c>
      <c r="I1318" s="37">
        <f t="shared" si="61"/>
        <v>25259.566500000001</v>
      </c>
      <c r="J1318" s="4"/>
      <c r="K1318" s="38">
        <f t="shared" si="62"/>
        <v>0</v>
      </c>
    </row>
    <row r="1319" spans="1:11">
      <c r="A1319" t="s">
        <v>1498</v>
      </c>
      <c r="B1319" t="s">
        <v>17</v>
      </c>
      <c r="C1319" t="s">
        <v>7084</v>
      </c>
      <c r="D1319" t="s">
        <v>7086</v>
      </c>
      <c r="E1319">
        <v>3920.21</v>
      </c>
      <c r="G1319" s="35"/>
      <c r="H1319" s="36">
        <f t="shared" si="60"/>
        <v>2469.7323000000001</v>
      </c>
      <c r="I1319" s="37">
        <f t="shared" si="61"/>
        <v>2469.7323000000001</v>
      </c>
      <c r="J1319" s="4"/>
      <c r="K1319" s="38">
        <f t="shared" si="62"/>
        <v>0</v>
      </c>
    </row>
    <row r="1320" spans="1:11">
      <c r="A1320" t="s">
        <v>1499</v>
      </c>
      <c r="B1320" t="s">
        <v>17</v>
      </c>
      <c r="C1320" t="s">
        <v>7084</v>
      </c>
      <c r="D1320" t="s">
        <v>6721</v>
      </c>
      <c r="E1320">
        <v>5898.01</v>
      </c>
      <c r="G1320" s="35"/>
      <c r="H1320" s="36">
        <f t="shared" si="60"/>
        <v>3715.7463000000002</v>
      </c>
      <c r="I1320" s="37">
        <f t="shared" si="61"/>
        <v>3715.7463000000002</v>
      </c>
      <c r="J1320" s="4"/>
      <c r="K1320" s="38">
        <f t="shared" si="62"/>
        <v>0</v>
      </c>
    </row>
    <row r="1321" spans="1:11">
      <c r="A1321" t="s">
        <v>1500</v>
      </c>
      <c r="B1321" t="s">
        <v>17</v>
      </c>
      <c r="C1321" t="s">
        <v>7084</v>
      </c>
      <c r="D1321" t="s">
        <v>6722</v>
      </c>
      <c r="E1321">
        <v>10860.51</v>
      </c>
      <c r="G1321" s="35"/>
      <c r="H1321" s="36">
        <f t="shared" si="60"/>
        <v>6842.1212999999998</v>
      </c>
      <c r="I1321" s="37">
        <f t="shared" si="61"/>
        <v>6842.1212999999998</v>
      </c>
      <c r="J1321" s="4"/>
      <c r="K1321" s="38">
        <f t="shared" si="62"/>
        <v>0</v>
      </c>
    </row>
    <row r="1322" spans="1:11">
      <c r="A1322" t="s">
        <v>1501</v>
      </c>
      <c r="B1322" t="s">
        <v>17</v>
      </c>
      <c r="C1322" t="s">
        <v>7084</v>
      </c>
      <c r="D1322" t="s">
        <v>6723</v>
      </c>
      <c r="E1322">
        <v>24383.38</v>
      </c>
      <c r="G1322" s="35"/>
      <c r="H1322" s="36">
        <f t="shared" si="60"/>
        <v>15361.529400000001</v>
      </c>
      <c r="I1322" s="37">
        <f t="shared" si="61"/>
        <v>15361.529400000001</v>
      </c>
      <c r="J1322" s="4"/>
      <c r="K1322" s="38">
        <f t="shared" si="62"/>
        <v>0</v>
      </c>
    </row>
    <row r="1323" spans="1:11">
      <c r="A1323" t="s">
        <v>1502</v>
      </c>
      <c r="B1323" t="s">
        <v>17</v>
      </c>
      <c r="C1323" t="s">
        <v>7084</v>
      </c>
      <c r="D1323" t="s">
        <v>7087</v>
      </c>
      <c r="E1323">
        <v>31113.58</v>
      </c>
      <c r="G1323" s="35"/>
      <c r="H1323" s="36">
        <f t="shared" si="60"/>
        <v>19601.555400000001</v>
      </c>
      <c r="I1323" s="37">
        <f t="shared" si="61"/>
        <v>19601.555400000001</v>
      </c>
      <c r="J1323" s="4"/>
      <c r="K1323" s="38">
        <f t="shared" si="62"/>
        <v>0</v>
      </c>
    </row>
    <row r="1324" spans="1:11">
      <c r="A1324" t="s">
        <v>1503</v>
      </c>
      <c r="B1324" t="s">
        <v>17</v>
      </c>
      <c r="C1324" t="s">
        <v>7084</v>
      </c>
      <c r="D1324" t="s">
        <v>6725</v>
      </c>
      <c r="E1324">
        <v>42610.28</v>
      </c>
      <c r="G1324" s="35"/>
      <c r="H1324" s="36">
        <f t="shared" si="60"/>
        <v>26844.4764</v>
      </c>
      <c r="I1324" s="37">
        <f t="shared" si="61"/>
        <v>26844.4764</v>
      </c>
      <c r="J1324" s="4"/>
      <c r="K1324" s="38">
        <f t="shared" si="62"/>
        <v>0</v>
      </c>
    </row>
    <row r="1325" spans="1:11">
      <c r="A1325" t="s">
        <v>12858</v>
      </c>
      <c r="B1325" t="s">
        <v>17</v>
      </c>
      <c r="C1325" t="s">
        <v>7084</v>
      </c>
      <c r="D1325" t="s">
        <v>12859</v>
      </c>
      <c r="E1325">
        <v>7627.75</v>
      </c>
      <c r="G1325" s="35"/>
      <c r="H1325" s="36">
        <f t="shared" si="60"/>
        <v>4805.4825000000001</v>
      </c>
      <c r="I1325" s="37">
        <f t="shared" si="61"/>
        <v>4805.4825000000001</v>
      </c>
      <c r="J1325" s="4"/>
      <c r="K1325" s="38">
        <f t="shared" si="62"/>
        <v>0</v>
      </c>
    </row>
    <row r="1326" spans="1:11">
      <c r="A1326" t="s">
        <v>12860</v>
      </c>
      <c r="B1326" t="s">
        <v>17</v>
      </c>
      <c r="C1326" t="s">
        <v>12861</v>
      </c>
      <c r="D1326" t="s">
        <v>12862</v>
      </c>
      <c r="E1326">
        <v>18613.75</v>
      </c>
      <c r="G1326" s="35"/>
      <c r="H1326" s="36">
        <f t="shared" si="60"/>
        <v>11726.6625</v>
      </c>
      <c r="I1326" s="37">
        <f t="shared" si="61"/>
        <v>11726.6625</v>
      </c>
      <c r="J1326" s="4"/>
      <c r="K1326" s="38">
        <f t="shared" si="62"/>
        <v>0</v>
      </c>
    </row>
    <row r="1327" spans="1:11">
      <c r="A1327" t="s">
        <v>12863</v>
      </c>
      <c r="B1327" t="s">
        <v>17</v>
      </c>
      <c r="C1327" t="s">
        <v>12861</v>
      </c>
      <c r="D1327" t="s">
        <v>12864</v>
      </c>
      <c r="E1327">
        <v>18644.849999999999</v>
      </c>
      <c r="G1327" s="35"/>
      <c r="H1327" s="36">
        <f t="shared" si="60"/>
        <v>11746.255499999999</v>
      </c>
      <c r="I1327" s="37">
        <f t="shared" si="61"/>
        <v>11746.255499999999</v>
      </c>
      <c r="J1327" s="4"/>
      <c r="K1327" s="38">
        <f t="shared" si="62"/>
        <v>0</v>
      </c>
    </row>
    <row r="1328" spans="1:11">
      <c r="A1328" t="s">
        <v>12865</v>
      </c>
      <c r="B1328" t="s">
        <v>17</v>
      </c>
      <c r="C1328" t="s">
        <v>12861</v>
      </c>
      <c r="D1328" t="s">
        <v>12866</v>
      </c>
      <c r="E1328">
        <v>18701.169999999998</v>
      </c>
      <c r="G1328" s="35"/>
      <c r="H1328" s="36">
        <f t="shared" si="60"/>
        <v>11781.737099999998</v>
      </c>
      <c r="I1328" s="37">
        <f t="shared" si="61"/>
        <v>11781.737099999998</v>
      </c>
      <c r="J1328" s="4"/>
      <c r="K1328" s="38">
        <f t="shared" si="62"/>
        <v>0</v>
      </c>
    </row>
    <row r="1329" spans="1:11">
      <c r="A1329" t="s">
        <v>12867</v>
      </c>
      <c r="B1329" t="s">
        <v>17</v>
      </c>
      <c r="C1329" t="s">
        <v>12861</v>
      </c>
      <c r="D1329" t="s">
        <v>12868</v>
      </c>
      <c r="E1329">
        <v>18692.77</v>
      </c>
      <c r="G1329" s="35"/>
      <c r="H1329" s="36">
        <f t="shared" si="60"/>
        <v>11776.445100000001</v>
      </c>
      <c r="I1329" s="37">
        <f t="shared" si="61"/>
        <v>11776.445100000001</v>
      </c>
      <c r="J1329" s="4"/>
      <c r="K1329" s="38">
        <f t="shared" si="62"/>
        <v>0</v>
      </c>
    </row>
    <row r="1330" spans="1:11">
      <c r="A1330" t="s">
        <v>12869</v>
      </c>
      <c r="B1330" t="s">
        <v>17</v>
      </c>
      <c r="C1330" t="s">
        <v>12861</v>
      </c>
      <c r="D1330" t="s">
        <v>12870</v>
      </c>
      <c r="E1330">
        <v>18743.189999999999</v>
      </c>
      <c r="G1330" s="35"/>
      <c r="H1330" s="36">
        <f t="shared" si="60"/>
        <v>11808.209699999999</v>
      </c>
      <c r="I1330" s="37">
        <f t="shared" si="61"/>
        <v>11808.209699999999</v>
      </c>
      <c r="J1330" s="4"/>
      <c r="K1330" s="38">
        <f t="shared" si="62"/>
        <v>0</v>
      </c>
    </row>
    <row r="1331" spans="1:11">
      <c r="A1331" t="s">
        <v>12871</v>
      </c>
      <c r="B1331" t="s">
        <v>17</v>
      </c>
      <c r="C1331" t="s">
        <v>12861</v>
      </c>
      <c r="D1331" t="s">
        <v>12872</v>
      </c>
      <c r="E1331">
        <v>18793.59</v>
      </c>
      <c r="G1331" s="35"/>
      <c r="H1331" s="36">
        <f t="shared" si="60"/>
        <v>11839.9617</v>
      </c>
      <c r="I1331" s="37">
        <f t="shared" si="61"/>
        <v>11839.9617</v>
      </c>
      <c r="J1331" s="4"/>
      <c r="K1331" s="38">
        <f t="shared" si="62"/>
        <v>0</v>
      </c>
    </row>
    <row r="1332" spans="1:11">
      <c r="A1332" t="s">
        <v>1505</v>
      </c>
      <c r="B1332" t="s">
        <v>17</v>
      </c>
      <c r="C1332" t="s">
        <v>12861</v>
      </c>
      <c r="D1332" t="s">
        <v>7088</v>
      </c>
      <c r="E1332">
        <v>14952.87</v>
      </c>
      <c r="G1332" s="35"/>
      <c r="H1332" s="36">
        <f t="shared" si="60"/>
        <v>9420.3081000000002</v>
      </c>
      <c r="I1332" s="37">
        <f t="shared" si="61"/>
        <v>9420.3081000000002</v>
      </c>
      <c r="J1332" s="4"/>
      <c r="K1332" s="38">
        <f t="shared" si="62"/>
        <v>0</v>
      </c>
    </row>
    <row r="1333" spans="1:11">
      <c r="A1333" t="s">
        <v>1506</v>
      </c>
      <c r="B1333" t="s">
        <v>17</v>
      </c>
      <c r="C1333" t="s">
        <v>12861</v>
      </c>
      <c r="D1333" t="s">
        <v>7089</v>
      </c>
      <c r="E1333">
        <v>16032.21</v>
      </c>
      <c r="G1333" s="35"/>
      <c r="H1333" s="36">
        <f t="shared" si="60"/>
        <v>10100.292299999999</v>
      </c>
      <c r="I1333" s="37">
        <f t="shared" si="61"/>
        <v>10100.292299999999</v>
      </c>
      <c r="J1333" s="4"/>
      <c r="K1333" s="38">
        <f t="shared" si="62"/>
        <v>0</v>
      </c>
    </row>
    <row r="1334" spans="1:11">
      <c r="A1334" t="s">
        <v>1507</v>
      </c>
      <c r="B1334" t="s">
        <v>17</v>
      </c>
      <c r="C1334" t="s">
        <v>12861</v>
      </c>
      <c r="D1334" t="s">
        <v>7090</v>
      </c>
      <c r="E1334">
        <v>18600.32</v>
      </c>
      <c r="G1334" s="35"/>
      <c r="H1334" s="36">
        <f t="shared" si="60"/>
        <v>11718.2016</v>
      </c>
      <c r="I1334" s="37">
        <f t="shared" si="61"/>
        <v>11718.2016</v>
      </c>
      <c r="J1334" s="4"/>
      <c r="K1334" s="38">
        <f t="shared" si="62"/>
        <v>0</v>
      </c>
    </row>
    <row r="1335" spans="1:11">
      <c r="A1335" t="s">
        <v>1508</v>
      </c>
      <c r="B1335" t="s">
        <v>17</v>
      </c>
      <c r="C1335" t="s">
        <v>12861</v>
      </c>
      <c r="D1335" t="s">
        <v>7091</v>
      </c>
      <c r="E1335">
        <v>14952.87</v>
      </c>
      <c r="G1335" s="35"/>
      <c r="H1335" s="36">
        <f t="shared" si="60"/>
        <v>9420.3081000000002</v>
      </c>
      <c r="I1335" s="37">
        <f t="shared" si="61"/>
        <v>9420.3081000000002</v>
      </c>
      <c r="J1335" s="4"/>
      <c r="K1335" s="38">
        <f t="shared" si="62"/>
        <v>0</v>
      </c>
    </row>
    <row r="1336" spans="1:11">
      <c r="A1336" t="s">
        <v>1509</v>
      </c>
      <c r="B1336" t="s">
        <v>17</v>
      </c>
      <c r="C1336" t="s">
        <v>12861</v>
      </c>
      <c r="D1336" t="s">
        <v>7092</v>
      </c>
      <c r="E1336">
        <v>13478.67</v>
      </c>
      <c r="G1336" s="35"/>
      <c r="H1336" s="36">
        <f t="shared" si="60"/>
        <v>8491.562100000001</v>
      </c>
      <c r="I1336" s="37">
        <f t="shared" si="61"/>
        <v>8491.562100000001</v>
      </c>
      <c r="J1336" s="4"/>
      <c r="K1336" s="38">
        <f t="shared" si="62"/>
        <v>0</v>
      </c>
    </row>
    <row r="1337" spans="1:11">
      <c r="A1337" t="s">
        <v>12619</v>
      </c>
      <c r="B1337" t="s">
        <v>17</v>
      </c>
      <c r="C1337" t="s">
        <v>12861</v>
      </c>
      <c r="D1337" t="s">
        <v>12620</v>
      </c>
      <c r="E1337">
        <v>13615.37</v>
      </c>
      <c r="G1337" s="35"/>
      <c r="H1337" s="36">
        <f t="shared" si="60"/>
        <v>8577.6831000000002</v>
      </c>
      <c r="I1337" s="37">
        <f t="shared" si="61"/>
        <v>8577.6831000000002</v>
      </c>
      <c r="J1337" s="4"/>
      <c r="K1337" s="38">
        <f t="shared" si="62"/>
        <v>0</v>
      </c>
    </row>
    <row r="1338" spans="1:11">
      <c r="A1338" t="s">
        <v>12621</v>
      </c>
      <c r="B1338" t="s">
        <v>17</v>
      </c>
      <c r="C1338" t="s">
        <v>12861</v>
      </c>
      <c r="D1338" t="s">
        <v>12622</v>
      </c>
      <c r="E1338">
        <v>14598.16</v>
      </c>
      <c r="G1338" s="35"/>
      <c r="H1338" s="36">
        <f t="shared" si="60"/>
        <v>9196.8407999999999</v>
      </c>
      <c r="I1338" s="37">
        <f t="shared" si="61"/>
        <v>9196.8407999999999</v>
      </c>
      <c r="J1338" s="4"/>
      <c r="K1338" s="38">
        <f t="shared" si="62"/>
        <v>0</v>
      </c>
    </row>
    <row r="1339" spans="1:11">
      <c r="A1339" t="s">
        <v>12623</v>
      </c>
      <c r="B1339" t="s">
        <v>17</v>
      </c>
      <c r="C1339" t="s">
        <v>12861</v>
      </c>
      <c r="D1339" t="s">
        <v>12624</v>
      </c>
      <c r="E1339">
        <v>16936.55</v>
      </c>
      <c r="G1339" s="35"/>
      <c r="H1339" s="36">
        <f t="shared" si="60"/>
        <v>10670.0265</v>
      </c>
      <c r="I1339" s="37">
        <f t="shared" si="61"/>
        <v>10670.0265</v>
      </c>
      <c r="J1339" s="4"/>
      <c r="K1339" s="38">
        <f t="shared" si="62"/>
        <v>0</v>
      </c>
    </row>
    <row r="1340" spans="1:11">
      <c r="A1340" t="s">
        <v>1510</v>
      </c>
      <c r="B1340" t="s">
        <v>17</v>
      </c>
      <c r="C1340" t="s">
        <v>12861</v>
      </c>
      <c r="D1340" t="s">
        <v>7093</v>
      </c>
      <c r="E1340">
        <v>16179.71</v>
      </c>
      <c r="G1340" s="35"/>
      <c r="H1340" s="36">
        <f t="shared" si="60"/>
        <v>10193.2173</v>
      </c>
      <c r="I1340" s="37">
        <f t="shared" si="61"/>
        <v>10193.2173</v>
      </c>
      <c r="J1340" s="4"/>
      <c r="K1340" s="38">
        <f t="shared" si="62"/>
        <v>0</v>
      </c>
    </row>
    <row r="1341" spans="1:11">
      <c r="A1341" t="s">
        <v>1511</v>
      </c>
      <c r="B1341" t="s">
        <v>17</v>
      </c>
      <c r="C1341" t="s">
        <v>12861</v>
      </c>
      <c r="D1341" t="s">
        <v>7094</v>
      </c>
      <c r="E1341">
        <v>17406.25</v>
      </c>
      <c r="G1341" s="35"/>
      <c r="H1341" s="36">
        <f t="shared" si="60"/>
        <v>10965.9375</v>
      </c>
      <c r="I1341" s="37">
        <f t="shared" si="61"/>
        <v>10965.9375</v>
      </c>
      <c r="J1341" s="4"/>
      <c r="K1341" s="38">
        <f t="shared" si="62"/>
        <v>0</v>
      </c>
    </row>
    <row r="1342" spans="1:11">
      <c r="A1342" t="s">
        <v>1512</v>
      </c>
      <c r="B1342" t="s">
        <v>17</v>
      </c>
      <c r="C1342" t="s">
        <v>12861</v>
      </c>
      <c r="D1342" t="s">
        <v>7095</v>
      </c>
      <c r="E1342">
        <v>19293.3</v>
      </c>
      <c r="G1342" s="35"/>
      <c r="H1342" s="36">
        <f t="shared" si="60"/>
        <v>12154.779</v>
      </c>
      <c r="I1342" s="37">
        <f t="shared" si="61"/>
        <v>12154.779</v>
      </c>
      <c r="J1342" s="4"/>
      <c r="K1342" s="38">
        <f t="shared" si="62"/>
        <v>0</v>
      </c>
    </row>
    <row r="1343" spans="1:11">
      <c r="A1343" t="s">
        <v>318</v>
      </c>
      <c r="B1343" t="s">
        <v>17</v>
      </c>
      <c r="C1343" t="s">
        <v>5891</v>
      </c>
      <c r="D1343" t="s">
        <v>5892</v>
      </c>
      <c r="E1343">
        <v>19259.2</v>
      </c>
      <c r="G1343" s="35"/>
      <c r="H1343" s="36">
        <f t="shared" si="60"/>
        <v>12133.296</v>
      </c>
      <c r="I1343" s="37">
        <f t="shared" si="61"/>
        <v>12133.296</v>
      </c>
      <c r="J1343" s="4"/>
      <c r="K1343" s="38">
        <f t="shared" si="62"/>
        <v>0</v>
      </c>
    </row>
    <row r="1344" spans="1:11">
      <c r="A1344" t="s">
        <v>319</v>
      </c>
      <c r="B1344" t="s">
        <v>17</v>
      </c>
      <c r="C1344" t="s">
        <v>5891</v>
      </c>
      <c r="D1344" t="s">
        <v>5893</v>
      </c>
      <c r="E1344">
        <v>19024.37</v>
      </c>
      <c r="G1344" s="35"/>
      <c r="H1344" s="36">
        <f t="shared" si="60"/>
        <v>11985.3531</v>
      </c>
      <c r="I1344" s="37">
        <f t="shared" si="61"/>
        <v>11985.3531</v>
      </c>
      <c r="J1344" s="4"/>
      <c r="K1344" s="38">
        <f t="shared" si="62"/>
        <v>0</v>
      </c>
    </row>
    <row r="1345" spans="1:11">
      <c r="A1345" t="s">
        <v>320</v>
      </c>
      <c r="B1345" t="s">
        <v>17</v>
      </c>
      <c r="C1345" t="s">
        <v>5891</v>
      </c>
      <c r="D1345" t="s">
        <v>5894</v>
      </c>
      <c r="E1345">
        <v>29221.3</v>
      </c>
      <c r="G1345" s="35"/>
      <c r="H1345" s="36">
        <f t="shared" si="60"/>
        <v>18409.418999999998</v>
      </c>
      <c r="I1345" s="37">
        <f t="shared" si="61"/>
        <v>18409.418999999998</v>
      </c>
      <c r="J1345" s="4"/>
      <c r="K1345" s="38">
        <f t="shared" si="62"/>
        <v>0</v>
      </c>
    </row>
    <row r="1346" spans="1:11">
      <c r="A1346" t="s">
        <v>321</v>
      </c>
      <c r="B1346" t="s">
        <v>17</v>
      </c>
      <c r="C1346" t="s">
        <v>5891</v>
      </c>
      <c r="D1346" t="s">
        <v>5895</v>
      </c>
      <c r="E1346">
        <v>7390.07</v>
      </c>
      <c r="G1346" s="35"/>
      <c r="H1346" s="36">
        <f t="shared" si="60"/>
        <v>4655.7440999999999</v>
      </c>
      <c r="I1346" s="37">
        <f t="shared" si="61"/>
        <v>4655.7440999999999</v>
      </c>
      <c r="J1346" s="4"/>
      <c r="K1346" s="38">
        <f t="shared" si="62"/>
        <v>0</v>
      </c>
    </row>
    <row r="1347" spans="1:11">
      <c r="A1347" t="s">
        <v>322</v>
      </c>
      <c r="B1347" t="s">
        <v>17</v>
      </c>
      <c r="C1347" t="s">
        <v>5891</v>
      </c>
      <c r="D1347" t="s">
        <v>5896</v>
      </c>
      <c r="E1347">
        <v>7621.74</v>
      </c>
      <c r="G1347" s="35"/>
      <c r="H1347" s="36">
        <f t="shared" si="60"/>
        <v>4801.6962000000003</v>
      </c>
      <c r="I1347" s="37">
        <f t="shared" si="61"/>
        <v>4801.6962000000003</v>
      </c>
      <c r="J1347" s="4"/>
      <c r="K1347" s="38">
        <f t="shared" si="62"/>
        <v>0</v>
      </c>
    </row>
    <row r="1348" spans="1:11">
      <c r="A1348" t="s">
        <v>323</v>
      </c>
      <c r="B1348" t="s">
        <v>17</v>
      </c>
      <c r="C1348" t="s">
        <v>5891</v>
      </c>
      <c r="D1348" t="s">
        <v>5897</v>
      </c>
      <c r="E1348">
        <v>12538.36</v>
      </c>
      <c r="G1348" s="35"/>
      <c r="H1348" s="36">
        <f t="shared" si="60"/>
        <v>7899.1668000000009</v>
      </c>
      <c r="I1348" s="37">
        <f t="shared" si="61"/>
        <v>7899.1668000000009</v>
      </c>
      <c r="J1348" s="4"/>
      <c r="K1348" s="38">
        <f t="shared" si="62"/>
        <v>0</v>
      </c>
    </row>
    <row r="1349" spans="1:11">
      <c r="A1349" t="s">
        <v>324</v>
      </c>
      <c r="B1349" t="s">
        <v>17</v>
      </c>
      <c r="C1349" t="s">
        <v>5891</v>
      </c>
      <c r="D1349" t="s">
        <v>5898</v>
      </c>
      <c r="E1349">
        <v>13286.67</v>
      </c>
      <c r="G1349" s="35"/>
      <c r="H1349" s="36">
        <f t="shared" si="60"/>
        <v>8370.6021000000001</v>
      </c>
      <c r="I1349" s="37">
        <f t="shared" si="61"/>
        <v>8370.6021000000001</v>
      </c>
      <c r="J1349" s="4"/>
      <c r="K1349" s="38">
        <f t="shared" si="62"/>
        <v>0</v>
      </c>
    </row>
    <row r="1350" spans="1:11">
      <c r="A1350" t="s">
        <v>325</v>
      </c>
      <c r="B1350" t="s">
        <v>17</v>
      </c>
      <c r="C1350" t="s">
        <v>5891</v>
      </c>
      <c r="D1350" t="s">
        <v>5899</v>
      </c>
      <c r="E1350">
        <v>18316.439999999999</v>
      </c>
      <c r="G1350" s="35"/>
      <c r="H1350" s="36">
        <f t="shared" si="60"/>
        <v>11539.357199999999</v>
      </c>
      <c r="I1350" s="37">
        <f t="shared" si="61"/>
        <v>11539.357199999999</v>
      </c>
      <c r="J1350" s="4"/>
      <c r="K1350" s="38">
        <f t="shared" si="62"/>
        <v>0</v>
      </c>
    </row>
    <row r="1351" spans="1:11">
      <c r="A1351" t="s">
        <v>326</v>
      </c>
      <c r="B1351" t="s">
        <v>17</v>
      </c>
      <c r="C1351" t="s">
        <v>5891</v>
      </c>
      <c r="D1351" t="s">
        <v>5900</v>
      </c>
      <c r="E1351">
        <v>13121.49</v>
      </c>
      <c r="G1351" s="35"/>
      <c r="H1351" s="36">
        <f t="shared" ref="H1351:H1414" si="63">+E1351*$H$1*(1-G1351)</f>
        <v>8266.5386999999992</v>
      </c>
      <c r="I1351" s="37">
        <f t="shared" ref="I1351:I1414" si="64">H1351*$H$4</f>
        <v>8266.5386999999992</v>
      </c>
      <c r="J1351" s="4"/>
      <c r="K1351" s="38">
        <f t="shared" ref="K1351:K1414" si="65">J1351*I1351</f>
        <v>0</v>
      </c>
    </row>
    <row r="1352" spans="1:11">
      <c r="A1352" t="s">
        <v>9644</v>
      </c>
      <c r="B1352" t="s">
        <v>17</v>
      </c>
      <c r="C1352" t="s">
        <v>9645</v>
      </c>
      <c r="D1352" t="s">
        <v>9646</v>
      </c>
      <c r="E1352">
        <v>308.77</v>
      </c>
      <c r="G1352" s="35"/>
      <c r="H1352" s="36">
        <f t="shared" si="63"/>
        <v>194.52509999999998</v>
      </c>
      <c r="I1352" s="37">
        <f t="shared" si="64"/>
        <v>194.52509999999998</v>
      </c>
      <c r="J1352" s="4"/>
      <c r="K1352" s="38">
        <f t="shared" si="65"/>
        <v>0</v>
      </c>
    </row>
    <row r="1353" spans="1:11">
      <c r="A1353" t="s">
        <v>9647</v>
      </c>
      <c r="B1353" t="s">
        <v>17</v>
      </c>
      <c r="C1353" t="s">
        <v>9645</v>
      </c>
      <c r="D1353" t="s">
        <v>9648</v>
      </c>
      <c r="E1353">
        <v>422.61</v>
      </c>
      <c r="G1353" s="35"/>
      <c r="H1353" s="36">
        <f t="shared" si="63"/>
        <v>266.24430000000001</v>
      </c>
      <c r="I1353" s="37">
        <f t="shared" si="64"/>
        <v>266.24430000000001</v>
      </c>
      <c r="J1353" s="4"/>
      <c r="K1353" s="38">
        <f t="shared" si="65"/>
        <v>0</v>
      </c>
    </row>
    <row r="1354" spans="1:11">
      <c r="A1354" t="s">
        <v>9649</v>
      </c>
      <c r="B1354" t="s">
        <v>17</v>
      </c>
      <c r="C1354" t="s">
        <v>9645</v>
      </c>
      <c r="D1354" t="s">
        <v>9650</v>
      </c>
      <c r="E1354">
        <v>505.61</v>
      </c>
      <c r="G1354" s="35"/>
      <c r="H1354" s="36">
        <f t="shared" si="63"/>
        <v>318.53430000000003</v>
      </c>
      <c r="I1354" s="37">
        <f t="shared" si="64"/>
        <v>318.53430000000003</v>
      </c>
      <c r="J1354" s="4"/>
      <c r="K1354" s="38">
        <f t="shared" si="65"/>
        <v>0</v>
      </c>
    </row>
    <row r="1355" spans="1:11">
      <c r="A1355" t="s">
        <v>9651</v>
      </c>
      <c r="B1355" t="s">
        <v>17</v>
      </c>
      <c r="C1355" t="s">
        <v>9645</v>
      </c>
      <c r="D1355" t="s">
        <v>9652</v>
      </c>
      <c r="E1355">
        <v>590.52</v>
      </c>
      <c r="G1355" s="35"/>
      <c r="H1355" s="36">
        <f t="shared" si="63"/>
        <v>372.02760000000001</v>
      </c>
      <c r="I1355" s="37">
        <f t="shared" si="64"/>
        <v>372.02760000000001</v>
      </c>
      <c r="J1355" s="4"/>
      <c r="K1355" s="38">
        <f t="shared" si="65"/>
        <v>0</v>
      </c>
    </row>
    <row r="1356" spans="1:11">
      <c r="A1356" t="s">
        <v>9653</v>
      </c>
      <c r="B1356" t="s">
        <v>17</v>
      </c>
      <c r="C1356" t="s">
        <v>9645</v>
      </c>
      <c r="D1356" t="s">
        <v>9654</v>
      </c>
      <c r="E1356">
        <v>758.45</v>
      </c>
      <c r="G1356" s="35"/>
      <c r="H1356" s="36">
        <f t="shared" si="63"/>
        <v>477.82350000000002</v>
      </c>
      <c r="I1356" s="37">
        <f t="shared" si="64"/>
        <v>477.82350000000002</v>
      </c>
      <c r="J1356" s="4"/>
      <c r="K1356" s="38">
        <f t="shared" si="65"/>
        <v>0</v>
      </c>
    </row>
    <row r="1357" spans="1:11">
      <c r="A1357" t="s">
        <v>9655</v>
      </c>
      <c r="B1357" t="s">
        <v>17</v>
      </c>
      <c r="C1357" t="s">
        <v>9645</v>
      </c>
      <c r="D1357" t="s">
        <v>9656</v>
      </c>
      <c r="E1357">
        <v>1013.13</v>
      </c>
      <c r="G1357" s="35"/>
      <c r="H1357" s="36">
        <f t="shared" si="63"/>
        <v>638.27189999999996</v>
      </c>
      <c r="I1357" s="37">
        <f t="shared" si="64"/>
        <v>638.27189999999996</v>
      </c>
      <c r="J1357" s="4"/>
      <c r="K1357" s="38">
        <f t="shared" si="65"/>
        <v>0</v>
      </c>
    </row>
    <row r="1358" spans="1:11">
      <c r="A1358" t="s">
        <v>9657</v>
      </c>
      <c r="B1358" t="s">
        <v>17</v>
      </c>
      <c r="C1358" t="s">
        <v>9645</v>
      </c>
      <c r="D1358" t="s">
        <v>9658</v>
      </c>
      <c r="E1358">
        <v>478.58</v>
      </c>
      <c r="G1358" s="35"/>
      <c r="H1358" s="36">
        <f t="shared" si="63"/>
        <v>301.50540000000001</v>
      </c>
      <c r="I1358" s="37">
        <f t="shared" si="64"/>
        <v>301.50540000000001</v>
      </c>
      <c r="J1358" s="4"/>
      <c r="K1358" s="38">
        <f t="shared" si="65"/>
        <v>0</v>
      </c>
    </row>
    <row r="1359" spans="1:11">
      <c r="A1359" t="s">
        <v>9659</v>
      </c>
      <c r="B1359" t="s">
        <v>17</v>
      </c>
      <c r="C1359" t="s">
        <v>9645</v>
      </c>
      <c r="D1359" t="s">
        <v>9660</v>
      </c>
      <c r="E1359">
        <v>590.52</v>
      </c>
      <c r="G1359" s="35"/>
      <c r="H1359" s="36">
        <f t="shared" si="63"/>
        <v>372.02760000000001</v>
      </c>
      <c r="I1359" s="37">
        <f t="shared" si="64"/>
        <v>372.02760000000001</v>
      </c>
      <c r="J1359" s="4"/>
      <c r="K1359" s="38">
        <f t="shared" si="65"/>
        <v>0</v>
      </c>
    </row>
    <row r="1360" spans="1:11">
      <c r="A1360" t="s">
        <v>9661</v>
      </c>
      <c r="B1360" t="s">
        <v>17</v>
      </c>
      <c r="C1360" t="s">
        <v>9645</v>
      </c>
      <c r="D1360" t="s">
        <v>9662</v>
      </c>
      <c r="E1360">
        <v>758.45</v>
      </c>
      <c r="G1360" s="35"/>
      <c r="H1360" s="36">
        <f t="shared" si="63"/>
        <v>477.82350000000002</v>
      </c>
      <c r="I1360" s="37">
        <f t="shared" si="64"/>
        <v>477.82350000000002</v>
      </c>
      <c r="J1360" s="4"/>
      <c r="K1360" s="38">
        <f t="shared" si="65"/>
        <v>0</v>
      </c>
    </row>
    <row r="1361" spans="1:11">
      <c r="A1361" t="s">
        <v>9663</v>
      </c>
      <c r="B1361" t="s">
        <v>17</v>
      </c>
      <c r="C1361" t="s">
        <v>9645</v>
      </c>
      <c r="D1361" t="s">
        <v>9664</v>
      </c>
      <c r="E1361">
        <v>899.34</v>
      </c>
      <c r="G1361" s="35"/>
      <c r="H1361" s="36">
        <f t="shared" si="63"/>
        <v>566.58420000000001</v>
      </c>
      <c r="I1361" s="37">
        <f t="shared" si="64"/>
        <v>566.58420000000001</v>
      </c>
      <c r="J1361" s="4"/>
      <c r="K1361" s="38">
        <f t="shared" si="65"/>
        <v>0</v>
      </c>
    </row>
    <row r="1362" spans="1:11">
      <c r="A1362" t="s">
        <v>9665</v>
      </c>
      <c r="B1362" t="s">
        <v>17</v>
      </c>
      <c r="C1362" t="s">
        <v>9645</v>
      </c>
      <c r="D1362" t="s">
        <v>9666</v>
      </c>
      <c r="E1362">
        <v>1096.1300000000001</v>
      </c>
      <c r="G1362" s="35"/>
      <c r="H1362" s="36">
        <f t="shared" si="63"/>
        <v>690.56190000000004</v>
      </c>
      <c r="I1362" s="37">
        <f t="shared" si="64"/>
        <v>690.56190000000004</v>
      </c>
      <c r="J1362" s="4"/>
      <c r="K1362" s="38">
        <f t="shared" si="65"/>
        <v>0</v>
      </c>
    </row>
    <row r="1363" spans="1:11">
      <c r="A1363" t="s">
        <v>9667</v>
      </c>
      <c r="B1363" t="s">
        <v>17</v>
      </c>
      <c r="C1363" t="s">
        <v>9645</v>
      </c>
      <c r="D1363" t="s">
        <v>9668</v>
      </c>
      <c r="E1363">
        <v>1462.79</v>
      </c>
      <c r="G1363" s="35"/>
      <c r="H1363" s="36">
        <f t="shared" si="63"/>
        <v>921.55769999999995</v>
      </c>
      <c r="I1363" s="37">
        <f t="shared" si="64"/>
        <v>921.55769999999995</v>
      </c>
      <c r="J1363" s="4"/>
      <c r="K1363" s="38">
        <f t="shared" si="65"/>
        <v>0</v>
      </c>
    </row>
    <row r="1364" spans="1:11">
      <c r="A1364" t="s">
        <v>9669</v>
      </c>
      <c r="B1364" t="s">
        <v>17</v>
      </c>
      <c r="C1364" t="s">
        <v>9645</v>
      </c>
      <c r="D1364" t="s">
        <v>9670</v>
      </c>
      <c r="E1364">
        <v>731.38</v>
      </c>
      <c r="G1364" s="35"/>
      <c r="H1364" s="36">
        <f t="shared" si="63"/>
        <v>460.76940000000002</v>
      </c>
      <c r="I1364" s="37">
        <f t="shared" si="64"/>
        <v>460.76940000000002</v>
      </c>
      <c r="J1364" s="4"/>
      <c r="K1364" s="38">
        <f t="shared" si="65"/>
        <v>0</v>
      </c>
    </row>
    <row r="1365" spans="1:11">
      <c r="A1365" t="s">
        <v>9671</v>
      </c>
      <c r="B1365" t="s">
        <v>17</v>
      </c>
      <c r="C1365" t="s">
        <v>9645</v>
      </c>
      <c r="D1365" t="s">
        <v>9672</v>
      </c>
      <c r="E1365">
        <v>928.28</v>
      </c>
      <c r="G1365" s="35"/>
      <c r="H1365" s="36">
        <f t="shared" si="63"/>
        <v>584.81639999999993</v>
      </c>
      <c r="I1365" s="37">
        <f t="shared" si="64"/>
        <v>584.81639999999993</v>
      </c>
      <c r="J1365" s="4"/>
      <c r="K1365" s="38">
        <f t="shared" si="65"/>
        <v>0</v>
      </c>
    </row>
    <row r="1366" spans="1:11">
      <c r="A1366" t="s">
        <v>9673</v>
      </c>
      <c r="B1366" t="s">
        <v>17</v>
      </c>
      <c r="C1366" t="s">
        <v>9645</v>
      </c>
      <c r="D1366" t="s">
        <v>9674</v>
      </c>
      <c r="E1366">
        <v>1152.0999999999999</v>
      </c>
      <c r="G1366" s="35"/>
      <c r="H1366" s="36">
        <f t="shared" si="63"/>
        <v>725.82299999999998</v>
      </c>
      <c r="I1366" s="37">
        <f t="shared" si="64"/>
        <v>725.82299999999998</v>
      </c>
      <c r="J1366" s="4"/>
      <c r="K1366" s="38">
        <f t="shared" si="65"/>
        <v>0</v>
      </c>
    </row>
    <row r="1367" spans="1:11">
      <c r="A1367" t="s">
        <v>9675</v>
      </c>
      <c r="B1367" t="s">
        <v>17</v>
      </c>
      <c r="C1367" t="s">
        <v>9645</v>
      </c>
      <c r="D1367" t="s">
        <v>9676</v>
      </c>
      <c r="E1367">
        <v>1377.94</v>
      </c>
      <c r="G1367" s="35"/>
      <c r="H1367" s="36">
        <f t="shared" si="63"/>
        <v>868.10220000000004</v>
      </c>
      <c r="I1367" s="37">
        <f t="shared" si="64"/>
        <v>868.10220000000004</v>
      </c>
      <c r="J1367" s="4"/>
      <c r="K1367" s="38">
        <f t="shared" si="65"/>
        <v>0</v>
      </c>
    </row>
    <row r="1368" spans="1:11">
      <c r="A1368" t="s">
        <v>9677</v>
      </c>
      <c r="B1368" t="s">
        <v>17</v>
      </c>
      <c r="C1368" t="s">
        <v>9645</v>
      </c>
      <c r="D1368" t="s">
        <v>9678</v>
      </c>
      <c r="E1368">
        <v>1715.66</v>
      </c>
      <c r="G1368" s="35"/>
      <c r="H1368" s="36">
        <f t="shared" si="63"/>
        <v>1080.8658</v>
      </c>
      <c r="I1368" s="37">
        <f t="shared" si="64"/>
        <v>1080.8658</v>
      </c>
      <c r="J1368" s="4"/>
      <c r="K1368" s="38">
        <f t="shared" si="65"/>
        <v>0</v>
      </c>
    </row>
    <row r="1369" spans="1:11">
      <c r="A1369" t="s">
        <v>9679</v>
      </c>
      <c r="B1369" t="s">
        <v>17</v>
      </c>
      <c r="C1369" t="s">
        <v>9645</v>
      </c>
      <c r="D1369" t="s">
        <v>9680</v>
      </c>
      <c r="E1369">
        <v>2277.23</v>
      </c>
      <c r="G1369" s="35"/>
      <c r="H1369" s="36">
        <f t="shared" si="63"/>
        <v>1434.6549</v>
      </c>
      <c r="I1369" s="37">
        <f t="shared" si="64"/>
        <v>1434.6549</v>
      </c>
      <c r="J1369" s="4"/>
      <c r="K1369" s="38">
        <f t="shared" si="65"/>
        <v>0</v>
      </c>
    </row>
    <row r="1370" spans="1:11">
      <c r="A1370" t="s">
        <v>9681</v>
      </c>
      <c r="B1370" t="s">
        <v>17</v>
      </c>
      <c r="C1370" t="s">
        <v>9645</v>
      </c>
      <c r="D1370" t="s">
        <v>9682</v>
      </c>
      <c r="E1370">
        <v>5929.21</v>
      </c>
      <c r="G1370" s="35"/>
      <c r="H1370" s="36">
        <f t="shared" si="63"/>
        <v>3735.4023000000002</v>
      </c>
      <c r="I1370" s="37">
        <f t="shared" si="64"/>
        <v>3735.4023000000002</v>
      </c>
      <c r="J1370" s="4"/>
      <c r="K1370" s="38">
        <f t="shared" si="65"/>
        <v>0</v>
      </c>
    </row>
    <row r="1371" spans="1:11">
      <c r="A1371" t="s">
        <v>9683</v>
      </c>
      <c r="B1371" t="s">
        <v>17</v>
      </c>
      <c r="C1371" t="s">
        <v>9645</v>
      </c>
      <c r="D1371" t="s">
        <v>9684</v>
      </c>
      <c r="E1371">
        <v>6090.99</v>
      </c>
      <c r="G1371" s="35"/>
      <c r="H1371" s="36">
        <f t="shared" si="63"/>
        <v>3837.3236999999999</v>
      </c>
      <c r="I1371" s="37">
        <f t="shared" si="64"/>
        <v>3837.3236999999999</v>
      </c>
      <c r="J1371" s="4"/>
      <c r="K1371" s="38">
        <f t="shared" si="65"/>
        <v>0</v>
      </c>
    </row>
    <row r="1372" spans="1:11">
      <c r="A1372" t="s">
        <v>9685</v>
      </c>
      <c r="B1372" t="s">
        <v>17</v>
      </c>
      <c r="C1372" t="s">
        <v>9645</v>
      </c>
      <c r="D1372" t="s">
        <v>9686</v>
      </c>
      <c r="E1372">
        <v>6293.22</v>
      </c>
      <c r="G1372" s="35"/>
      <c r="H1372" s="36">
        <f t="shared" si="63"/>
        <v>3964.7286000000004</v>
      </c>
      <c r="I1372" s="37">
        <f t="shared" si="64"/>
        <v>3964.7286000000004</v>
      </c>
      <c r="J1372" s="4"/>
      <c r="K1372" s="38">
        <f t="shared" si="65"/>
        <v>0</v>
      </c>
    </row>
    <row r="1373" spans="1:11">
      <c r="A1373" t="s">
        <v>9687</v>
      </c>
      <c r="B1373" t="s">
        <v>17</v>
      </c>
      <c r="C1373" t="s">
        <v>9645</v>
      </c>
      <c r="D1373" t="s">
        <v>9688</v>
      </c>
      <c r="E1373">
        <v>6616.78</v>
      </c>
      <c r="G1373" s="35"/>
      <c r="H1373" s="36">
        <f t="shared" si="63"/>
        <v>4168.5713999999998</v>
      </c>
      <c r="I1373" s="37">
        <f t="shared" si="64"/>
        <v>4168.5713999999998</v>
      </c>
      <c r="J1373" s="4"/>
      <c r="K1373" s="38">
        <f t="shared" si="65"/>
        <v>0</v>
      </c>
    </row>
    <row r="1374" spans="1:11">
      <c r="A1374" t="s">
        <v>9689</v>
      </c>
      <c r="B1374" t="s">
        <v>17</v>
      </c>
      <c r="C1374" t="s">
        <v>9645</v>
      </c>
      <c r="D1374" t="s">
        <v>9690</v>
      </c>
      <c r="E1374">
        <v>6647</v>
      </c>
      <c r="G1374" s="35"/>
      <c r="H1374" s="36">
        <f t="shared" si="63"/>
        <v>4187.6099999999997</v>
      </c>
      <c r="I1374" s="37">
        <f t="shared" si="64"/>
        <v>4187.6099999999997</v>
      </c>
      <c r="J1374" s="4"/>
      <c r="K1374" s="38">
        <f t="shared" si="65"/>
        <v>0</v>
      </c>
    </row>
    <row r="1375" spans="1:11">
      <c r="A1375" t="s">
        <v>9691</v>
      </c>
      <c r="B1375" t="s">
        <v>17</v>
      </c>
      <c r="C1375" t="s">
        <v>9645</v>
      </c>
      <c r="D1375" t="s">
        <v>9692</v>
      </c>
      <c r="E1375">
        <v>6854.07</v>
      </c>
      <c r="G1375" s="35"/>
      <c r="H1375" s="36">
        <f t="shared" si="63"/>
        <v>4318.0640999999996</v>
      </c>
      <c r="I1375" s="37">
        <f t="shared" si="64"/>
        <v>4318.0640999999996</v>
      </c>
      <c r="J1375" s="4"/>
      <c r="K1375" s="38">
        <f t="shared" si="65"/>
        <v>0</v>
      </c>
    </row>
    <row r="1376" spans="1:11">
      <c r="A1376" t="s">
        <v>9693</v>
      </c>
      <c r="B1376" t="s">
        <v>17</v>
      </c>
      <c r="C1376" t="s">
        <v>9645</v>
      </c>
      <c r="D1376" t="s">
        <v>9694</v>
      </c>
      <c r="E1376">
        <v>7112.9</v>
      </c>
      <c r="G1376" s="35"/>
      <c r="H1376" s="36">
        <f t="shared" si="63"/>
        <v>4481.1269999999995</v>
      </c>
      <c r="I1376" s="37">
        <f t="shared" si="64"/>
        <v>4481.1269999999995</v>
      </c>
      <c r="J1376" s="4"/>
      <c r="K1376" s="38">
        <f t="shared" si="65"/>
        <v>0</v>
      </c>
    </row>
    <row r="1377" spans="1:11">
      <c r="A1377" t="s">
        <v>9695</v>
      </c>
      <c r="B1377" t="s">
        <v>17</v>
      </c>
      <c r="C1377" t="s">
        <v>9645</v>
      </c>
      <c r="D1377" t="s">
        <v>9696</v>
      </c>
      <c r="E1377">
        <v>7527.11</v>
      </c>
      <c r="G1377" s="35"/>
      <c r="H1377" s="36">
        <f t="shared" si="63"/>
        <v>4742.0792999999994</v>
      </c>
      <c r="I1377" s="37">
        <f t="shared" si="64"/>
        <v>4742.0792999999994</v>
      </c>
      <c r="J1377" s="4"/>
      <c r="K1377" s="38">
        <f t="shared" si="65"/>
        <v>0</v>
      </c>
    </row>
    <row r="1378" spans="1:11">
      <c r="A1378" t="s">
        <v>9697</v>
      </c>
      <c r="B1378" t="s">
        <v>17</v>
      </c>
      <c r="C1378" t="s">
        <v>9645</v>
      </c>
      <c r="D1378" t="s">
        <v>9698</v>
      </c>
      <c r="E1378">
        <v>8960.83</v>
      </c>
      <c r="G1378" s="35"/>
      <c r="H1378" s="36">
        <f t="shared" si="63"/>
        <v>5645.3229000000001</v>
      </c>
      <c r="I1378" s="37">
        <f t="shared" si="64"/>
        <v>5645.3229000000001</v>
      </c>
      <c r="J1378" s="4"/>
      <c r="K1378" s="38">
        <f t="shared" si="65"/>
        <v>0</v>
      </c>
    </row>
    <row r="1379" spans="1:11">
      <c r="A1379" t="s">
        <v>9699</v>
      </c>
      <c r="B1379" t="s">
        <v>17</v>
      </c>
      <c r="C1379" t="s">
        <v>9645</v>
      </c>
      <c r="D1379" t="s">
        <v>9700</v>
      </c>
      <c r="E1379">
        <v>9271.81</v>
      </c>
      <c r="G1379" s="35"/>
      <c r="H1379" s="36">
        <f t="shared" si="63"/>
        <v>5841.2402999999995</v>
      </c>
      <c r="I1379" s="37">
        <f t="shared" si="64"/>
        <v>5841.2402999999995</v>
      </c>
      <c r="J1379" s="4"/>
      <c r="K1379" s="38">
        <f t="shared" si="65"/>
        <v>0</v>
      </c>
    </row>
    <row r="1380" spans="1:11">
      <c r="A1380" t="s">
        <v>9701</v>
      </c>
      <c r="B1380" t="s">
        <v>17</v>
      </c>
      <c r="C1380" t="s">
        <v>9645</v>
      </c>
      <c r="D1380" t="s">
        <v>9702</v>
      </c>
      <c r="E1380">
        <v>9660.5400000000009</v>
      </c>
      <c r="G1380" s="35"/>
      <c r="H1380" s="36">
        <f t="shared" si="63"/>
        <v>6086.1402000000007</v>
      </c>
      <c r="I1380" s="37">
        <f t="shared" si="64"/>
        <v>6086.1402000000007</v>
      </c>
      <c r="J1380" s="4"/>
      <c r="K1380" s="38">
        <f t="shared" si="65"/>
        <v>0</v>
      </c>
    </row>
    <row r="1381" spans="1:11">
      <c r="A1381" t="s">
        <v>9703</v>
      </c>
      <c r="B1381" t="s">
        <v>17</v>
      </c>
      <c r="C1381" t="s">
        <v>9645</v>
      </c>
      <c r="D1381" t="s">
        <v>9704</v>
      </c>
      <c r="E1381">
        <v>10349.44</v>
      </c>
      <c r="G1381" s="35"/>
      <c r="H1381" s="36">
        <f t="shared" si="63"/>
        <v>6520.1472000000003</v>
      </c>
      <c r="I1381" s="37">
        <f t="shared" si="64"/>
        <v>6520.1472000000003</v>
      </c>
      <c r="J1381" s="4"/>
      <c r="K1381" s="38">
        <f t="shared" si="65"/>
        <v>0</v>
      </c>
    </row>
    <row r="1382" spans="1:11">
      <c r="A1382" t="s">
        <v>9705</v>
      </c>
      <c r="B1382" t="s">
        <v>17</v>
      </c>
      <c r="C1382" t="s">
        <v>9645</v>
      </c>
      <c r="D1382" t="s">
        <v>9706</v>
      </c>
      <c r="E1382">
        <v>21413.439999999999</v>
      </c>
      <c r="G1382" s="35"/>
      <c r="H1382" s="36">
        <f t="shared" si="63"/>
        <v>13490.467199999999</v>
      </c>
      <c r="I1382" s="37">
        <f t="shared" si="64"/>
        <v>13490.467199999999</v>
      </c>
      <c r="J1382" s="4"/>
      <c r="K1382" s="38">
        <f t="shared" si="65"/>
        <v>0</v>
      </c>
    </row>
    <row r="1383" spans="1:11">
      <c r="A1383" t="s">
        <v>9707</v>
      </c>
      <c r="B1383" t="s">
        <v>17</v>
      </c>
      <c r="C1383" t="s">
        <v>9645</v>
      </c>
      <c r="D1383" t="s">
        <v>9708</v>
      </c>
      <c r="E1383">
        <v>22362.99</v>
      </c>
      <c r="G1383" s="35"/>
      <c r="H1383" s="36">
        <f t="shared" si="63"/>
        <v>14088.683700000001</v>
      </c>
      <c r="I1383" s="37">
        <f t="shared" si="64"/>
        <v>14088.683700000001</v>
      </c>
      <c r="J1383" s="4"/>
      <c r="K1383" s="38">
        <f t="shared" si="65"/>
        <v>0</v>
      </c>
    </row>
    <row r="1384" spans="1:11">
      <c r="A1384" t="s">
        <v>9709</v>
      </c>
      <c r="B1384" t="s">
        <v>17</v>
      </c>
      <c r="C1384" t="s">
        <v>9645</v>
      </c>
      <c r="D1384" t="s">
        <v>9710</v>
      </c>
      <c r="E1384">
        <v>35056.21</v>
      </c>
      <c r="G1384" s="35"/>
      <c r="H1384" s="36">
        <f t="shared" si="63"/>
        <v>22085.4123</v>
      </c>
      <c r="I1384" s="37">
        <f t="shared" si="64"/>
        <v>22085.4123</v>
      </c>
      <c r="J1384" s="4"/>
      <c r="K1384" s="38">
        <f t="shared" si="65"/>
        <v>0</v>
      </c>
    </row>
    <row r="1385" spans="1:11">
      <c r="A1385" t="s">
        <v>9711</v>
      </c>
      <c r="B1385" t="s">
        <v>17</v>
      </c>
      <c r="C1385" t="s">
        <v>9645</v>
      </c>
      <c r="D1385" t="s">
        <v>9712</v>
      </c>
      <c r="E1385">
        <v>36330.589999999997</v>
      </c>
      <c r="G1385" s="35"/>
      <c r="H1385" s="36">
        <f t="shared" si="63"/>
        <v>22888.271699999998</v>
      </c>
      <c r="I1385" s="37">
        <f t="shared" si="64"/>
        <v>22888.271699999998</v>
      </c>
      <c r="J1385" s="4"/>
      <c r="K1385" s="38">
        <f t="shared" si="65"/>
        <v>0</v>
      </c>
    </row>
    <row r="1386" spans="1:11">
      <c r="A1386" t="s">
        <v>9713</v>
      </c>
      <c r="B1386" t="s">
        <v>17</v>
      </c>
      <c r="C1386" t="s">
        <v>9645</v>
      </c>
      <c r="D1386" t="s">
        <v>9714</v>
      </c>
      <c r="E1386">
        <v>62540.81</v>
      </c>
      <c r="G1386" s="35"/>
      <c r="H1386" s="36">
        <f t="shared" si="63"/>
        <v>39400.710299999999</v>
      </c>
      <c r="I1386" s="37">
        <f t="shared" si="64"/>
        <v>39400.710299999999</v>
      </c>
      <c r="J1386" s="4"/>
      <c r="K1386" s="38">
        <f t="shared" si="65"/>
        <v>0</v>
      </c>
    </row>
    <row r="1387" spans="1:11">
      <c r="A1387" t="s">
        <v>9715</v>
      </c>
      <c r="B1387" t="s">
        <v>17</v>
      </c>
      <c r="C1387" t="s">
        <v>9645</v>
      </c>
      <c r="D1387" t="s">
        <v>9716</v>
      </c>
      <c r="E1387">
        <v>64568.160000000003</v>
      </c>
      <c r="G1387" s="35"/>
      <c r="H1387" s="36">
        <f t="shared" si="63"/>
        <v>40677.940800000004</v>
      </c>
      <c r="I1387" s="37">
        <f t="shared" si="64"/>
        <v>40677.940800000004</v>
      </c>
      <c r="J1387" s="4"/>
      <c r="K1387" s="38">
        <f t="shared" si="65"/>
        <v>0</v>
      </c>
    </row>
    <row r="1388" spans="1:11">
      <c r="A1388" t="s">
        <v>9717</v>
      </c>
      <c r="B1388" t="s">
        <v>17</v>
      </c>
      <c r="C1388" t="s">
        <v>9645</v>
      </c>
      <c r="D1388" t="s">
        <v>9718</v>
      </c>
      <c r="E1388">
        <v>456.06</v>
      </c>
      <c r="G1388" s="35"/>
      <c r="H1388" s="36">
        <f t="shared" si="63"/>
        <v>287.31779999999998</v>
      </c>
      <c r="I1388" s="37">
        <f t="shared" si="64"/>
        <v>287.31779999999998</v>
      </c>
      <c r="J1388" s="4"/>
      <c r="K1388" s="38">
        <f t="shared" si="65"/>
        <v>0</v>
      </c>
    </row>
    <row r="1389" spans="1:11">
      <c r="A1389" t="s">
        <v>9719</v>
      </c>
      <c r="B1389" t="s">
        <v>17</v>
      </c>
      <c r="C1389" t="s">
        <v>9645</v>
      </c>
      <c r="D1389" t="s">
        <v>9720</v>
      </c>
      <c r="E1389">
        <v>456.06</v>
      </c>
      <c r="G1389" s="35"/>
      <c r="H1389" s="36">
        <f t="shared" si="63"/>
        <v>287.31779999999998</v>
      </c>
      <c r="I1389" s="37">
        <f t="shared" si="64"/>
        <v>287.31779999999998</v>
      </c>
      <c r="J1389" s="4"/>
      <c r="K1389" s="38">
        <f t="shared" si="65"/>
        <v>0</v>
      </c>
    </row>
    <row r="1390" spans="1:11">
      <c r="A1390" t="s">
        <v>9721</v>
      </c>
      <c r="B1390" t="s">
        <v>17</v>
      </c>
      <c r="C1390" t="s">
        <v>9645</v>
      </c>
      <c r="D1390" t="s">
        <v>9722</v>
      </c>
      <c r="E1390">
        <v>582.67999999999995</v>
      </c>
      <c r="G1390" s="35"/>
      <c r="H1390" s="36">
        <f t="shared" si="63"/>
        <v>367.08839999999998</v>
      </c>
      <c r="I1390" s="37">
        <f t="shared" si="64"/>
        <v>367.08839999999998</v>
      </c>
      <c r="J1390" s="4"/>
      <c r="K1390" s="38">
        <f t="shared" si="65"/>
        <v>0</v>
      </c>
    </row>
    <row r="1391" spans="1:11">
      <c r="A1391" t="s">
        <v>9723</v>
      </c>
      <c r="B1391" t="s">
        <v>17</v>
      </c>
      <c r="C1391" t="s">
        <v>9645</v>
      </c>
      <c r="D1391" t="s">
        <v>9724</v>
      </c>
      <c r="E1391">
        <v>974.6</v>
      </c>
      <c r="G1391" s="35"/>
      <c r="H1391" s="36">
        <f t="shared" si="63"/>
        <v>613.99800000000005</v>
      </c>
      <c r="I1391" s="37">
        <f t="shared" si="64"/>
        <v>613.99800000000005</v>
      </c>
      <c r="J1391" s="4"/>
      <c r="K1391" s="38">
        <f t="shared" si="65"/>
        <v>0</v>
      </c>
    </row>
    <row r="1392" spans="1:11">
      <c r="A1392" t="s">
        <v>9725</v>
      </c>
      <c r="B1392" t="s">
        <v>17</v>
      </c>
      <c r="C1392" t="s">
        <v>9645</v>
      </c>
      <c r="D1392" t="s">
        <v>9726</v>
      </c>
      <c r="E1392">
        <v>2524.7199999999998</v>
      </c>
      <c r="G1392" s="35"/>
      <c r="H1392" s="36">
        <f t="shared" si="63"/>
        <v>1590.5735999999999</v>
      </c>
      <c r="I1392" s="37">
        <f t="shared" si="64"/>
        <v>1590.5735999999999</v>
      </c>
      <c r="J1392" s="4"/>
      <c r="K1392" s="38">
        <f t="shared" si="65"/>
        <v>0</v>
      </c>
    </row>
    <row r="1393" spans="1:11">
      <c r="A1393" t="s">
        <v>9727</v>
      </c>
      <c r="B1393" t="s">
        <v>17</v>
      </c>
      <c r="C1393" t="s">
        <v>9645</v>
      </c>
      <c r="D1393" t="s">
        <v>9728</v>
      </c>
      <c r="E1393">
        <v>2709.89</v>
      </c>
      <c r="G1393" s="35"/>
      <c r="H1393" s="36">
        <f t="shared" si="63"/>
        <v>1707.2306999999998</v>
      </c>
      <c r="I1393" s="37">
        <f t="shared" si="64"/>
        <v>1707.2306999999998</v>
      </c>
      <c r="J1393" s="4"/>
      <c r="K1393" s="38">
        <f t="shared" si="65"/>
        <v>0</v>
      </c>
    </row>
    <row r="1394" spans="1:11">
      <c r="A1394" t="s">
        <v>9729</v>
      </c>
      <c r="B1394" t="s">
        <v>17</v>
      </c>
      <c r="C1394" t="s">
        <v>9645</v>
      </c>
      <c r="D1394" t="s">
        <v>9730</v>
      </c>
      <c r="E1394">
        <v>3499.44</v>
      </c>
      <c r="G1394" s="35"/>
      <c r="H1394" s="36">
        <f t="shared" si="63"/>
        <v>2204.6471999999999</v>
      </c>
      <c r="I1394" s="37">
        <f t="shared" si="64"/>
        <v>2204.6471999999999</v>
      </c>
      <c r="J1394" s="4"/>
      <c r="K1394" s="38">
        <f t="shared" si="65"/>
        <v>0</v>
      </c>
    </row>
    <row r="1395" spans="1:11">
      <c r="A1395" t="s">
        <v>1623</v>
      </c>
      <c r="B1395" t="s">
        <v>17</v>
      </c>
      <c r="C1395" t="s">
        <v>7209</v>
      </c>
      <c r="D1395" t="s">
        <v>7210</v>
      </c>
      <c r="E1395">
        <v>2465.06</v>
      </c>
      <c r="G1395" s="35"/>
      <c r="H1395" s="36">
        <f t="shared" si="63"/>
        <v>1552.9877999999999</v>
      </c>
      <c r="I1395" s="37">
        <f t="shared" si="64"/>
        <v>1552.9877999999999</v>
      </c>
      <c r="J1395" s="4"/>
      <c r="K1395" s="38">
        <f t="shared" si="65"/>
        <v>0</v>
      </c>
    </row>
    <row r="1396" spans="1:11">
      <c r="A1396" t="s">
        <v>1624</v>
      </c>
      <c r="B1396" t="s">
        <v>17</v>
      </c>
      <c r="C1396" t="s">
        <v>7209</v>
      </c>
      <c r="D1396" t="s">
        <v>7211</v>
      </c>
      <c r="E1396">
        <v>4331.8599999999997</v>
      </c>
      <c r="G1396" s="35"/>
      <c r="H1396" s="36">
        <f t="shared" si="63"/>
        <v>2729.0717999999997</v>
      </c>
      <c r="I1396" s="37">
        <f t="shared" si="64"/>
        <v>2729.0717999999997</v>
      </c>
      <c r="J1396" s="4"/>
      <c r="K1396" s="38">
        <f t="shared" si="65"/>
        <v>0</v>
      </c>
    </row>
    <row r="1397" spans="1:11">
      <c r="A1397" t="s">
        <v>1625</v>
      </c>
      <c r="B1397" t="s">
        <v>17</v>
      </c>
      <c r="C1397" t="s">
        <v>7209</v>
      </c>
      <c r="D1397" t="s">
        <v>7212</v>
      </c>
      <c r="E1397">
        <v>6875.61</v>
      </c>
      <c r="G1397" s="35"/>
      <c r="H1397" s="36">
        <f t="shared" si="63"/>
        <v>4331.6342999999997</v>
      </c>
      <c r="I1397" s="37">
        <f t="shared" si="64"/>
        <v>4331.6342999999997</v>
      </c>
      <c r="J1397" s="4"/>
      <c r="K1397" s="38">
        <f t="shared" si="65"/>
        <v>0</v>
      </c>
    </row>
    <row r="1398" spans="1:11">
      <c r="A1398" t="s">
        <v>1626</v>
      </c>
      <c r="B1398" t="s">
        <v>17</v>
      </c>
      <c r="C1398" t="s">
        <v>7209</v>
      </c>
      <c r="D1398" t="s">
        <v>7213</v>
      </c>
      <c r="E1398">
        <v>6970.7</v>
      </c>
      <c r="G1398" s="35"/>
      <c r="H1398" s="36">
        <f t="shared" si="63"/>
        <v>4391.5410000000002</v>
      </c>
      <c r="I1398" s="37">
        <f t="shared" si="64"/>
        <v>4391.5410000000002</v>
      </c>
      <c r="J1398" s="4"/>
      <c r="K1398" s="38">
        <f t="shared" si="65"/>
        <v>0</v>
      </c>
    </row>
    <row r="1399" spans="1:11">
      <c r="A1399" t="s">
        <v>2314</v>
      </c>
      <c r="B1399" t="s">
        <v>17</v>
      </c>
      <c r="C1399" t="s">
        <v>7863</v>
      </c>
      <c r="D1399" t="s">
        <v>7864</v>
      </c>
      <c r="E1399">
        <v>778.93</v>
      </c>
      <c r="G1399" s="35"/>
      <c r="H1399" s="36">
        <f t="shared" si="63"/>
        <v>490.72589999999997</v>
      </c>
      <c r="I1399" s="37">
        <f t="shared" si="64"/>
        <v>490.72589999999997</v>
      </c>
      <c r="J1399" s="4"/>
      <c r="K1399" s="38">
        <f t="shared" si="65"/>
        <v>0</v>
      </c>
    </row>
    <row r="1400" spans="1:11">
      <c r="A1400" t="s">
        <v>2315</v>
      </c>
      <c r="B1400" t="s">
        <v>17</v>
      </c>
      <c r="C1400" t="s">
        <v>7863</v>
      </c>
      <c r="D1400" t="s">
        <v>7865</v>
      </c>
      <c r="E1400">
        <v>101394.22</v>
      </c>
      <c r="G1400" s="35"/>
      <c r="H1400" s="36">
        <f t="shared" si="63"/>
        <v>63878.3586</v>
      </c>
      <c r="I1400" s="37">
        <f t="shared" si="64"/>
        <v>63878.3586</v>
      </c>
      <c r="J1400" s="4"/>
      <c r="K1400" s="38">
        <f t="shared" si="65"/>
        <v>0</v>
      </c>
    </row>
    <row r="1401" spans="1:11">
      <c r="A1401" t="s">
        <v>2316</v>
      </c>
      <c r="B1401" t="s">
        <v>17</v>
      </c>
      <c r="C1401" t="s">
        <v>7863</v>
      </c>
      <c r="D1401" t="s">
        <v>7866</v>
      </c>
      <c r="E1401">
        <v>123026.02</v>
      </c>
      <c r="G1401" s="35"/>
      <c r="H1401" s="36">
        <f t="shared" si="63"/>
        <v>77506.392600000006</v>
      </c>
      <c r="I1401" s="37">
        <f t="shared" si="64"/>
        <v>77506.392600000006</v>
      </c>
      <c r="J1401" s="4"/>
      <c r="K1401" s="38">
        <f t="shared" si="65"/>
        <v>0</v>
      </c>
    </row>
    <row r="1402" spans="1:11">
      <c r="A1402" t="s">
        <v>2317</v>
      </c>
      <c r="B1402" t="s">
        <v>17</v>
      </c>
      <c r="C1402" t="s">
        <v>7863</v>
      </c>
      <c r="D1402" t="s">
        <v>7867</v>
      </c>
      <c r="E1402">
        <v>142026.81</v>
      </c>
      <c r="G1402" s="35"/>
      <c r="H1402" s="36">
        <f t="shared" si="63"/>
        <v>89476.890299999999</v>
      </c>
      <c r="I1402" s="37">
        <f t="shared" si="64"/>
        <v>89476.890299999999</v>
      </c>
      <c r="J1402" s="4"/>
      <c r="K1402" s="38">
        <f t="shared" si="65"/>
        <v>0</v>
      </c>
    </row>
    <row r="1403" spans="1:11">
      <c r="A1403" t="s">
        <v>2450</v>
      </c>
      <c r="B1403" t="s">
        <v>17</v>
      </c>
      <c r="C1403" t="s">
        <v>7974</v>
      </c>
      <c r="D1403" t="s">
        <v>7975</v>
      </c>
      <c r="E1403">
        <v>7580.74</v>
      </c>
      <c r="G1403" s="35"/>
      <c r="H1403" s="36">
        <f t="shared" si="63"/>
        <v>4775.8661999999995</v>
      </c>
      <c r="I1403" s="37">
        <f t="shared" si="64"/>
        <v>4775.8661999999995</v>
      </c>
      <c r="J1403" s="4"/>
      <c r="K1403" s="38">
        <f t="shared" si="65"/>
        <v>0</v>
      </c>
    </row>
    <row r="1404" spans="1:11">
      <c r="A1404" t="s">
        <v>2451</v>
      </c>
      <c r="B1404" t="s">
        <v>17</v>
      </c>
      <c r="C1404" t="s">
        <v>7974</v>
      </c>
      <c r="D1404" t="s">
        <v>7976</v>
      </c>
      <c r="E1404">
        <v>8157.75</v>
      </c>
      <c r="G1404" s="35"/>
      <c r="H1404" s="36">
        <f t="shared" si="63"/>
        <v>5139.3824999999997</v>
      </c>
      <c r="I1404" s="37">
        <f t="shared" si="64"/>
        <v>5139.3824999999997</v>
      </c>
      <c r="J1404" s="4"/>
      <c r="K1404" s="38">
        <f t="shared" si="65"/>
        <v>0</v>
      </c>
    </row>
    <row r="1405" spans="1:11">
      <c r="A1405" t="s">
        <v>2452</v>
      </c>
      <c r="B1405" t="s">
        <v>17</v>
      </c>
      <c r="C1405" t="s">
        <v>7974</v>
      </c>
      <c r="D1405" t="s">
        <v>7977</v>
      </c>
      <c r="E1405">
        <v>5176.8500000000004</v>
      </c>
      <c r="G1405" s="35"/>
      <c r="H1405" s="36">
        <f t="shared" si="63"/>
        <v>3261.4155000000001</v>
      </c>
      <c r="I1405" s="37">
        <f t="shared" si="64"/>
        <v>3261.4155000000001</v>
      </c>
      <c r="J1405" s="4"/>
      <c r="K1405" s="38">
        <f t="shared" si="65"/>
        <v>0</v>
      </c>
    </row>
    <row r="1406" spans="1:11">
      <c r="A1406" t="s">
        <v>2453</v>
      </c>
      <c r="B1406" t="s">
        <v>17</v>
      </c>
      <c r="C1406" t="s">
        <v>7974</v>
      </c>
      <c r="D1406" t="s">
        <v>7978</v>
      </c>
      <c r="E1406">
        <v>5550.45</v>
      </c>
      <c r="G1406" s="35"/>
      <c r="H1406" s="36">
        <f t="shared" si="63"/>
        <v>3496.7835</v>
      </c>
      <c r="I1406" s="37">
        <f t="shared" si="64"/>
        <v>3496.7835</v>
      </c>
      <c r="J1406" s="4"/>
      <c r="K1406" s="38">
        <f t="shared" si="65"/>
        <v>0</v>
      </c>
    </row>
    <row r="1407" spans="1:11">
      <c r="A1407" t="s">
        <v>2454</v>
      </c>
      <c r="B1407" t="s">
        <v>17</v>
      </c>
      <c r="C1407" t="s">
        <v>7974</v>
      </c>
      <c r="D1407" t="s">
        <v>7979</v>
      </c>
      <c r="E1407">
        <v>6884.39</v>
      </c>
      <c r="G1407" s="35"/>
      <c r="H1407" s="36">
        <f t="shared" si="63"/>
        <v>4337.1657000000005</v>
      </c>
      <c r="I1407" s="37">
        <f t="shared" si="64"/>
        <v>4337.1657000000005</v>
      </c>
      <c r="J1407" s="4"/>
      <c r="K1407" s="38">
        <f t="shared" si="65"/>
        <v>0</v>
      </c>
    </row>
    <row r="1408" spans="1:11">
      <c r="A1408" t="s">
        <v>275</v>
      </c>
      <c r="B1408" t="s">
        <v>17</v>
      </c>
      <c r="C1408" t="s">
        <v>5847</v>
      </c>
      <c r="D1408" t="s">
        <v>5848</v>
      </c>
      <c r="E1408">
        <v>45486.69</v>
      </c>
      <c r="G1408" s="35"/>
      <c r="H1408" s="36">
        <f t="shared" si="63"/>
        <v>28656.614700000002</v>
      </c>
      <c r="I1408" s="37">
        <f t="shared" si="64"/>
        <v>28656.614700000002</v>
      </c>
      <c r="J1408" s="4"/>
      <c r="K1408" s="38">
        <f t="shared" si="65"/>
        <v>0</v>
      </c>
    </row>
    <row r="1409" spans="1:11">
      <c r="A1409" t="s">
        <v>276</v>
      </c>
      <c r="B1409" t="s">
        <v>17</v>
      </c>
      <c r="C1409" t="s">
        <v>5847</v>
      </c>
      <c r="D1409" t="s">
        <v>5849</v>
      </c>
      <c r="E1409">
        <v>34560.639999999999</v>
      </c>
      <c r="G1409" s="35"/>
      <c r="H1409" s="36">
        <f t="shared" si="63"/>
        <v>21773.2032</v>
      </c>
      <c r="I1409" s="37">
        <f t="shared" si="64"/>
        <v>21773.2032</v>
      </c>
      <c r="J1409" s="4"/>
      <c r="K1409" s="38">
        <f t="shared" si="65"/>
        <v>0</v>
      </c>
    </row>
    <row r="1410" spans="1:11">
      <c r="A1410" t="s">
        <v>277</v>
      </c>
      <c r="B1410" t="s">
        <v>17</v>
      </c>
      <c r="C1410" t="s">
        <v>5847</v>
      </c>
      <c r="D1410" t="s">
        <v>5850</v>
      </c>
      <c r="E1410">
        <v>47896.58</v>
      </c>
      <c r="G1410" s="35"/>
      <c r="H1410" s="36">
        <f t="shared" si="63"/>
        <v>30174.845400000002</v>
      </c>
      <c r="I1410" s="37">
        <f t="shared" si="64"/>
        <v>30174.845400000002</v>
      </c>
      <c r="J1410" s="4"/>
      <c r="K1410" s="38">
        <f t="shared" si="65"/>
        <v>0</v>
      </c>
    </row>
    <row r="1411" spans="1:11">
      <c r="A1411" t="s">
        <v>278</v>
      </c>
      <c r="B1411" t="s">
        <v>17</v>
      </c>
      <c r="C1411" t="s">
        <v>5847</v>
      </c>
      <c r="D1411" t="s">
        <v>5851</v>
      </c>
      <c r="E1411">
        <v>15648.71</v>
      </c>
      <c r="G1411" s="35"/>
      <c r="H1411" s="36">
        <f t="shared" si="63"/>
        <v>9858.6872999999996</v>
      </c>
      <c r="I1411" s="37">
        <f t="shared" si="64"/>
        <v>9858.6872999999996</v>
      </c>
      <c r="J1411" s="4"/>
      <c r="K1411" s="38">
        <f t="shared" si="65"/>
        <v>0</v>
      </c>
    </row>
    <row r="1412" spans="1:11">
      <c r="A1412" t="s">
        <v>279</v>
      </c>
      <c r="B1412" t="s">
        <v>17</v>
      </c>
      <c r="C1412" t="s">
        <v>5847</v>
      </c>
      <c r="D1412" t="s">
        <v>5852</v>
      </c>
      <c r="E1412">
        <v>10711.85</v>
      </c>
      <c r="G1412" s="35"/>
      <c r="H1412" s="36">
        <f t="shared" si="63"/>
        <v>6748.4655000000002</v>
      </c>
      <c r="I1412" s="37">
        <f t="shared" si="64"/>
        <v>6748.4655000000002</v>
      </c>
      <c r="J1412" s="4"/>
      <c r="K1412" s="38">
        <f t="shared" si="65"/>
        <v>0</v>
      </c>
    </row>
    <row r="1413" spans="1:11">
      <c r="A1413" t="s">
        <v>280</v>
      </c>
      <c r="B1413" t="s">
        <v>17</v>
      </c>
      <c r="C1413" t="s">
        <v>5847</v>
      </c>
      <c r="D1413" t="s">
        <v>5853</v>
      </c>
      <c r="E1413">
        <v>16584.88</v>
      </c>
      <c r="G1413" s="35"/>
      <c r="H1413" s="36">
        <f t="shared" si="63"/>
        <v>10448.474400000001</v>
      </c>
      <c r="I1413" s="37">
        <f t="shared" si="64"/>
        <v>10448.474400000001</v>
      </c>
      <c r="J1413" s="4"/>
      <c r="K1413" s="38">
        <f t="shared" si="65"/>
        <v>0</v>
      </c>
    </row>
    <row r="1414" spans="1:11">
      <c r="A1414" t="s">
        <v>281</v>
      </c>
      <c r="B1414" t="s">
        <v>17</v>
      </c>
      <c r="C1414" t="s">
        <v>5847</v>
      </c>
      <c r="D1414" t="s">
        <v>5854</v>
      </c>
      <c r="E1414">
        <v>31315.79</v>
      </c>
      <c r="G1414" s="35"/>
      <c r="H1414" s="36">
        <f t="shared" si="63"/>
        <v>19728.947700000001</v>
      </c>
      <c r="I1414" s="37">
        <f t="shared" si="64"/>
        <v>19728.947700000001</v>
      </c>
      <c r="J1414" s="4"/>
      <c r="K1414" s="38">
        <f t="shared" si="65"/>
        <v>0</v>
      </c>
    </row>
    <row r="1415" spans="1:11">
      <c r="A1415" t="s">
        <v>282</v>
      </c>
      <c r="B1415" t="s">
        <v>17</v>
      </c>
      <c r="C1415" t="s">
        <v>5847</v>
      </c>
      <c r="D1415" t="s">
        <v>5855</v>
      </c>
      <c r="E1415">
        <v>6523.23</v>
      </c>
      <c r="G1415" s="35"/>
      <c r="H1415" s="36">
        <f t="shared" ref="H1415:H1478" si="66">+E1415*$H$1*(1-G1415)</f>
        <v>4109.6349</v>
      </c>
      <c r="I1415" s="37">
        <f t="shared" ref="I1415:I1478" si="67">H1415*$H$4</f>
        <v>4109.6349</v>
      </c>
      <c r="J1415" s="4"/>
      <c r="K1415" s="38">
        <f t="shared" ref="K1415:K1478" si="68">J1415*I1415</f>
        <v>0</v>
      </c>
    </row>
    <row r="1416" spans="1:11">
      <c r="A1416" t="s">
        <v>283</v>
      </c>
      <c r="B1416" t="s">
        <v>17</v>
      </c>
      <c r="C1416" t="s">
        <v>5847</v>
      </c>
      <c r="D1416" t="s">
        <v>5856</v>
      </c>
      <c r="E1416">
        <v>17266.52</v>
      </c>
      <c r="G1416" s="35"/>
      <c r="H1416" s="36">
        <f t="shared" si="66"/>
        <v>10877.9076</v>
      </c>
      <c r="I1416" s="37">
        <f t="shared" si="67"/>
        <v>10877.9076</v>
      </c>
      <c r="J1416" s="4"/>
      <c r="K1416" s="38">
        <f t="shared" si="68"/>
        <v>0</v>
      </c>
    </row>
    <row r="1417" spans="1:11">
      <c r="A1417" t="s">
        <v>284</v>
      </c>
      <c r="B1417" t="s">
        <v>17</v>
      </c>
      <c r="C1417" t="s">
        <v>5847</v>
      </c>
      <c r="D1417" t="s">
        <v>5857</v>
      </c>
      <c r="E1417">
        <v>106845.04</v>
      </c>
      <c r="G1417" s="35"/>
      <c r="H1417" s="36">
        <f t="shared" si="66"/>
        <v>67312.375199999995</v>
      </c>
      <c r="I1417" s="37">
        <f t="shared" si="67"/>
        <v>67312.375199999995</v>
      </c>
      <c r="J1417" s="4"/>
      <c r="K1417" s="38">
        <f t="shared" si="68"/>
        <v>0</v>
      </c>
    </row>
    <row r="1418" spans="1:11">
      <c r="A1418" t="s">
        <v>285</v>
      </c>
      <c r="B1418" t="s">
        <v>17</v>
      </c>
      <c r="C1418" t="s">
        <v>5847</v>
      </c>
      <c r="D1418" t="s">
        <v>5858</v>
      </c>
      <c r="E1418">
        <v>85882.8</v>
      </c>
      <c r="G1418" s="35"/>
      <c r="H1418" s="36">
        <f t="shared" si="66"/>
        <v>54106.164000000004</v>
      </c>
      <c r="I1418" s="37">
        <f t="shared" si="67"/>
        <v>54106.164000000004</v>
      </c>
      <c r="J1418" s="4"/>
      <c r="K1418" s="38">
        <f t="shared" si="68"/>
        <v>0</v>
      </c>
    </row>
    <row r="1419" spans="1:11">
      <c r="A1419" t="s">
        <v>286</v>
      </c>
      <c r="B1419" t="s">
        <v>17</v>
      </c>
      <c r="C1419" t="s">
        <v>5847</v>
      </c>
      <c r="D1419" t="s">
        <v>5859</v>
      </c>
      <c r="E1419">
        <v>89998</v>
      </c>
      <c r="G1419" s="35"/>
      <c r="H1419" s="36">
        <f t="shared" si="66"/>
        <v>56698.74</v>
      </c>
      <c r="I1419" s="37">
        <f t="shared" si="67"/>
        <v>56698.74</v>
      </c>
      <c r="J1419" s="4"/>
      <c r="K1419" s="38">
        <f t="shared" si="68"/>
        <v>0</v>
      </c>
    </row>
    <row r="1420" spans="1:11">
      <c r="A1420" t="s">
        <v>287</v>
      </c>
      <c r="B1420" t="s">
        <v>17</v>
      </c>
      <c r="C1420" t="s">
        <v>5847</v>
      </c>
      <c r="D1420" t="s">
        <v>5860</v>
      </c>
      <c r="E1420">
        <v>123224.8</v>
      </c>
      <c r="G1420" s="35"/>
      <c r="H1420" s="36">
        <f t="shared" si="66"/>
        <v>77631.623999999996</v>
      </c>
      <c r="I1420" s="37">
        <f t="shared" si="67"/>
        <v>77631.623999999996</v>
      </c>
      <c r="J1420" s="4"/>
      <c r="K1420" s="38">
        <f t="shared" si="68"/>
        <v>0</v>
      </c>
    </row>
    <row r="1421" spans="1:11">
      <c r="A1421" t="s">
        <v>288</v>
      </c>
      <c r="B1421" t="s">
        <v>17</v>
      </c>
      <c r="C1421" t="s">
        <v>5847</v>
      </c>
      <c r="D1421" t="s">
        <v>5861</v>
      </c>
      <c r="E1421">
        <v>74868.14</v>
      </c>
      <c r="G1421" s="35"/>
      <c r="H1421" s="36">
        <f t="shared" si="66"/>
        <v>47166.928200000002</v>
      </c>
      <c r="I1421" s="37">
        <f t="shared" si="67"/>
        <v>47166.928200000002</v>
      </c>
      <c r="J1421" s="4"/>
      <c r="K1421" s="38">
        <f t="shared" si="68"/>
        <v>0</v>
      </c>
    </row>
    <row r="1422" spans="1:11">
      <c r="A1422" t="s">
        <v>289</v>
      </c>
      <c r="B1422" t="s">
        <v>17</v>
      </c>
      <c r="C1422" t="s">
        <v>5847</v>
      </c>
      <c r="D1422" t="s">
        <v>5862</v>
      </c>
      <c r="E1422">
        <v>16052.15</v>
      </c>
      <c r="G1422" s="35"/>
      <c r="H1422" s="36">
        <f t="shared" si="66"/>
        <v>10112.854499999999</v>
      </c>
      <c r="I1422" s="37">
        <f t="shared" si="67"/>
        <v>10112.854499999999</v>
      </c>
      <c r="J1422" s="4"/>
      <c r="K1422" s="38">
        <f t="shared" si="68"/>
        <v>0</v>
      </c>
    </row>
    <row r="1423" spans="1:11">
      <c r="A1423" t="s">
        <v>290</v>
      </c>
      <c r="B1423" t="s">
        <v>17</v>
      </c>
      <c r="C1423" t="s">
        <v>5847</v>
      </c>
      <c r="D1423" t="s">
        <v>5863</v>
      </c>
      <c r="E1423">
        <v>7223.07</v>
      </c>
      <c r="G1423" s="35"/>
      <c r="H1423" s="36">
        <f t="shared" si="66"/>
        <v>4550.5340999999999</v>
      </c>
      <c r="I1423" s="37">
        <f t="shared" si="67"/>
        <v>4550.5340999999999</v>
      </c>
      <c r="J1423" s="4"/>
      <c r="K1423" s="38">
        <f t="shared" si="68"/>
        <v>0</v>
      </c>
    </row>
    <row r="1424" spans="1:11">
      <c r="A1424" t="s">
        <v>291</v>
      </c>
      <c r="B1424" t="s">
        <v>17</v>
      </c>
      <c r="C1424" t="s">
        <v>5847</v>
      </c>
      <c r="D1424" t="s">
        <v>5864</v>
      </c>
      <c r="E1424">
        <v>12020.3</v>
      </c>
      <c r="G1424" s="35"/>
      <c r="H1424" s="36">
        <f t="shared" si="66"/>
        <v>7572.7889999999998</v>
      </c>
      <c r="I1424" s="37">
        <f t="shared" si="67"/>
        <v>7572.7889999999998</v>
      </c>
      <c r="J1424" s="4"/>
      <c r="K1424" s="38">
        <f t="shared" si="68"/>
        <v>0</v>
      </c>
    </row>
    <row r="1425" spans="1:11">
      <c r="A1425" t="s">
        <v>292</v>
      </c>
      <c r="B1425" t="s">
        <v>17</v>
      </c>
      <c r="C1425" t="s">
        <v>5847</v>
      </c>
      <c r="D1425" t="s">
        <v>5865</v>
      </c>
      <c r="E1425">
        <v>70629.919999999998</v>
      </c>
      <c r="G1425" s="35"/>
      <c r="H1425" s="36">
        <f t="shared" si="66"/>
        <v>44496.849600000001</v>
      </c>
      <c r="I1425" s="37">
        <f t="shared" si="67"/>
        <v>44496.849600000001</v>
      </c>
      <c r="J1425" s="4"/>
      <c r="K1425" s="38">
        <f t="shared" si="68"/>
        <v>0</v>
      </c>
    </row>
    <row r="1426" spans="1:11">
      <c r="A1426" t="s">
        <v>293</v>
      </c>
      <c r="B1426" t="s">
        <v>17</v>
      </c>
      <c r="C1426" t="s">
        <v>5847</v>
      </c>
      <c r="D1426" t="s">
        <v>5866</v>
      </c>
      <c r="E1426">
        <v>9142.8700000000008</v>
      </c>
      <c r="G1426" s="35"/>
      <c r="H1426" s="36">
        <f t="shared" si="66"/>
        <v>5760.0081000000009</v>
      </c>
      <c r="I1426" s="37">
        <f t="shared" si="67"/>
        <v>5760.0081000000009</v>
      </c>
      <c r="J1426" s="4"/>
      <c r="K1426" s="38">
        <f t="shared" si="68"/>
        <v>0</v>
      </c>
    </row>
    <row r="1427" spans="1:11">
      <c r="A1427" t="s">
        <v>294</v>
      </c>
      <c r="B1427" t="s">
        <v>17</v>
      </c>
      <c r="C1427" t="s">
        <v>5847</v>
      </c>
      <c r="D1427" t="s">
        <v>5867</v>
      </c>
      <c r="E1427">
        <v>8140.56</v>
      </c>
      <c r="G1427" s="35"/>
      <c r="H1427" s="36">
        <f t="shared" si="66"/>
        <v>5128.5528000000004</v>
      </c>
      <c r="I1427" s="37">
        <f t="shared" si="67"/>
        <v>5128.5528000000004</v>
      </c>
      <c r="J1427" s="4"/>
      <c r="K1427" s="38">
        <f t="shared" si="68"/>
        <v>0</v>
      </c>
    </row>
    <row r="1428" spans="1:11">
      <c r="A1428" t="s">
        <v>295</v>
      </c>
      <c r="B1428" t="s">
        <v>17</v>
      </c>
      <c r="C1428" t="s">
        <v>5847</v>
      </c>
      <c r="D1428" t="s">
        <v>5868</v>
      </c>
      <c r="E1428">
        <v>5937.98</v>
      </c>
      <c r="G1428" s="35"/>
      <c r="H1428" s="36">
        <f t="shared" si="66"/>
        <v>3740.9273999999996</v>
      </c>
      <c r="I1428" s="37">
        <f t="shared" si="67"/>
        <v>3740.9273999999996</v>
      </c>
      <c r="J1428" s="4"/>
      <c r="K1428" s="38">
        <f t="shared" si="68"/>
        <v>0</v>
      </c>
    </row>
    <row r="1429" spans="1:11">
      <c r="A1429" t="s">
        <v>296</v>
      </c>
      <c r="B1429" t="s">
        <v>17</v>
      </c>
      <c r="C1429" t="s">
        <v>5847</v>
      </c>
      <c r="D1429" t="s">
        <v>5869</v>
      </c>
      <c r="E1429">
        <v>8698.93</v>
      </c>
      <c r="G1429" s="35"/>
      <c r="H1429" s="36">
        <f t="shared" si="66"/>
        <v>5480.3258999999998</v>
      </c>
      <c r="I1429" s="37">
        <f t="shared" si="67"/>
        <v>5480.3258999999998</v>
      </c>
      <c r="J1429" s="4"/>
      <c r="K1429" s="38">
        <f t="shared" si="68"/>
        <v>0</v>
      </c>
    </row>
    <row r="1430" spans="1:11">
      <c r="A1430" t="s">
        <v>297</v>
      </c>
      <c r="B1430" t="s">
        <v>17</v>
      </c>
      <c r="C1430" t="s">
        <v>5847</v>
      </c>
      <c r="D1430" t="s">
        <v>5870</v>
      </c>
      <c r="E1430">
        <v>1374.34</v>
      </c>
      <c r="G1430" s="35"/>
      <c r="H1430" s="36">
        <f t="shared" si="66"/>
        <v>865.83420000000001</v>
      </c>
      <c r="I1430" s="37">
        <f t="shared" si="67"/>
        <v>865.83420000000001</v>
      </c>
      <c r="J1430" s="4"/>
      <c r="K1430" s="38">
        <f t="shared" si="68"/>
        <v>0</v>
      </c>
    </row>
    <row r="1431" spans="1:11">
      <c r="A1431" t="s">
        <v>298</v>
      </c>
      <c r="B1431" t="s">
        <v>17</v>
      </c>
      <c r="C1431" t="s">
        <v>5847</v>
      </c>
      <c r="D1431" t="s">
        <v>5871</v>
      </c>
      <c r="E1431">
        <v>1527.43</v>
      </c>
      <c r="G1431" s="35"/>
      <c r="H1431" s="36">
        <f t="shared" si="66"/>
        <v>962.28090000000009</v>
      </c>
      <c r="I1431" s="37">
        <f t="shared" si="67"/>
        <v>962.28090000000009</v>
      </c>
      <c r="J1431" s="4"/>
      <c r="K1431" s="38">
        <f t="shared" si="68"/>
        <v>0</v>
      </c>
    </row>
    <row r="1432" spans="1:11">
      <c r="A1432" t="s">
        <v>299</v>
      </c>
      <c r="B1432" t="s">
        <v>17</v>
      </c>
      <c r="C1432" t="s">
        <v>5847</v>
      </c>
      <c r="D1432" t="s">
        <v>5872</v>
      </c>
      <c r="E1432">
        <v>6329.69</v>
      </c>
      <c r="G1432" s="35"/>
      <c r="H1432" s="36">
        <f t="shared" si="66"/>
        <v>3987.7046999999998</v>
      </c>
      <c r="I1432" s="37">
        <f t="shared" si="67"/>
        <v>3987.7046999999998</v>
      </c>
      <c r="J1432" s="4"/>
      <c r="K1432" s="38">
        <f t="shared" si="68"/>
        <v>0</v>
      </c>
    </row>
    <row r="1433" spans="1:11">
      <c r="A1433" t="s">
        <v>300</v>
      </c>
      <c r="B1433" t="s">
        <v>17</v>
      </c>
      <c r="C1433" t="s">
        <v>5847</v>
      </c>
      <c r="D1433" t="s">
        <v>5873</v>
      </c>
      <c r="E1433">
        <v>2531.0100000000002</v>
      </c>
      <c r="G1433" s="35"/>
      <c r="H1433" s="36">
        <f t="shared" si="66"/>
        <v>1594.5363000000002</v>
      </c>
      <c r="I1433" s="37">
        <f t="shared" si="67"/>
        <v>1594.5363000000002</v>
      </c>
      <c r="J1433" s="4"/>
      <c r="K1433" s="38">
        <f t="shared" si="68"/>
        <v>0</v>
      </c>
    </row>
    <row r="1434" spans="1:11">
      <c r="A1434" t="s">
        <v>301</v>
      </c>
      <c r="B1434" t="s">
        <v>17</v>
      </c>
      <c r="C1434" t="s">
        <v>5847</v>
      </c>
      <c r="D1434" t="s">
        <v>5874</v>
      </c>
      <c r="E1434">
        <v>30245.279999999999</v>
      </c>
      <c r="G1434" s="35"/>
      <c r="H1434" s="36">
        <f t="shared" si="66"/>
        <v>19054.526399999999</v>
      </c>
      <c r="I1434" s="37">
        <f t="shared" si="67"/>
        <v>19054.526399999999</v>
      </c>
      <c r="J1434" s="4"/>
      <c r="K1434" s="38">
        <f t="shared" si="68"/>
        <v>0</v>
      </c>
    </row>
    <row r="1435" spans="1:11">
      <c r="A1435" t="s">
        <v>302</v>
      </c>
      <c r="B1435" t="s">
        <v>17</v>
      </c>
      <c r="C1435" t="s">
        <v>5847</v>
      </c>
      <c r="D1435" t="s">
        <v>5875</v>
      </c>
      <c r="E1435">
        <v>20922.55</v>
      </c>
      <c r="G1435" s="35"/>
      <c r="H1435" s="36">
        <f t="shared" si="66"/>
        <v>13181.2065</v>
      </c>
      <c r="I1435" s="37">
        <f t="shared" si="67"/>
        <v>13181.2065</v>
      </c>
      <c r="J1435" s="4"/>
      <c r="K1435" s="38">
        <f t="shared" si="68"/>
        <v>0</v>
      </c>
    </row>
    <row r="1436" spans="1:11">
      <c r="A1436" t="s">
        <v>303</v>
      </c>
      <c r="B1436" t="s">
        <v>17</v>
      </c>
      <c r="C1436" t="s">
        <v>5847</v>
      </c>
      <c r="D1436" t="s">
        <v>5876</v>
      </c>
      <c r="E1436">
        <v>14771.87</v>
      </c>
      <c r="G1436" s="35"/>
      <c r="H1436" s="36">
        <f t="shared" si="66"/>
        <v>9306.2781000000014</v>
      </c>
      <c r="I1436" s="37">
        <f t="shared" si="67"/>
        <v>9306.2781000000014</v>
      </c>
      <c r="J1436" s="4"/>
      <c r="K1436" s="38">
        <f t="shared" si="68"/>
        <v>0</v>
      </c>
    </row>
    <row r="1437" spans="1:11">
      <c r="A1437" t="s">
        <v>304</v>
      </c>
      <c r="B1437" t="s">
        <v>17</v>
      </c>
      <c r="C1437" t="s">
        <v>5847</v>
      </c>
      <c r="D1437" t="s">
        <v>5877</v>
      </c>
      <c r="E1437">
        <v>46101.49</v>
      </c>
      <c r="G1437" s="35"/>
      <c r="H1437" s="36">
        <f t="shared" si="66"/>
        <v>29043.938699999999</v>
      </c>
      <c r="I1437" s="37">
        <f t="shared" si="67"/>
        <v>29043.938699999999</v>
      </c>
      <c r="J1437" s="4"/>
      <c r="K1437" s="38">
        <f t="shared" si="68"/>
        <v>0</v>
      </c>
    </row>
    <row r="1438" spans="1:11">
      <c r="A1438" t="s">
        <v>305</v>
      </c>
      <c r="B1438" t="s">
        <v>17</v>
      </c>
      <c r="C1438" t="s">
        <v>5847</v>
      </c>
      <c r="D1438" t="s">
        <v>5878</v>
      </c>
      <c r="E1438">
        <v>46101.49</v>
      </c>
      <c r="G1438" s="35"/>
      <c r="H1438" s="36">
        <f t="shared" si="66"/>
        <v>29043.938699999999</v>
      </c>
      <c r="I1438" s="37">
        <f t="shared" si="67"/>
        <v>29043.938699999999</v>
      </c>
      <c r="J1438" s="4"/>
      <c r="K1438" s="38">
        <f t="shared" si="68"/>
        <v>0</v>
      </c>
    </row>
    <row r="1439" spans="1:11">
      <c r="A1439" t="s">
        <v>306</v>
      </c>
      <c r="B1439" t="s">
        <v>17</v>
      </c>
      <c r="C1439" t="s">
        <v>5847</v>
      </c>
      <c r="D1439" t="s">
        <v>5851</v>
      </c>
      <c r="E1439">
        <v>12862.82</v>
      </c>
      <c r="G1439" s="35"/>
      <c r="H1439" s="36">
        <f t="shared" si="66"/>
        <v>8103.5766000000003</v>
      </c>
      <c r="I1439" s="37">
        <f t="shared" si="67"/>
        <v>8103.5766000000003</v>
      </c>
      <c r="J1439" s="4"/>
      <c r="K1439" s="38">
        <f t="shared" si="68"/>
        <v>0</v>
      </c>
    </row>
    <row r="1440" spans="1:11">
      <c r="A1440" t="s">
        <v>307</v>
      </c>
      <c r="B1440" t="s">
        <v>17</v>
      </c>
      <c r="C1440" t="s">
        <v>5847</v>
      </c>
      <c r="D1440" t="s">
        <v>5852</v>
      </c>
      <c r="E1440">
        <v>10150.23</v>
      </c>
      <c r="G1440" s="35"/>
      <c r="H1440" s="36">
        <f t="shared" si="66"/>
        <v>6394.6448999999993</v>
      </c>
      <c r="I1440" s="37">
        <f t="shared" si="67"/>
        <v>6394.6448999999993</v>
      </c>
      <c r="J1440" s="4"/>
      <c r="K1440" s="38">
        <f t="shared" si="68"/>
        <v>0</v>
      </c>
    </row>
    <row r="1441" spans="1:11">
      <c r="A1441" t="s">
        <v>308</v>
      </c>
      <c r="B1441" t="s">
        <v>17</v>
      </c>
      <c r="C1441" t="s">
        <v>5847</v>
      </c>
      <c r="D1441" t="s">
        <v>5879</v>
      </c>
      <c r="E1441">
        <v>9743.59</v>
      </c>
      <c r="G1441" s="35"/>
      <c r="H1441" s="36">
        <f t="shared" si="66"/>
        <v>6138.4616999999998</v>
      </c>
      <c r="I1441" s="37">
        <f t="shared" si="67"/>
        <v>6138.4616999999998</v>
      </c>
      <c r="J1441" s="4"/>
      <c r="K1441" s="38">
        <f t="shared" si="68"/>
        <v>0</v>
      </c>
    </row>
    <row r="1442" spans="1:11">
      <c r="A1442" t="s">
        <v>309</v>
      </c>
      <c r="B1442" t="s">
        <v>17</v>
      </c>
      <c r="C1442" t="s">
        <v>5847</v>
      </c>
      <c r="D1442" t="s">
        <v>5880</v>
      </c>
      <c r="E1442">
        <v>10234.76</v>
      </c>
      <c r="G1442" s="35"/>
      <c r="H1442" s="36">
        <f t="shared" si="66"/>
        <v>6447.8987999999999</v>
      </c>
      <c r="I1442" s="37">
        <f t="shared" si="67"/>
        <v>6447.8987999999999</v>
      </c>
      <c r="J1442" s="4"/>
      <c r="K1442" s="38">
        <f t="shared" si="68"/>
        <v>0</v>
      </c>
    </row>
    <row r="1443" spans="1:11">
      <c r="A1443" t="s">
        <v>310</v>
      </c>
      <c r="B1443" t="s">
        <v>17</v>
      </c>
      <c r="C1443" t="s">
        <v>5847</v>
      </c>
      <c r="D1443" t="s">
        <v>5881</v>
      </c>
      <c r="E1443">
        <v>5231.45</v>
      </c>
      <c r="G1443" s="35"/>
      <c r="H1443" s="36">
        <f t="shared" si="66"/>
        <v>3295.8134999999997</v>
      </c>
      <c r="I1443" s="37">
        <f t="shared" si="67"/>
        <v>3295.8134999999997</v>
      </c>
      <c r="J1443" s="4"/>
      <c r="K1443" s="38">
        <f t="shared" si="68"/>
        <v>0</v>
      </c>
    </row>
    <row r="1444" spans="1:11">
      <c r="A1444" t="s">
        <v>311</v>
      </c>
      <c r="B1444" t="s">
        <v>17</v>
      </c>
      <c r="C1444" t="s">
        <v>5847</v>
      </c>
      <c r="D1444" t="s">
        <v>5882</v>
      </c>
      <c r="E1444">
        <v>381.04</v>
      </c>
      <c r="G1444" s="35"/>
      <c r="H1444" s="36">
        <f t="shared" si="66"/>
        <v>240.05520000000001</v>
      </c>
      <c r="I1444" s="37">
        <f t="shared" si="67"/>
        <v>240.05520000000001</v>
      </c>
      <c r="J1444" s="4"/>
      <c r="K1444" s="38">
        <f t="shared" si="68"/>
        <v>0</v>
      </c>
    </row>
    <row r="1445" spans="1:11">
      <c r="A1445" t="s">
        <v>3890</v>
      </c>
      <c r="B1445" t="s">
        <v>17</v>
      </c>
      <c r="C1445" t="s">
        <v>9358</v>
      </c>
      <c r="D1445" t="s">
        <v>9359</v>
      </c>
      <c r="E1445">
        <v>10075.31</v>
      </c>
      <c r="G1445" s="35"/>
      <c r="H1445" s="36">
        <f t="shared" si="66"/>
        <v>6347.4452999999994</v>
      </c>
      <c r="I1445" s="37">
        <f t="shared" si="67"/>
        <v>6347.4452999999994</v>
      </c>
      <c r="J1445" s="4"/>
      <c r="K1445" s="38">
        <f t="shared" si="68"/>
        <v>0</v>
      </c>
    </row>
    <row r="1446" spans="1:11">
      <c r="A1446" t="s">
        <v>3891</v>
      </c>
      <c r="B1446" t="s">
        <v>17</v>
      </c>
      <c r="C1446" t="s">
        <v>9358</v>
      </c>
      <c r="D1446" t="s">
        <v>9360</v>
      </c>
      <c r="E1446">
        <v>6466.51</v>
      </c>
      <c r="G1446" s="35"/>
      <c r="H1446" s="36">
        <f t="shared" si="66"/>
        <v>4073.9013</v>
      </c>
      <c r="I1446" s="37">
        <f t="shared" si="67"/>
        <v>4073.9013</v>
      </c>
      <c r="J1446" s="4"/>
      <c r="K1446" s="38">
        <f t="shared" si="68"/>
        <v>0</v>
      </c>
    </row>
    <row r="1447" spans="1:11">
      <c r="A1447" t="s">
        <v>3892</v>
      </c>
      <c r="B1447" t="s">
        <v>17</v>
      </c>
      <c r="C1447" t="s">
        <v>9358</v>
      </c>
      <c r="D1447" t="s">
        <v>9361</v>
      </c>
      <c r="E1447">
        <v>12497.64</v>
      </c>
      <c r="G1447" s="35"/>
      <c r="H1447" s="36">
        <f t="shared" si="66"/>
        <v>7873.5131999999994</v>
      </c>
      <c r="I1447" s="37">
        <f t="shared" si="67"/>
        <v>7873.5131999999994</v>
      </c>
      <c r="J1447" s="4"/>
      <c r="K1447" s="38">
        <f t="shared" si="68"/>
        <v>0</v>
      </c>
    </row>
    <row r="1448" spans="1:11">
      <c r="A1448" t="s">
        <v>3893</v>
      </c>
      <c r="B1448" t="s">
        <v>17</v>
      </c>
      <c r="C1448" t="s">
        <v>9358</v>
      </c>
      <c r="D1448" t="s">
        <v>9362</v>
      </c>
      <c r="E1448">
        <v>1168.1500000000001</v>
      </c>
      <c r="G1448" s="35"/>
      <c r="H1448" s="36">
        <f t="shared" si="66"/>
        <v>735.93450000000007</v>
      </c>
      <c r="I1448" s="37">
        <f t="shared" si="67"/>
        <v>735.93450000000007</v>
      </c>
      <c r="J1448" s="4"/>
      <c r="K1448" s="38">
        <f t="shared" si="68"/>
        <v>0</v>
      </c>
    </row>
    <row r="1449" spans="1:11">
      <c r="A1449" t="s">
        <v>3894</v>
      </c>
      <c r="B1449" t="s">
        <v>17</v>
      </c>
      <c r="C1449" t="s">
        <v>9358</v>
      </c>
      <c r="D1449" t="s">
        <v>9363</v>
      </c>
      <c r="E1449">
        <v>10667.29</v>
      </c>
      <c r="G1449" s="35"/>
      <c r="H1449" s="36">
        <f t="shared" si="66"/>
        <v>6720.3927000000003</v>
      </c>
      <c r="I1449" s="37">
        <f t="shared" si="67"/>
        <v>6720.3927000000003</v>
      </c>
      <c r="J1449" s="4"/>
      <c r="K1449" s="38">
        <f t="shared" si="68"/>
        <v>0</v>
      </c>
    </row>
    <row r="1450" spans="1:11">
      <c r="A1450" t="s">
        <v>2461</v>
      </c>
      <c r="B1450" t="s">
        <v>17</v>
      </c>
      <c r="C1450" t="s">
        <v>7987</v>
      </c>
      <c r="D1450" t="s">
        <v>7988</v>
      </c>
      <c r="E1450">
        <v>224470.8</v>
      </c>
      <c r="G1450" s="35"/>
      <c r="H1450" s="36">
        <f t="shared" si="66"/>
        <v>141416.60399999999</v>
      </c>
      <c r="I1450" s="37">
        <f t="shared" si="67"/>
        <v>141416.60399999999</v>
      </c>
      <c r="J1450" s="4"/>
      <c r="K1450" s="38">
        <f t="shared" si="68"/>
        <v>0</v>
      </c>
    </row>
    <row r="1451" spans="1:11">
      <c r="A1451" t="s">
        <v>2462</v>
      </c>
      <c r="B1451" t="s">
        <v>17</v>
      </c>
      <c r="C1451" t="s">
        <v>7987</v>
      </c>
      <c r="D1451" t="s">
        <v>7989</v>
      </c>
      <c r="E1451">
        <v>267001.76</v>
      </c>
      <c r="G1451" s="35"/>
      <c r="H1451" s="36">
        <f t="shared" si="66"/>
        <v>168211.10880000002</v>
      </c>
      <c r="I1451" s="37">
        <f t="shared" si="67"/>
        <v>168211.10880000002</v>
      </c>
      <c r="J1451" s="4"/>
      <c r="K1451" s="38">
        <f t="shared" si="68"/>
        <v>0</v>
      </c>
    </row>
    <row r="1452" spans="1:11">
      <c r="A1452" t="s">
        <v>2463</v>
      </c>
      <c r="B1452" t="s">
        <v>17</v>
      </c>
      <c r="C1452" t="s">
        <v>7987</v>
      </c>
      <c r="D1452" t="s">
        <v>7990</v>
      </c>
      <c r="E1452">
        <v>449981.81</v>
      </c>
      <c r="G1452" s="35"/>
      <c r="H1452" s="36">
        <f t="shared" si="66"/>
        <v>283488.54029999999</v>
      </c>
      <c r="I1452" s="37">
        <f t="shared" si="67"/>
        <v>283488.54029999999</v>
      </c>
      <c r="J1452" s="4"/>
      <c r="K1452" s="38">
        <f t="shared" si="68"/>
        <v>0</v>
      </c>
    </row>
    <row r="1453" spans="1:11">
      <c r="A1453" t="s">
        <v>2464</v>
      </c>
      <c r="B1453" t="s">
        <v>17</v>
      </c>
      <c r="C1453" t="s">
        <v>7987</v>
      </c>
      <c r="D1453" t="s">
        <v>7991</v>
      </c>
      <c r="E1453">
        <v>361808.93</v>
      </c>
      <c r="G1453" s="35"/>
      <c r="H1453" s="36">
        <f t="shared" si="66"/>
        <v>227939.62589999998</v>
      </c>
      <c r="I1453" s="37">
        <f t="shared" si="67"/>
        <v>227939.62589999998</v>
      </c>
      <c r="J1453" s="4"/>
      <c r="K1453" s="38">
        <f t="shared" si="68"/>
        <v>0</v>
      </c>
    </row>
    <row r="1454" spans="1:11">
      <c r="A1454" t="s">
        <v>2465</v>
      </c>
      <c r="B1454" t="s">
        <v>17</v>
      </c>
      <c r="C1454" t="s">
        <v>7987</v>
      </c>
      <c r="D1454" t="s">
        <v>7992</v>
      </c>
      <c r="E1454">
        <v>136218.67000000001</v>
      </c>
      <c r="G1454" s="35"/>
      <c r="H1454" s="36">
        <f t="shared" si="66"/>
        <v>85817.762100000007</v>
      </c>
      <c r="I1454" s="37">
        <f t="shared" si="67"/>
        <v>85817.762100000007</v>
      </c>
      <c r="J1454" s="4"/>
      <c r="K1454" s="38">
        <f t="shared" si="68"/>
        <v>0</v>
      </c>
    </row>
    <row r="1455" spans="1:11">
      <c r="A1455" t="s">
        <v>2466</v>
      </c>
      <c r="B1455" t="s">
        <v>17</v>
      </c>
      <c r="C1455" t="s">
        <v>7987</v>
      </c>
      <c r="D1455" t="s">
        <v>7993</v>
      </c>
      <c r="E1455">
        <v>195767.31</v>
      </c>
      <c r="G1455" s="35"/>
      <c r="H1455" s="36">
        <f t="shared" si="66"/>
        <v>123333.4053</v>
      </c>
      <c r="I1455" s="37">
        <f t="shared" si="67"/>
        <v>123333.4053</v>
      </c>
      <c r="J1455" s="4"/>
      <c r="K1455" s="38">
        <f t="shared" si="68"/>
        <v>0</v>
      </c>
    </row>
    <row r="1456" spans="1:11">
      <c r="A1456" t="s">
        <v>2467</v>
      </c>
      <c r="B1456" t="s">
        <v>17</v>
      </c>
      <c r="C1456" t="s">
        <v>7987</v>
      </c>
      <c r="D1456" t="s">
        <v>7994</v>
      </c>
      <c r="E1456">
        <v>301026.40000000002</v>
      </c>
      <c r="G1456" s="35"/>
      <c r="H1456" s="36">
        <f t="shared" si="66"/>
        <v>189646.63200000001</v>
      </c>
      <c r="I1456" s="37">
        <f t="shared" si="67"/>
        <v>189646.63200000001</v>
      </c>
      <c r="J1456" s="4"/>
      <c r="K1456" s="38">
        <f t="shared" si="68"/>
        <v>0</v>
      </c>
    </row>
    <row r="1457" spans="1:11">
      <c r="A1457" t="s">
        <v>2468</v>
      </c>
      <c r="B1457" t="s">
        <v>17</v>
      </c>
      <c r="C1457" t="s">
        <v>7987</v>
      </c>
      <c r="D1457" t="s">
        <v>7995</v>
      </c>
      <c r="E1457">
        <v>745473.89</v>
      </c>
      <c r="G1457" s="35"/>
      <c r="H1457" s="36">
        <f t="shared" si="66"/>
        <v>469648.55070000002</v>
      </c>
      <c r="I1457" s="37">
        <f t="shared" si="67"/>
        <v>469648.55070000002</v>
      </c>
      <c r="J1457" s="4"/>
      <c r="K1457" s="38">
        <f t="shared" si="68"/>
        <v>0</v>
      </c>
    </row>
    <row r="1458" spans="1:11">
      <c r="A1458" t="s">
        <v>2469</v>
      </c>
      <c r="B1458" t="s">
        <v>17</v>
      </c>
      <c r="C1458" t="s">
        <v>7987</v>
      </c>
      <c r="D1458" t="s">
        <v>7996</v>
      </c>
      <c r="E1458">
        <v>616290.44999999995</v>
      </c>
      <c r="G1458" s="35"/>
      <c r="H1458" s="36">
        <f t="shared" si="66"/>
        <v>388262.98349999997</v>
      </c>
      <c r="I1458" s="37">
        <f t="shared" si="67"/>
        <v>388262.98349999997</v>
      </c>
      <c r="J1458" s="4"/>
      <c r="K1458" s="38">
        <f t="shared" si="68"/>
        <v>0</v>
      </c>
    </row>
    <row r="1459" spans="1:11">
      <c r="A1459" t="s">
        <v>2470</v>
      </c>
      <c r="B1459" t="s">
        <v>17</v>
      </c>
      <c r="C1459" t="s">
        <v>7987</v>
      </c>
      <c r="D1459" t="s">
        <v>7997</v>
      </c>
      <c r="E1459">
        <v>97941.51</v>
      </c>
      <c r="G1459" s="35"/>
      <c r="H1459" s="36">
        <f t="shared" si="66"/>
        <v>61703.151299999998</v>
      </c>
      <c r="I1459" s="37">
        <f t="shared" si="67"/>
        <v>61703.151299999998</v>
      </c>
      <c r="J1459" s="4"/>
      <c r="K1459" s="38">
        <f t="shared" si="68"/>
        <v>0</v>
      </c>
    </row>
    <row r="1460" spans="1:11">
      <c r="A1460" t="s">
        <v>2471</v>
      </c>
      <c r="B1460" t="s">
        <v>17</v>
      </c>
      <c r="C1460" t="s">
        <v>7987</v>
      </c>
      <c r="D1460" t="s">
        <v>7998</v>
      </c>
      <c r="E1460">
        <v>181939.99</v>
      </c>
      <c r="G1460" s="35"/>
      <c r="H1460" s="36">
        <f t="shared" si="66"/>
        <v>114622.19369999999</v>
      </c>
      <c r="I1460" s="37">
        <f t="shared" si="67"/>
        <v>114622.19369999999</v>
      </c>
      <c r="J1460" s="4"/>
      <c r="K1460" s="38">
        <f t="shared" si="68"/>
        <v>0</v>
      </c>
    </row>
    <row r="1461" spans="1:11">
      <c r="A1461" t="s">
        <v>2472</v>
      </c>
      <c r="B1461" t="s">
        <v>17</v>
      </c>
      <c r="C1461" t="s">
        <v>7987</v>
      </c>
      <c r="D1461" t="s">
        <v>7999</v>
      </c>
      <c r="E1461">
        <v>309529.58</v>
      </c>
      <c r="G1461" s="35"/>
      <c r="H1461" s="36">
        <f t="shared" si="66"/>
        <v>195003.6354</v>
      </c>
      <c r="I1461" s="37">
        <f t="shared" si="67"/>
        <v>195003.6354</v>
      </c>
      <c r="J1461" s="4"/>
      <c r="K1461" s="38">
        <f t="shared" si="68"/>
        <v>0</v>
      </c>
    </row>
    <row r="1462" spans="1:11">
      <c r="A1462" t="s">
        <v>2473</v>
      </c>
      <c r="B1462" t="s">
        <v>17</v>
      </c>
      <c r="C1462" t="s">
        <v>7987</v>
      </c>
      <c r="D1462" t="s">
        <v>8000</v>
      </c>
      <c r="E1462">
        <v>494541.83</v>
      </c>
      <c r="G1462" s="35"/>
      <c r="H1462" s="36">
        <f t="shared" si="66"/>
        <v>311561.3529</v>
      </c>
      <c r="I1462" s="37">
        <f t="shared" si="67"/>
        <v>311561.3529</v>
      </c>
      <c r="J1462" s="4"/>
      <c r="K1462" s="38">
        <f t="shared" si="68"/>
        <v>0</v>
      </c>
    </row>
    <row r="1463" spans="1:11">
      <c r="A1463" t="s">
        <v>2474</v>
      </c>
      <c r="B1463" t="s">
        <v>17</v>
      </c>
      <c r="C1463" t="s">
        <v>7987</v>
      </c>
      <c r="D1463" t="s">
        <v>8001</v>
      </c>
      <c r="E1463">
        <v>745276.58</v>
      </c>
      <c r="G1463" s="35"/>
      <c r="H1463" s="36">
        <f t="shared" si="66"/>
        <v>469524.24539999996</v>
      </c>
      <c r="I1463" s="37">
        <f t="shared" si="67"/>
        <v>469524.24539999996</v>
      </c>
      <c r="J1463" s="4"/>
      <c r="K1463" s="38">
        <f t="shared" si="68"/>
        <v>0</v>
      </c>
    </row>
    <row r="1464" spans="1:11">
      <c r="A1464" t="s">
        <v>2475</v>
      </c>
      <c r="B1464" t="s">
        <v>17</v>
      </c>
      <c r="C1464" t="s">
        <v>7987</v>
      </c>
      <c r="D1464" t="s">
        <v>8002</v>
      </c>
      <c r="E1464">
        <v>605593.39</v>
      </c>
      <c r="G1464" s="35"/>
      <c r="H1464" s="36">
        <f t="shared" si="66"/>
        <v>381523.8357</v>
      </c>
      <c r="I1464" s="37">
        <f t="shared" si="67"/>
        <v>381523.8357</v>
      </c>
      <c r="J1464" s="4"/>
      <c r="K1464" s="38">
        <f t="shared" si="68"/>
        <v>0</v>
      </c>
    </row>
    <row r="1465" spans="1:11">
      <c r="A1465" t="s">
        <v>2476</v>
      </c>
      <c r="B1465" t="s">
        <v>17</v>
      </c>
      <c r="C1465" t="s">
        <v>7987</v>
      </c>
      <c r="D1465" t="s">
        <v>8003</v>
      </c>
      <c r="E1465">
        <v>255303.27</v>
      </c>
      <c r="G1465" s="35"/>
      <c r="H1465" s="36">
        <f t="shared" si="66"/>
        <v>160841.0601</v>
      </c>
      <c r="I1465" s="37">
        <f t="shared" si="67"/>
        <v>160841.0601</v>
      </c>
      <c r="J1465" s="4"/>
      <c r="K1465" s="38">
        <f t="shared" si="68"/>
        <v>0</v>
      </c>
    </row>
    <row r="1466" spans="1:11">
      <c r="A1466" t="s">
        <v>2477</v>
      </c>
      <c r="B1466" t="s">
        <v>17</v>
      </c>
      <c r="C1466" t="s">
        <v>7987</v>
      </c>
      <c r="D1466" t="s">
        <v>8004</v>
      </c>
      <c r="E1466">
        <v>164927.62</v>
      </c>
      <c r="G1466" s="35"/>
      <c r="H1466" s="36">
        <f t="shared" si="66"/>
        <v>103904.40059999999</v>
      </c>
      <c r="I1466" s="37">
        <f t="shared" si="67"/>
        <v>103904.40059999999</v>
      </c>
      <c r="J1466" s="4"/>
      <c r="K1466" s="38">
        <f t="shared" si="68"/>
        <v>0</v>
      </c>
    </row>
    <row r="1467" spans="1:11">
      <c r="A1467" t="s">
        <v>2478</v>
      </c>
      <c r="B1467" t="s">
        <v>17</v>
      </c>
      <c r="C1467" t="s">
        <v>7987</v>
      </c>
      <c r="D1467" t="s">
        <v>8005</v>
      </c>
      <c r="E1467">
        <v>281887.51</v>
      </c>
      <c r="G1467" s="35"/>
      <c r="H1467" s="36">
        <f t="shared" si="66"/>
        <v>177589.13130000001</v>
      </c>
      <c r="I1467" s="37">
        <f t="shared" si="67"/>
        <v>177589.13130000001</v>
      </c>
      <c r="J1467" s="4"/>
      <c r="K1467" s="38">
        <f t="shared" si="68"/>
        <v>0</v>
      </c>
    </row>
    <row r="1468" spans="1:11">
      <c r="A1468" t="s">
        <v>2479</v>
      </c>
      <c r="B1468" t="s">
        <v>17</v>
      </c>
      <c r="C1468" t="s">
        <v>8006</v>
      </c>
      <c r="D1468" t="s">
        <v>8007</v>
      </c>
      <c r="E1468">
        <v>159797.07999999999</v>
      </c>
      <c r="G1468" s="35"/>
      <c r="H1468" s="36">
        <f t="shared" si="66"/>
        <v>100672.16039999999</v>
      </c>
      <c r="I1468" s="37">
        <f t="shared" si="67"/>
        <v>100672.16039999999</v>
      </c>
      <c r="J1468" s="4"/>
      <c r="K1468" s="38">
        <f t="shared" si="68"/>
        <v>0</v>
      </c>
    </row>
    <row r="1469" spans="1:11">
      <c r="A1469" t="s">
        <v>2480</v>
      </c>
      <c r="B1469" t="s">
        <v>17</v>
      </c>
      <c r="C1469" t="s">
        <v>8006</v>
      </c>
      <c r="D1469" t="s">
        <v>8008</v>
      </c>
      <c r="E1469">
        <v>214776.49</v>
      </c>
      <c r="G1469" s="35"/>
      <c r="H1469" s="36">
        <f t="shared" si="66"/>
        <v>135309.1887</v>
      </c>
      <c r="I1469" s="37">
        <f t="shared" si="67"/>
        <v>135309.1887</v>
      </c>
      <c r="J1469" s="4"/>
      <c r="K1469" s="38">
        <f t="shared" si="68"/>
        <v>0</v>
      </c>
    </row>
    <row r="1470" spans="1:11">
      <c r="A1470" t="s">
        <v>2481</v>
      </c>
      <c r="B1470" t="s">
        <v>17</v>
      </c>
      <c r="C1470" t="s">
        <v>8006</v>
      </c>
      <c r="D1470" t="s">
        <v>8009</v>
      </c>
      <c r="E1470">
        <v>131484.89000000001</v>
      </c>
      <c r="G1470" s="35"/>
      <c r="H1470" s="36">
        <f t="shared" si="66"/>
        <v>82835.480700000015</v>
      </c>
      <c r="I1470" s="37">
        <f t="shared" si="67"/>
        <v>82835.480700000015</v>
      </c>
      <c r="J1470" s="4"/>
      <c r="K1470" s="38">
        <f t="shared" si="68"/>
        <v>0</v>
      </c>
    </row>
    <row r="1471" spans="1:11">
      <c r="A1471" t="s">
        <v>2482</v>
      </c>
      <c r="B1471" t="s">
        <v>17</v>
      </c>
      <c r="C1471" t="s">
        <v>8006</v>
      </c>
      <c r="D1471" t="s">
        <v>8010</v>
      </c>
      <c r="E1471">
        <v>319595.68</v>
      </c>
      <c r="G1471" s="35"/>
      <c r="H1471" s="36">
        <f t="shared" si="66"/>
        <v>201345.27840000001</v>
      </c>
      <c r="I1471" s="37">
        <f t="shared" si="67"/>
        <v>201345.27840000001</v>
      </c>
      <c r="J1471" s="4"/>
      <c r="K1471" s="38">
        <f t="shared" si="68"/>
        <v>0</v>
      </c>
    </row>
    <row r="1472" spans="1:11">
      <c r="A1472" t="s">
        <v>2483</v>
      </c>
      <c r="B1472" t="s">
        <v>17</v>
      </c>
      <c r="C1472" t="s">
        <v>8006</v>
      </c>
      <c r="D1472" t="s">
        <v>8011</v>
      </c>
      <c r="E1472">
        <v>357959.85</v>
      </c>
      <c r="G1472" s="35"/>
      <c r="H1472" s="36">
        <f t="shared" si="66"/>
        <v>225514.70549999998</v>
      </c>
      <c r="I1472" s="37">
        <f t="shared" si="67"/>
        <v>225514.70549999998</v>
      </c>
      <c r="J1472" s="4"/>
      <c r="K1472" s="38">
        <f t="shared" si="68"/>
        <v>0</v>
      </c>
    </row>
    <row r="1473" spans="1:11">
      <c r="A1473" t="s">
        <v>2484</v>
      </c>
      <c r="B1473" t="s">
        <v>17</v>
      </c>
      <c r="C1473" t="s">
        <v>8006</v>
      </c>
      <c r="D1473" t="s">
        <v>8012</v>
      </c>
      <c r="E1473">
        <v>429547.08</v>
      </c>
      <c r="G1473" s="35"/>
      <c r="H1473" s="36">
        <f t="shared" si="66"/>
        <v>270614.66039999999</v>
      </c>
      <c r="I1473" s="37">
        <f t="shared" si="67"/>
        <v>270614.66039999999</v>
      </c>
      <c r="J1473" s="4"/>
      <c r="K1473" s="38">
        <f t="shared" si="68"/>
        <v>0</v>
      </c>
    </row>
    <row r="1474" spans="1:11">
      <c r="A1474" t="s">
        <v>2485</v>
      </c>
      <c r="B1474" t="s">
        <v>17</v>
      </c>
      <c r="C1474" t="s">
        <v>8006</v>
      </c>
      <c r="D1474" t="s">
        <v>8013</v>
      </c>
      <c r="E1474">
        <v>715918.24</v>
      </c>
      <c r="G1474" s="35"/>
      <c r="H1474" s="36">
        <f t="shared" si="66"/>
        <v>451028.49119999999</v>
      </c>
      <c r="I1474" s="37">
        <f t="shared" si="67"/>
        <v>451028.49119999999</v>
      </c>
      <c r="J1474" s="4"/>
      <c r="K1474" s="38">
        <f t="shared" si="68"/>
        <v>0</v>
      </c>
    </row>
    <row r="1475" spans="1:11">
      <c r="A1475" t="s">
        <v>2567</v>
      </c>
      <c r="B1475" t="s">
        <v>17</v>
      </c>
      <c r="C1475" t="s">
        <v>8093</v>
      </c>
      <c r="D1475" t="s">
        <v>8094</v>
      </c>
      <c r="E1475">
        <v>2380.62</v>
      </c>
      <c r="G1475" s="35"/>
      <c r="H1475" s="36">
        <f t="shared" si="66"/>
        <v>1499.7906</v>
      </c>
      <c r="I1475" s="37">
        <f t="shared" si="67"/>
        <v>1499.7906</v>
      </c>
      <c r="J1475" s="4"/>
      <c r="K1475" s="38">
        <f t="shared" si="68"/>
        <v>0</v>
      </c>
    </row>
    <row r="1476" spans="1:11">
      <c r="A1476" t="s">
        <v>2568</v>
      </c>
      <c r="B1476" t="s">
        <v>17</v>
      </c>
      <c r="C1476" t="s">
        <v>8093</v>
      </c>
      <c r="D1476" t="s">
        <v>8095</v>
      </c>
      <c r="E1476">
        <v>2975.75</v>
      </c>
      <c r="G1476" s="35"/>
      <c r="H1476" s="36">
        <f t="shared" si="66"/>
        <v>1874.7225000000001</v>
      </c>
      <c r="I1476" s="37">
        <f t="shared" si="67"/>
        <v>1874.7225000000001</v>
      </c>
      <c r="J1476" s="4"/>
      <c r="K1476" s="38">
        <f t="shared" si="68"/>
        <v>0</v>
      </c>
    </row>
    <row r="1477" spans="1:11">
      <c r="A1477" t="s">
        <v>2569</v>
      </c>
      <c r="B1477" t="s">
        <v>17</v>
      </c>
      <c r="C1477" t="s">
        <v>8093</v>
      </c>
      <c r="D1477" t="s">
        <v>8096</v>
      </c>
      <c r="E1477">
        <v>4360.95</v>
      </c>
      <c r="G1477" s="35"/>
      <c r="H1477" s="36">
        <f t="shared" si="66"/>
        <v>2747.3984999999998</v>
      </c>
      <c r="I1477" s="37">
        <f t="shared" si="67"/>
        <v>2747.3984999999998</v>
      </c>
      <c r="J1477" s="4"/>
      <c r="K1477" s="38">
        <f t="shared" si="68"/>
        <v>0</v>
      </c>
    </row>
    <row r="1478" spans="1:11">
      <c r="A1478" t="s">
        <v>2570</v>
      </c>
      <c r="B1478" t="s">
        <v>17</v>
      </c>
      <c r="C1478" t="s">
        <v>8093</v>
      </c>
      <c r="D1478" t="s">
        <v>8097</v>
      </c>
      <c r="E1478">
        <v>1858.02</v>
      </c>
      <c r="G1478" s="35"/>
      <c r="H1478" s="36">
        <f t="shared" si="66"/>
        <v>1170.5526</v>
      </c>
      <c r="I1478" s="37">
        <f t="shared" si="67"/>
        <v>1170.5526</v>
      </c>
      <c r="J1478" s="4"/>
      <c r="K1478" s="38">
        <f t="shared" si="68"/>
        <v>0</v>
      </c>
    </row>
    <row r="1479" spans="1:11">
      <c r="A1479" t="s">
        <v>2571</v>
      </c>
      <c r="B1479" t="s">
        <v>17</v>
      </c>
      <c r="C1479" t="s">
        <v>8093</v>
      </c>
      <c r="D1479" t="s">
        <v>8098</v>
      </c>
      <c r="E1479">
        <v>1858.02</v>
      </c>
      <c r="G1479" s="35"/>
      <c r="H1479" s="36">
        <f t="shared" ref="H1479:H1542" si="69">+E1479*$H$1*(1-G1479)</f>
        <v>1170.5526</v>
      </c>
      <c r="I1479" s="37">
        <f t="shared" ref="I1479:I1542" si="70">H1479*$H$4</f>
        <v>1170.5526</v>
      </c>
      <c r="J1479" s="4"/>
      <c r="K1479" s="38">
        <f t="shared" ref="K1479:K1542" si="71">J1479*I1479</f>
        <v>0</v>
      </c>
    </row>
    <row r="1480" spans="1:11">
      <c r="A1480" t="s">
        <v>2572</v>
      </c>
      <c r="B1480" t="s">
        <v>17</v>
      </c>
      <c r="C1480" t="s">
        <v>8093</v>
      </c>
      <c r="D1480" t="s">
        <v>8099</v>
      </c>
      <c r="E1480">
        <v>2652.17</v>
      </c>
      <c r="G1480" s="35"/>
      <c r="H1480" s="36">
        <f t="shared" si="69"/>
        <v>1670.8671000000002</v>
      </c>
      <c r="I1480" s="37">
        <f t="shared" si="70"/>
        <v>1670.8671000000002</v>
      </c>
      <c r="J1480" s="4"/>
      <c r="K1480" s="38">
        <f t="shared" si="71"/>
        <v>0</v>
      </c>
    </row>
    <row r="1481" spans="1:11">
      <c r="A1481" t="s">
        <v>2655</v>
      </c>
      <c r="B1481" t="s">
        <v>17</v>
      </c>
      <c r="C1481" t="s">
        <v>8175</v>
      </c>
      <c r="D1481" t="s">
        <v>8176</v>
      </c>
      <c r="E1481">
        <v>477.71</v>
      </c>
      <c r="G1481" s="35"/>
      <c r="H1481" s="36">
        <f t="shared" si="69"/>
        <v>300.95729999999998</v>
      </c>
      <c r="I1481" s="37">
        <f t="shared" si="70"/>
        <v>300.95729999999998</v>
      </c>
      <c r="J1481" s="4"/>
      <c r="K1481" s="38">
        <f t="shared" si="71"/>
        <v>0</v>
      </c>
    </row>
    <row r="1482" spans="1:11">
      <c r="A1482" t="s">
        <v>2656</v>
      </c>
      <c r="B1482" t="s">
        <v>17</v>
      </c>
      <c r="C1482" t="s">
        <v>8175</v>
      </c>
      <c r="D1482" t="s">
        <v>8177</v>
      </c>
      <c r="E1482">
        <v>470.7</v>
      </c>
      <c r="G1482" s="35"/>
      <c r="H1482" s="36">
        <f t="shared" si="69"/>
        <v>296.541</v>
      </c>
      <c r="I1482" s="37">
        <f t="shared" si="70"/>
        <v>296.541</v>
      </c>
      <c r="J1482" s="4"/>
      <c r="K1482" s="38">
        <f t="shared" si="71"/>
        <v>0</v>
      </c>
    </row>
    <row r="1483" spans="1:11">
      <c r="A1483" t="s">
        <v>2657</v>
      </c>
      <c r="B1483" t="s">
        <v>17</v>
      </c>
      <c r="C1483" t="s">
        <v>8175</v>
      </c>
      <c r="D1483" t="s">
        <v>8178</v>
      </c>
      <c r="E1483">
        <v>926.65</v>
      </c>
      <c r="G1483" s="35"/>
      <c r="H1483" s="36">
        <f t="shared" si="69"/>
        <v>583.78949999999998</v>
      </c>
      <c r="I1483" s="37">
        <f t="shared" si="70"/>
        <v>583.78949999999998</v>
      </c>
      <c r="J1483" s="4"/>
      <c r="K1483" s="38">
        <f t="shared" si="71"/>
        <v>0</v>
      </c>
    </row>
    <row r="1484" spans="1:11">
      <c r="A1484" t="s">
        <v>2658</v>
      </c>
      <c r="B1484" t="s">
        <v>17</v>
      </c>
      <c r="C1484" t="s">
        <v>8175</v>
      </c>
      <c r="D1484" t="s">
        <v>8179</v>
      </c>
      <c r="E1484">
        <v>1606.76</v>
      </c>
      <c r="G1484" s="35"/>
      <c r="H1484" s="36">
        <f t="shared" si="69"/>
        <v>1012.2588</v>
      </c>
      <c r="I1484" s="37">
        <f t="shared" si="70"/>
        <v>1012.2588</v>
      </c>
      <c r="J1484" s="4"/>
      <c r="K1484" s="38">
        <f t="shared" si="71"/>
        <v>0</v>
      </c>
    </row>
    <row r="1485" spans="1:11">
      <c r="A1485" t="s">
        <v>2659</v>
      </c>
      <c r="B1485" t="s">
        <v>17</v>
      </c>
      <c r="C1485" t="s">
        <v>8175</v>
      </c>
      <c r="D1485" t="s">
        <v>8180</v>
      </c>
      <c r="E1485">
        <v>2453.0700000000002</v>
      </c>
      <c r="G1485" s="35"/>
      <c r="H1485" s="36">
        <f t="shared" si="69"/>
        <v>1545.4341000000002</v>
      </c>
      <c r="I1485" s="37">
        <f t="shared" si="70"/>
        <v>1545.4341000000002</v>
      </c>
      <c r="J1485" s="4"/>
      <c r="K1485" s="38">
        <f t="shared" si="71"/>
        <v>0</v>
      </c>
    </row>
    <row r="1486" spans="1:11">
      <c r="A1486" t="s">
        <v>2660</v>
      </c>
      <c r="B1486" t="s">
        <v>17</v>
      </c>
      <c r="C1486" t="s">
        <v>8175</v>
      </c>
      <c r="D1486" t="s">
        <v>8181</v>
      </c>
      <c r="E1486">
        <v>4005.4</v>
      </c>
      <c r="G1486" s="35"/>
      <c r="H1486" s="36">
        <f t="shared" si="69"/>
        <v>2523.402</v>
      </c>
      <c r="I1486" s="37">
        <f t="shared" si="70"/>
        <v>2523.402</v>
      </c>
      <c r="J1486" s="4"/>
      <c r="K1486" s="38">
        <f t="shared" si="71"/>
        <v>0</v>
      </c>
    </row>
    <row r="1487" spans="1:11">
      <c r="A1487" t="s">
        <v>2661</v>
      </c>
      <c r="B1487" t="s">
        <v>17</v>
      </c>
      <c r="C1487" t="s">
        <v>8175</v>
      </c>
      <c r="D1487" t="s">
        <v>8182</v>
      </c>
      <c r="E1487">
        <v>6536.02</v>
      </c>
      <c r="G1487" s="35"/>
      <c r="H1487" s="36">
        <f t="shared" si="69"/>
        <v>4117.6926000000003</v>
      </c>
      <c r="I1487" s="37">
        <f t="shared" si="70"/>
        <v>4117.6926000000003</v>
      </c>
      <c r="J1487" s="4"/>
      <c r="K1487" s="38">
        <f t="shared" si="71"/>
        <v>0</v>
      </c>
    </row>
    <row r="1488" spans="1:11">
      <c r="A1488" t="s">
        <v>2662</v>
      </c>
      <c r="B1488" t="s">
        <v>17</v>
      </c>
      <c r="C1488" t="s">
        <v>8175</v>
      </c>
      <c r="D1488" t="s">
        <v>8183</v>
      </c>
      <c r="E1488">
        <v>10722.19</v>
      </c>
      <c r="G1488" s="35"/>
      <c r="H1488" s="36">
        <f t="shared" si="69"/>
        <v>6754.9797000000008</v>
      </c>
      <c r="I1488" s="37">
        <f t="shared" si="70"/>
        <v>6754.9797000000008</v>
      </c>
      <c r="J1488" s="4"/>
      <c r="K1488" s="38">
        <f t="shared" si="71"/>
        <v>0</v>
      </c>
    </row>
    <row r="1489" spans="1:11">
      <c r="A1489" t="s">
        <v>2663</v>
      </c>
      <c r="B1489" t="s">
        <v>17</v>
      </c>
      <c r="C1489" t="s">
        <v>8175</v>
      </c>
      <c r="D1489" t="s">
        <v>8184</v>
      </c>
      <c r="E1489">
        <v>13380.27</v>
      </c>
      <c r="G1489" s="35"/>
      <c r="H1489" s="36">
        <f t="shared" si="69"/>
        <v>8429.5701000000008</v>
      </c>
      <c r="I1489" s="37">
        <f t="shared" si="70"/>
        <v>8429.5701000000008</v>
      </c>
      <c r="J1489" s="4"/>
      <c r="K1489" s="38">
        <f t="shared" si="71"/>
        <v>0</v>
      </c>
    </row>
    <row r="1490" spans="1:11">
      <c r="A1490" t="s">
        <v>2664</v>
      </c>
      <c r="B1490" t="s">
        <v>17</v>
      </c>
      <c r="C1490" t="s">
        <v>8175</v>
      </c>
      <c r="D1490" t="s">
        <v>8185</v>
      </c>
      <c r="E1490">
        <v>20170.86</v>
      </c>
      <c r="G1490" s="35"/>
      <c r="H1490" s="36">
        <f t="shared" si="69"/>
        <v>12707.641800000001</v>
      </c>
      <c r="I1490" s="37">
        <f t="shared" si="70"/>
        <v>12707.641800000001</v>
      </c>
      <c r="J1490" s="4"/>
      <c r="K1490" s="38">
        <f t="shared" si="71"/>
        <v>0</v>
      </c>
    </row>
    <row r="1491" spans="1:11">
      <c r="A1491" t="s">
        <v>2665</v>
      </c>
      <c r="B1491" t="s">
        <v>17</v>
      </c>
      <c r="C1491" t="s">
        <v>8175</v>
      </c>
      <c r="D1491" t="s">
        <v>8186</v>
      </c>
      <c r="E1491">
        <v>28402.33</v>
      </c>
      <c r="G1491" s="35"/>
      <c r="H1491" s="36">
        <f t="shared" si="69"/>
        <v>17893.4679</v>
      </c>
      <c r="I1491" s="37">
        <f t="shared" si="70"/>
        <v>17893.4679</v>
      </c>
      <c r="J1491" s="4"/>
      <c r="K1491" s="38">
        <f t="shared" si="71"/>
        <v>0</v>
      </c>
    </row>
    <row r="1492" spans="1:11">
      <c r="A1492" t="s">
        <v>12754</v>
      </c>
      <c r="B1492" t="s">
        <v>17</v>
      </c>
      <c r="C1492" t="s">
        <v>12755</v>
      </c>
      <c r="D1492" t="s">
        <v>12756</v>
      </c>
      <c r="E1492">
        <v>2083.17</v>
      </c>
      <c r="G1492" s="35"/>
      <c r="H1492" s="36">
        <f t="shared" si="69"/>
        <v>1312.3971000000001</v>
      </c>
      <c r="I1492" s="37">
        <f t="shared" si="70"/>
        <v>1312.3971000000001</v>
      </c>
      <c r="J1492" s="4"/>
      <c r="K1492" s="38">
        <f t="shared" si="71"/>
        <v>0</v>
      </c>
    </row>
    <row r="1493" spans="1:11">
      <c r="A1493" t="s">
        <v>2724</v>
      </c>
      <c r="B1493" t="s">
        <v>17</v>
      </c>
      <c r="C1493" t="s">
        <v>8230</v>
      </c>
      <c r="D1493" t="s">
        <v>8231</v>
      </c>
      <c r="E1493">
        <v>633.52</v>
      </c>
      <c r="G1493" s="35"/>
      <c r="H1493" s="36">
        <f t="shared" si="69"/>
        <v>399.11759999999998</v>
      </c>
      <c r="I1493" s="37">
        <f t="shared" si="70"/>
        <v>399.11759999999998</v>
      </c>
      <c r="J1493" s="4"/>
      <c r="K1493" s="38">
        <f t="shared" si="71"/>
        <v>0</v>
      </c>
    </row>
    <row r="1494" spans="1:11">
      <c r="A1494" t="s">
        <v>2725</v>
      </c>
      <c r="B1494" t="s">
        <v>17</v>
      </c>
      <c r="C1494" t="s">
        <v>8230</v>
      </c>
      <c r="D1494" t="s">
        <v>8232</v>
      </c>
      <c r="E1494">
        <v>633.54</v>
      </c>
      <c r="G1494" s="35"/>
      <c r="H1494" s="36">
        <f t="shared" si="69"/>
        <v>399.1302</v>
      </c>
      <c r="I1494" s="37">
        <f t="shared" si="70"/>
        <v>399.1302</v>
      </c>
      <c r="J1494" s="4"/>
      <c r="K1494" s="38">
        <f t="shared" si="71"/>
        <v>0</v>
      </c>
    </row>
    <row r="1495" spans="1:11">
      <c r="A1495" t="s">
        <v>2726</v>
      </c>
      <c r="B1495" t="s">
        <v>17</v>
      </c>
      <c r="C1495" t="s">
        <v>8230</v>
      </c>
      <c r="D1495" t="s">
        <v>8233</v>
      </c>
      <c r="E1495">
        <v>1264.5999999999999</v>
      </c>
      <c r="G1495" s="35"/>
      <c r="H1495" s="36">
        <f t="shared" si="69"/>
        <v>796.69799999999998</v>
      </c>
      <c r="I1495" s="37">
        <f t="shared" si="70"/>
        <v>796.69799999999998</v>
      </c>
      <c r="J1495" s="4"/>
      <c r="K1495" s="38">
        <f t="shared" si="71"/>
        <v>0</v>
      </c>
    </row>
    <row r="1496" spans="1:11">
      <c r="A1496" t="s">
        <v>2727</v>
      </c>
      <c r="B1496" t="s">
        <v>17</v>
      </c>
      <c r="C1496" t="s">
        <v>8230</v>
      </c>
      <c r="D1496" t="s">
        <v>8234</v>
      </c>
      <c r="E1496">
        <v>1871.41</v>
      </c>
      <c r="G1496" s="35"/>
      <c r="H1496" s="36">
        <f t="shared" si="69"/>
        <v>1178.9883</v>
      </c>
      <c r="I1496" s="37">
        <f t="shared" si="70"/>
        <v>1178.9883</v>
      </c>
      <c r="J1496" s="4"/>
      <c r="K1496" s="38">
        <f t="shared" si="71"/>
        <v>0</v>
      </c>
    </row>
    <row r="1497" spans="1:11">
      <c r="A1497" t="s">
        <v>2728</v>
      </c>
      <c r="B1497" t="s">
        <v>17</v>
      </c>
      <c r="C1497" t="s">
        <v>8230</v>
      </c>
      <c r="D1497" t="s">
        <v>8235</v>
      </c>
      <c r="E1497">
        <v>3982.31</v>
      </c>
      <c r="G1497" s="35"/>
      <c r="H1497" s="36">
        <f t="shared" si="69"/>
        <v>2508.8553000000002</v>
      </c>
      <c r="I1497" s="37">
        <f t="shared" si="70"/>
        <v>2508.8553000000002</v>
      </c>
      <c r="J1497" s="4"/>
      <c r="K1497" s="38">
        <f t="shared" si="71"/>
        <v>0</v>
      </c>
    </row>
    <row r="1498" spans="1:11">
      <c r="A1498" t="s">
        <v>2729</v>
      </c>
      <c r="B1498" t="s">
        <v>17</v>
      </c>
      <c r="C1498" t="s">
        <v>8230</v>
      </c>
      <c r="D1498" t="s">
        <v>8236</v>
      </c>
      <c r="E1498">
        <v>7248.51</v>
      </c>
      <c r="G1498" s="35"/>
      <c r="H1498" s="36">
        <f t="shared" si="69"/>
        <v>4566.5613000000003</v>
      </c>
      <c r="I1498" s="37">
        <f t="shared" si="70"/>
        <v>4566.5613000000003</v>
      </c>
      <c r="J1498" s="4"/>
      <c r="K1498" s="38">
        <f t="shared" si="71"/>
        <v>0</v>
      </c>
    </row>
    <row r="1499" spans="1:11">
      <c r="A1499" t="s">
        <v>2730</v>
      </c>
      <c r="B1499" t="s">
        <v>17</v>
      </c>
      <c r="C1499" t="s">
        <v>8230</v>
      </c>
      <c r="D1499" t="s">
        <v>8237</v>
      </c>
      <c r="E1499">
        <v>11187.26</v>
      </c>
      <c r="G1499" s="35"/>
      <c r="H1499" s="36">
        <f t="shared" si="69"/>
        <v>7047.9737999999998</v>
      </c>
      <c r="I1499" s="37">
        <f t="shared" si="70"/>
        <v>7047.9737999999998</v>
      </c>
      <c r="J1499" s="4"/>
      <c r="K1499" s="38">
        <f t="shared" si="71"/>
        <v>0</v>
      </c>
    </row>
    <row r="1500" spans="1:11">
      <c r="A1500" t="s">
        <v>2731</v>
      </c>
      <c r="B1500" t="s">
        <v>17</v>
      </c>
      <c r="C1500" t="s">
        <v>8230</v>
      </c>
      <c r="D1500" t="s">
        <v>8238</v>
      </c>
      <c r="E1500">
        <v>21047.99</v>
      </c>
      <c r="G1500" s="35"/>
      <c r="H1500" s="36">
        <f t="shared" si="69"/>
        <v>13260.233700000001</v>
      </c>
      <c r="I1500" s="37">
        <f t="shared" si="70"/>
        <v>13260.233700000001</v>
      </c>
      <c r="J1500" s="4"/>
      <c r="K1500" s="38">
        <f t="shared" si="71"/>
        <v>0</v>
      </c>
    </row>
    <row r="1501" spans="1:11">
      <c r="A1501" t="s">
        <v>2732</v>
      </c>
      <c r="B1501" t="s">
        <v>17</v>
      </c>
      <c r="C1501" t="s">
        <v>8230</v>
      </c>
      <c r="D1501" t="s">
        <v>8239</v>
      </c>
      <c r="E1501">
        <v>37672.080000000002</v>
      </c>
      <c r="G1501" s="35"/>
      <c r="H1501" s="36">
        <f t="shared" si="69"/>
        <v>23733.410400000001</v>
      </c>
      <c r="I1501" s="37">
        <f t="shared" si="70"/>
        <v>23733.410400000001</v>
      </c>
      <c r="J1501" s="4"/>
      <c r="K1501" s="38">
        <f t="shared" si="71"/>
        <v>0</v>
      </c>
    </row>
    <row r="1502" spans="1:11">
      <c r="A1502" t="s">
        <v>2733</v>
      </c>
      <c r="B1502" t="s">
        <v>17</v>
      </c>
      <c r="C1502" t="s">
        <v>8230</v>
      </c>
      <c r="D1502" t="s">
        <v>8240</v>
      </c>
      <c r="E1502">
        <v>61608.84</v>
      </c>
      <c r="G1502" s="35"/>
      <c r="H1502" s="36">
        <f t="shared" si="69"/>
        <v>38813.569199999998</v>
      </c>
      <c r="I1502" s="37">
        <f t="shared" si="70"/>
        <v>38813.569199999998</v>
      </c>
      <c r="J1502" s="4"/>
      <c r="K1502" s="38">
        <f t="shared" si="71"/>
        <v>0</v>
      </c>
    </row>
    <row r="1503" spans="1:11">
      <c r="A1503" t="s">
        <v>2734</v>
      </c>
      <c r="B1503" t="s">
        <v>17</v>
      </c>
      <c r="C1503" t="s">
        <v>8230</v>
      </c>
      <c r="D1503" t="s">
        <v>8241</v>
      </c>
      <c r="E1503">
        <v>101430.88</v>
      </c>
      <c r="G1503" s="35"/>
      <c r="H1503" s="36">
        <f t="shared" si="69"/>
        <v>63901.454400000002</v>
      </c>
      <c r="I1503" s="37">
        <f t="shared" si="70"/>
        <v>63901.454400000002</v>
      </c>
      <c r="J1503" s="4"/>
      <c r="K1503" s="38">
        <f t="shared" si="71"/>
        <v>0</v>
      </c>
    </row>
    <row r="1504" spans="1:11">
      <c r="A1504" t="s">
        <v>2735</v>
      </c>
      <c r="B1504" t="s">
        <v>17</v>
      </c>
      <c r="C1504" t="s">
        <v>8230</v>
      </c>
      <c r="D1504" t="s">
        <v>8242</v>
      </c>
      <c r="E1504">
        <v>4202.07</v>
      </c>
      <c r="G1504" s="35"/>
      <c r="H1504" s="36">
        <f t="shared" si="69"/>
        <v>2647.3040999999998</v>
      </c>
      <c r="I1504" s="37">
        <f t="shared" si="70"/>
        <v>2647.3040999999998</v>
      </c>
      <c r="J1504" s="4"/>
      <c r="K1504" s="38">
        <f t="shared" si="71"/>
        <v>0</v>
      </c>
    </row>
    <row r="1505" spans="1:11">
      <c r="A1505" t="s">
        <v>2736</v>
      </c>
      <c r="B1505" t="s">
        <v>17</v>
      </c>
      <c r="C1505" t="s">
        <v>8230</v>
      </c>
      <c r="D1505" t="s">
        <v>8243</v>
      </c>
      <c r="E1505">
        <v>5716.03</v>
      </c>
      <c r="G1505" s="35"/>
      <c r="H1505" s="36">
        <f t="shared" si="69"/>
        <v>3601.0989</v>
      </c>
      <c r="I1505" s="37">
        <f t="shared" si="70"/>
        <v>3601.0989</v>
      </c>
      <c r="J1505" s="4"/>
      <c r="K1505" s="38">
        <f t="shared" si="71"/>
        <v>0</v>
      </c>
    </row>
    <row r="1506" spans="1:11">
      <c r="A1506" t="s">
        <v>2737</v>
      </c>
      <c r="B1506" t="s">
        <v>17</v>
      </c>
      <c r="C1506" t="s">
        <v>8230</v>
      </c>
      <c r="D1506" t="s">
        <v>8244</v>
      </c>
      <c r="E1506">
        <v>8300.66</v>
      </c>
      <c r="G1506" s="35"/>
      <c r="H1506" s="36">
        <f t="shared" si="69"/>
        <v>5229.4157999999998</v>
      </c>
      <c r="I1506" s="37">
        <f t="shared" si="70"/>
        <v>5229.4157999999998</v>
      </c>
      <c r="J1506" s="4"/>
      <c r="K1506" s="38">
        <f t="shared" si="71"/>
        <v>0</v>
      </c>
    </row>
    <row r="1507" spans="1:11">
      <c r="A1507" t="s">
        <v>2738</v>
      </c>
      <c r="B1507" t="s">
        <v>17</v>
      </c>
      <c r="C1507" t="s">
        <v>8230</v>
      </c>
      <c r="D1507" t="s">
        <v>8245</v>
      </c>
      <c r="E1507">
        <v>27128.05</v>
      </c>
      <c r="G1507" s="35"/>
      <c r="H1507" s="36">
        <f t="shared" si="69"/>
        <v>17090.6715</v>
      </c>
      <c r="I1507" s="37">
        <f t="shared" si="70"/>
        <v>17090.6715</v>
      </c>
      <c r="J1507" s="4"/>
      <c r="K1507" s="38">
        <f t="shared" si="71"/>
        <v>0</v>
      </c>
    </row>
    <row r="1508" spans="1:11">
      <c r="A1508" t="s">
        <v>2739</v>
      </c>
      <c r="B1508" t="s">
        <v>17</v>
      </c>
      <c r="C1508" t="s">
        <v>8230</v>
      </c>
      <c r="D1508" t="s">
        <v>8246</v>
      </c>
      <c r="E1508">
        <v>38416.699999999997</v>
      </c>
      <c r="G1508" s="35"/>
      <c r="H1508" s="36">
        <f t="shared" si="69"/>
        <v>24202.520999999997</v>
      </c>
      <c r="I1508" s="37">
        <f t="shared" si="70"/>
        <v>24202.520999999997</v>
      </c>
      <c r="J1508" s="4"/>
      <c r="K1508" s="38">
        <f t="shared" si="71"/>
        <v>0</v>
      </c>
    </row>
    <row r="1509" spans="1:11">
      <c r="A1509" t="s">
        <v>2740</v>
      </c>
      <c r="B1509" t="s">
        <v>17</v>
      </c>
      <c r="C1509" t="s">
        <v>8230</v>
      </c>
      <c r="D1509" t="s">
        <v>8247</v>
      </c>
      <c r="E1509">
        <v>52971.76</v>
      </c>
      <c r="G1509" s="35"/>
      <c r="H1509" s="36">
        <f t="shared" si="69"/>
        <v>33372.2088</v>
      </c>
      <c r="I1509" s="37">
        <f t="shared" si="70"/>
        <v>33372.2088</v>
      </c>
      <c r="J1509" s="4"/>
      <c r="K1509" s="38">
        <f t="shared" si="71"/>
        <v>0</v>
      </c>
    </row>
    <row r="1510" spans="1:11">
      <c r="A1510" t="s">
        <v>2741</v>
      </c>
      <c r="B1510" t="s">
        <v>17</v>
      </c>
      <c r="C1510" t="s">
        <v>8230</v>
      </c>
      <c r="D1510" t="s">
        <v>8248</v>
      </c>
      <c r="E1510">
        <v>104181.75</v>
      </c>
      <c r="G1510" s="35"/>
      <c r="H1510" s="36">
        <f t="shared" si="69"/>
        <v>65634.502500000002</v>
      </c>
      <c r="I1510" s="37">
        <f t="shared" si="70"/>
        <v>65634.502500000002</v>
      </c>
      <c r="J1510" s="4"/>
      <c r="K1510" s="38">
        <f t="shared" si="71"/>
        <v>0</v>
      </c>
    </row>
    <row r="1511" spans="1:11">
      <c r="A1511" t="s">
        <v>2742</v>
      </c>
      <c r="B1511" t="s">
        <v>17</v>
      </c>
      <c r="C1511" t="s">
        <v>8230</v>
      </c>
      <c r="D1511" t="s">
        <v>8249</v>
      </c>
      <c r="E1511">
        <v>134001.66</v>
      </c>
      <c r="G1511" s="35"/>
      <c r="H1511" s="36">
        <f t="shared" si="69"/>
        <v>84421.045800000007</v>
      </c>
      <c r="I1511" s="37">
        <f t="shared" si="70"/>
        <v>84421.045800000007</v>
      </c>
      <c r="J1511" s="4"/>
      <c r="K1511" s="38">
        <f t="shared" si="71"/>
        <v>0</v>
      </c>
    </row>
    <row r="1512" spans="1:11">
      <c r="A1512" t="s">
        <v>2743</v>
      </c>
      <c r="B1512" t="s">
        <v>17</v>
      </c>
      <c r="C1512" t="s">
        <v>8230</v>
      </c>
      <c r="D1512" t="s">
        <v>8250</v>
      </c>
      <c r="E1512">
        <v>4816.6899999999996</v>
      </c>
      <c r="G1512" s="35"/>
      <c r="H1512" s="36">
        <f t="shared" si="69"/>
        <v>3034.5146999999997</v>
      </c>
      <c r="I1512" s="37">
        <f t="shared" si="70"/>
        <v>3034.5146999999997</v>
      </c>
      <c r="J1512" s="4"/>
      <c r="K1512" s="38">
        <f t="shared" si="71"/>
        <v>0</v>
      </c>
    </row>
    <row r="1513" spans="1:11">
      <c r="A1513" t="s">
        <v>2744</v>
      </c>
      <c r="B1513" t="s">
        <v>17</v>
      </c>
      <c r="C1513" t="s">
        <v>8230</v>
      </c>
      <c r="D1513" t="s">
        <v>8251</v>
      </c>
      <c r="E1513">
        <v>7143.91</v>
      </c>
      <c r="G1513" s="35"/>
      <c r="H1513" s="36">
        <f t="shared" si="69"/>
        <v>4500.6633000000002</v>
      </c>
      <c r="I1513" s="37">
        <f t="shared" si="70"/>
        <v>4500.6633000000002</v>
      </c>
      <c r="J1513" s="4"/>
      <c r="K1513" s="38">
        <f t="shared" si="71"/>
        <v>0</v>
      </c>
    </row>
    <row r="1514" spans="1:11">
      <c r="A1514" t="s">
        <v>2745</v>
      </c>
      <c r="B1514" t="s">
        <v>17</v>
      </c>
      <c r="C1514" t="s">
        <v>8230</v>
      </c>
      <c r="D1514" t="s">
        <v>8252</v>
      </c>
      <c r="E1514">
        <v>13091.93</v>
      </c>
      <c r="G1514" s="35"/>
      <c r="H1514" s="36">
        <f t="shared" si="69"/>
        <v>8247.9159</v>
      </c>
      <c r="I1514" s="37">
        <f t="shared" si="70"/>
        <v>8247.9159</v>
      </c>
      <c r="J1514" s="4"/>
      <c r="K1514" s="38">
        <f t="shared" si="71"/>
        <v>0</v>
      </c>
    </row>
    <row r="1515" spans="1:11">
      <c r="A1515" t="s">
        <v>2746</v>
      </c>
      <c r="B1515" t="s">
        <v>17</v>
      </c>
      <c r="C1515" t="s">
        <v>8230</v>
      </c>
      <c r="D1515" t="s">
        <v>8253</v>
      </c>
      <c r="E1515">
        <v>29641.61</v>
      </c>
      <c r="G1515" s="35"/>
      <c r="H1515" s="36">
        <f t="shared" si="69"/>
        <v>18674.2143</v>
      </c>
      <c r="I1515" s="37">
        <f t="shared" si="70"/>
        <v>18674.2143</v>
      </c>
      <c r="J1515" s="4"/>
      <c r="K1515" s="38">
        <f t="shared" si="71"/>
        <v>0</v>
      </c>
    </row>
    <row r="1516" spans="1:11">
      <c r="A1516" t="s">
        <v>2747</v>
      </c>
      <c r="B1516" t="s">
        <v>17</v>
      </c>
      <c r="C1516" t="s">
        <v>8230</v>
      </c>
      <c r="D1516" t="s">
        <v>8254</v>
      </c>
      <c r="E1516">
        <v>41591.35</v>
      </c>
      <c r="G1516" s="35"/>
      <c r="H1516" s="36">
        <f t="shared" si="69"/>
        <v>26202.550499999998</v>
      </c>
      <c r="I1516" s="37">
        <f t="shared" si="70"/>
        <v>26202.550499999998</v>
      </c>
      <c r="J1516" s="4"/>
      <c r="K1516" s="38">
        <f t="shared" si="71"/>
        <v>0</v>
      </c>
    </row>
    <row r="1517" spans="1:11">
      <c r="A1517" t="s">
        <v>2748</v>
      </c>
      <c r="B1517" t="s">
        <v>17</v>
      </c>
      <c r="C1517" t="s">
        <v>8230</v>
      </c>
      <c r="D1517" t="s">
        <v>8255</v>
      </c>
      <c r="E1517">
        <v>58434.82</v>
      </c>
      <c r="G1517" s="35"/>
      <c r="H1517" s="36">
        <f t="shared" si="69"/>
        <v>36813.936600000001</v>
      </c>
      <c r="I1517" s="37">
        <f t="shared" si="70"/>
        <v>36813.936600000001</v>
      </c>
      <c r="J1517" s="4"/>
      <c r="K1517" s="38">
        <f t="shared" si="71"/>
        <v>0</v>
      </c>
    </row>
    <row r="1518" spans="1:11">
      <c r="A1518" t="s">
        <v>2749</v>
      </c>
      <c r="B1518" t="s">
        <v>17</v>
      </c>
      <c r="C1518" t="s">
        <v>8230</v>
      </c>
      <c r="D1518" t="s">
        <v>8256</v>
      </c>
      <c r="E1518">
        <v>1542.91</v>
      </c>
      <c r="G1518" s="35"/>
      <c r="H1518" s="36">
        <f t="shared" si="69"/>
        <v>972.03330000000005</v>
      </c>
      <c r="I1518" s="37">
        <f t="shared" si="70"/>
        <v>972.03330000000005</v>
      </c>
      <c r="J1518" s="4"/>
      <c r="K1518" s="38">
        <f t="shared" si="71"/>
        <v>0</v>
      </c>
    </row>
    <row r="1519" spans="1:11">
      <c r="A1519" t="s">
        <v>2750</v>
      </c>
      <c r="B1519" t="s">
        <v>17</v>
      </c>
      <c r="C1519" t="s">
        <v>8230</v>
      </c>
      <c r="D1519" t="s">
        <v>8257</v>
      </c>
      <c r="E1519">
        <v>2299</v>
      </c>
      <c r="G1519" s="35"/>
      <c r="H1519" s="36">
        <f t="shared" si="69"/>
        <v>1448.3700000000001</v>
      </c>
      <c r="I1519" s="37">
        <f t="shared" si="70"/>
        <v>1448.3700000000001</v>
      </c>
      <c r="J1519" s="4"/>
      <c r="K1519" s="38">
        <f t="shared" si="71"/>
        <v>0</v>
      </c>
    </row>
    <row r="1520" spans="1:11">
      <c r="A1520" t="s">
        <v>2751</v>
      </c>
      <c r="B1520" t="s">
        <v>17</v>
      </c>
      <c r="C1520" t="s">
        <v>8230</v>
      </c>
      <c r="D1520" t="s">
        <v>8258</v>
      </c>
      <c r="E1520">
        <v>3325.94</v>
      </c>
      <c r="G1520" s="35"/>
      <c r="H1520" s="36">
        <f t="shared" si="69"/>
        <v>2095.3422</v>
      </c>
      <c r="I1520" s="37">
        <f t="shared" si="70"/>
        <v>2095.3422</v>
      </c>
      <c r="J1520" s="4"/>
      <c r="K1520" s="38">
        <f t="shared" si="71"/>
        <v>0</v>
      </c>
    </row>
    <row r="1521" spans="1:11">
      <c r="A1521" t="s">
        <v>2752</v>
      </c>
      <c r="B1521" t="s">
        <v>17</v>
      </c>
      <c r="C1521" t="s">
        <v>8230</v>
      </c>
      <c r="D1521" t="s">
        <v>8259</v>
      </c>
      <c r="E1521">
        <v>7052.66</v>
      </c>
      <c r="G1521" s="35"/>
      <c r="H1521" s="36">
        <f t="shared" si="69"/>
        <v>4443.1758</v>
      </c>
      <c r="I1521" s="37">
        <f t="shared" si="70"/>
        <v>4443.1758</v>
      </c>
      <c r="J1521" s="4"/>
      <c r="K1521" s="38">
        <f t="shared" si="71"/>
        <v>0</v>
      </c>
    </row>
    <row r="1522" spans="1:11">
      <c r="A1522" t="s">
        <v>2753</v>
      </c>
      <c r="B1522" t="s">
        <v>17</v>
      </c>
      <c r="C1522" t="s">
        <v>8230</v>
      </c>
      <c r="D1522" t="s">
        <v>8260</v>
      </c>
      <c r="E1522">
        <v>12843.11</v>
      </c>
      <c r="G1522" s="35"/>
      <c r="H1522" s="36">
        <f t="shared" si="69"/>
        <v>8091.1593000000003</v>
      </c>
      <c r="I1522" s="37">
        <f t="shared" si="70"/>
        <v>8091.1593000000003</v>
      </c>
      <c r="J1522" s="4"/>
      <c r="K1522" s="38">
        <f t="shared" si="71"/>
        <v>0</v>
      </c>
    </row>
    <row r="1523" spans="1:11">
      <c r="A1523" t="s">
        <v>2754</v>
      </c>
      <c r="B1523" t="s">
        <v>17</v>
      </c>
      <c r="C1523" t="s">
        <v>8230</v>
      </c>
      <c r="D1523" t="s">
        <v>8261</v>
      </c>
      <c r="E1523">
        <v>19835.71</v>
      </c>
      <c r="G1523" s="35"/>
      <c r="H1523" s="36">
        <f t="shared" si="69"/>
        <v>12496.497299999999</v>
      </c>
      <c r="I1523" s="37">
        <f t="shared" si="70"/>
        <v>12496.497299999999</v>
      </c>
      <c r="J1523" s="4"/>
      <c r="K1523" s="38">
        <f t="shared" si="71"/>
        <v>0</v>
      </c>
    </row>
    <row r="1524" spans="1:11">
      <c r="A1524" t="s">
        <v>2755</v>
      </c>
      <c r="B1524" t="s">
        <v>17</v>
      </c>
      <c r="C1524" t="s">
        <v>8230</v>
      </c>
      <c r="D1524" t="s">
        <v>8262</v>
      </c>
      <c r="E1524">
        <v>273.39</v>
      </c>
      <c r="G1524" s="35"/>
      <c r="H1524" s="36">
        <f t="shared" si="69"/>
        <v>172.23569999999998</v>
      </c>
      <c r="I1524" s="37">
        <f t="shared" si="70"/>
        <v>172.23569999999998</v>
      </c>
      <c r="J1524" s="4"/>
      <c r="K1524" s="38">
        <f t="shared" si="71"/>
        <v>0</v>
      </c>
    </row>
    <row r="1525" spans="1:11">
      <c r="A1525" t="s">
        <v>2756</v>
      </c>
      <c r="B1525" t="s">
        <v>17</v>
      </c>
      <c r="C1525" t="s">
        <v>8230</v>
      </c>
      <c r="D1525" t="s">
        <v>8263</v>
      </c>
      <c r="E1525">
        <v>384.41</v>
      </c>
      <c r="G1525" s="35"/>
      <c r="H1525" s="36">
        <f t="shared" si="69"/>
        <v>242.17830000000001</v>
      </c>
      <c r="I1525" s="37">
        <f t="shared" si="70"/>
        <v>242.17830000000001</v>
      </c>
      <c r="J1525" s="4"/>
      <c r="K1525" s="38">
        <f t="shared" si="71"/>
        <v>0</v>
      </c>
    </row>
    <row r="1526" spans="1:11">
      <c r="A1526" t="s">
        <v>2757</v>
      </c>
      <c r="B1526" t="s">
        <v>17</v>
      </c>
      <c r="C1526" t="s">
        <v>8230</v>
      </c>
      <c r="D1526" t="s">
        <v>8264</v>
      </c>
      <c r="E1526">
        <v>401.47</v>
      </c>
      <c r="G1526" s="35"/>
      <c r="H1526" s="36">
        <f t="shared" si="69"/>
        <v>252.92610000000002</v>
      </c>
      <c r="I1526" s="37">
        <f t="shared" si="70"/>
        <v>252.92610000000002</v>
      </c>
      <c r="J1526" s="4"/>
      <c r="K1526" s="38">
        <f t="shared" si="71"/>
        <v>0</v>
      </c>
    </row>
    <row r="1527" spans="1:11">
      <c r="A1527" t="s">
        <v>2758</v>
      </c>
      <c r="B1527" t="s">
        <v>17</v>
      </c>
      <c r="C1527" t="s">
        <v>8265</v>
      </c>
      <c r="D1527" t="s">
        <v>8266</v>
      </c>
      <c r="E1527">
        <v>3715.69</v>
      </c>
      <c r="G1527" s="35"/>
      <c r="H1527" s="36">
        <f t="shared" si="69"/>
        <v>2340.8847000000001</v>
      </c>
      <c r="I1527" s="37">
        <f t="shared" si="70"/>
        <v>2340.8847000000001</v>
      </c>
      <c r="J1527" s="4"/>
      <c r="K1527" s="38">
        <f t="shared" si="71"/>
        <v>0</v>
      </c>
    </row>
    <row r="1528" spans="1:11">
      <c r="A1528" t="s">
        <v>2759</v>
      </c>
      <c r="B1528" t="s">
        <v>17</v>
      </c>
      <c r="C1528" t="s">
        <v>8265</v>
      </c>
      <c r="D1528" t="s">
        <v>8267</v>
      </c>
      <c r="E1528">
        <v>7904.99</v>
      </c>
      <c r="G1528" s="35"/>
      <c r="H1528" s="36">
        <f t="shared" si="69"/>
        <v>4980.1436999999996</v>
      </c>
      <c r="I1528" s="37">
        <f t="shared" si="70"/>
        <v>4980.1436999999996</v>
      </c>
      <c r="J1528" s="4"/>
      <c r="K1528" s="38">
        <f t="shared" si="71"/>
        <v>0</v>
      </c>
    </row>
    <row r="1529" spans="1:11">
      <c r="A1529" t="s">
        <v>2760</v>
      </c>
      <c r="B1529" t="s">
        <v>17</v>
      </c>
      <c r="C1529" t="s">
        <v>8265</v>
      </c>
      <c r="D1529" t="s">
        <v>8268</v>
      </c>
      <c r="E1529">
        <v>13702.83</v>
      </c>
      <c r="G1529" s="35"/>
      <c r="H1529" s="36">
        <f t="shared" si="69"/>
        <v>8632.7829000000002</v>
      </c>
      <c r="I1529" s="37">
        <f t="shared" si="70"/>
        <v>8632.7829000000002</v>
      </c>
      <c r="J1529" s="4"/>
      <c r="K1529" s="38">
        <f t="shared" si="71"/>
        <v>0</v>
      </c>
    </row>
    <row r="1530" spans="1:11">
      <c r="A1530" t="s">
        <v>2761</v>
      </c>
      <c r="B1530" t="s">
        <v>17</v>
      </c>
      <c r="C1530" t="s">
        <v>8265</v>
      </c>
      <c r="D1530" t="s">
        <v>8269</v>
      </c>
      <c r="E1530">
        <v>21149.360000000001</v>
      </c>
      <c r="G1530" s="35"/>
      <c r="H1530" s="36">
        <f t="shared" si="69"/>
        <v>13324.096800000001</v>
      </c>
      <c r="I1530" s="37">
        <f t="shared" si="70"/>
        <v>13324.096800000001</v>
      </c>
      <c r="J1530" s="4"/>
      <c r="K1530" s="38">
        <f t="shared" si="71"/>
        <v>0</v>
      </c>
    </row>
    <row r="1531" spans="1:11">
      <c r="A1531" t="s">
        <v>317</v>
      </c>
      <c r="B1531" t="s">
        <v>17</v>
      </c>
      <c r="C1531" t="s">
        <v>5889</v>
      </c>
      <c r="D1531" t="s">
        <v>5890</v>
      </c>
      <c r="E1531">
        <v>47967.28</v>
      </c>
      <c r="G1531" s="35"/>
      <c r="H1531" s="36">
        <f t="shared" si="69"/>
        <v>30219.386399999999</v>
      </c>
      <c r="I1531" s="37">
        <f t="shared" si="70"/>
        <v>30219.386399999999</v>
      </c>
      <c r="J1531" s="4"/>
      <c r="K1531" s="38">
        <f t="shared" si="71"/>
        <v>0</v>
      </c>
    </row>
    <row r="1532" spans="1:11">
      <c r="A1532" t="s">
        <v>2776</v>
      </c>
      <c r="B1532" t="s">
        <v>17</v>
      </c>
      <c r="C1532" t="s">
        <v>8277</v>
      </c>
      <c r="D1532" t="s">
        <v>8242</v>
      </c>
      <c r="E1532">
        <v>4997.76</v>
      </c>
      <c r="G1532" s="35"/>
      <c r="H1532" s="36">
        <f t="shared" si="69"/>
        <v>3148.5888</v>
      </c>
      <c r="I1532" s="37">
        <f t="shared" si="70"/>
        <v>3148.5888</v>
      </c>
      <c r="J1532" s="4"/>
      <c r="K1532" s="38">
        <f t="shared" si="71"/>
        <v>0</v>
      </c>
    </row>
    <row r="1533" spans="1:11">
      <c r="A1533" t="s">
        <v>2777</v>
      </c>
      <c r="B1533" t="s">
        <v>17</v>
      </c>
      <c r="C1533" t="s">
        <v>8277</v>
      </c>
      <c r="D1533" t="s">
        <v>8243</v>
      </c>
      <c r="E1533">
        <v>7398.76</v>
      </c>
      <c r="G1533" s="35"/>
      <c r="H1533" s="36">
        <f t="shared" si="69"/>
        <v>4661.2188000000006</v>
      </c>
      <c r="I1533" s="37">
        <f t="shared" si="70"/>
        <v>4661.2188000000006</v>
      </c>
      <c r="J1533" s="4"/>
      <c r="K1533" s="38">
        <f t="shared" si="71"/>
        <v>0</v>
      </c>
    </row>
    <row r="1534" spans="1:11">
      <c r="A1534" t="s">
        <v>2804</v>
      </c>
      <c r="B1534" t="s">
        <v>17</v>
      </c>
      <c r="C1534" t="s">
        <v>8295</v>
      </c>
      <c r="D1534" t="s">
        <v>8296</v>
      </c>
      <c r="E1534">
        <v>910.1</v>
      </c>
      <c r="G1534" s="35"/>
      <c r="H1534" s="36">
        <f t="shared" si="69"/>
        <v>573.36300000000006</v>
      </c>
      <c r="I1534" s="37">
        <f t="shared" si="70"/>
        <v>573.36300000000006</v>
      </c>
      <c r="J1534" s="4"/>
      <c r="K1534" s="38">
        <f t="shared" si="71"/>
        <v>0</v>
      </c>
    </row>
    <row r="1535" spans="1:11">
      <c r="A1535" t="s">
        <v>2805</v>
      </c>
      <c r="B1535" t="s">
        <v>17</v>
      </c>
      <c r="C1535" t="s">
        <v>8295</v>
      </c>
      <c r="D1535" t="s">
        <v>8297</v>
      </c>
      <c r="E1535">
        <v>1438.95</v>
      </c>
      <c r="G1535" s="35"/>
      <c r="H1535" s="36">
        <f t="shared" si="69"/>
        <v>906.5385</v>
      </c>
      <c r="I1535" s="37">
        <f t="shared" si="70"/>
        <v>906.5385</v>
      </c>
      <c r="J1535" s="4"/>
      <c r="K1535" s="38">
        <f t="shared" si="71"/>
        <v>0</v>
      </c>
    </row>
    <row r="1536" spans="1:11">
      <c r="A1536" t="s">
        <v>2806</v>
      </c>
      <c r="B1536" t="s">
        <v>17</v>
      </c>
      <c r="C1536" t="s">
        <v>8295</v>
      </c>
      <c r="D1536" t="s">
        <v>8298</v>
      </c>
      <c r="E1536">
        <v>2410.19</v>
      </c>
      <c r="G1536" s="35"/>
      <c r="H1536" s="36">
        <f t="shared" si="69"/>
        <v>1518.4197000000001</v>
      </c>
      <c r="I1536" s="37">
        <f t="shared" si="70"/>
        <v>1518.4197000000001</v>
      </c>
      <c r="J1536" s="4"/>
      <c r="K1536" s="38">
        <f t="shared" si="71"/>
        <v>0</v>
      </c>
    </row>
    <row r="1537" spans="1:11">
      <c r="A1537" t="s">
        <v>2807</v>
      </c>
      <c r="B1537" t="s">
        <v>17</v>
      </c>
      <c r="C1537" t="s">
        <v>8295</v>
      </c>
      <c r="D1537" t="s">
        <v>8299</v>
      </c>
      <c r="E1537">
        <v>2410.19</v>
      </c>
      <c r="G1537" s="35"/>
      <c r="H1537" s="36">
        <f t="shared" si="69"/>
        <v>1518.4197000000001</v>
      </c>
      <c r="I1537" s="37">
        <f t="shared" si="70"/>
        <v>1518.4197000000001</v>
      </c>
      <c r="J1537" s="4"/>
      <c r="K1537" s="38">
        <f t="shared" si="71"/>
        <v>0</v>
      </c>
    </row>
    <row r="1538" spans="1:11">
      <c r="A1538" t="s">
        <v>2808</v>
      </c>
      <c r="B1538" t="s">
        <v>17</v>
      </c>
      <c r="C1538" t="s">
        <v>8295</v>
      </c>
      <c r="D1538" t="s">
        <v>8300</v>
      </c>
      <c r="E1538">
        <v>4715.5600000000004</v>
      </c>
      <c r="G1538" s="35"/>
      <c r="H1538" s="36">
        <f t="shared" si="69"/>
        <v>2970.8028000000004</v>
      </c>
      <c r="I1538" s="37">
        <f t="shared" si="70"/>
        <v>2970.8028000000004</v>
      </c>
      <c r="J1538" s="4"/>
      <c r="K1538" s="38">
        <f t="shared" si="71"/>
        <v>0</v>
      </c>
    </row>
    <row r="1539" spans="1:11">
      <c r="A1539" t="s">
        <v>2809</v>
      </c>
      <c r="B1539" t="s">
        <v>17</v>
      </c>
      <c r="C1539" t="s">
        <v>8295</v>
      </c>
      <c r="D1539" t="s">
        <v>8301</v>
      </c>
      <c r="E1539">
        <v>5156.79</v>
      </c>
      <c r="G1539" s="35"/>
      <c r="H1539" s="36">
        <f t="shared" si="69"/>
        <v>3248.7777000000001</v>
      </c>
      <c r="I1539" s="37">
        <f t="shared" si="70"/>
        <v>3248.7777000000001</v>
      </c>
      <c r="J1539" s="4"/>
      <c r="K1539" s="38">
        <f t="shared" si="71"/>
        <v>0</v>
      </c>
    </row>
    <row r="1540" spans="1:11">
      <c r="A1540" t="s">
        <v>2810</v>
      </c>
      <c r="B1540" t="s">
        <v>17</v>
      </c>
      <c r="C1540" t="s">
        <v>8295</v>
      </c>
      <c r="D1540" t="s">
        <v>8302</v>
      </c>
      <c r="E1540">
        <v>8891.8700000000008</v>
      </c>
      <c r="G1540" s="35"/>
      <c r="H1540" s="36">
        <f t="shared" si="69"/>
        <v>5601.8781000000008</v>
      </c>
      <c r="I1540" s="37">
        <f t="shared" si="70"/>
        <v>5601.8781000000008</v>
      </c>
      <c r="J1540" s="4"/>
      <c r="K1540" s="38">
        <f t="shared" si="71"/>
        <v>0</v>
      </c>
    </row>
    <row r="1541" spans="1:11">
      <c r="A1541" t="s">
        <v>2811</v>
      </c>
      <c r="B1541" t="s">
        <v>17</v>
      </c>
      <c r="C1541" t="s">
        <v>8295</v>
      </c>
      <c r="D1541" t="s">
        <v>8303</v>
      </c>
      <c r="E1541">
        <v>8909.15</v>
      </c>
      <c r="G1541" s="35"/>
      <c r="H1541" s="36">
        <f t="shared" si="69"/>
        <v>5612.7645000000002</v>
      </c>
      <c r="I1541" s="37">
        <f t="shared" si="70"/>
        <v>5612.7645000000002</v>
      </c>
      <c r="J1541" s="4"/>
      <c r="K1541" s="38">
        <f t="shared" si="71"/>
        <v>0</v>
      </c>
    </row>
    <row r="1542" spans="1:11">
      <c r="A1542" t="s">
        <v>2812</v>
      </c>
      <c r="B1542" t="s">
        <v>17</v>
      </c>
      <c r="C1542" t="s">
        <v>8295</v>
      </c>
      <c r="D1542" t="s">
        <v>8304</v>
      </c>
      <c r="E1542">
        <v>9582.9599999999991</v>
      </c>
      <c r="G1542" s="35"/>
      <c r="H1542" s="36">
        <f t="shared" si="69"/>
        <v>6037.2647999999999</v>
      </c>
      <c r="I1542" s="37">
        <f t="shared" si="70"/>
        <v>6037.2647999999999</v>
      </c>
      <c r="J1542" s="4"/>
      <c r="K1542" s="38">
        <f t="shared" si="71"/>
        <v>0</v>
      </c>
    </row>
    <row r="1543" spans="1:11">
      <c r="A1543" t="s">
        <v>2813</v>
      </c>
      <c r="B1543" t="s">
        <v>17</v>
      </c>
      <c r="C1543" t="s">
        <v>8295</v>
      </c>
      <c r="D1543" t="s">
        <v>8305</v>
      </c>
      <c r="E1543">
        <v>12856.25</v>
      </c>
      <c r="G1543" s="35"/>
      <c r="H1543" s="36">
        <f t="shared" ref="H1543:H1606" si="72">+E1543*$H$1*(1-G1543)</f>
        <v>8099.4375</v>
      </c>
      <c r="I1543" s="37">
        <f t="shared" ref="I1543:I1606" si="73">H1543*$H$4</f>
        <v>8099.4375</v>
      </c>
      <c r="J1543" s="4"/>
      <c r="K1543" s="38">
        <f t="shared" ref="K1543:K1606" si="74">J1543*I1543</f>
        <v>0</v>
      </c>
    </row>
    <row r="1544" spans="1:11">
      <c r="A1544" t="s">
        <v>2814</v>
      </c>
      <c r="B1544" t="s">
        <v>17</v>
      </c>
      <c r="C1544" t="s">
        <v>8295</v>
      </c>
      <c r="D1544" t="s">
        <v>8306</v>
      </c>
      <c r="E1544">
        <v>12856.25</v>
      </c>
      <c r="G1544" s="35"/>
      <c r="H1544" s="36">
        <f t="shared" si="72"/>
        <v>8099.4375</v>
      </c>
      <c r="I1544" s="37">
        <f t="shared" si="73"/>
        <v>8099.4375</v>
      </c>
      <c r="J1544" s="4"/>
      <c r="K1544" s="38">
        <f t="shared" si="74"/>
        <v>0</v>
      </c>
    </row>
    <row r="1545" spans="1:11">
      <c r="A1545" t="s">
        <v>2815</v>
      </c>
      <c r="B1545" t="s">
        <v>17</v>
      </c>
      <c r="C1545" t="s">
        <v>8295</v>
      </c>
      <c r="D1545" t="s">
        <v>8307</v>
      </c>
      <c r="E1545">
        <v>13811.97</v>
      </c>
      <c r="G1545" s="35"/>
      <c r="H1545" s="36">
        <f t="shared" si="72"/>
        <v>8701.5411000000004</v>
      </c>
      <c r="I1545" s="37">
        <f t="shared" si="73"/>
        <v>8701.5411000000004</v>
      </c>
      <c r="J1545" s="4"/>
      <c r="K1545" s="38">
        <f t="shared" si="74"/>
        <v>0</v>
      </c>
    </row>
    <row r="1546" spans="1:11">
      <c r="A1546" t="s">
        <v>2816</v>
      </c>
      <c r="B1546" t="s">
        <v>17</v>
      </c>
      <c r="C1546" t="s">
        <v>8295</v>
      </c>
      <c r="D1546" t="s">
        <v>8308</v>
      </c>
      <c r="E1546">
        <v>65338.77</v>
      </c>
      <c r="G1546" s="35"/>
      <c r="H1546" s="36">
        <f t="shared" si="72"/>
        <v>41163.4251</v>
      </c>
      <c r="I1546" s="37">
        <f t="shared" si="73"/>
        <v>41163.4251</v>
      </c>
      <c r="J1546" s="4"/>
      <c r="K1546" s="38">
        <f t="shared" si="74"/>
        <v>0</v>
      </c>
    </row>
    <row r="1547" spans="1:11">
      <c r="A1547" t="s">
        <v>2817</v>
      </c>
      <c r="B1547" t="s">
        <v>17</v>
      </c>
      <c r="C1547" t="s">
        <v>8295</v>
      </c>
      <c r="D1547" t="s">
        <v>8309</v>
      </c>
      <c r="E1547">
        <v>65338.77</v>
      </c>
      <c r="G1547" s="35"/>
      <c r="H1547" s="36">
        <f t="shared" si="72"/>
        <v>41163.4251</v>
      </c>
      <c r="I1547" s="37">
        <f t="shared" si="73"/>
        <v>41163.4251</v>
      </c>
      <c r="J1547" s="4"/>
      <c r="K1547" s="38">
        <f t="shared" si="74"/>
        <v>0</v>
      </c>
    </row>
    <row r="1548" spans="1:11">
      <c r="A1548" t="s">
        <v>2818</v>
      </c>
      <c r="B1548" t="s">
        <v>17</v>
      </c>
      <c r="C1548" t="s">
        <v>8310</v>
      </c>
      <c r="D1548" t="s">
        <v>8311</v>
      </c>
      <c r="E1548">
        <v>3933.98</v>
      </c>
      <c r="G1548" s="35"/>
      <c r="H1548" s="36">
        <f t="shared" si="72"/>
        <v>2478.4074000000001</v>
      </c>
      <c r="I1548" s="37">
        <f t="shared" si="73"/>
        <v>2478.4074000000001</v>
      </c>
      <c r="J1548" s="4"/>
      <c r="K1548" s="38">
        <f t="shared" si="74"/>
        <v>0</v>
      </c>
    </row>
    <row r="1549" spans="1:11">
      <c r="A1549" t="s">
        <v>2819</v>
      </c>
      <c r="B1549" t="s">
        <v>17</v>
      </c>
      <c r="C1549" t="s">
        <v>8310</v>
      </c>
      <c r="D1549" t="s">
        <v>8312</v>
      </c>
      <c r="E1549">
        <v>7300.58</v>
      </c>
      <c r="G1549" s="35"/>
      <c r="H1549" s="36">
        <f t="shared" si="72"/>
        <v>4599.3653999999997</v>
      </c>
      <c r="I1549" s="37">
        <f t="shared" si="73"/>
        <v>4599.3653999999997</v>
      </c>
      <c r="J1549" s="4"/>
      <c r="K1549" s="38">
        <f t="shared" si="74"/>
        <v>0</v>
      </c>
    </row>
    <row r="1550" spans="1:11">
      <c r="A1550" t="s">
        <v>2820</v>
      </c>
      <c r="B1550" t="s">
        <v>17</v>
      </c>
      <c r="C1550" t="s">
        <v>8310</v>
      </c>
      <c r="D1550" t="s">
        <v>8313</v>
      </c>
      <c r="E1550">
        <v>6884.81</v>
      </c>
      <c r="G1550" s="35"/>
      <c r="H1550" s="36">
        <f t="shared" si="72"/>
        <v>4337.4303</v>
      </c>
      <c r="I1550" s="37">
        <f t="shared" si="73"/>
        <v>4337.4303</v>
      </c>
      <c r="J1550" s="4"/>
      <c r="K1550" s="38">
        <f t="shared" si="74"/>
        <v>0</v>
      </c>
    </row>
    <row r="1551" spans="1:11">
      <c r="A1551" t="s">
        <v>2821</v>
      </c>
      <c r="B1551" t="s">
        <v>17</v>
      </c>
      <c r="C1551" t="s">
        <v>8310</v>
      </c>
      <c r="D1551" t="s">
        <v>8314</v>
      </c>
      <c r="E1551">
        <v>13419.74</v>
      </c>
      <c r="G1551" s="35"/>
      <c r="H1551" s="36">
        <f t="shared" si="72"/>
        <v>8454.4362000000001</v>
      </c>
      <c r="I1551" s="37">
        <f t="shared" si="73"/>
        <v>8454.4362000000001</v>
      </c>
      <c r="J1551" s="4"/>
      <c r="K1551" s="38">
        <f t="shared" si="74"/>
        <v>0</v>
      </c>
    </row>
    <row r="1552" spans="1:11">
      <c r="A1552" t="s">
        <v>2822</v>
      </c>
      <c r="B1552" t="s">
        <v>17</v>
      </c>
      <c r="C1552" t="s">
        <v>8310</v>
      </c>
      <c r="D1552" t="s">
        <v>8315</v>
      </c>
      <c r="E1552">
        <v>10269.18</v>
      </c>
      <c r="G1552" s="35"/>
      <c r="H1552" s="36">
        <f t="shared" si="72"/>
        <v>6469.5834000000004</v>
      </c>
      <c r="I1552" s="37">
        <f t="shared" si="73"/>
        <v>6469.5834000000004</v>
      </c>
      <c r="J1552" s="4"/>
      <c r="K1552" s="38">
        <f t="shared" si="74"/>
        <v>0</v>
      </c>
    </row>
    <row r="1553" spans="1:11">
      <c r="A1553" t="s">
        <v>2823</v>
      </c>
      <c r="B1553" t="s">
        <v>17</v>
      </c>
      <c r="C1553" t="s">
        <v>8310</v>
      </c>
      <c r="D1553" t="s">
        <v>8316</v>
      </c>
      <c r="E1553">
        <v>31516.28</v>
      </c>
      <c r="G1553" s="35"/>
      <c r="H1553" s="36">
        <f t="shared" si="72"/>
        <v>19855.256399999998</v>
      </c>
      <c r="I1553" s="37">
        <f t="shared" si="73"/>
        <v>19855.256399999998</v>
      </c>
      <c r="J1553" s="4"/>
      <c r="K1553" s="38">
        <f t="shared" si="74"/>
        <v>0</v>
      </c>
    </row>
    <row r="1554" spans="1:11">
      <c r="A1554" t="s">
        <v>2824</v>
      </c>
      <c r="B1554" t="s">
        <v>17</v>
      </c>
      <c r="C1554" t="s">
        <v>8310</v>
      </c>
      <c r="D1554" t="s">
        <v>8317</v>
      </c>
      <c r="E1554">
        <v>17106.21</v>
      </c>
      <c r="G1554" s="35"/>
      <c r="H1554" s="36">
        <f t="shared" si="72"/>
        <v>10776.9123</v>
      </c>
      <c r="I1554" s="37">
        <f t="shared" si="73"/>
        <v>10776.9123</v>
      </c>
      <c r="J1554" s="4"/>
      <c r="K1554" s="38">
        <f t="shared" si="74"/>
        <v>0</v>
      </c>
    </row>
    <row r="1555" spans="1:11">
      <c r="A1555" t="s">
        <v>2825</v>
      </c>
      <c r="B1555" t="s">
        <v>17</v>
      </c>
      <c r="C1555" t="s">
        <v>8310</v>
      </c>
      <c r="D1555" t="s">
        <v>8318</v>
      </c>
      <c r="E1555">
        <v>15184.7</v>
      </c>
      <c r="G1555" s="35"/>
      <c r="H1555" s="36">
        <f t="shared" si="72"/>
        <v>9566.3610000000008</v>
      </c>
      <c r="I1555" s="37">
        <f t="shared" si="73"/>
        <v>9566.3610000000008</v>
      </c>
      <c r="J1555" s="4"/>
      <c r="K1555" s="38">
        <f t="shared" si="74"/>
        <v>0</v>
      </c>
    </row>
    <row r="1556" spans="1:11">
      <c r="A1556" t="s">
        <v>2826</v>
      </c>
      <c r="B1556" t="s">
        <v>17</v>
      </c>
      <c r="C1556" t="s">
        <v>8310</v>
      </c>
      <c r="D1556" t="s">
        <v>8319</v>
      </c>
      <c r="E1556">
        <v>44862.89</v>
      </c>
      <c r="G1556" s="35"/>
      <c r="H1556" s="36">
        <f t="shared" si="72"/>
        <v>28263.620699999999</v>
      </c>
      <c r="I1556" s="37">
        <f t="shared" si="73"/>
        <v>28263.620699999999</v>
      </c>
      <c r="J1556" s="4"/>
      <c r="K1556" s="38">
        <f t="shared" si="74"/>
        <v>0</v>
      </c>
    </row>
    <row r="1557" spans="1:11">
      <c r="A1557" t="s">
        <v>2827</v>
      </c>
      <c r="B1557" t="s">
        <v>17</v>
      </c>
      <c r="C1557" t="s">
        <v>8310</v>
      </c>
      <c r="D1557" t="s">
        <v>8320</v>
      </c>
      <c r="E1557">
        <v>39759.339999999997</v>
      </c>
      <c r="G1557" s="35"/>
      <c r="H1557" s="36">
        <f t="shared" si="72"/>
        <v>25048.384199999997</v>
      </c>
      <c r="I1557" s="37">
        <f t="shared" si="73"/>
        <v>25048.384199999997</v>
      </c>
      <c r="J1557" s="4"/>
      <c r="K1557" s="38">
        <f t="shared" si="74"/>
        <v>0</v>
      </c>
    </row>
    <row r="1558" spans="1:11">
      <c r="A1558" t="s">
        <v>2828</v>
      </c>
      <c r="B1558" t="s">
        <v>17</v>
      </c>
      <c r="C1558" t="s">
        <v>8310</v>
      </c>
      <c r="D1558" t="s">
        <v>8321</v>
      </c>
      <c r="E1558">
        <v>23942.89</v>
      </c>
      <c r="G1558" s="35"/>
      <c r="H1558" s="36">
        <f t="shared" si="72"/>
        <v>15084.020699999999</v>
      </c>
      <c r="I1558" s="37">
        <f t="shared" si="73"/>
        <v>15084.020699999999</v>
      </c>
      <c r="J1558" s="4"/>
      <c r="K1558" s="38">
        <f t="shared" si="74"/>
        <v>0</v>
      </c>
    </row>
    <row r="1559" spans="1:11">
      <c r="A1559" t="s">
        <v>2829</v>
      </c>
      <c r="B1559" t="s">
        <v>17</v>
      </c>
      <c r="C1559" t="s">
        <v>8310</v>
      </c>
      <c r="D1559" t="s">
        <v>8322</v>
      </c>
      <c r="E1559">
        <v>6497.86</v>
      </c>
      <c r="G1559" s="35"/>
      <c r="H1559" s="36">
        <f t="shared" si="72"/>
        <v>4093.6517999999996</v>
      </c>
      <c r="I1559" s="37">
        <f t="shared" si="73"/>
        <v>4093.6517999999996</v>
      </c>
      <c r="J1559" s="4"/>
      <c r="K1559" s="38">
        <f t="shared" si="74"/>
        <v>0</v>
      </c>
    </row>
    <row r="1560" spans="1:11">
      <c r="A1560" t="s">
        <v>2830</v>
      </c>
      <c r="B1560" t="s">
        <v>17</v>
      </c>
      <c r="C1560" t="s">
        <v>8310</v>
      </c>
      <c r="D1560" t="s">
        <v>8323</v>
      </c>
      <c r="E1560">
        <v>9450.32</v>
      </c>
      <c r="G1560" s="35"/>
      <c r="H1560" s="36">
        <f t="shared" si="72"/>
        <v>5953.7015999999994</v>
      </c>
      <c r="I1560" s="37">
        <f t="shared" si="73"/>
        <v>5953.7015999999994</v>
      </c>
      <c r="J1560" s="4"/>
      <c r="K1560" s="38">
        <f t="shared" si="74"/>
        <v>0</v>
      </c>
    </row>
    <row r="1561" spans="1:11">
      <c r="A1561" t="s">
        <v>2831</v>
      </c>
      <c r="B1561" t="s">
        <v>17</v>
      </c>
      <c r="C1561" t="s">
        <v>8310</v>
      </c>
      <c r="D1561" t="s">
        <v>8324</v>
      </c>
      <c r="E1561">
        <v>8170.22</v>
      </c>
      <c r="G1561" s="35"/>
      <c r="H1561" s="36">
        <f t="shared" si="72"/>
        <v>5147.2386000000006</v>
      </c>
      <c r="I1561" s="37">
        <f t="shared" si="73"/>
        <v>5147.2386000000006</v>
      </c>
      <c r="J1561" s="4"/>
      <c r="K1561" s="38">
        <f t="shared" si="74"/>
        <v>0</v>
      </c>
    </row>
    <row r="1562" spans="1:11">
      <c r="A1562" t="s">
        <v>2832</v>
      </c>
      <c r="B1562" t="s">
        <v>17</v>
      </c>
      <c r="C1562" t="s">
        <v>8310</v>
      </c>
      <c r="D1562" t="s">
        <v>8325</v>
      </c>
      <c r="E1562">
        <v>15795.09</v>
      </c>
      <c r="G1562" s="35"/>
      <c r="H1562" s="36">
        <f t="shared" si="72"/>
        <v>9950.9066999999995</v>
      </c>
      <c r="I1562" s="37">
        <f t="shared" si="73"/>
        <v>9950.9066999999995</v>
      </c>
      <c r="J1562" s="4"/>
      <c r="K1562" s="38">
        <f t="shared" si="74"/>
        <v>0</v>
      </c>
    </row>
    <row r="1563" spans="1:11">
      <c r="A1563" t="s">
        <v>2833</v>
      </c>
      <c r="B1563" t="s">
        <v>17</v>
      </c>
      <c r="C1563" t="s">
        <v>8310</v>
      </c>
      <c r="D1563" t="s">
        <v>8326</v>
      </c>
      <c r="E1563">
        <v>13482.28</v>
      </c>
      <c r="G1563" s="35"/>
      <c r="H1563" s="36">
        <f t="shared" si="72"/>
        <v>8493.8364000000001</v>
      </c>
      <c r="I1563" s="37">
        <f t="shared" si="73"/>
        <v>8493.8364000000001</v>
      </c>
      <c r="J1563" s="4"/>
      <c r="K1563" s="38">
        <f t="shared" si="74"/>
        <v>0</v>
      </c>
    </row>
    <row r="1564" spans="1:11">
      <c r="A1564" t="s">
        <v>2834</v>
      </c>
      <c r="B1564" t="s">
        <v>17</v>
      </c>
      <c r="C1564" t="s">
        <v>8310</v>
      </c>
      <c r="D1564" t="s">
        <v>8327</v>
      </c>
      <c r="E1564">
        <v>35404.519999999997</v>
      </c>
      <c r="G1564" s="35"/>
      <c r="H1564" s="36">
        <f t="shared" si="72"/>
        <v>22304.847599999997</v>
      </c>
      <c r="I1564" s="37">
        <f t="shared" si="73"/>
        <v>22304.847599999997</v>
      </c>
      <c r="J1564" s="4"/>
      <c r="K1564" s="38">
        <f t="shared" si="74"/>
        <v>0</v>
      </c>
    </row>
    <row r="1565" spans="1:11">
      <c r="A1565" t="s">
        <v>2835</v>
      </c>
      <c r="B1565" t="s">
        <v>17</v>
      </c>
      <c r="C1565" t="s">
        <v>8310</v>
      </c>
      <c r="D1565" t="s">
        <v>8328</v>
      </c>
      <c r="E1565">
        <v>21513.41</v>
      </c>
      <c r="G1565" s="35"/>
      <c r="H1565" s="36">
        <f t="shared" si="72"/>
        <v>13553.4483</v>
      </c>
      <c r="I1565" s="37">
        <f t="shared" si="73"/>
        <v>13553.4483</v>
      </c>
      <c r="J1565" s="4"/>
      <c r="K1565" s="38">
        <f t="shared" si="74"/>
        <v>0</v>
      </c>
    </row>
    <row r="1566" spans="1:11">
      <c r="A1566" t="s">
        <v>2836</v>
      </c>
      <c r="B1566" t="s">
        <v>17</v>
      </c>
      <c r="C1566" t="s">
        <v>8310</v>
      </c>
      <c r="D1566" t="s">
        <v>8329</v>
      </c>
      <c r="E1566">
        <v>16694.61</v>
      </c>
      <c r="G1566" s="35"/>
      <c r="H1566" s="36">
        <f t="shared" si="72"/>
        <v>10517.604300000001</v>
      </c>
      <c r="I1566" s="37">
        <f t="shared" si="73"/>
        <v>10517.604300000001</v>
      </c>
      <c r="J1566" s="4"/>
      <c r="K1566" s="38">
        <f t="shared" si="74"/>
        <v>0</v>
      </c>
    </row>
    <row r="1567" spans="1:11">
      <c r="A1567" t="s">
        <v>2837</v>
      </c>
      <c r="B1567" t="s">
        <v>17</v>
      </c>
      <c r="C1567" t="s">
        <v>8310</v>
      </c>
      <c r="D1567" t="s">
        <v>8330</v>
      </c>
      <c r="E1567">
        <v>48157.96</v>
      </c>
      <c r="G1567" s="35"/>
      <c r="H1567" s="36">
        <f t="shared" si="72"/>
        <v>30339.514800000001</v>
      </c>
      <c r="I1567" s="37">
        <f t="shared" si="73"/>
        <v>30339.514800000001</v>
      </c>
      <c r="J1567" s="4"/>
      <c r="K1567" s="38">
        <f t="shared" si="74"/>
        <v>0</v>
      </c>
    </row>
    <row r="1568" spans="1:11">
      <c r="A1568" t="s">
        <v>2838</v>
      </c>
      <c r="B1568" t="s">
        <v>17</v>
      </c>
      <c r="C1568" t="s">
        <v>8310</v>
      </c>
      <c r="D1568" t="s">
        <v>8331</v>
      </c>
      <c r="E1568">
        <v>40305.919999999998</v>
      </c>
      <c r="G1568" s="35"/>
      <c r="H1568" s="36">
        <f t="shared" si="72"/>
        <v>25392.729599999999</v>
      </c>
      <c r="I1568" s="37">
        <f t="shared" si="73"/>
        <v>25392.729599999999</v>
      </c>
      <c r="J1568" s="4"/>
      <c r="K1568" s="38">
        <f t="shared" si="74"/>
        <v>0</v>
      </c>
    </row>
    <row r="1569" spans="1:11">
      <c r="A1569" t="s">
        <v>2839</v>
      </c>
      <c r="B1569" t="s">
        <v>17</v>
      </c>
      <c r="C1569" t="s">
        <v>8310</v>
      </c>
      <c r="D1569" t="s">
        <v>8332</v>
      </c>
      <c r="E1569">
        <v>27582.44</v>
      </c>
      <c r="G1569" s="35"/>
      <c r="H1569" s="36">
        <f t="shared" si="72"/>
        <v>17376.9372</v>
      </c>
      <c r="I1569" s="37">
        <f t="shared" si="73"/>
        <v>17376.9372</v>
      </c>
      <c r="J1569" s="4"/>
      <c r="K1569" s="38">
        <f t="shared" si="74"/>
        <v>0</v>
      </c>
    </row>
    <row r="1570" spans="1:11">
      <c r="A1570" t="s">
        <v>2840</v>
      </c>
      <c r="B1570" t="s">
        <v>17</v>
      </c>
      <c r="C1570" t="s">
        <v>8310</v>
      </c>
      <c r="D1570" t="s">
        <v>8333</v>
      </c>
      <c r="E1570">
        <v>117761.67</v>
      </c>
      <c r="G1570" s="35"/>
      <c r="H1570" s="36">
        <f t="shared" si="72"/>
        <v>74189.852100000004</v>
      </c>
      <c r="I1570" s="37">
        <f t="shared" si="73"/>
        <v>74189.852100000004</v>
      </c>
      <c r="J1570" s="4"/>
      <c r="K1570" s="38">
        <f t="shared" si="74"/>
        <v>0</v>
      </c>
    </row>
    <row r="1571" spans="1:11">
      <c r="A1571" t="s">
        <v>2841</v>
      </c>
      <c r="B1571" t="s">
        <v>17</v>
      </c>
      <c r="C1571" t="s">
        <v>8310</v>
      </c>
      <c r="D1571" t="s">
        <v>8334</v>
      </c>
      <c r="E1571">
        <v>117761.67</v>
      </c>
      <c r="G1571" s="35"/>
      <c r="H1571" s="36">
        <f t="shared" si="72"/>
        <v>74189.852100000004</v>
      </c>
      <c r="I1571" s="37">
        <f t="shared" si="73"/>
        <v>74189.852100000004</v>
      </c>
      <c r="J1571" s="4"/>
      <c r="K1571" s="38">
        <f t="shared" si="74"/>
        <v>0</v>
      </c>
    </row>
    <row r="1572" spans="1:11">
      <c r="A1572" t="s">
        <v>2842</v>
      </c>
      <c r="B1572" t="s">
        <v>17</v>
      </c>
      <c r="C1572" t="s">
        <v>8310</v>
      </c>
      <c r="D1572" t="s">
        <v>8335</v>
      </c>
      <c r="E1572">
        <v>4710.7</v>
      </c>
      <c r="G1572" s="35"/>
      <c r="H1572" s="36">
        <f t="shared" si="72"/>
        <v>2967.741</v>
      </c>
      <c r="I1572" s="37">
        <f t="shared" si="73"/>
        <v>2967.741</v>
      </c>
      <c r="J1572" s="4"/>
      <c r="K1572" s="38">
        <f t="shared" si="74"/>
        <v>0</v>
      </c>
    </row>
    <row r="1573" spans="1:11">
      <c r="A1573" t="s">
        <v>2843</v>
      </c>
      <c r="B1573" t="s">
        <v>17</v>
      </c>
      <c r="C1573" t="s">
        <v>8310</v>
      </c>
      <c r="D1573" t="s">
        <v>8336</v>
      </c>
      <c r="E1573">
        <v>4696.2700000000004</v>
      </c>
      <c r="G1573" s="35"/>
      <c r="H1573" s="36">
        <f t="shared" si="72"/>
        <v>2958.6501000000003</v>
      </c>
      <c r="I1573" s="37">
        <f t="shared" si="73"/>
        <v>2958.6501000000003</v>
      </c>
      <c r="J1573" s="4"/>
      <c r="K1573" s="38">
        <f t="shared" si="74"/>
        <v>0</v>
      </c>
    </row>
    <row r="1574" spans="1:11">
      <c r="A1574" t="s">
        <v>2844</v>
      </c>
      <c r="B1574" t="s">
        <v>17</v>
      </c>
      <c r="C1574" t="s">
        <v>8310</v>
      </c>
      <c r="D1574" t="s">
        <v>8337</v>
      </c>
      <c r="E1574">
        <v>4847.5600000000004</v>
      </c>
      <c r="G1574" s="35"/>
      <c r="H1574" s="36">
        <f t="shared" si="72"/>
        <v>3053.9628000000002</v>
      </c>
      <c r="I1574" s="37">
        <f t="shared" si="73"/>
        <v>3053.9628000000002</v>
      </c>
      <c r="J1574" s="4"/>
      <c r="K1574" s="38">
        <f t="shared" si="74"/>
        <v>0</v>
      </c>
    </row>
    <row r="1575" spans="1:11">
      <c r="A1575" t="s">
        <v>2853</v>
      </c>
      <c r="B1575" t="s">
        <v>17</v>
      </c>
      <c r="C1575" t="s">
        <v>8348</v>
      </c>
      <c r="D1575" t="s">
        <v>8349</v>
      </c>
      <c r="E1575">
        <v>1964.79</v>
      </c>
      <c r="G1575" s="35"/>
      <c r="H1575" s="36">
        <f t="shared" si="72"/>
        <v>1237.8177000000001</v>
      </c>
      <c r="I1575" s="37">
        <f t="shared" si="73"/>
        <v>1237.8177000000001</v>
      </c>
      <c r="J1575" s="4"/>
      <c r="K1575" s="38">
        <f t="shared" si="74"/>
        <v>0</v>
      </c>
    </row>
    <row r="1576" spans="1:11">
      <c r="A1576" t="s">
        <v>2854</v>
      </c>
      <c r="B1576" t="s">
        <v>17</v>
      </c>
      <c r="C1576" t="s">
        <v>8348</v>
      </c>
      <c r="D1576" t="s">
        <v>8350</v>
      </c>
      <c r="E1576">
        <v>3208.08</v>
      </c>
      <c r="G1576" s="35"/>
      <c r="H1576" s="36">
        <f t="shared" si="72"/>
        <v>2021.0904</v>
      </c>
      <c r="I1576" s="37">
        <f t="shared" si="73"/>
        <v>2021.0904</v>
      </c>
      <c r="J1576" s="4"/>
      <c r="K1576" s="38">
        <f t="shared" si="74"/>
        <v>0</v>
      </c>
    </row>
    <row r="1577" spans="1:11">
      <c r="A1577" t="s">
        <v>2855</v>
      </c>
      <c r="B1577" t="s">
        <v>17</v>
      </c>
      <c r="C1577" t="s">
        <v>8348</v>
      </c>
      <c r="D1577" t="s">
        <v>8351</v>
      </c>
      <c r="E1577">
        <v>2968.04</v>
      </c>
      <c r="G1577" s="35"/>
      <c r="H1577" s="36">
        <f t="shared" si="72"/>
        <v>1869.8652</v>
      </c>
      <c r="I1577" s="37">
        <f t="shared" si="73"/>
        <v>1869.8652</v>
      </c>
      <c r="J1577" s="4"/>
      <c r="K1577" s="38">
        <f t="shared" si="74"/>
        <v>0</v>
      </c>
    </row>
    <row r="1578" spans="1:11">
      <c r="A1578" t="s">
        <v>2856</v>
      </c>
      <c r="B1578" t="s">
        <v>17</v>
      </c>
      <c r="C1578" t="s">
        <v>8348</v>
      </c>
      <c r="D1578" t="s">
        <v>8352</v>
      </c>
      <c r="E1578">
        <v>5520.38</v>
      </c>
      <c r="G1578" s="35"/>
      <c r="H1578" s="36">
        <f t="shared" si="72"/>
        <v>3477.8394000000003</v>
      </c>
      <c r="I1578" s="37">
        <f t="shared" si="73"/>
        <v>3477.8394000000003</v>
      </c>
      <c r="J1578" s="4"/>
      <c r="K1578" s="38">
        <f t="shared" si="74"/>
        <v>0</v>
      </c>
    </row>
    <row r="1579" spans="1:11">
      <c r="A1579" t="s">
        <v>2857</v>
      </c>
      <c r="B1579" t="s">
        <v>17</v>
      </c>
      <c r="C1579" t="s">
        <v>8348</v>
      </c>
      <c r="D1579" t="s">
        <v>8353</v>
      </c>
      <c r="E1579">
        <v>6539.17</v>
      </c>
      <c r="G1579" s="35"/>
      <c r="H1579" s="36">
        <f t="shared" si="72"/>
        <v>4119.6770999999999</v>
      </c>
      <c r="I1579" s="37">
        <f t="shared" si="73"/>
        <v>4119.6770999999999</v>
      </c>
      <c r="J1579" s="4"/>
      <c r="K1579" s="38">
        <f t="shared" si="74"/>
        <v>0</v>
      </c>
    </row>
    <row r="1580" spans="1:11">
      <c r="A1580" t="s">
        <v>2858</v>
      </c>
      <c r="B1580" t="s">
        <v>17</v>
      </c>
      <c r="C1580" t="s">
        <v>8348</v>
      </c>
      <c r="D1580" t="s">
        <v>8354</v>
      </c>
      <c r="E1580">
        <v>10947.76</v>
      </c>
      <c r="G1580" s="35"/>
      <c r="H1580" s="36">
        <f t="shared" si="72"/>
        <v>6897.0888000000004</v>
      </c>
      <c r="I1580" s="37">
        <f t="shared" si="73"/>
        <v>6897.0888000000004</v>
      </c>
      <c r="J1580" s="4"/>
      <c r="K1580" s="38">
        <f t="shared" si="74"/>
        <v>0</v>
      </c>
    </row>
    <row r="1581" spans="1:11">
      <c r="A1581" t="s">
        <v>2859</v>
      </c>
      <c r="B1581" t="s">
        <v>17</v>
      </c>
      <c r="C1581" t="s">
        <v>8348</v>
      </c>
      <c r="D1581" t="s">
        <v>8355</v>
      </c>
      <c r="E1581">
        <v>10947.76</v>
      </c>
      <c r="G1581" s="35"/>
      <c r="H1581" s="36">
        <f t="shared" si="72"/>
        <v>6897.0888000000004</v>
      </c>
      <c r="I1581" s="37">
        <f t="shared" si="73"/>
        <v>6897.0888000000004</v>
      </c>
      <c r="J1581" s="4"/>
      <c r="K1581" s="38">
        <f t="shared" si="74"/>
        <v>0</v>
      </c>
    </row>
    <row r="1582" spans="1:11">
      <c r="A1582" t="s">
        <v>2860</v>
      </c>
      <c r="B1582" t="s">
        <v>17</v>
      </c>
      <c r="C1582" t="s">
        <v>8348</v>
      </c>
      <c r="D1582" t="s">
        <v>8356</v>
      </c>
      <c r="E1582">
        <v>15957.97</v>
      </c>
      <c r="G1582" s="35"/>
      <c r="H1582" s="36">
        <f t="shared" si="72"/>
        <v>10053.5211</v>
      </c>
      <c r="I1582" s="37">
        <f t="shared" si="73"/>
        <v>10053.5211</v>
      </c>
      <c r="J1582" s="4"/>
      <c r="K1582" s="38">
        <f t="shared" si="74"/>
        <v>0</v>
      </c>
    </row>
    <row r="1583" spans="1:11">
      <c r="A1583" t="s">
        <v>2861</v>
      </c>
      <c r="B1583" t="s">
        <v>17</v>
      </c>
      <c r="C1583" t="s">
        <v>8348</v>
      </c>
      <c r="D1583" t="s">
        <v>8357</v>
      </c>
      <c r="E1583">
        <v>15957.97</v>
      </c>
      <c r="G1583" s="35"/>
      <c r="H1583" s="36">
        <f t="shared" si="72"/>
        <v>10053.5211</v>
      </c>
      <c r="I1583" s="37">
        <f t="shared" si="73"/>
        <v>10053.5211</v>
      </c>
      <c r="J1583" s="4"/>
      <c r="K1583" s="38">
        <f t="shared" si="74"/>
        <v>0</v>
      </c>
    </row>
    <row r="1584" spans="1:11">
      <c r="A1584" t="s">
        <v>2862</v>
      </c>
      <c r="B1584" t="s">
        <v>17</v>
      </c>
      <c r="C1584" t="s">
        <v>8348</v>
      </c>
      <c r="D1584" t="s">
        <v>8358</v>
      </c>
      <c r="E1584">
        <v>16851.43</v>
      </c>
      <c r="G1584" s="35"/>
      <c r="H1584" s="36">
        <f t="shared" si="72"/>
        <v>10616.400900000001</v>
      </c>
      <c r="I1584" s="37">
        <f t="shared" si="73"/>
        <v>10616.400900000001</v>
      </c>
      <c r="J1584" s="4"/>
      <c r="K1584" s="38">
        <f t="shared" si="74"/>
        <v>0</v>
      </c>
    </row>
    <row r="1585" spans="1:11">
      <c r="A1585" t="s">
        <v>2863</v>
      </c>
      <c r="B1585" t="s">
        <v>17</v>
      </c>
      <c r="C1585" t="s">
        <v>8348</v>
      </c>
      <c r="D1585" t="s">
        <v>8359</v>
      </c>
      <c r="E1585">
        <v>1818.94</v>
      </c>
      <c r="G1585" s="35"/>
      <c r="H1585" s="36">
        <f t="shared" si="72"/>
        <v>1145.9322</v>
      </c>
      <c r="I1585" s="37">
        <f t="shared" si="73"/>
        <v>1145.9322</v>
      </c>
      <c r="J1585" s="4"/>
      <c r="K1585" s="38">
        <f t="shared" si="74"/>
        <v>0</v>
      </c>
    </row>
    <row r="1586" spans="1:11">
      <c r="A1586" t="s">
        <v>2866</v>
      </c>
      <c r="B1586" t="s">
        <v>17</v>
      </c>
      <c r="C1586" t="s">
        <v>8363</v>
      </c>
      <c r="D1586" t="s">
        <v>8364</v>
      </c>
      <c r="E1586">
        <v>1917.12</v>
      </c>
      <c r="G1586" s="35"/>
      <c r="H1586" s="36">
        <f t="shared" si="72"/>
        <v>1207.7855999999999</v>
      </c>
      <c r="I1586" s="37">
        <f t="shared" si="73"/>
        <v>1207.7855999999999</v>
      </c>
      <c r="J1586" s="4"/>
      <c r="K1586" s="38">
        <f t="shared" si="74"/>
        <v>0</v>
      </c>
    </row>
    <row r="1587" spans="1:11">
      <c r="A1587" t="s">
        <v>2867</v>
      </c>
      <c r="B1587" t="s">
        <v>17</v>
      </c>
      <c r="C1587" t="s">
        <v>8363</v>
      </c>
      <c r="D1587" t="s">
        <v>8365</v>
      </c>
      <c r="E1587">
        <v>3028.99</v>
      </c>
      <c r="G1587" s="35"/>
      <c r="H1587" s="36">
        <f t="shared" si="72"/>
        <v>1908.2637</v>
      </c>
      <c r="I1587" s="37">
        <f t="shared" si="73"/>
        <v>1908.2637</v>
      </c>
      <c r="J1587" s="4"/>
      <c r="K1587" s="38">
        <f t="shared" si="74"/>
        <v>0</v>
      </c>
    </row>
    <row r="1588" spans="1:11">
      <c r="A1588" t="s">
        <v>2868</v>
      </c>
      <c r="B1588" t="s">
        <v>17</v>
      </c>
      <c r="C1588" t="s">
        <v>8363</v>
      </c>
      <c r="D1588" t="s">
        <v>8366</v>
      </c>
      <c r="E1588">
        <v>3040.77</v>
      </c>
      <c r="G1588" s="35"/>
      <c r="H1588" s="36">
        <f t="shared" si="72"/>
        <v>1915.6850999999999</v>
      </c>
      <c r="I1588" s="37">
        <f t="shared" si="73"/>
        <v>1915.6850999999999</v>
      </c>
      <c r="J1588" s="4"/>
      <c r="K1588" s="38">
        <f t="shared" si="74"/>
        <v>0</v>
      </c>
    </row>
    <row r="1589" spans="1:11">
      <c r="A1589" t="s">
        <v>2869</v>
      </c>
      <c r="B1589" t="s">
        <v>17</v>
      </c>
      <c r="C1589" t="s">
        <v>8363</v>
      </c>
      <c r="D1589" t="s">
        <v>8367</v>
      </c>
      <c r="E1589">
        <v>5796.4</v>
      </c>
      <c r="G1589" s="35"/>
      <c r="H1589" s="36">
        <f t="shared" si="72"/>
        <v>3651.732</v>
      </c>
      <c r="I1589" s="37">
        <f t="shared" si="73"/>
        <v>3651.732</v>
      </c>
      <c r="J1589" s="4"/>
      <c r="K1589" s="38">
        <f t="shared" si="74"/>
        <v>0</v>
      </c>
    </row>
    <row r="1590" spans="1:11">
      <c r="A1590" t="s">
        <v>2870</v>
      </c>
      <c r="B1590" t="s">
        <v>17</v>
      </c>
      <c r="C1590" t="s">
        <v>8363</v>
      </c>
      <c r="D1590" t="s">
        <v>8368</v>
      </c>
      <c r="E1590">
        <v>6866.12</v>
      </c>
      <c r="G1590" s="35"/>
      <c r="H1590" s="36">
        <f t="shared" si="72"/>
        <v>4325.6556</v>
      </c>
      <c r="I1590" s="37">
        <f t="shared" si="73"/>
        <v>4325.6556</v>
      </c>
      <c r="J1590" s="4"/>
      <c r="K1590" s="38">
        <f t="shared" si="74"/>
        <v>0</v>
      </c>
    </row>
    <row r="1591" spans="1:11">
      <c r="A1591" t="s">
        <v>2871</v>
      </c>
      <c r="B1591" t="s">
        <v>17</v>
      </c>
      <c r="C1591" t="s">
        <v>8363</v>
      </c>
      <c r="D1591" t="s">
        <v>8369</v>
      </c>
      <c r="E1591">
        <v>10947.76</v>
      </c>
      <c r="G1591" s="35"/>
      <c r="H1591" s="36">
        <f t="shared" si="72"/>
        <v>6897.0888000000004</v>
      </c>
      <c r="I1591" s="37">
        <f t="shared" si="73"/>
        <v>6897.0888000000004</v>
      </c>
      <c r="J1591" s="4"/>
      <c r="K1591" s="38">
        <f t="shared" si="74"/>
        <v>0</v>
      </c>
    </row>
    <row r="1592" spans="1:11">
      <c r="A1592" t="s">
        <v>2872</v>
      </c>
      <c r="B1592" t="s">
        <v>17</v>
      </c>
      <c r="C1592" t="s">
        <v>8363</v>
      </c>
      <c r="D1592" t="s">
        <v>8370</v>
      </c>
      <c r="E1592">
        <v>10947.76</v>
      </c>
      <c r="G1592" s="35"/>
      <c r="H1592" s="36">
        <f t="shared" si="72"/>
        <v>6897.0888000000004</v>
      </c>
      <c r="I1592" s="37">
        <f t="shared" si="73"/>
        <v>6897.0888000000004</v>
      </c>
      <c r="J1592" s="4"/>
      <c r="K1592" s="38">
        <f t="shared" si="74"/>
        <v>0</v>
      </c>
    </row>
    <row r="1593" spans="1:11">
      <c r="A1593" t="s">
        <v>2873</v>
      </c>
      <c r="B1593" t="s">
        <v>17</v>
      </c>
      <c r="C1593" t="s">
        <v>8363</v>
      </c>
      <c r="D1593" t="s">
        <v>8371</v>
      </c>
      <c r="E1593">
        <v>15880.55</v>
      </c>
      <c r="G1593" s="35"/>
      <c r="H1593" s="36">
        <f t="shared" si="72"/>
        <v>10004.746499999999</v>
      </c>
      <c r="I1593" s="37">
        <f t="shared" si="73"/>
        <v>10004.746499999999</v>
      </c>
      <c r="J1593" s="4"/>
      <c r="K1593" s="38">
        <f t="shared" si="74"/>
        <v>0</v>
      </c>
    </row>
    <row r="1594" spans="1:11">
      <c r="A1594" t="s">
        <v>2874</v>
      </c>
      <c r="B1594" t="s">
        <v>17</v>
      </c>
      <c r="C1594" t="s">
        <v>8363</v>
      </c>
      <c r="D1594" t="s">
        <v>8372</v>
      </c>
      <c r="E1594">
        <v>15880.55</v>
      </c>
      <c r="G1594" s="35"/>
      <c r="H1594" s="36">
        <f t="shared" si="72"/>
        <v>10004.746499999999</v>
      </c>
      <c r="I1594" s="37">
        <f t="shared" si="73"/>
        <v>10004.746499999999</v>
      </c>
      <c r="J1594" s="4"/>
      <c r="K1594" s="38">
        <f t="shared" si="74"/>
        <v>0</v>
      </c>
    </row>
    <row r="1595" spans="1:11">
      <c r="A1595" t="s">
        <v>2875</v>
      </c>
      <c r="B1595" t="s">
        <v>17</v>
      </c>
      <c r="C1595" t="s">
        <v>8363</v>
      </c>
      <c r="D1595" t="s">
        <v>8373</v>
      </c>
      <c r="E1595">
        <v>16007.44</v>
      </c>
      <c r="G1595" s="35"/>
      <c r="H1595" s="36">
        <f t="shared" si="72"/>
        <v>10084.6872</v>
      </c>
      <c r="I1595" s="37">
        <f t="shared" si="73"/>
        <v>10084.6872</v>
      </c>
      <c r="J1595" s="4"/>
      <c r="K1595" s="38">
        <f t="shared" si="74"/>
        <v>0</v>
      </c>
    </row>
    <row r="1596" spans="1:11">
      <c r="A1596" t="s">
        <v>2876</v>
      </c>
      <c r="B1596" t="s">
        <v>17</v>
      </c>
      <c r="C1596" t="s">
        <v>8363</v>
      </c>
      <c r="D1596" t="s">
        <v>8374</v>
      </c>
      <c r="E1596">
        <v>730.07</v>
      </c>
      <c r="G1596" s="35"/>
      <c r="H1596" s="36">
        <f t="shared" si="72"/>
        <v>459.94410000000005</v>
      </c>
      <c r="I1596" s="37">
        <f t="shared" si="73"/>
        <v>459.94410000000005</v>
      </c>
      <c r="J1596" s="4"/>
      <c r="K1596" s="38">
        <f t="shared" si="74"/>
        <v>0</v>
      </c>
    </row>
    <row r="1597" spans="1:11">
      <c r="A1597" t="s">
        <v>2845</v>
      </c>
      <c r="B1597" t="s">
        <v>17</v>
      </c>
      <c r="C1597" t="s">
        <v>8338</v>
      </c>
      <c r="D1597" t="s">
        <v>8339</v>
      </c>
      <c r="E1597">
        <v>3208.43</v>
      </c>
      <c r="G1597" s="35"/>
      <c r="H1597" s="36">
        <f t="shared" si="72"/>
        <v>2021.3108999999999</v>
      </c>
      <c r="I1597" s="37">
        <f t="shared" si="73"/>
        <v>2021.3108999999999</v>
      </c>
      <c r="J1597" s="4"/>
      <c r="K1597" s="38">
        <f t="shared" si="74"/>
        <v>0</v>
      </c>
    </row>
    <row r="1598" spans="1:11">
      <c r="A1598" t="s">
        <v>2846</v>
      </c>
      <c r="B1598" t="s">
        <v>17</v>
      </c>
      <c r="C1598" t="s">
        <v>8338</v>
      </c>
      <c r="D1598" t="s">
        <v>8340</v>
      </c>
      <c r="E1598">
        <v>3219.8</v>
      </c>
      <c r="G1598" s="35"/>
      <c r="H1598" s="36">
        <f t="shared" si="72"/>
        <v>2028.4740000000002</v>
      </c>
      <c r="I1598" s="37">
        <f t="shared" si="73"/>
        <v>2028.4740000000002</v>
      </c>
      <c r="J1598" s="4"/>
      <c r="K1598" s="38">
        <f t="shared" si="74"/>
        <v>0</v>
      </c>
    </row>
    <row r="1599" spans="1:11">
      <c r="A1599" t="s">
        <v>2847</v>
      </c>
      <c r="B1599" t="s">
        <v>17</v>
      </c>
      <c r="C1599" t="s">
        <v>8338</v>
      </c>
      <c r="D1599" t="s">
        <v>8341</v>
      </c>
      <c r="E1599">
        <v>3314.87</v>
      </c>
      <c r="G1599" s="35"/>
      <c r="H1599" s="36">
        <f t="shared" si="72"/>
        <v>2088.3681000000001</v>
      </c>
      <c r="I1599" s="37">
        <f t="shared" si="73"/>
        <v>2088.3681000000001</v>
      </c>
      <c r="J1599" s="4"/>
      <c r="K1599" s="38">
        <f t="shared" si="74"/>
        <v>0</v>
      </c>
    </row>
    <row r="1600" spans="1:11">
      <c r="A1600" t="s">
        <v>2848</v>
      </c>
      <c r="B1600" t="s">
        <v>17</v>
      </c>
      <c r="C1600" t="s">
        <v>8338</v>
      </c>
      <c r="D1600" t="s">
        <v>8342</v>
      </c>
      <c r="E1600">
        <v>2099</v>
      </c>
      <c r="G1600" s="35"/>
      <c r="H1600" s="36">
        <f t="shared" si="72"/>
        <v>1322.3700000000001</v>
      </c>
      <c r="I1600" s="37">
        <f t="shared" si="73"/>
        <v>1322.3700000000001</v>
      </c>
      <c r="J1600" s="4"/>
      <c r="K1600" s="38">
        <f t="shared" si="74"/>
        <v>0</v>
      </c>
    </row>
    <row r="1601" spans="1:11">
      <c r="A1601" t="s">
        <v>2877</v>
      </c>
      <c r="B1601" t="s">
        <v>17</v>
      </c>
      <c r="C1601" t="s">
        <v>8375</v>
      </c>
      <c r="D1601" t="s">
        <v>8376</v>
      </c>
      <c r="E1601">
        <v>1698.58</v>
      </c>
      <c r="G1601" s="35"/>
      <c r="H1601" s="36">
        <f t="shared" si="72"/>
        <v>1070.1053999999999</v>
      </c>
      <c r="I1601" s="37">
        <f t="shared" si="73"/>
        <v>1070.1053999999999</v>
      </c>
      <c r="J1601" s="4"/>
      <c r="K1601" s="38">
        <f t="shared" si="74"/>
        <v>0</v>
      </c>
    </row>
    <row r="1602" spans="1:11">
      <c r="A1602" t="s">
        <v>2878</v>
      </c>
      <c r="B1602" t="s">
        <v>17</v>
      </c>
      <c r="C1602" t="s">
        <v>8375</v>
      </c>
      <c r="D1602" t="s">
        <v>8377</v>
      </c>
      <c r="E1602">
        <v>2767.43</v>
      </c>
      <c r="G1602" s="35"/>
      <c r="H1602" s="36">
        <f t="shared" si="72"/>
        <v>1743.4809</v>
      </c>
      <c r="I1602" s="37">
        <f t="shared" si="73"/>
        <v>1743.4809</v>
      </c>
      <c r="J1602" s="4"/>
      <c r="K1602" s="38">
        <f t="shared" si="74"/>
        <v>0</v>
      </c>
    </row>
    <row r="1603" spans="1:11">
      <c r="A1603" t="s">
        <v>2879</v>
      </c>
      <c r="B1603" t="s">
        <v>17</v>
      </c>
      <c r="C1603" t="s">
        <v>8375</v>
      </c>
      <c r="D1603" t="s">
        <v>8378</v>
      </c>
      <c r="E1603">
        <v>2767.43</v>
      </c>
      <c r="G1603" s="35"/>
      <c r="H1603" s="36">
        <f t="shared" si="72"/>
        <v>1743.4809</v>
      </c>
      <c r="I1603" s="37">
        <f t="shared" si="73"/>
        <v>1743.4809</v>
      </c>
      <c r="J1603" s="4"/>
      <c r="K1603" s="38">
        <f t="shared" si="74"/>
        <v>0</v>
      </c>
    </row>
    <row r="1604" spans="1:11">
      <c r="A1604" t="s">
        <v>2880</v>
      </c>
      <c r="B1604" t="s">
        <v>17</v>
      </c>
      <c r="C1604" t="s">
        <v>8375</v>
      </c>
      <c r="D1604" t="s">
        <v>8379</v>
      </c>
      <c r="E1604">
        <v>4946.38</v>
      </c>
      <c r="G1604" s="35"/>
      <c r="H1604" s="36">
        <f t="shared" si="72"/>
        <v>3116.2194</v>
      </c>
      <c r="I1604" s="37">
        <f t="shared" si="73"/>
        <v>3116.2194</v>
      </c>
      <c r="J1604" s="4"/>
      <c r="K1604" s="38">
        <f t="shared" si="74"/>
        <v>0</v>
      </c>
    </row>
    <row r="1605" spans="1:11">
      <c r="A1605" t="s">
        <v>2881</v>
      </c>
      <c r="B1605" t="s">
        <v>17</v>
      </c>
      <c r="C1605" t="s">
        <v>8375</v>
      </c>
      <c r="D1605" t="s">
        <v>8380</v>
      </c>
      <c r="E1605">
        <v>9327.18</v>
      </c>
      <c r="G1605" s="35"/>
      <c r="H1605" s="36">
        <f t="shared" si="72"/>
        <v>5876.1234000000004</v>
      </c>
      <c r="I1605" s="37">
        <f t="shared" si="73"/>
        <v>5876.1234000000004</v>
      </c>
      <c r="J1605" s="4"/>
      <c r="K1605" s="38">
        <f t="shared" si="74"/>
        <v>0</v>
      </c>
    </row>
    <row r="1606" spans="1:11">
      <c r="A1606" t="s">
        <v>2882</v>
      </c>
      <c r="B1606" t="s">
        <v>17</v>
      </c>
      <c r="C1606" t="s">
        <v>8375</v>
      </c>
      <c r="D1606" t="s">
        <v>8381</v>
      </c>
      <c r="E1606">
        <v>14854.07</v>
      </c>
      <c r="G1606" s="35"/>
      <c r="H1606" s="36">
        <f t="shared" si="72"/>
        <v>9358.0640999999996</v>
      </c>
      <c r="I1606" s="37">
        <f t="shared" si="73"/>
        <v>9358.0640999999996</v>
      </c>
      <c r="J1606" s="4"/>
      <c r="K1606" s="38">
        <f t="shared" si="74"/>
        <v>0</v>
      </c>
    </row>
    <row r="1607" spans="1:11">
      <c r="A1607" t="s">
        <v>2883</v>
      </c>
      <c r="B1607" t="s">
        <v>17</v>
      </c>
      <c r="C1607" t="s">
        <v>8375</v>
      </c>
      <c r="D1607" t="s">
        <v>8359</v>
      </c>
      <c r="E1607">
        <v>910.1</v>
      </c>
      <c r="G1607" s="35"/>
      <c r="H1607" s="36">
        <f t="shared" ref="H1607:H1670" si="75">+E1607*$H$1*(1-G1607)</f>
        <v>573.36300000000006</v>
      </c>
      <c r="I1607" s="37">
        <f t="shared" ref="I1607:I1670" si="76">H1607*$H$4</f>
        <v>573.36300000000006</v>
      </c>
      <c r="J1607" s="4"/>
      <c r="K1607" s="38">
        <f t="shared" ref="K1607:K1670" si="77">J1607*I1607</f>
        <v>0</v>
      </c>
    </row>
    <row r="1608" spans="1:11">
      <c r="A1608" t="s">
        <v>2890</v>
      </c>
      <c r="B1608" t="s">
        <v>17</v>
      </c>
      <c r="C1608" t="s">
        <v>8390</v>
      </c>
      <c r="D1608" t="s">
        <v>8337</v>
      </c>
      <c r="E1608">
        <v>5926.35</v>
      </c>
      <c r="G1608" s="35"/>
      <c r="H1608" s="36">
        <f t="shared" si="75"/>
        <v>3733.6005000000005</v>
      </c>
      <c r="I1608" s="37">
        <f t="shared" si="76"/>
        <v>3733.6005000000005</v>
      </c>
      <c r="J1608" s="4"/>
      <c r="K1608" s="38">
        <f t="shared" si="77"/>
        <v>0</v>
      </c>
    </row>
    <row r="1609" spans="1:11">
      <c r="A1609" t="s">
        <v>2891</v>
      </c>
      <c r="B1609" t="s">
        <v>17</v>
      </c>
      <c r="C1609" t="s">
        <v>8390</v>
      </c>
      <c r="D1609" t="s">
        <v>8336</v>
      </c>
      <c r="E1609">
        <v>6092.51</v>
      </c>
      <c r="G1609" s="35"/>
      <c r="H1609" s="36">
        <f t="shared" si="75"/>
        <v>3838.2813000000001</v>
      </c>
      <c r="I1609" s="37">
        <f t="shared" si="76"/>
        <v>3838.2813000000001</v>
      </c>
      <c r="J1609" s="4"/>
      <c r="K1609" s="38">
        <f t="shared" si="77"/>
        <v>0</v>
      </c>
    </row>
    <row r="1610" spans="1:11">
      <c r="A1610" t="s">
        <v>3916</v>
      </c>
      <c r="B1610" t="s">
        <v>17</v>
      </c>
      <c r="C1610" t="s">
        <v>9389</v>
      </c>
      <c r="D1610" t="s">
        <v>9390</v>
      </c>
      <c r="E1610">
        <v>1028.31</v>
      </c>
      <c r="G1610" s="35"/>
      <c r="H1610" s="36">
        <f t="shared" si="75"/>
        <v>647.83529999999996</v>
      </c>
      <c r="I1610" s="37">
        <f t="shared" si="76"/>
        <v>647.83529999999996</v>
      </c>
      <c r="J1610" s="4"/>
      <c r="K1610" s="38">
        <f t="shared" si="77"/>
        <v>0</v>
      </c>
    </row>
    <row r="1611" spans="1:11">
      <c r="A1611" t="s">
        <v>3917</v>
      </c>
      <c r="B1611" t="s">
        <v>17</v>
      </c>
      <c r="C1611" t="s">
        <v>9389</v>
      </c>
      <c r="D1611" t="s">
        <v>9391</v>
      </c>
      <c r="E1611">
        <v>1435.18</v>
      </c>
      <c r="G1611" s="35"/>
      <c r="H1611" s="36">
        <f t="shared" si="75"/>
        <v>904.16340000000002</v>
      </c>
      <c r="I1611" s="37">
        <f t="shared" si="76"/>
        <v>904.16340000000002</v>
      </c>
      <c r="J1611" s="4"/>
      <c r="K1611" s="38">
        <f t="shared" si="77"/>
        <v>0</v>
      </c>
    </row>
    <row r="1612" spans="1:11">
      <c r="A1612" t="s">
        <v>3918</v>
      </c>
      <c r="B1612" t="s">
        <v>17</v>
      </c>
      <c r="C1612" t="s">
        <v>9389</v>
      </c>
      <c r="D1612" t="s">
        <v>9392</v>
      </c>
      <c r="E1612">
        <v>2732.56</v>
      </c>
      <c r="G1612" s="35"/>
      <c r="H1612" s="36">
        <f t="shared" si="75"/>
        <v>1721.5128</v>
      </c>
      <c r="I1612" s="37">
        <f t="shared" si="76"/>
        <v>1721.5128</v>
      </c>
      <c r="J1612" s="4"/>
      <c r="K1612" s="38">
        <f t="shared" si="77"/>
        <v>0</v>
      </c>
    </row>
    <row r="1613" spans="1:11">
      <c r="A1613" t="s">
        <v>3919</v>
      </c>
      <c r="B1613" t="s">
        <v>17</v>
      </c>
      <c r="C1613" t="s">
        <v>9389</v>
      </c>
      <c r="D1613" t="s">
        <v>9393</v>
      </c>
      <c r="E1613">
        <v>6075.48</v>
      </c>
      <c r="G1613" s="35"/>
      <c r="H1613" s="36">
        <f t="shared" si="75"/>
        <v>3827.5523999999996</v>
      </c>
      <c r="I1613" s="37">
        <f t="shared" si="76"/>
        <v>3827.5523999999996</v>
      </c>
      <c r="J1613" s="4"/>
      <c r="K1613" s="38">
        <f t="shared" si="77"/>
        <v>0</v>
      </c>
    </row>
    <row r="1614" spans="1:11">
      <c r="A1614" t="s">
        <v>3920</v>
      </c>
      <c r="B1614" t="s">
        <v>17</v>
      </c>
      <c r="C1614" t="s">
        <v>9389</v>
      </c>
      <c r="D1614" t="s">
        <v>9394</v>
      </c>
      <c r="E1614">
        <v>6686.06</v>
      </c>
      <c r="G1614" s="35"/>
      <c r="H1614" s="36">
        <f t="shared" si="75"/>
        <v>4212.2178000000004</v>
      </c>
      <c r="I1614" s="37">
        <f t="shared" si="76"/>
        <v>4212.2178000000004</v>
      </c>
      <c r="J1614" s="4"/>
      <c r="K1614" s="38">
        <f t="shared" si="77"/>
        <v>0</v>
      </c>
    </row>
    <row r="1615" spans="1:11">
      <c r="A1615" t="s">
        <v>3921</v>
      </c>
      <c r="B1615" t="s">
        <v>17</v>
      </c>
      <c r="C1615" t="s">
        <v>9389</v>
      </c>
      <c r="D1615" t="s">
        <v>9395</v>
      </c>
      <c r="E1615">
        <v>9394.7199999999993</v>
      </c>
      <c r="G1615" s="35"/>
      <c r="H1615" s="36">
        <f t="shared" si="75"/>
        <v>5918.6736000000001</v>
      </c>
      <c r="I1615" s="37">
        <f t="shared" si="76"/>
        <v>5918.6736000000001</v>
      </c>
      <c r="J1615" s="4"/>
      <c r="K1615" s="38">
        <f t="shared" si="77"/>
        <v>0</v>
      </c>
    </row>
    <row r="1616" spans="1:11">
      <c r="A1616" t="s">
        <v>3922</v>
      </c>
      <c r="B1616" t="s">
        <v>17</v>
      </c>
      <c r="C1616" t="s">
        <v>9389</v>
      </c>
      <c r="D1616" t="s">
        <v>9396</v>
      </c>
      <c r="E1616">
        <v>2118.87</v>
      </c>
      <c r="G1616" s="35"/>
      <c r="H1616" s="36">
        <f t="shared" si="75"/>
        <v>1334.8880999999999</v>
      </c>
      <c r="I1616" s="37">
        <f t="shared" si="76"/>
        <v>1334.8880999999999</v>
      </c>
      <c r="J1616" s="4"/>
      <c r="K1616" s="38">
        <f t="shared" si="77"/>
        <v>0</v>
      </c>
    </row>
    <row r="1617" spans="1:11">
      <c r="A1617" t="s">
        <v>3923</v>
      </c>
      <c r="B1617" t="s">
        <v>17</v>
      </c>
      <c r="C1617" t="s">
        <v>9389</v>
      </c>
      <c r="D1617" t="s">
        <v>9397</v>
      </c>
      <c r="E1617">
        <v>2355.37</v>
      </c>
      <c r="G1617" s="35"/>
      <c r="H1617" s="36">
        <f t="shared" si="75"/>
        <v>1483.8831</v>
      </c>
      <c r="I1617" s="37">
        <f t="shared" si="76"/>
        <v>1483.8831</v>
      </c>
      <c r="J1617" s="4"/>
      <c r="K1617" s="38">
        <f t="shared" si="77"/>
        <v>0</v>
      </c>
    </row>
    <row r="1618" spans="1:11">
      <c r="A1618" t="s">
        <v>3924</v>
      </c>
      <c r="B1618" t="s">
        <v>17</v>
      </c>
      <c r="C1618" t="s">
        <v>9389</v>
      </c>
      <c r="D1618" t="s">
        <v>9398</v>
      </c>
      <c r="E1618">
        <v>4650.83</v>
      </c>
      <c r="G1618" s="35"/>
      <c r="H1618" s="36">
        <f t="shared" si="75"/>
        <v>2930.0228999999999</v>
      </c>
      <c r="I1618" s="37">
        <f t="shared" si="76"/>
        <v>2930.0228999999999</v>
      </c>
      <c r="J1618" s="4"/>
      <c r="K1618" s="38">
        <f t="shared" si="77"/>
        <v>0</v>
      </c>
    </row>
    <row r="1619" spans="1:11">
      <c r="A1619" t="s">
        <v>3925</v>
      </c>
      <c r="B1619" t="s">
        <v>17</v>
      </c>
      <c r="C1619" t="s">
        <v>9389</v>
      </c>
      <c r="D1619" t="s">
        <v>9399</v>
      </c>
      <c r="E1619">
        <v>10362.73</v>
      </c>
      <c r="G1619" s="35"/>
      <c r="H1619" s="36">
        <f t="shared" si="75"/>
        <v>6528.5198999999993</v>
      </c>
      <c r="I1619" s="37">
        <f t="shared" si="76"/>
        <v>6528.5198999999993</v>
      </c>
      <c r="J1619" s="4"/>
      <c r="K1619" s="38">
        <f t="shared" si="77"/>
        <v>0</v>
      </c>
    </row>
    <row r="1620" spans="1:11">
      <c r="A1620" t="s">
        <v>3926</v>
      </c>
      <c r="B1620" t="s">
        <v>17</v>
      </c>
      <c r="C1620" t="s">
        <v>9389</v>
      </c>
      <c r="D1620" t="s">
        <v>9400</v>
      </c>
      <c r="E1620">
        <v>11362.2</v>
      </c>
      <c r="G1620" s="35"/>
      <c r="H1620" s="36">
        <f t="shared" si="75"/>
        <v>7158.1860000000006</v>
      </c>
      <c r="I1620" s="37">
        <f t="shared" si="76"/>
        <v>7158.1860000000006</v>
      </c>
      <c r="J1620" s="4"/>
      <c r="K1620" s="38">
        <f t="shared" si="77"/>
        <v>0</v>
      </c>
    </row>
    <row r="1621" spans="1:11">
      <c r="A1621" t="s">
        <v>3927</v>
      </c>
      <c r="B1621" t="s">
        <v>17</v>
      </c>
      <c r="C1621" t="s">
        <v>9389</v>
      </c>
      <c r="D1621" t="s">
        <v>9401</v>
      </c>
      <c r="E1621">
        <v>20075.810000000001</v>
      </c>
      <c r="G1621" s="35"/>
      <c r="H1621" s="36">
        <f t="shared" si="75"/>
        <v>12647.760300000002</v>
      </c>
      <c r="I1621" s="37">
        <f t="shared" si="76"/>
        <v>12647.760300000002</v>
      </c>
      <c r="J1621" s="4"/>
      <c r="K1621" s="38">
        <f t="shared" si="77"/>
        <v>0</v>
      </c>
    </row>
    <row r="1622" spans="1:11">
      <c r="A1622" t="s">
        <v>3928</v>
      </c>
      <c r="B1622" t="s">
        <v>17</v>
      </c>
      <c r="C1622" t="s">
        <v>9389</v>
      </c>
      <c r="D1622" t="s">
        <v>9402</v>
      </c>
      <c r="E1622">
        <v>11845.26</v>
      </c>
      <c r="G1622" s="35"/>
      <c r="H1622" s="36">
        <f t="shared" si="75"/>
        <v>7462.5138000000006</v>
      </c>
      <c r="I1622" s="37">
        <f t="shared" si="76"/>
        <v>7462.5138000000006</v>
      </c>
      <c r="J1622" s="4"/>
      <c r="K1622" s="38">
        <f t="shared" si="77"/>
        <v>0</v>
      </c>
    </row>
    <row r="1623" spans="1:11">
      <c r="A1623" t="s">
        <v>3929</v>
      </c>
      <c r="B1623" t="s">
        <v>17</v>
      </c>
      <c r="C1623" t="s">
        <v>9389</v>
      </c>
      <c r="D1623" t="s">
        <v>9403</v>
      </c>
      <c r="E1623">
        <v>17968.349999999999</v>
      </c>
      <c r="G1623" s="35"/>
      <c r="H1623" s="36">
        <f t="shared" si="75"/>
        <v>11320.0605</v>
      </c>
      <c r="I1623" s="37">
        <f t="shared" si="76"/>
        <v>11320.0605</v>
      </c>
      <c r="J1623" s="4"/>
      <c r="K1623" s="38">
        <f t="shared" si="77"/>
        <v>0</v>
      </c>
    </row>
    <row r="1624" spans="1:11">
      <c r="A1624" t="s">
        <v>3930</v>
      </c>
      <c r="B1624" t="s">
        <v>17</v>
      </c>
      <c r="C1624" t="s">
        <v>9389</v>
      </c>
      <c r="D1624" t="s">
        <v>9404</v>
      </c>
      <c r="E1624">
        <v>28306.76</v>
      </c>
      <c r="G1624" s="35"/>
      <c r="H1624" s="36">
        <f t="shared" si="75"/>
        <v>17833.2588</v>
      </c>
      <c r="I1624" s="37">
        <f t="shared" si="76"/>
        <v>17833.2588</v>
      </c>
      <c r="J1624" s="4"/>
      <c r="K1624" s="38">
        <f t="shared" si="77"/>
        <v>0</v>
      </c>
    </row>
    <row r="1625" spans="1:11">
      <c r="A1625" t="s">
        <v>3931</v>
      </c>
      <c r="B1625" t="s">
        <v>17</v>
      </c>
      <c r="C1625" t="s">
        <v>9389</v>
      </c>
      <c r="D1625" t="s">
        <v>9405</v>
      </c>
      <c r="E1625">
        <v>45157.29</v>
      </c>
      <c r="G1625" s="35"/>
      <c r="H1625" s="36">
        <f t="shared" si="75"/>
        <v>28449.092700000001</v>
      </c>
      <c r="I1625" s="37">
        <f t="shared" si="76"/>
        <v>28449.092700000001</v>
      </c>
      <c r="J1625" s="4"/>
      <c r="K1625" s="38">
        <f t="shared" si="77"/>
        <v>0</v>
      </c>
    </row>
    <row r="1626" spans="1:11">
      <c r="A1626" t="s">
        <v>3932</v>
      </c>
      <c r="B1626" t="s">
        <v>17</v>
      </c>
      <c r="C1626" t="s">
        <v>9389</v>
      </c>
      <c r="D1626" t="s">
        <v>9406</v>
      </c>
      <c r="E1626">
        <v>51752.03</v>
      </c>
      <c r="G1626" s="35"/>
      <c r="H1626" s="36">
        <f t="shared" si="75"/>
        <v>32603.778900000001</v>
      </c>
      <c r="I1626" s="37">
        <f t="shared" si="76"/>
        <v>32603.778900000001</v>
      </c>
      <c r="J1626" s="4"/>
      <c r="K1626" s="38">
        <f t="shared" si="77"/>
        <v>0</v>
      </c>
    </row>
    <row r="1627" spans="1:11">
      <c r="A1627" t="s">
        <v>3933</v>
      </c>
      <c r="B1627" t="s">
        <v>17</v>
      </c>
      <c r="C1627" t="s">
        <v>9389</v>
      </c>
      <c r="D1627" t="s">
        <v>9407</v>
      </c>
      <c r="E1627">
        <v>75301.009999999995</v>
      </c>
      <c r="G1627" s="35"/>
      <c r="H1627" s="36">
        <f t="shared" si="75"/>
        <v>47439.636299999998</v>
      </c>
      <c r="I1627" s="37">
        <f t="shared" si="76"/>
        <v>47439.636299999998</v>
      </c>
      <c r="J1627" s="4"/>
      <c r="K1627" s="38">
        <f t="shared" si="77"/>
        <v>0</v>
      </c>
    </row>
    <row r="1628" spans="1:11">
      <c r="A1628" t="s">
        <v>3934</v>
      </c>
      <c r="B1628" t="s">
        <v>17</v>
      </c>
      <c r="C1628" t="s">
        <v>9389</v>
      </c>
      <c r="D1628" t="s">
        <v>9408</v>
      </c>
      <c r="E1628">
        <v>16767.97</v>
      </c>
      <c r="G1628" s="35"/>
      <c r="H1628" s="36">
        <f t="shared" si="75"/>
        <v>10563.821100000001</v>
      </c>
      <c r="I1628" s="37">
        <f t="shared" si="76"/>
        <v>10563.821100000001</v>
      </c>
      <c r="J1628" s="4"/>
      <c r="K1628" s="38">
        <f t="shared" si="77"/>
        <v>0</v>
      </c>
    </row>
    <row r="1629" spans="1:11">
      <c r="A1629" t="s">
        <v>3935</v>
      </c>
      <c r="B1629" t="s">
        <v>17</v>
      </c>
      <c r="C1629" t="s">
        <v>9389</v>
      </c>
      <c r="D1629" t="s">
        <v>9409</v>
      </c>
      <c r="E1629">
        <v>26033.97</v>
      </c>
      <c r="G1629" s="35"/>
      <c r="H1629" s="36">
        <f t="shared" si="75"/>
        <v>16401.401099999999</v>
      </c>
      <c r="I1629" s="37">
        <f t="shared" si="76"/>
        <v>16401.401099999999</v>
      </c>
      <c r="J1629" s="4"/>
      <c r="K1629" s="38">
        <f t="shared" si="77"/>
        <v>0</v>
      </c>
    </row>
    <row r="1630" spans="1:11">
      <c r="A1630" t="s">
        <v>3936</v>
      </c>
      <c r="B1630" t="s">
        <v>17</v>
      </c>
      <c r="C1630" t="s">
        <v>9389</v>
      </c>
      <c r="D1630" t="s">
        <v>9410</v>
      </c>
      <c r="E1630">
        <v>40153.339999999997</v>
      </c>
      <c r="G1630" s="35"/>
      <c r="H1630" s="36">
        <f t="shared" si="75"/>
        <v>25296.604199999998</v>
      </c>
      <c r="I1630" s="37">
        <f t="shared" si="76"/>
        <v>25296.604199999998</v>
      </c>
      <c r="J1630" s="4"/>
      <c r="K1630" s="38">
        <f t="shared" si="77"/>
        <v>0</v>
      </c>
    </row>
    <row r="1631" spans="1:11">
      <c r="A1631" t="s">
        <v>3937</v>
      </c>
      <c r="B1631" t="s">
        <v>17</v>
      </c>
      <c r="C1631" t="s">
        <v>9389</v>
      </c>
      <c r="D1631" t="s">
        <v>9411</v>
      </c>
      <c r="E1631">
        <v>70591.88</v>
      </c>
      <c r="G1631" s="35"/>
      <c r="H1631" s="36">
        <f t="shared" si="75"/>
        <v>44472.884400000003</v>
      </c>
      <c r="I1631" s="37">
        <f t="shared" si="76"/>
        <v>44472.884400000003</v>
      </c>
      <c r="J1631" s="4"/>
      <c r="K1631" s="38">
        <f t="shared" si="77"/>
        <v>0</v>
      </c>
    </row>
    <row r="1632" spans="1:11">
      <c r="A1632" t="s">
        <v>3938</v>
      </c>
      <c r="B1632" t="s">
        <v>17</v>
      </c>
      <c r="C1632" t="s">
        <v>9389</v>
      </c>
      <c r="D1632" t="s">
        <v>9412</v>
      </c>
      <c r="E1632">
        <v>88195.73</v>
      </c>
      <c r="G1632" s="35"/>
      <c r="H1632" s="36">
        <f t="shared" si="75"/>
        <v>55563.3099</v>
      </c>
      <c r="I1632" s="37">
        <f t="shared" si="76"/>
        <v>55563.3099</v>
      </c>
      <c r="J1632" s="4"/>
      <c r="K1632" s="38">
        <f t="shared" si="77"/>
        <v>0</v>
      </c>
    </row>
    <row r="1633" spans="1:11">
      <c r="A1633" t="s">
        <v>3939</v>
      </c>
      <c r="B1633" t="s">
        <v>17</v>
      </c>
      <c r="C1633" t="s">
        <v>9389</v>
      </c>
      <c r="D1633" t="s">
        <v>9413</v>
      </c>
      <c r="E1633">
        <v>136532.91</v>
      </c>
      <c r="G1633" s="35"/>
      <c r="H1633" s="36">
        <f t="shared" si="75"/>
        <v>86015.733300000007</v>
      </c>
      <c r="I1633" s="37">
        <f t="shared" si="76"/>
        <v>86015.733300000007</v>
      </c>
      <c r="J1633" s="4"/>
      <c r="K1633" s="38">
        <f t="shared" si="77"/>
        <v>0</v>
      </c>
    </row>
    <row r="1634" spans="1:11">
      <c r="A1634" t="s">
        <v>3940</v>
      </c>
      <c r="B1634" t="s">
        <v>17</v>
      </c>
      <c r="C1634" t="s">
        <v>9389</v>
      </c>
      <c r="D1634" t="s">
        <v>9414</v>
      </c>
      <c r="E1634">
        <v>2614.6</v>
      </c>
      <c r="G1634" s="35"/>
      <c r="H1634" s="36">
        <f t="shared" si="75"/>
        <v>1647.1979999999999</v>
      </c>
      <c r="I1634" s="37">
        <f t="shared" si="76"/>
        <v>1647.1979999999999</v>
      </c>
      <c r="J1634" s="4"/>
      <c r="K1634" s="38">
        <f t="shared" si="77"/>
        <v>0</v>
      </c>
    </row>
    <row r="1635" spans="1:11">
      <c r="A1635" t="s">
        <v>3941</v>
      </c>
      <c r="B1635" t="s">
        <v>17</v>
      </c>
      <c r="C1635" t="s">
        <v>9389</v>
      </c>
      <c r="D1635" t="s">
        <v>9415</v>
      </c>
      <c r="E1635">
        <v>3649.75</v>
      </c>
      <c r="G1635" s="35"/>
      <c r="H1635" s="36">
        <f t="shared" si="75"/>
        <v>2299.3425000000002</v>
      </c>
      <c r="I1635" s="37">
        <f t="shared" si="76"/>
        <v>2299.3425000000002</v>
      </c>
      <c r="J1635" s="4"/>
      <c r="K1635" s="38">
        <f t="shared" si="77"/>
        <v>0</v>
      </c>
    </row>
    <row r="1636" spans="1:11">
      <c r="A1636" t="s">
        <v>3942</v>
      </c>
      <c r="B1636" t="s">
        <v>17</v>
      </c>
      <c r="C1636" t="s">
        <v>9389</v>
      </c>
      <c r="D1636" t="s">
        <v>9416</v>
      </c>
      <c r="E1636">
        <v>6947.89</v>
      </c>
      <c r="G1636" s="35"/>
      <c r="H1636" s="36">
        <f t="shared" si="75"/>
        <v>4377.1707000000006</v>
      </c>
      <c r="I1636" s="37">
        <f t="shared" si="76"/>
        <v>4377.1707000000006</v>
      </c>
      <c r="J1636" s="4"/>
      <c r="K1636" s="38">
        <f t="shared" si="77"/>
        <v>0</v>
      </c>
    </row>
    <row r="1637" spans="1:11">
      <c r="A1637" t="s">
        <v>3943</v>
      </c>
      <c r="B1637" t="s">
        <v>17</v>
      </c>
      <c r="C1637" t="s">
        <v>9389</v>
      </c>
      <c r="D1637" t="s">
        <v>9417</v>
      </c>
      <c r="E1637">
        <v>12363.34</v>
      </c>
      <c r="G1637" s="35"/>
      <c r="H1637" s="36">
        <f t="shared" si="75"/>
        <v>7788.9041999999999</v>
      </c>
      <c r="I1637" s="37">
        <f t="shared" si="76"/>
        <v>7788.9041999999999</v>
      </c>
      <c r="J1637" s="4"/>
      <c r="K1637" s="38">
        <f t="shared" si="77"/>
        <v>0</v>
      </c>
    </row>
    <row r="1638" spans="1:11">
      <c r="A1638" t="s">
        <v>3944</v>
      </c>
      <c r="B1638" t="s">
        <v>17</v>
      </c>
      <c r="C1638" t="s">
        <v>9389</v>
      </c>
      <c r="D1638" t="s">
        <v>9418</v>
      </c>
      <c r="E1638">
        <v>13835.89</v>
      </c>
      <c r="G1638" s="35"/>
      <c r="H1638" s="36">
        <f t="shared" si="75"/>
        <v>8716.6106999999993</v>
      </c>
      <c r="I1638" s="37">
        <f t="shared" si="76"/>
        <v>8716.6106999999993</v>
      </c>
      <c r="J1638" s="4"/>
      <c r="K1638" s="38">
        <f t="shared" si="77"/>
        <v>0</v>
      </c>
    </row>
    <row r="1639" spans="1:11">
      <c r="A1639" t="s">
        <v>3945</v>
      </c>
      <c r="B1639" t="s">
        <v>17</v>
      </c>
      <c r="C1639" t="s">
        <v>9389</v>
      </c>
      <c r="D1639" t="s">
        <v>9419</v>
      </c>
      <c r="E1639">
        <v>23962.04</v>
      </c>
      <c r="G1639" s="35"/>
      <c r="H1639" s="36">
        <f t="shared" si="75"/>
        <v>15096.085200000001</v>
      </c>
      <c r="I1639" s="37">
        <f t="shared" si="76"/>
        <v>15096.085200000001</v>
      </c>
      <c r="J1639" s="4"/>
      <c r="K1639" s="38">
        <f t="shared" si="77"/>
        <v>0</v>
      </c>
    </row>
    <row r="1640" spans="1:11">
      <c r="A1640" t="s">
        <v>3865</v>
      </c>
      <c r="B1640" t="s">
        <v>17</v>
      </c>
      <c r="C1640" t="s">
        <v>9333</v>
      </c>
      <c r="D1640" t="s">
        <v>9334</v>
      </c>
      <c r="E1640">
        <v>48534.78</v>
      </c>
      <c r="G1640" s="35"/>
      <c r="H1640" s="36">
        <f t="shared" si="75"/>
        <v>30576.911400000001</v>
      </c>
      <c r="I1640" s="37">
        <f t="shared" si="76"/>
        <v>30576.911400000001</v>
      </c>
      <c r="J1640" s="4"/>
      <c r="K1640" s="38">
        <f t="shared" si="77"/>
        <v>0</v>
      </c>
    </row>
    <row r="1641" spans="1:11">
      <c r="A1641" t="s">
        <v>2960</v>
      </c>
      <c r="B1641" t="s">
        <v>17</v>
      </c>
      <c r="C1641" t="s">
        <v>8460</v>
      </c>
      <c r="D1641" t="s">
        <v>8416</v>
      </c>
      <c r="E1641">
        <v>32665.33</v>
      </c>
      <c r="G1641" s="35"/>
      <c r="H1641" s="36">
        <f t="shared" si="75"/>
        <v>20579.157900000002</v>
      </c>
      <c r="I1641" s="37">
        <f t="shared" si="76"/>
        <v>20579.157900000002</v>
      </c>
      <c r="J1641" s="4"/>
      <c r="K1641" s="38">
        <f t="shared" si="77"/>
        <v>0</v>
      </c>
    </row>
    <row r="1642" spans="1:11">
      <c r="A1642" t="s">
        <v>2961</v>
      </c>
      <c r="B1642" t="s">
        <v>17</v>
      </c>
      <c r="C1642" t="s">
        <v>8460</v>
      </c>
      <c r="D1642" t="s">
        <v>8417</v>
      </c>
      <c r="E1642">
        <v>38414.410000000003</v>
      </c>
      <c r="G1642" s="35"/>
      <c r="H1642" s="36">
        <f t="shared" si="75"/>
        <v>24201.078300000001</v>
      </c>
      <c r="I1642" s="37">
        <f t="shared" si="76"/>
        <v>24201.078300000001</v>
      </c>
      <c r="J1642" s="4"/>
      <c r="K1642" s="38">
        <f t="shared" si="77"/>
        <v>0</v>
      </c>
    </row>
    <row r="1643" spans="1:11">
      <c r="A1643" t="s">
        <v>2962</v>
      </c>
      <c r="B1643" t="s">
        <v>17</v>
      </c>
      <c r="C1643" t="s">
        <v>8460</v>
      </c>
      <c r="D1643" t="s">
        <v>8266</v>
      </c>
      <c r="E1643">
        <v>55370.86</v>
      </c>
      <c r="G1643" s="35"/>
      <c r="H1643" s="36">
        <f t="shared" si="75"/>
        <v>34883.641799999998</v>
      </c>
      <c r="I1643" s="37">
        <f t="shared" si="76"/>
        <v>34883.641799999998</v>
      </c>
      <c r="J1643" s="4"/>
      <c r="K1643" s="38">
        <f t="shared" si="77"/>
        <v>0</v>
      </c>
    </row>
    <row r="1644" spans="1:11">
      <c r="A1644" t="s">
        <v>2913</v>
      </c>
      <c r="B1644" t="s">
        <v>17</v>
      </c>
      <c r="C1644" t="s">
        <v>8415</v>
      </c>
      <c r="D1644" t="s">
        <v>8416</v>
      </c>
      <c r="E1644">
        <v>32665.33</v>
      </c>
      <c r="G1644" s="35"/>
      <c r="H1644" s="36">
        <f t="shared" si="75"/>
        <v>20579.157900000002</v>
      </c>
      <c r="I1644" s="37">
        <f t="shared" si="76"/>
        <v>20579.157900000002</v>
      </c>
      <c r="J1644" s="4"/>
      <c r="K1644" s="38">
        <f t="shared" si="77"/>
        <v>0</v>
      </c>
    </row>
    <row r="1645" spans="1:11">
      <c r="A1645" t="s">
        <v>2914</v>
      </c>
      <c r="B1645" t="s">
        <v>17</v>
      </c>
      <c r="C1645" t="s">
        <v>8415</v>
      </c>
      <c r="D1645" t="s">
        <v>8417</v>
      </c>
      <c r="E1645">
        <v>38414.410000000003</v>
      </c>
      <c r="G1645" s="35"/>
      <c r="H1645" s="36">
        <f t="shared" si="75"/>
        <v>24201.078300000001</v>
      </c>
      <c r="I1645" s="37">
        <f t="shared" si="76"/>
        <v>24201.078300000001</v>
      </c>
      <c r="J1645" s="4"/>
      <c r="K1645" s="38">
        <f t="shared" si="77"/>
        <v>0</v>
      </c>
    </row>
    <row r="1646" spans="1:11">
      <c r="A1646" t="s">
        <v>2915</v>
      </c>
      <c r="B1646" t="s">
        <v>17</v>
      </c>
      <c r="C1646" t="s">
        <v>8415</v>
      </c>
      <c r="D1646" t="s">
        <v>8266</v>
      </c>
      <c r="E1646">
        <v>55370.86</v>
      </c>
      <c r="G1646" s="35"/>
      <c r="H1646" s="36">
        <f t="shared" si="75"/>
        <v>34883.641799999998</v>
      </c>
      <c r="I1646" s="37">
        <f t="shared" si="76"/>
        <v>34883.641799999998</v>
      </c>
      <c r="J1646" s="4"/>
      <c r="K1646" s="38">
        <f t="shared" si="77"/>
        <v>0</v>
      </c>
    </row>
    <row r="1647" spans="1:11">
      <c r="A1647" t="s">
        <v>3003</v>
      </c>
      <c r="B1647" t="s">
        <v>17</v>
      </c>
      <c r="C1647" t="s">
        <v>8461</v>
      </c>
      <c r="D1647" t="s">
        <v>8504</v>
      </c>
      <c r="E1647">
        <v>12903.42</v>
      </c>
      <c r="G1647" s="35"/>
      <c r="H1647" s="36">
        <f t="shared" si="75"/>
        <v>8129.1545999999998</v>
      </c>
      <c r="I1647" s="37">
        <f t="shared" si="76"/>
        <v>8129.1545999999998</v>
      </c>
      <c r="J1647" s="4"/>
      <c r="K1647" s="38">
        <f t="shared" si="77"/>
        <v>0</v>
      </c>
    </row>
    <row r="1648" spans="1:11">
      <c r="A1648" t="s">
        <v>3004</v>
      </c>
      <c r="B1648" t="s">
        <v>17</v>
      </c>
      <c r="C1648" t="s">
        <v>8461</v>
      </c>
      <c r="D1648" t="s">
        <v>8505</v>
      </c>
      <c r="E1648">
        <v>19366.14</v>
      </c>
      <c r="G1648" s="35"/>
      <c r="H1648" s="36">
        <f t="shared" si="75"/>
        <v>12200.6682</v>
      </c>
      <c r="I1648" s="37">
        <f t="shared" si="76"/>
        <v>12200.6682</v>
      </c>
      <c r="J1648" s="4"/>
      <c r="K1648" s="38">
        <f t="shared" si="77"/>
        <v>0</v>
      </c>
    </row>
    <row r="1649" spans="1:11">
      <c r="A1649" t="s">
        <v>3005</v>
      </c>
      <c r="B1649" t="s">
        <v>17</v>
      </c>
      <c r="C1649" t="s">
        <v>8461</v>
      </c>
      <c r="D1649" t="s">
        <v>8506</v>
      </c>
      <c r="E1649">
        <v>29353</v>
      </c>
      <c r="G1649" s="35"/>
      <c r="H1649" s="36">
        <f t="shared" si="75"/>
        <v>18492.39</v>
      </c>
      <c r="I1649" s="37">
        <f t="shared" si="76"/>
        <v>18492.39</v>
      </c>
      <c r="J1649" s="4"/>
      <c r="K1649" s="38">
        <f t="shared" si="77"/>
        <v>0</v>
      </c>
    </row>
    <row r="1650" spans="1:11">
      <c r="A1650" t="s">
        <v>3006</v>
      </c>
      <c r="B1650" t="s">
        <v>17</v>
      </c>
      <c r="C1650" t="s">
        <v>8461</v>
      </c>
      <c r="D1650" t="s">
        <v>8507</v>
      </c>
      <c r="E1650">
        <v>48180.19</v>
      </c>
      <c r="G1650" s="35"/>
      <c r="H1650" s="36">
        <f t="shared" si="75"/>
        <v>30353.519700000001</v>
      </c>
      <c r="I1650" s="37">
        <f t="shared" si="76"/>
        <v>30353.519700000001</v>
      </c>
      <c r="J1650" s="4"/>
      <c r="K1650" s="38">
        <f t="shared" si="77"/>
        <v>0</v>
      </c>
    </row>
    <row r="1651" spans="1:11">
      <c r="A1651" t="s">
        <v>3007</v>
      </c>
      <c r="B1651" t="s">
        <v>17</v>
      </c>
      <c r="C1651" t="s">
        <v>8461</v>
      </c>
      <c r="D1651" t="s">
        <v>8508</v>
      </c>
      <c r="E1651">
        <v>61625.52</v>
      </c>
      <c r="G1651" s="35"/>
      <c r="H1651" s="36">
        <f t="shared" si="75"/>
        <v>38824.077599999997</v>
      </c>
      <c r="I1651" s="37">
        <f t="shared" si="76"/>
        <v>38824.077599999997</v>
      </c>
      <c r="J1651" s="4"/>
      <c r="K1651" s="38">
        <f t="shared" si="77"/>
        <v>0</v>
      </c>
    </row>
    <row r="1652" spans="1:11">
      <c r="A1652" t="s">
        <v>3008</v>
      </c>
      <c r="B1652" t="s">
        <v>17</v>
      </c>
      <c r="C1652" t="s">
        <v>8461</v>
      </c>
      <c r="D1652" t="s">
        <v>8509</v>
      </c>
      <c r="E1652">
        <v>90008.27</v>
      </c>
      <c r="G1652" s="35"/>
      <c r="H1652" s="36">
        <f t="shared" si="75"/>
        <v>56705.210100000004</v>
      </c>
      <c r="I1652" s="37">
        <f t="shared" si="76"/>
        <v>56705.210100000004</v>
      </c>
      <c r="J1652" s="4"/>
      <c r="K1652" s="38">
        <f t="shared" si="77"/>
        <v>0</v>
      </c>
    </row>
    <row r="1653" spans="1:11">
      <c r="A1653" t="s">
        <v>3009</v>
      </c>
      <c r="B1653" t="s">
        <v>17</v>
      </c>
      <c r="C1653" t="s">
        <v>8461</v>
      </c>
      <c r="D1653" t="s">
        <v>8510</v>
      </c>
      <c r="E1653">
        <v>163066.70000000001</v>
      </c>
      <c r="G1653" s="35"/>
      <c r="H1653" s="36">
        <f t="shared" si="75"/>
        <v>102732.02100000001</v>
      </c>
      <c r="I1653" s="37">
        <f t="shared" si="76"/>
        <v>102732.02100000001</v>
      </c>
      <c r="J1653" s="4"/>
      <c r="K1653" s="38">
        <f t="shared" si="77"/>
        <v>0</v>
      </c>
    </row>
    <row r="1654" spans="1:11">
      <c r="A1654" t="s">
        <v>3010</v>
      </c>
      <c r="B1654" t="s">
        <v>17</v>
      </c>
      <c r="C1654" t="s">
        <v>8461</v>
      </c>
      <c r="D1654" t="s">
        <v>8511</v>
      </c>
      <c r="E1654">
        <v>213135.85</v>
      </c>
      <c r="G1654" s="35"/>
      <c r="H1654" s="36">
        <f t="shared" si="75"/>
        <v>134275.58550000002</v>
      </c>
      <c r="I1654" s="37">
        <f t="shared" si="76"/>
        <v>134275.58550000002</v>
      </c>
      <c r="J1654" s="4"/>
      <c r="K1654" s="38">
        <f t="shared" si="77"/>
        <v>0</v>
      </c>
    </row>
    <row r="1655" spans="1:11">
      <c r="A1655" t="s">
        <v>3011</v>
      </c>
      <c r="B1655" t="s">
        <v>17</v>
      </c>
      <c r="C1655" t="s">
        <v>8461</v>
      </c>
      <c r="D1655" t="s">
        <v>8512</v>
      </c>
      <c r="E1655">
        <v>341425.91</v>
      </c>
      <c r="G1655" s="35"/>
      <c r="H1655" s="36">
        <f t="shared" si="75"/>
        <v>215098.32329999999</v>
      </c>
      <c r="I1655" s="37">
        <f t="shared" si="76"/>
        <v>215098.32329999999</v>
      </c>
      <c r="J1655" s="4"/>
      <c r="K1655" s="38">
        <f t="shared" si="77"/>
        <v>0</v>
      </c>
    </row>
    <row r="1656" spans="1:11">
      <c r="A1656" t="s">
        <v>3012</v>
      </c>
      <c r="B1656" t="s">
        <v>17</v>
      </c>
      <c r="C1656" t="s">
        <v>8461</v>
      </c>
      <c r="D1656" t="s">
        <v>8513</v>
      </c>
      <c r="E1656">
        <v>553077.81000000006</v>
      </c>
      <c r="G1656" s="35"/>
      <c r="H1656" s="36">
        <f t="shared" si="75"/>
        <v>348439.02030000003</v>
      </c>
      <c r="I1656" s="37">
        <f t="shared" si="76"/>
        <v>348439.02030000003</v>
      </c>
      <c r="J1656" s="4"/>
      <c r="K1656" s="38">
        <f t="shared" si="77"/>
        <v>0</v>
      </c>
    </row>
    <row r="1657" spans="1:11">
      <c r="A1657" t="s">
        <v>2963</v>
      </c>
      <c r="B1657" t="s">
        <v>17</v>
      </c>
      <c r="C1657" t="s">
        <v>8461</v>
      </c>
      <c r="D1657" t="s">
        <v>8462</v>
      </c>
      <c r="E1657">
        <v>12356.38</v>
      </c>
      <c r="G1657" s="35"/>
      <c r="H1657" s="36">
        <f t="shared" si="75"/>
        <v>7784.5193999999992</v>
      </c>
      <c r="I1657" s="37">
        <f t="shared" si="76"/>
        <v>7784.5193999999992</v>
      </c>
      <c r="J1657" s="4"/>
      <c r="K1657" s="38">
        <f t="shared" si="77"/>
        <v>0</v>
      </c>
    </row>
    <row r="1658" spans="1:11">
      <c r="A1658" t="s">
        <v>2964</v>
      </c>
      <c r="B1658" t="s">
        <v>17</v>
      </c>
      <c r="C1658" t="s">
        <v>8461</v>
      </c>
      <c r="D1658" t="s">
        <v>8463</v>
      </c>
      <c r="E1658">
        <v>18521.66</v>
      </c>
      <c r="G1658" s="35"/>
      <c r="H1658" s="36">
        <f t="shared" si="75"/>
        <v>11668.6458</v>
      </c>
      <c r="I1658" s="37">
        <f t="shared" si="76"/>
        <v>11668.6458</v>
      </c>
      <c r="J1658" s="4"/>
      <c r="K1658" s="38">
        <f t="shared" si="77"/>
        <v>0</v>
      </c>
    </row>
    <row r="1659" spans="1:11">
      <c r="A1659" t="s">
        <v>2965</v>
      </c>
      <c r="B1659" t="s">
        <v>17</v>
      </c>
      <c r="C1659" t="s">
        <v>8461</v>
      </c>
      <c r="D1659" t="s">
        <v>8464</v>
      </c>
      <c r="E1659">
        <v>24150.7</v>
      </c>
      <c r="G1659" s="35"/>
      <c r="H1659" s="36">
        <f t="shared" si="75"/>
        <v>15214.941000000001</v>
      </c>
      <c r="I1659" s="37">
        <f t="shared" si="76"/>
        <v>15214.941000000001</v>
      </c>
      <c r="J1659" s="4"/>
      <c r="K1659" s="38">
        <f t="shared" si="77"/>
        <v>0</v>
      </c>
    </row>
    <row r="1660" spans="1:11">
      <c r="A1660" t="s">
        <v>2966</v>
      </c>
      <c r="B1660" t="s">
        <v>17</v>
      </c>
      <c r="C1660" t="s">
        <v>8461</v>
      </c>
      <c r="D1660" t="s">
        <v>8465</v>
      </c>
      <c r="E1660">
        <v>34070.949999999997</v>
      </c>
      <c r="G1660" s="35"/>
      <c r="H1660" s="36">
        <f t="shared" si="75"/>
        <v>21464.698499999999</v>
      </c>
      <c r="I1660" s="37">
        <f t="shared" si="76"/>
        <v>21464.698499999999</v>
      </c>
      <c r="J1660" s="4"/>
      <c r="K1660" s="38">
        <f t="shared" si="77"/>
        <v>0</v>
      </c>
    </row>
    <row r="1661" spans="1:11">
      <c r="A1661" t="s">
        <v>2967</v>
      </c>
      <c r="B1661" t="s">
        <v>17</v>
      </c>
      <c r="C1661" t="s">
        <v>8461</v>
      </c>
      <c r="D1661" t="s">
        <v>8466</v>
      </c>
      <c r="E1661">
        <v>40521.89</v>
      </c>
      <c r="G1661" s="35"/>
      <c r="H1661" s="36">
        <f t="shared" si="75"/>
        <v>25528.790700000001</v>
      </c>
      <c r="I1661" s="37">
        <f t="shared" si="76"/>
        <v>25528.790700000001</v>
      </c>
      <c r="J1661" s="4"/>
      <c r="K1661" s="38">
        <f t="shared" si="77"/>
        <v>0</v>
      </c>
    </row>
    <row r="1662" spans="1:11">
      <c r="A1662" t="s">
        <v>2968</v>
      </c>
      <c r="B1662" t="s">
        <v>17</v>
      </c>
      <c r="C1662" t="s">
        <v>8461</v>
      </c>
      <c r="D1662" t="s">
        <v>8467</v>
      </c>
      <c r="E1662">
        <v>60754.96</v>
      </c>
      <c r="G1662" s="35"/>
      <c r="H1662" s="36">
        <f t="shared" si="75"/>
        <v>38275.624799999998</v>
      </c>
      <c r="I1662" s="37">
        <f t="shared" si="76"/>
        <v>38275.624799999998</v>
      </c>
      <c r="J1662" s="4"/>
      <c r="K1662" s="38">
        <f t="shared" si="77"/>
        <v>0</v>
      </c>
    </row>
    <row r="1663" spans="1:11">
      <c r="A1663" t="s">
        <v>2969</v>
      </c>
      <c r="B1663" t="s">
        <v>17</v>
      </c>
      <c r="C1663" t="s">
        <v>8461</v>
      </c>
      <c r="D1663" t="s">
        <v>8468</v>
      </c>
      <c r="E1663">
        <v>102731.05</v>
      </c>
      <c r="G1663" s="35"/>
      <c r="H1663" s="36">
        <f t="shared" si="75"/>
        <v>64720.561500000003</v>
      </c>
      <c r="I1663" s="37">
        <f t="shared" si="76"/>
        <v>64720.561500000003</v>
      </c>
      <c r="J1663" s="4"/>
      <c r="K1663" s="38">
        <f t="shared" si="77"/>
        <v>0</v>
      </c>
    </row>
    <row r="1664" spans="1:11">
      <c r="A1664" t="s">
        <v>2970</v>
      </c>
      <c r="B1664" t="s">
        <v>17</v>
      </c>
      <c r="C1664" t="s">
        <v>8461</v>
      </c>
      <c r="D1664" t="s">
        <v>8469</v>
      </c>
      <c r="E1664">
        <v>139735.51999999999</v>
      </c>
      <c r="G1664" s="35"/>
      <c r="H1664" s="36">
        <f t="shared" si="75"/>
        <v>88033.377599999993</v>
      </c>
      <c r="I1664" s="37">
        <f t="shared" si="76"/>
        <v>88033.377599999993</v>
      </c>
      <c r="J1664" s="4"/>
      <c r="K1664" s="38">
        <f t="shared" si="77"/>
        <v>0</v>
      </c>
    </row>
    <row r="1665" spans="1:11">
      <c r="A1665" t="s">
        <v>2971</v>
      </c>
      <c r="B1665" t="s">
        <v>17</v>
      </c>
      <c r="C1665" t="s">
        <v>8461</v>
      </c>
      <c r="D1665" t="s">
        <v>8470</v>
      </c>
      <c r="E1665">
        <v>206390.44</v>
      </c>
      <c r="G1665" s="35"/>
      <c r="H1665" s="36">
        <f t="shared" si="75"/>
        <v>130025.97720000001</v>
      </c>
      <c r="I1665" s="37">
        <f t="shared" si="76"/>
        <v>130025.97720000001</v>
      </c>
      <c r="J1665" s="4"/>
      <c r="K1665" s="38">
        <f t="shared" si="77"/>
        <v>0</v>
      </c>
    </row>
    <row r="1666" spans="1:11">
      <c r="A1666" t="s">
        <v>2972</v>
      </c>
      <c r="B1666" t="s">
        <v>17</v>
      </c>
      <c r="C1666" t="s">
        <v>8461</v>
      </c>
      <c r="D1666" t="s">
        <v>8471</v>
      </c>
      <c r="E1666">
        <v>346819.28</v>
      </c>
      <c r="G1666" s="35"/>
      <c r="H1666" s="36">
        <f t="shared" si="75"/>
        <v>218496.14640000003</v>
      </c>
      <c r="I1666" s="37">
        <f t="shared" si="76"/>
        <v>218496.14640000003</v>
      </c>
      <c r="J1666" s="4"/>
      <c r="K1666" s="38">
        <f t="shared" si="77"/>
        <v>0</v>
      </c>
    </row>
    <row r="1667" spans="1:11">
      <c r="A1667" t="s">
        <v>3127</v>
      </c>
      <c r="B1667" t="s">
        <v>17</v>
      </c>
      <c r="C1667" t="s">
        <v>8461</v>
      </c>
      <c r="D1667" t="s">
        <v>8636</v>
      </c>
      <c r="E1667">
        <v>32743.82</v>
      </c>
      <c r="G1667" s="35"/>
      <c r="H1667" s="36">
        <f t="shared" si="75"/>
        <v>20628.606599999999</v>
      </c>
      <c r="I1667" s="37">
        <f t="shared" si="76"/>
        <v>20628.606599999999</v>
      </c>
      <c r="J1667" s="4"/>
      <c r="K1667" s="38">
        <f t="shared" si="77"/>
        <v>0</v>
      </c>
    </row>
    <row r="1668" spans="1:11">
      <c r="A1668" t="s">
        <v>3128</v>
      </c>
      <c r="B1668" t="s">
        <v>17</v>
      </c>
      <c r="C1668" t="s">
        <v>8461</v>
      </c>
      <c r="D1668" t="s">
        <v>8637</v>
      </c>
      <c r="E1668">
        <v>50567.28</v>
      </c>
      <c r="G1668" s="35"/>
      <c r="H1668" s="36">
        <f t="shared" si="75"/>
        <v>31857.386399999999</v>
      </c>
      <c r="I1668" s="37">
        <f t="shared" si="76"/>
        <v>31857.386399999999</v>
      </c>
      <c r="J1668" s="4"/>
      <c r="K1668" s="38">
        <f t="shared" si="77"/>
        <v>0</v>
      </c>
    </row>
    <row r="1669" spans="1:11">
      <c r="A1669" t="s">
        <v>3129</v>
      </c>
      <c r="B1669" t="s">
        <v>17</v>
      </c>
      <c r="C1669" t="s">
        <v>8461</v>
      </c>
      <c r="D1669" t="s">
        <v>8638</v>
      </c>
      <c r="E1669">
        <v>74455.520000000004</v>
      </c>
      <c r="G1669" s="35"/>
      <c r="H1669" s="36">
        <f t="shared" si="75"/>
        <v>46906.977600000006</v>
      </c>
      <c r="I1669" s="37">
        <f t="shared" si="76"/>
        <v>46906.977600000006</v>
      </c>
      <c r="J1669" s="4"/>
      <c r="K1669" s="38">
        <f t="shared" si="77"/>
        <v>0</v>
      </c>
    </row>
    <row r="1670" spans="1:11">
      <c r="A1670" t="s">
        <v>3130</v>
      </c>
      <c r="B1670" t="s">
        <v>17</v>
      </c>
      <c r="C1670" t="s">
        <v>8461</v>
      </c>
      <c r="D1670" t="s">
        <v>8639</v>
      </c>
      <c r="E1670">
        <v>109942.09</v>
      </c>
      <c r="G1670" s="35"/>
      <c r="H1670" s="36">
        <f t="shared" si="75"/>
        <v>69263.516699999993</v>
      </c>
      <c r="I1670" s="37">
        <f t="shared" si="76"/>
        <v>69263.516699999993</v>
      </c>
      <c r="J1670" s="4"/>
      <c r="K1670" s="38">
        <f t="shared" si="77"/>
        <v>0</v>
      </c>
    </row>
    <row r="1671" spans="1:11">
      <c r="A1671" t="s">
        <v>3131</v>
      </c>
      <c r="B1671" t="s">
        <v>17</v>
      </c>
      <c r="C1671" t="s">
        <v>8461</v>
      </c>
      <c r="D1671" t="s">
        <v>8640</v>
      </c>
      <c r="E1671">
        <v>144518.96</v>
      </c>
      <c r="G1671" s="35"/>
      <c r="H1671" s="36">
        <f t="shared" ref="H1671:H1734" si="78">+E1671*$H$1*(1-G1671)</f>
        <v>91046.944799999997</v>
      </c>
      <c r="I1671" s="37">
        <f t="shared" ref="I1671:I1734" si="79">H1671*$H$4</f>
        <v>91046.944799999997</v>
      </c>
      <c r="J1671" s="4"/>
      <c r="K1671" s="38">
        <f t="shared" ref="K1671:K1734" si="80">J1671*I1671</f>
        <v>0</v>
      </c>
    </row>
    <row r="1672" spans="1:11">
      <c r="A1672" t="s">
        <v>3132</v>
      </c>
      <c r="B1672" t="s">
        <v>17</v>
      </c>
      <c r="C1672" t="s">
        <v>8461</v>
      </c>
      <c r="D1672" t="s">
        <v>8641</v>
      </c>
      <c r="E1672">
        <v>205372.38</v>
      </c>
      <c r="G1672" s="35"/>
      <c r="H1672" s="36">
        <f t="shared" si="78"/>
        <v>129384.59940000001</v>
      </c>
      <c r="I1672" s="37">
        <f t="shared" si="79"/>
        <v>129384.59940000001</v>
      </c>
      <c r="J1672" s="4"/>
      <c r="K1672" s="38">
        <f t="shared" si="80"/>
        <v>0</v>
      </c>
    </row>
    <row r="1673" spans="1:11">
      <c r="A1673" t="s">
        <v>3136</v>
      </c>
      <c r="B1673" t="s">
        <v>17</v>
      </c>
      <c r="C1673" t="s">
        <v>8647</v>
      </c>
      <c r="D1673" t="s">
        <v>8648</v>
      </c>
      <c r="E1673">
        <v>5843.79</v>
      </c>
      <c r="G1673" s="35"/>
      <c r="H1673" s="36">
        <f t="shared" si="78"/>
        <v>3681.5877</v>
      </c>
      <c r="I1673" s="37">
        <f t="shared" si="79"/>
        <v>3681.5877</v>
      </c>
      <c r="J1673" s="4"/>
      <c r="K1673" s="38">
        <f t="shared" si="80"/>
        <v>0</v>
      </c>
    </row>
    <row r="1674" spans="1:11">
      <c r="A1674" t="s">
        <v>3137</v>
      </c>
      <c r="B1674" t="s">
        <v>17</v>
      </c>
      <c r="C1674" t="s">
        <v>8647</v>
      </c>
      <c r="D1674" t="s">
        <v>8649</v>
      </c>
      <c r="E1674">
        <v>6731.45</v>
      </c>
      <c r="G1674" s="35"/>
      <c r="H1674" s="36">
        <f t="shared" si="78"/>
        <v>4240.8135000000002</v>
      </c>
      <c r="I1674" s="37">
        <f t="shared" si="79"/>
        <v>4240.8135000000002</v>
      </c>
      <c r="J1674" s="4"/>
      <c r="K1674" s="38">
        <f t="shared" si="80"/>
        <v>0</v>
      </c>
    </row>
    <row r="1675" spans="1:11">
      <c r="A1675" t="s">
        <v>3138</v>
      </c>
      <c r="B1675" t="s">
        <v>17</v>
      </c>
      <c r="C1675" t="s">
        <v>8647</v>
      </c>
      <c r="D1675" t="s">
        <v>8650</v>
      </c>
      <c r="E1675">
        <v>10398.629999999999</v>
      </c>
      <c r="G1675" s="35"/>
      <c r="H1675" s="36">
        <f t="shared" si="78"/>
        <v>6551.1368999999995</v>
      </c>
      <c r="I1675" s="37">
        <f t="shared" si="79"/>
        <v>6551.1368999999995</v>
      </c>
      <c r="J1675" s="4"/>
      <c r="K1675" s="38">
        <f t="shared" si="80"/>
        <v>0</v>
      </c>
    </row>
    <row r="1676" spans="1:11">
      <c r="A1676" t="s">
        <v>3139</v>
      </c>
      <c r="B1676" t="s">
        <v>17</v>
      </c>
      <c r="C1676" t="s">
        <v>8647</v>
      </c>
      <c r="D1676" t="s">
        <v>8651</v>
      </c>
      <c r="E1676">
        <v>15824.32</v>
      </c>
      <c r="G1676" s="35"/>
      <c r="H1676" s="36">
        <f t="shared" si="78"/>
        <v>9969.3215999999993</v>
      </c>
      <c r="I1676" s="37">
        <f t="shared" si="79"/>
        <v>9969.3215999999993</v>
      </c>
      <c r="J1676" s="4"/>
      <c r="K1676" s="38">
        <f t="shared" si="80"/>
        <v>0</v>
      </c>
    </row>
    <row r="1677" spans="1:11">
      <c r="A1677" t="s">
        <v>3140</v>
      </c>
      <c r="B1677" t="s">
        <v>17</v>
      </c>
      <c r="C1677" t="s">
        <v>8647</v>
      </c>
      <c r="D1677" t="s">
        <v>8652</v>
      </c>
      <c r="E1677">
        <v>25095.74</v>
      </c>
      <c r="G1677" s="35"/>
      <c r="H1677" s="36">
        <f t="shared" si="78"/>
        <v>15810.316200000001</v>
      </c>
      <c r="I1677" s="37">
        <f t="shared" si="79"/>
        <v>15810.316200000001</v>
      </c>
      <c r="J1677" s="4"/>
      <c r="K1677" s="38">
        <f t="shared" si="80"/>
        <v>0</v>
      </c>
    </row>
    <row r="1678" spans="1:11">
      <c r="A1678" t="s">
        <v>3141</v>
      </c>
      <c r="B1678" t="s">
        <v>17</v>
      </c>
      <c r="C1678" t="s">
        <v>8647</v>
      </c>
      <c r="D1678" t="s">
        <v>8653</v>
      </c>
      <c r="E1678">
        <v>32988.239999999998</v>
      </c>
      <c r="G1678" s="35"/>
      <c r="H1678" s="36">
        <f t="shared" si="78"/>
        <v>20782.591199999999</v>
      </c>
      <c r="I1678" s="37">
        <f t="shared" si="79"/>
        <v>20782.591199999999</v>
      </c>
      <c r="J1678" s="4"/>
      <c r="K1678" s="38">
        <f t="shared" si="80"/>
        <v>0</v>
      </c>
    </row>
    <row r="1679" spans="1:11">
      <c r="A1679" t="s">
        <v>3142</v>
      </c>
      <c r="B1679" t="s">
        <v>17</v>
      </c>
      <c r="C1679" t="s">
        <v>8647</v>
      </c>
      <c r="D1679" t="s">
        <v>8654</v>
      </c>
      <c r="E1679">
        <v>46876.65</v>
      </c>
      <c r="G1679" s="35"/>
      <c r="H1679" s="36">
        <f t="shared" si="78"/>
        <v>29532.289500000003</v>
      </c>
      <c r="I1679" s="37">
        <f t="shared" si="79"/>
        <v>29532.289500000003</v>
      </c>
      <c r="J1679" s="4"/>
      <c r="K1679" s="38">
        <f t="shared" si="80"/>
        <v>0</v>
      </c>
    </row>
    <row r="1680" spans="1:11">
      <c r="A1680" t="s">
        <v>3149</v>
      </c>
      <c r="B1680" t="s">
        <v>17</v>
      </c>
      <c r="C1680" t="s">
        <v>8656</v>
      </c>
      <c r="D1680" t="s">
        <v>8657</v>
      </c>
      <c r="E1680">
        <v>8960.2900000000009</v>
      </c>
      <c r="G1680" s="35"/>
      <c r="H1680" s="36">
        <f t="shared" si="78"/>
        <v>5644.9827000000005</v>
      </c>
      <c r="I1680" s="37">
        <f t="shared" si="79"/>
        <v>5644.9827000000005</v>
      </c>
      <c r="J1680" s="4"/>
      <c r="K1680" s="38">
        <f t="shared" si="80"/>
        <v>0</v>
      </c>
    </row>
    <row r="1681" spans="1:11">
      <c r="A1681" t="s">
        <v>3150</v>
      </c>
      <c r="B1681" t="s">
        <v>17</v>
      </c>
      <c r="C1681" t="s">
        <v>8656</v>
      </c>
      <c r="D1681" t="s">
        <v>8658</v>
      </c>
      <c r="E1681">
        <v>13855.51</v>
      </c>
      <c r="G1681" s="35"/>
      <c r="H1681" s="36">
        <f t="shared" si="78"/>
        <v>8728.9713000000011</v>
      </c>
      <c r="I1681" s="37">
        <f t="shared" si="79"/>
        <v>8728.9713000000011</v>
      </c>
      <c r="J1681" s="4"/>
      <c r="K1681" s="38">
        <f t="shared" si="80"/>
        <v>0</v>
      </c>
    </row>
    <row r="1682" spans="1:11">
      <c r="A1682" t="s">
        <v>3151</v>
      </c>
      <c r="B1682" t="s">
        <v>17</v>
      </c>
      <c r="C1682" t="s">
        <v>8656</v>
      </c>
      <c r="D1682" t="s">
        <v>8659</v>
      </c>
      <c r="E1682">
        <v>20947.27</v>
      </c>
      <c r="G1682" s="35"/>
      <c r="H1682" s="36">
        <f t="shared" si="78"/>
        <v>13196.7801</v>
      </c>
      <c r="I1682" s="37">
        <f t="shared" si="79"/>
        <v>13196.7801</v>
      </c>
      <c r="J1682" s="4"/>
      <c r="K1682" s="38">
        <f t="shared" si="80"/>
        <v>0</v>
      </c>
    </row>
    <row r="1683" spans="1:11">
      <c r="A1683" t="s">
        <v>3152</v>
      </c>
      <c r="B1683" t="s">
        <v>17</v>
      </c>
      <c r="C1683" t="s">
        <v>8656</v>
      </c>
      <c r="D1683" t="s">
        <v>8660</v>
      </c>
      <c r="E1683">
        <v>31218.83</v>
      </c>
      <c r="G1683" s="35"/>
      <c r="H1683" s="36">
        <f t="shared" si="78"/>
        <v>19667.8629</v>
      </c>
      <c r="I1683" s="37">
        <f t="shared" si="79"/>
        <v>19667.8629</v>
      </c>
      <c r="J1683" s="4"/>
      <c r="K1683" s="38">
        <f t="shared" si="80"/>
        <v>0</v>
      </c>
    </row>
    <row r="1684" spans="1:11">
      <c r="A1684" t="s">
        <v>3153</v>
      </c>
      <c r="B1684" t="s">
        <v>17</v>
      </c>
      <c r="C1684" t="s">
        <v>8656</v>
      </c>
      <c r="D1684" t="s">
        <v>8661</v>
      </c>
      <c r="E1684">
        <v>39926.32</v>
      </c>
      <c r="G1684" s="35"/>
      <c r="H1684" s="36">
        <f t="shared" si="78"/>
        <v>25153.581600000001</v>
      </c>
      <c r="I1684" s="37">
        <f t="shared" si="79"/>
        <v>25153.581600000001</v>
      </c>
      <c r="J1684" s="4"/>
      <c r="K1684" s="38">
        <f t="shared" si="80"/>
        <v>0</v>
      </c>
    </row>
    <row r="1685" spans="1:11">
      <c r="A1685" t="s">
        <v>3154</v>
      </c>
      <c r="B1685" t="s">
        <v>17</v>
      </c>
      <c r="C1685" t="s">
        <v>8656</v>
      </c>
      <c r="D1685" t="s">
        <v>8662</v>
      </c>
      <c r="E1685">
        <v>61655.67</v>
      </c>
      <c r="G1685" s="35"/>
      <c r="H1685" s="36">
        <f t="shared" si="78"/>
        <v>38843.072099999998</v>
      </c>
      <c r="I1685" s="37">
        <f t="shared" si="79"/>
        <v>38843.072099999998</v>
      </c>
      <c r="J1685" s="4"/>
      <c r="K1685" s="38">
        <f t="shared" si="80"/>
        <v>0</v>
      </c>
    </row>
    <row r="1686" spans="1:11">
      <c r="A1686" t="s">
        <v>2884</v>
      </c>
      <c r="B1686" t="s">
        <v>17</v>
      </c>
      <c r="C1686" t="s">
        <v>8382</v>
      </c>
      <c r="D1686" t="s">
        <v>8383</v>
      </c>
      <c r="E1686">
        <v>933.89</v>
      </c>
      <c r="G1686" s="35"/>
      <c r="H1686" s="36">
        <f t="shared" si="78"/>
        <v>588.35069999999996</v>
      </c>
      <c r="I1686" s="37">
        <f t="shared" si="79"/>
        <v>588.35069999999996</v>
      </c>
      <c r="J1686" s="4"/>
      <c r="K1686" s="38">
        <f t="shared" si="80"/>
        <v>0</v>
      </c>
    </row>
    <row r="1687" spans="1:11">
      <c r="A1687" t="s">
        <v>3537</v>
      </c>
      <c r="B1687" t="s">
        <v>17</v>
      </c>
      <c r="C1687" t="s">
        <v>9032</v>
      </c>
      <c r="D1687" t="s">
        <v>9033</v>
      </c>
      <c r="E1687">
        <v>90004.5</v>
      </c>
      <c r="G1687" s="35"/>
      <c r="H1687" s="36">
        <f t="shared" si="78"/>
        <v>56702.834999999999</v>
      </c>
      <c r="I1687" s="37">
        <f t="shared" si="79"/>
        <v>56702.834999999999</v>
      </c>
      <c r="J1687" s="4"/>
      <c r="K1687" s="38">
        <f t="shared" si="80"/>
        <v>0</v>
      </c>
    </row>
    <row r="1688" spans="1:11">
      <c r="A1688" t="s">
        <v>3538</v>
      </c>
      <c r="B1688" t="s">
        <v>17</v>
      </c>
      <c r="C1688" t="s">
        <v>9032</v>
      </c>
      <c r="D1688" t="s">
        <v>9034</v>
      </c>
      <c r="E1688">
        <v>115286.1</v>
      </c>
      <c r="G1688" s="35"/>
      <c r="H1688" s="36">
        <f t="shared" si="78"/>
        <v>72630.243000000002</v>
      </c>
      <c r="I1688" s="37">
        <f t="shared" si="79"/>
        <v>72630.243000000002</v>
      </c>
      <c r="J1688" s="4"/>
      <c r="K1688" s="38">
        <f t="shared" si="80"/>
        <v>0</v>
      </c>
    </row>
    <row r="1689" spans="1:11">
      <c r="A1689" t="s">
        <v>3539</v>
      </c>
      <c r="B1689" t="s">
        <v>17</v>
      </c>
      <c r="C1689" t="s">
        <v>9032</v>
      </c>
      <c r="D1689" t="s">
        <v>9035</v>
      </c>
      <c r="E1689">
        <v>126145.09</v>
      </c>
      <c r="G1689" s="35"/>
      <c r="H1689" s="36">
        <f t="shared" si="78"/>
        <v>79471.406699999992</v>
      </c>
      <c r="I1689" s="37">
        <f t="shared" si="79"/>
        <v>79471.406699999992</v>
      </c>
      <c r="J1689" s="4"/>
      <c r="K1689" s="38">
        <f t="shared" si="80"/>
        <v>0</v>
      </c>
    </row>
    <row r="1690" spans="1:11">
      <c r="A1690" t="s">
        <v>3540</v>
      </c>
      <c r="B1690" t="s">
        <v>17</v>
      </c>
      <c r="C1690" t="s">
        <v>9032</v>
      </c>
      <c r="D1690" t="s">
        <v>9036</v>
      </c>
      <c r="E1690">
        <v>167762.82999999999</v>
      </c>
      <c r="G1690" s="35"/>
      <c r="H1690" s="36">
        <f t="shared" si="78"/>
        <v>105690.58289999999</v>
      </c>
      <c r="I1690" s="37">
        <f t="shared" si="79"/>
        <v>105690.58289999999</v>
      </c>
      <c r="J1690" s="4"/>
      <c r="K1690" s="38">
        <f t="shared" si="80"/>
        <v>0</v>
      </c>
    </row>
    <row r="1691" spans="1:11">
      <c r="A1691" t="s">
        <v>3541</v>
      </c>
      <c r="B1691" t="s">
        <v>17</v>
      </c>
      <c r="C1691" t="s">
        <v>9032</v>
      </c>
      <c r="D1691" t="s">
        <v>9037</v>
      </c>
      <c r="E1691">
        <v>370670.2</v>
      </c>
      <c r="G1691" s="35"/>
      <c r="H1691" s="36">
        <f t="shared" si="78"/>
        <v>233522.226</v>
      </c>
      <c r="I1691" s="37">
        <f t="shared" si="79"/>
        <v>233522.226</v>
      </c>
      <c r="J1691" s="4"/>
      <c r="K1691" s="38">
        <f t="shared" si="80"/>
        <v>0</v>
      </c>
    </row>
    <row r="1692" spans="1:11">
      <c r="A1692" t="s">
        <v>3542</v>
      </c>
      <c r="B1692" t="s">
        <v>17</v>
      </c>
      <c r="C1692" t="s">
        <v>9032</v>
      </c>
      <c r="D1692" t="s">
        <v>9038</v>
      </c>
      <c r="E1692">
        <v>128385.73</v>
      </c>
      <c r="G1692" s="35"/>
      <c r="H1692" s="36">
        <f t="shared" si="78"/>
        <v>80883.009900000005</v>
      </c>
      <c r="I1692" s="37">
        <f t="shared" si="79"/>
        <v>80883.009900000005</v>
      </c>
      <c r="J1692" s="4"/>
      <c r="K1692" s="38">
        <f t="shared" si="80"/>
        <v>0</v>
      </c>
    </row>
    <row r="1693" spans="1:11">
      <c r="A1693" t="s">
        <v>3543</v>
      </c>
      <c r="B1693" t="s">
        <v>17</v>
      </c>
      <c r="C1693" t="s">
        <v>9032</v>
      </c>
      <c r="D1693" t="s">
        <v>9039</v>
      </c>
      <c r="E1693">
        <v>135356.04</v>
      </c>
      <c r="G1693" s="35"/>
      <c r="H1693" s="36">
        <f t="shared" si="78"/>
        <v>85274.305200000003</v>
      </c>
      <c r="I1693" s="37">
        <f t="shared" si="79"/>
        <v>85274.305200000003</v>
      </c>
      <c r="J1693" s="4"/>
      <c r="K1693" s="38">
        <f t="shared" si="80"/>
        <v>0</v>
      </c>
    </row>
    <row r="1694" spans="1:11">
      <c r="A1694" t="s">
        <v>3544</v>
      </c>
      <c r="B1694" t="s">
        <v>17</v>
      </c>
      <c r="C1694" t="s">
        <v>9032</v>
      </c>
      <c r="D1694" t="s">
        <v>9040</v>
      </c>
      <c r="E1694">
        <v>177079.51</v>
      </c>
      <c r="G1694" s="35"/>
      <c r="H1694" s="36">
        <f t="shared" si="78"/>
        <v>111560.0913</v>
      </c>
      <c r="I1694" s="37">
        <f t="shared" si="79"/>
        <v>111560.0913</v>
      </c>
      <c r="J1694" s="4"/>
      <c r="K1694" s="38">
        <f t="shared" si="80"/>
        <v>0</v>
      </c>
    </row>
    <row r="1695" spans="1:11">
      <c r="A1695" t="s">
        <v>3545</v>
      </c>
      <c r="B1695" t="s">
        <v>17</v>
      </c>
      <c r="C1695" t="s">
        <v>9032</v>
      </c>
      <c r="D1695" t="s">
        <v>9041</v>
      </c>
      <c r="E1695">
        <v>261597.24</v>
      </c>
      <c r="G1695" s="35"/>
      <c r="H1695" s="36">
        <f t="shared" si="78"/>
        <v>164806.26120000001</v>
      </c>
      <c r="I1695" s="37">
        <f t="shared" si="79"/>
        <v>164806.26120000001</v>
      </c>
      <c r="J1695" s="4"/>
      <c r="K1695" s="38">
        <f t="shared" si="80"/>
        <v>0</v>
      </c>
    </row>
    <row r="1696" spans="1:11">
      <c r="A1696" t="s">
        <v>3546</v>
      </c>
      <c r="B1696" t="s">
        <v>17</v>
      </c>
      <c r="C1696" t="s">
        <v>9032</v>
      </c>
      <c r="D1696" t="s">
        <v>9042</v>
      </c>
      <c r="E1696">
        <v>41697.81</v>
      </c>
      <c r="G1696" s="35"/>
      <c r="H1696" s="36">
        <f t="shared" si="78"/>
        <v>26269.620299999999</v>
      </c>
      <c r="I1696" s="37">
        <f t="shared" si="79"/>
        <v>26269.620299999999</v>
      </c>
      <c r="J1696" s="4"/>
      <c r="K1696" s="38">
        <f t="shared" si="80"/>
        <v>0</v>
      </c>
    </row>
    <row r="1697" spans="1:11">
      <c r="A1697" t="s">
        <v>3547</v>
      </c>
      <c r="B1697" t="s">
        <v>17</v>
      </c>
      <c r="C1697" t="s">
        <v>9032</v>
      </c>
      <c r="D1697" t="s">
        <v>9043</v>
      </c>
      <c r="E1697">
        <v>46314.69</v>
      </c>
      <c r="G1697" s="35"/>
      <c r="H1697" s="36">
        <f t="shared" si="78"/>
        <v>29178.254700000001</v>
      </c>
      <c r="I1697" s="37">
        <f t="shared" si="79"/>
        <v>29178.254700000001</v>
      </c>
      <c r="J1697" s="4"/>
      <c r="K1697" s="38">
        <f t="shared" si="80"/>
        <v>0</v>
      </c>
    </row>
    <row r="1698" spans="1:11">
      <c r="A1698" t="s">
        <v>3548</v>
      </c>
      <c r="B1698" t="s">
        <v>17</v>
      </c>
      <c r="C1698" t="s">
        <v>9032</v>
      </c>
      <c r="D1698" t="s">
        <v>9044</v>
      </c>
      <c r="E1698">
        <v>52698.31</v>
      </c>
      <c r="G1698" s="35"/>
      <c r="H1698" s="36">
        <f t="shared" si="78"/>
        <v>33199.935299999997</v>
      </c>
      <c r="I1698" s="37">
        <f t="shared" si="79"/>
        <v>33199.935299999997</v>
      </c>
      <c r="J1698" s="4"/>
      <c r="K1698" s="38">
        <f t="shared" si="80"/>
        <v>0</v>
      </c>
    </row>
    <row r="1699" spans="1:11">
      <c r="A1699" t="s">
        <v>3549</v>
      </c>
      <c r="B1699" t="s">
        <v>17</v>
      </c>
      <c r="C1699" t="s">
        <v>9032</v>
      </c>
      <c r="D1699" t="s">
        <v>9045</v>
      </c>
      <c r="E1699">
        <v>59281.96</v>
      </c>
      <c r="G1699" s="35"/>
      <c r="H1699" s="36">
        <f t="shared" si="78"/>
        <v>37347.6348</v>
      </c>
      <c r="I1699" s="37">
        <f t="shared" si="79"/>
        <v>37347.6348</v>
      </c>
      <c r="J1699" s="4"/>
      <c r="K1699" s="38">
        <f t="shared" si="80"/>
        <v>0</v>
      </c>
    </row>
    <row r="1700" spans="1:11">
      <c r="A1700" t="s">
        <v>3550</v>
      </c>
      <c r="B1700" t="s">
        <v>17</v>
      </c>
      <c r="C1700" t="s">
        <v>9032</v>
      </c>
      <c r="D1700" t="s">
        <v>9046</v>
      </c>
      <c r="E1700">
        <v>78426.67</v>
      </c>
      <c r="G1700" s="35"/>
      <c r="H1700" s="36">
        <f t="shared" si="78"/>
        <v>49408.802100000001</v>
      </c>
      <c r="I1700" s="37">
        <f t="shared" si="79"/>
        <v>49408.802100000001</v>
      </c>
      <c r="J1700" s="4"/>
      <c r="K1700" s="38">
        <f t="shared" si="80"/>
        <v>0</v>
      </c>
    </row>
    <row r="1701" spans="1:11">
      <c r="A1701" t="s">
        <v>3551</v>
      </c>
      <c r="B1701" t="s">
        <v>17</v>
      </c>
      <c r="C1701" t="s">
        <v>9032</v>
      </c>
      <c r="D1701" t="s">
        <v>9047</v>
      </c>
      <c r="E1701">
        <v>80915.34</v>
      </c>
      <c r="G1701" s="35"/>
      <c r="H1701" s="36">
        <f t="shared" si="78"/>
        <v>50976.664199999999</v>
      </c>
      <c r="I1701" s="37">
        <f t="shared" si="79"/>
        <v>50976.664199999999</v>
      </c>
      <c r="J1701" s="4"/>
      <c r="K1701" s="38">
        <f t="shared" si="80"/>
        <v>0</v>
      </c>
    </row>
    <row r="1702" spans="1:11">
      <c r="A1702" t="s">
        <v>3552</v>
      </c>
      <c r="B1702" t="s">
        <v>17</v>
      </c>
      <c r="C1702" t="s">
        <v>9032</v>
      </c>
      <c r="D1702" t="s">
        <v>9048</v>
      </c>
      <c r="E1702">
        <v>86398.17</v>
      </c>
      <c r="G1702" s="35"/>
      <c r="H1702" s="36">
        <f t="shared" si="78"/>
        <v>54430.847099999999</v>
      </c>
      <c r="I1702" s="37">
        <f t="shared" si="79"/>
        <v>54430.847099999999</v>
      </c>
      <c r="J1702" s="4"/>
      <c r="K1702" s="38">
        <f t="shared" si="80"/>
        <v>0</v>
      </c>
    </row>
    <row r="1703" spans="1:11">
      <c r="A1703" t="s">
        <v>3553</v>
      </c>
      <c r="B1703" t="s">
        <v>17</v>
      </c>
      <c r="C1703" t="s">
        <v>9032</v>
      </c>
      <c r="D1703" t="s">
        <v>9049</v>
      </c>
      <c r="E1703">
        <v>102495.94</v>
      </c>
      <c r="G1703" s="35"/>
      <c r="H1703" s="36">
        <f t="shared" si="78"/>
        <v>64572.442200000005</v>
      </c>
      <c r="I1703" s="37">
        <f t="shared" si="79"/>
        <v>64572.442200000005</v>
      </c>
      <c r="J1703" s="4"/>
      <c r="K1703" s="38">
        <f t="shared" si="80"/>
        <v>0</v>
      </c>
    </row>
    <row r="1704" spans="1:11">
      <c r="A1704" t="s">
        <v>3554</v>
      </c>
      <c r="B1704" t="s">
        <v>17</v>
      </c>
      <c r="C1704" t="s">
        <v>9032</v>
      </c>
      <c r="D1704" t="s">
        <v>9050</v>
      </c>
      <c r="E1704">
        <v>130741.22</v>
      </c>
      <c r="G1704" s="35"/>
      <c r="H1704" s="36">
        <f t="shared" si="78"/>
        <v>82366.968600000007</v>
      </c>
      <c r="I1704" s="37">
        <f t="shared" si="79"/>
        <v>82366.968600000007</v>
      </c>
      <c r="J1704" s="4"/>
      <c r="K1704" s="38">
        <f t="shared" si="80"/>
        <v>0</v>
      </c>
    </row>
    <row r="1705" spans="1:11">
      <c r="A1705" t="s">
        <v>3555</v>
      </c>
      <c r="B1705" t="s">
        <v>17</v>
      </c>
      <c r="C1705" t="s">
        <v>9032</v>
      </c>
      <c r="D1705" t="s">
        <v>9051</v>
      </c>
      <c r="E1705">
        <v>192892.52</v>
      </c>
      <c r="G1705" s="35"/>
      <c r="H1705" s="36">
        <f t="shared" si="78"/>
        <v>121522.2876</v>
      </c>
      <c r="I1705" s="37">
        <f t="shared" si="79"/>
        <v>121522.2876</v>
      </c>
      <c r="J1705" s="4"/>
      <c r="K1705" s="38">
        <f t="shared" si="80"/>
        <v>0</v>
      </c>
    </row>
    <row r="1706" spans="1:11">
      <c r="A1706" t="s">
        <v>3577</v>
      </c>
      <c r="B1706" t="s">
        <v>17</v>
      </c>
      <c r="C1706" t="s">
        <v>9071</v>
      </c>
      <c r="D1706" t="s">
        <v>6326</v>
      </c>
      <c r="E1706">
        <v>4246.63</v>
      </c>
      <c r="G1706" s="35"/>
      <c r="H1706" s="36">
        <f t="shared" si="78"/>
        <v>2675.3769000000002</v>
      </c>
      <c r="I1706" s="37">
        <f t="shared" si="79"/>
        <v>2675.3769000000002</v>
      </c>
      <c r="J1706" s="4"/>
      <c r="K1706" s="38">
        <f t="shared" si="80"/>
        <v>0</v>
      </c>
    </row>
    <row r="1707" spans="1:11">
      <c r="A1707" t="s">
        <v>3578</v>
      </c>
      <c r="B1707" t="s">
        <v>17</v>
      </c>
      <c r="C1707" t="s">
        <v>9071</v>
      </c>
      <c r="D1707" t="s">
        <v>6327</v>
      </c>
      <c r="E1707">
        <v>3735.08</v>
      </c>
      <c r="G1707" s="35"/>
      <c r="H1707" s="36">
        <f t="shared" si="78"/>
        <v>2353.1003999999998</v>
      </c>
      <c r="I1707" s="37">
        <f t="shared" si="79"/>
        <v>2353.1003999999998</v>
      </c>
      <c r="J1707" s="4"/>
      <c r="K1707" s="38">
        <f t="shared" si="80"/>
        <v>0</v>
      </c>
    </row>
    <row r="1708" spans="1:11">
      <c r="A1708" t="s">
        <v>3579</v>
      </c>
      <c r="B1708" t="s">
        <v>17</v>
      </c>
      <c r="C1708" t="s">
        <v>9071</v>
      </c>
      <c r="D1708" t="s">
        <v>6328</v>
      </c>
      <c r="E1708">
        <v>4361.84</v>
      </c>
      <c r="G1708" s="35"/>
      <c r="H1708" s="36">
        <f t="shared" si="78"/>
        <v>2747.9592000000002</v>
      </c>
      <c r="I1708" s="37">
        <f t="shared" si="79"/>
        <v>2747.9592000000002</v>
      </c>
      <c r="J1708" s="4"/>
      <c r="K1708" s="38">
        <f t="shared" si="80"/>
        <v>0</v>
      </c>
    </row>
    <row r="1709" spans="1:11">
      <c r="A1709" t="s">
        <v>3580</v>
      </c>
      <c r="B1709" t="s">
        <v>17</v>
      </c>
      <c r="C1709" t="s">
        <v>9071</v>
      </c>
      <c r="D1709" t="s">
        <v>6329</v>
      </c>
      <c r="E1709">
        <v>6012.77</v>
      </c>
      <c r="G1709" s="35"/>
      <c r="H1709" s="36">
        <f t="shared" si="78"/>
        <v>3788.0451000000003</v>
      </c>
      <c r="I1709" s="37">
        <f t="shared" si="79"/>
        <v>3788.0451000000003</v>
      </c>
      <c r="J1709" s="4"/>
      <c r="K1709" s="38">
        <f t="shared" si="80"/>
        <v>0</v>
      </c>
    </row>
    <row r="1710" spans="1:11">
      <c r="A1710" t="s">
        <v>3581</v>
      </c>
      <c r="B1710" t="s">
        <v>17</v>
      </c>
      <c r="C1710" t="s">
        <v>9071</v>
      </c>
      <c r="D1710" t="s">
        <v>6330</v>
      </c>
      <c r="E1710">
        <v>10057.370000000001</v>
      </c>
      <c r="G1710" s="35"/>
      <c r="H1710" s="36">
        <f t="shared" si="78"/>
        <v>6336.1431000000002</v>
      </c>
      <c r="I1710" s="37">
        <f t="shared" si="79"/>
        <v>6336.1431000000002</v>
      </c>
      <c r="J1710" s="4"/>
      <c r="K1710" s="38">
        <f t="shared" si="80"/>
        <v>0</v>
      </c>
    </row>
    <row r="1711" spans="1:11">
      <c r="A1711" t="s">
        <v>3582</v>
      </c>
      <c r="B1711" t="s">
        <v>17</v>
      </c>
      <c r="C1711" t="s">
        <v>9071</v>
      </c>
      <c r="D1711" t="s">
        <v>6331</v>
      </c>
      <c r="E1711">
        <v>11575.57</v>
      </c>
      <c r="G1711" s="35"/>
      <c r="H1711" s="36">
        <f t="shared" si="78"/>
        <v>7292.6090999999997</v>
      </c>
      <c r="I1711" s="37">
        <f t="shared" si="79"/>
        <v>7292.6090999999997</v>
      </c>
      <c r="J1711" s="4"/>
      <c r="K1711" s="38">
        <f t="shared" si="80"/>
        <v>0</v>
      </c>
    </row>
    <row r="1712" spans="1:11">
      <c r="A1712" t="s">
        <v>3583</v>
      </c>
      <c r="B1712" t="s">
        <v>17</v>
      </c>
      <c r="C1712" t="s">
        <v>9071</v>
      </c>
      <c r="D1712" t="s">
        <v>6332</v>
      </c>
      <c r="E1712">
        <v>22771.11</v>
      </c>
      <c r="G1712" s="35"/>
      <c r="H1712" s="36">
        <f t="shared" si="78"/>
        <v>14345.799300000001</v>
      </c>
      <c r="I1712" s="37">
        <f t="shared" si="79"/>
        <v>14345.799300000001</v>
      </c>
      <c r="J1712" s="4"/>
      <c r="K1712" s="38">
        <f t="shared" si="80"/>
        <v>0</v>
      </c>
    </row>
    <row r="1713" spans="1:11">
      <c r="A1713" t="s">
        <v>3632</v>
      </c>
      <c r="B1713" t="s">
        <v>17</v>
      </c>
      <c r="C1713" t="s">
        <v>9117</v>
      </c>
      <c r="D1713" t="s">
        <v>9118</v>
      </c>
      <c r="E1713">
        <v>405.12</v>
      </c>
      <c r="G1713" s="35"/>
      <c r="H1713" s="36">
        <f t="shared" si="78"/>
        <v>255.22560000000001</v>
      </c>
      <c r="I1713" s="37">
        <f t="shared" si="79"/>
        <v>255.22560000000001</v>
      </c>
      <c r="J1713" s="4"/>
      <c r="K1713" s="38">
        <f t="shared" si="80"/>
        <v>0</v>
      </c>
    </row>
    <row r="1714" spans="1:11">
      <c r="A1714" t="s">
        <v>3633</v>
      </c>
      <c r="B1714" t="s">
        <v>17</v>
      </c>
      <c r="C1714" t="s">
        <v>9117</v>
      </c>
      <c r="D1714" t="s">
        <v>9119</v>
      </c>
      <c r="E1714">
        <v>412.08</v>
      </c>
      <c r="G1714" s="35"/>
      <c r="H1714" s="36">
        <f t="shared" si="78"/>
        <v>259.61039999999997</v>
      </c>
      <c r="I1714" s="37">
        <f t="shared" si="79"/>
        <v>259.61039999999997</v>
      </c>
      <c r="J1714" s="4"/>
      <c r="K1714" s="38">
        <f t="shared" si="80"/>
        <v>0</v>
      </c>
    </row>
    <row r="1715" spans="1:11">
      <c r="A1715" t="s">
        <v>3634</v>
      </c>
      <c r="B1715" t="s">
        <v>17</v>
      </c>
      <c r="C1715" t="s">
        <v>9117</v>
      </c>
      <c r="D1715" t="s">
        <v>6847</v>
      </c>
      <c r="E1715">
        <v>4918.54</v>
      </c>
      <c r="G1715" s="35"/>
      <c r="H1715" s="36">
        <f t="shared" si="78"/>
        <v>3098.6801999999998</v>
      </c>
      <c r="I1715" s="37">
        <f t="shared" si="79"/>
        <v>3098.6801999999998</v>
      </c>
      <c r="J1715" s="4"/>
      <c r="K1715" s="38">
        <f t="shared" si="80"/>
        <v>0</v>
      </c>
    </row>
    <row r="1716" spans="1:11">
      <c r="A1716" t="s">
        <v>3635</v>
      </c>
      <c r="B1716" t="s">
        <v>17</v>
      </c>
      <c r="C1716" t="s">
        <v>9117</v>
      </c>
      <c r="D1716" t="s">
        <v>9120</v>
      </c>
      <c r="E1716">
        <v>6872.69</v>
      </c>
      <c r="G1716" s="35"/>
      <c r="H1716" s="36">
        <f t="shared" si="78"/>
        <v>4329.7946999999995</v>
      </c>
      <c r="I1716" s="37">
        <f t="shared" si="79"/>
        <v>4329.7946999999995</v>
      </c>
      <c r="J1716" s="4"/>
      <c r="K1716" s="38">
        <f t="shared" si="80"/>
        <v>0</v>
      </c>
    </row>
    <row r="1717" spans="1:11">
      <c r="A1717" t="s">
        <v>3636</v>
      </c>
      <c r="B1717" t="s">
        <v>17</v>
      </c>
      <c r="C1717" t="s">
        <v>9117</v>
      </c>
      <c r="D1717" t="s">
        <v>9121</v>
      </c>
      <c r="E1717">
        <v>10715.73</v>
      </c>
      <c r="G1717" s="35"/>
      <c r="H1717" s="36">
        <f t="shared" si="78"/>
        <v>6750.9098999999997</v>
      </c>
      <c r="I1717" s="37">
        <f t="shared" si="79"/>
        <v>6750.9098999999997</v>
      </c>
      <c r="J1717" s="4"/>
      <c r="K1717" s="38">
        <f t="shared" si="80"/>
        <v>0</v>
      </c>
    </row>
    <row r="1718" spans="1:11">
      <c r="A1718" t="s">
        <v>3637</v>
      </c>
      <c r="B1718" t="s">
        <v>17</v>
      </c>
      <c r="C1718" t="s">
        <v>9117</v>
      </c>
      <c r="D1718" t="s">
        <v>5631</v>
      </c>
      <c r="E1718">
        <v>13030.62</v>
      </c>
      <c r="G1718" s="35"/>
      <c r="H1718" s="36">
        <f t="shared" si="78"/>
        <v>8209.2906000000003</v>
      </c>
      <c r="I1718" s="37">
        <f t="shared" si="79"/>
        <v>8209.2906000000003</v>
      </c>
      <c r="J1718" s="4"/>
      <c r="K1718" s="38">
        <f t="shared" si="80"/>
        <v>0</v>
      </c>
    </row>
    <row r="1719" spans="1:11">
      <c r="A1719" t="s">
        <v>3638</v>
      </c>
      <c r="B1719" t="s">
        <v>17</v>
      </c>
      <c r="C1719" t="s">
        <v>9117</v>
      </c>
      <c r="D1719" t="s">
        <v>5630</v>
      </c>
      <c r="E1719">
        <v>25627.31</v>
      </c>
      <c r="G1719" s="35"/>
      <c r="H1719" s="36">
        <f t="shared" si="78"/>
        <v>16145.205300000001</v>
      </c>
      <c r="I1719" s="37">
        <f t="shared" si="79"/>
        <v>16145.205300000001</v>
      </c>
      <c r="J1719" s="4"/>
      <c r="K1719" s="38">
        <f t="shared" si="80"/>
        <v>0</v>
      </c>
    </row>
    <row r="1720" spans="1:11">
      <c r="A1720" t="s">
        <v>3639</v>
      </c>
      <c r="B1720" t="s">
        <v>17</v>
      </c>
      <c r="C1720" t="s">
        <v>9117</v>
      </c>
      <c r="D1720" t="s">
        <v>9122</v>
      </c>
      <c r="E1720">
        <v>4110.1899999999996</v>
      </c>
      <c r="G1720" s="35"/>
      <c r="H1720" s="36">
        <f t="shared" si="78"/>
        <v>2589.4196999999999</v>
      </c>
      <c r="I1720" s="37">
        <f t="shared" si="79"/>
        <v>2589.4196999999999</v>
      </c>
      <c r="J1720" s="4"/>
      <c r="K1720" s="38">
        <f t="shared" si="80"/>
        <v>0</v>
      </c>
    </row>
    <row r="1721" spans="1:11">
      <c r="A1721" t="s">
        <v>3699</v>
      </c>
      <c r="B1721" t="s">
        <v>17</v>
      </c>
      <c r="C1721" t="s">
        <v>9174</v>
      </c>
      <c r="D1721" t="s">
        <v>9175</v>
      </c>
      <c r="E1721">
        <v>13790.87</v>
      </c>
      <c r="G1721" s="35"/>
      <c r="H1721" s="36">
        <f t="shared" si="78"/>
        <v>8688.2481000000007</v>
      </c>
      <c r="I1721" s="37">
        <f t="shared" si="79"/>
        <v>8688.2481000000007</v>
      </c>
      <c r="J1721" s="4"/>
      <c r="K1721" s="38">
        <f t="shared" si="80"/>
        <v>0</v>
      </c>
    </row>
    <row r="1722" spans="1:11">
      <c r="A1722" t="s">
        <v>3700</v>
      </c>
      <c r="B1722" t="s">
        <v>17</v>
      </c>
      <c r="C1722" t="s">
        <v>9174</v>
      </c>
      <c r="D1722" t="s">
        <v>9176</v>
      </c>
      <c r="E1722">
        <v>17211.96</v>
      </c>
      <c r="G1722" s="35"/>
      <c r="H1722" s="36">
        <f t="shared" si="78"/>
        <v>10843.534799999999</v>
      </c>
      <c r="I1722" s="37">
        <f t="shared" si="79"/>
        <v>10843.534799999999</v>
      </c>
      <c r="J1722" s="4"/>
      <c r="K1722" s="38">
        <f t="shared" si="80"/>
        <v>0</v>
      </c>
    </row>
    <row r="1723" spans="1:11">
      <c r="A1723" t="s">
        <v>3701</v>
      </c>
      <c r="B1723" t="s">
        <v>17</v>
      </c>
      <c r="C1723" t="s">
        <v>9174</v>
      </c>
      <c r="D1723" t="s">
        <v>9177</v>
      </c>
      <c r="E1723">
        <v>23819.86</v>
      </c>
      <c r="G1723" s="35"/>
      <c r="H1723" s="36">
        <f t="shared" si="78"/>
        <v>15006.5118</v>
      </c>
      <c r="I1723" s="37">
        <f t="shared" si="79"/>
        <v>15006.5118</v>
      </c>
      <c r="J1723" s="4"/>
      <c r="K1723" s="38">
        <f t="shared" si="80"/>
        <v>0</v>
      </c>
    </row>
    <row r="1724" spans="1:11">
      <c r="A1724" t="s">
        <v>3702</v>
      </c>
      <c r="B1724" t="s">
        <v>17</v>
      </c>
      <c r="C1724" t="s">
        <v>9174</v>
      </c>
      <c r="D1724" t="s">
        <v>9178</v>
      </c>
      <c r="E1724">
        <v>48973.49</v>
      </c>
      <c r="G1724" s="35"/>
      <c r="H1724" s="36">
        <f t="shared" si="78"/>
        <v>30853.298699999999</v>
      </c>
      <c r="I1724" s="37">
        <f t="shared" si="79"/>
        <v>30853.298699999999</v>
      </c>
      <c r="J1724" s="4"/>
      <c r="K1724" s="38">
        <f t="shared" si="80"/>
        <v>0</v>
      </c>
    </row>
    <row r="1725" spans="1:11">
      <c r="A1725" t="s">
        <v>3703</v>
      </c>
      <c r="B1725" t="s">
        <v>17</v>
      </c>
      <c r="C1725" t="s">
        <v>9174</v>
      </c>
      <c r="D1725" t="s">
        <v>9179</v>
      </c>
      <c r="E1725">
        <v>57688.94</v>
      </c>
      <c r="G1725" s="35"/>
      <c r="H1725" s="36">
        <f t="shared" si="78"/>
        <v>36344.032200000001</v>
      </c>
      <c r="I1725" s="37">
        <f t="shared" si="79"/>
        <v>36344.032200000001</v>
      </c>
      <c r="J1725" s="4"/>
      <c r="K1725" s="38">
        <f t="shared" si="80"/>
        <v>0</v>
      </c>
    </row>
    <row r="1726" spans="1:11">
      <c r="A1726" t="s">
        <v>3704</v>
      </c>
      <c r="B1726" t="s">
        <v>17</v>
      </c>
      <c r="C1726" t="s">
        <v>9174</v>
      </c>
      <c r="D1726" t="s">
        <v>9180</v>
      </c>
      <c r="E1726">
        <v>92925.34</v>
      </c>
      <c r="G1726" s="35"/>
      <c r="H1726" s="36">
        <f t="shared" si="78"/>
        <v>58542.964199999995</v>
      </c>
      <c r="I1726" s="37">
        <f t="shared" si="79"/>
        <v>58542.964199999995</v>
      </c>
      <c r="J1726" s="4"/>
      <c r="K1726" s="38">
        <f t="shared" si="80"/>
        <v>0</v>
      </c>
    </row>
    <row r="1727" spans="1:11">
      <c r="A1727" t="s">
        <v>3705</v>
      </c>
      <c r="B1727" t="s">
        <v>17</v>
      </c>
      <c r="C1727" t="s">
        <v>9174</v>
      </c>
      <c r="D1727" t="s">
        <v>9181</v>
      </c>
      <c r="E1727">
        <v>17044.97</v>
      </c>
      <c r="G1727" s="35"/>
      <c r="H1727" s="36">
        <f t="shared" si="78"/>
        <v>10738.331100000001</v>
      </c>
      <c r="I1727" s="37">
        <f t="shared" si="79"/>
        <v>10738.331100000001</v>
      </c>
      <c r="J1727" s="4"/>
      <c r="K1727" s="38">
        <f t="shared" si="80"/>
        <v>0</v>
      </c>
    </row>
    <row r="1728" spans="1:11">
      <c r="A1728" t="s">
        <v>3706</v>
      </c>
      <c r="B1728" t="s">
        <v>17</v>
      </c>
      <c r="C1728" t="s">
        <v>9174</v>
      </c>
      <c r="D1728" t="s">
        <v>9182</v>
      </c>
      <c r="E1728">
        <v>21450.04</v>
      </c>
      <c r="G1728" s="35"/>
      <c r="H1728" s="36">
        <f t="shared" si="78"/>
        <v>13513.5252</v>
      </c>
      <c r="I1728" s="37">
        <f t="shared" si="79"/>
        <v>13513.5252</v>
      </c>
      <c r="J1728" s="4"/>
      <c r="K1728" s="38">
        <f t="shared" si="80"/>
        <v>0</v>
      </c>
    </row>
    <row r="1729" spans="1:11">
      <c r="A1729" t="s">
        <v>3707</v>
      </c>
      <c r="B1729" t="s">
        <v>17</v>
      </c>
      <c r="C1729" t="s">
        <v>9174</v>
      </c>
      <c r="D1729" t="s">
        <v>9183</v>
      </c>
      <c r="E1729">
        <v>31057.82</v>
      </c>
      <c r="G1729" s="35"/>
      <c r="H1729" s="36">
        <f t="shared" si="78"/>
        <v>19566.426599999999</v>
      </c>
      <c r="I1729" s="37">
        <f t="shared" si="79"/>
        <v>19566.426599999999</v>
      </c>
      <c r="J1729" s="4"/>
      <c r="K1729" s="38">
        <f t="shared" si="80"/>
        <v>0</v>
      </c>
    </row>
    <row r="1730" spans="1:11">
      <c r="A1730" t="s">
        <v>3708</v>
      </c>
      <c r="B1730" t="s">
        <v>17</v>
      </c>
      <c r="C1730" t="s">
        <v>9174</v>
      </c>
      <c r="D1730" t="s">
        <v>9184</v>
      </c>
      <c r="E1730">
        <v>52491.42</v>
      </c>
      <c r="G1730" s="35"/>
      <c r="H1730" s="36">
        <f t="shared" si="78"/>
        <v>33069.594599999997</v>
      </c>
      <c r="I1730" s="37">
        <f t="shared" si="79"/>
        <v>33069.594599999997</v>
      </c>
      <c r="J1730" s="4"/>
      <c r="K1730" s="38">
        <f t="shared" si="80"/>
        <v>0</v>
      </c>
    </row>
    <row r="1731" spans="1:11">
      <c r="A1731" t="s">
        <v>3709</v>
      </c>
      <c r="B1731" t="s">
        <v>17</v>
      </c>
      <c r="C1731" t="s">
        <v>9174</v>
      </c>
      <c r="D1731" t="s">
        <v>9185</v>
      </c>
      <c r="E1731">
        <v>56036.57</v>
      </c>
      <c r="G1731" s="35"/>
      <c r="H1731" s="36">
        <f t="shared" si="78"/>
        <v>35303.039100000002</v>
      </c>
      <c r="I1731" s="37">
        <f t="shared" si="79"/>
        <v>35303.039100000002</v>
      </c>
      <c r="J1731" s="4"/>
      <c r="K1731" s="38">
        <f t="shared" si="80"/>
        <v>0</v>
      </c>
    </row>
    <row r="1732" spans="1:11">
      <c r="A1732" t="s">
        <v>3710</v>
      </c>
      <c r="B1732" t="s">
        <v>17</v>
      </c>
      <c r="C1732" t="s">
        <v>9174</v>
      </c>
      <c r="D1732" t="s">
        <v>9186</v>
      </c>
      <c r="E1732">
        <v>91236.82</v>
      </c>
      <c r="G1732" s="35"/>
      <c r="H1732" s="36">
        <f t="shared" si="78"/>
        <v>57479.196600000003</v>
      </c>
      <c r="I1732" s="37">
        <f t="shared" si="79"/>
        <v>57479.196600000003</v>
      </c>
      <c r="J1732" s="4"/>
      <c r="K1732" s="38">
        <f t="shared" si="80"/>
        <v>0</v>
      </c>
    </row>
    <row r="1733" spans="1:11">
      <c r="A1733" t="s">
        <v>3711</v>
      </c>
      <c r="B1733" t="s">
        <v>17</v>
      </c>
      <c r="C1733" t="s">
        <v>9174</v>
      </c>
      <c r="D1733" t="s">
        <v>9187</v>
      </c>
      <c r="E1733">
        <v>23343.93</v>
      </c>
      <c r="G1733" s="35"/>
      <c r="H1733" s="36">
        <f t="shared" si="78"/>
        <v>14706.6759</v>
      </c>
      <c r="I1733" s="37">
        <f t="shared" si="79"/>
        <v>14706.6759</v>
      </c>
      <c r="J1733" s="4"/>
      <c r="K1733" s="38">
        <f t="shared" si="80"/>
        <v>0</v>
      </c>
    </row>
    <row r="1734" spans="1:11">
      <c r="A1734" t="s">
        <v>3712</v>
      </c>
      <c r="B1734" t="s">
        <v>17</v>
      </c>
      <c r="C1734" t="s">
        <v>9174</v>
      </c>
      <c r="D1734" t="s">
        <v>9188</v>
      </c>
      <c r="E1734">
        <v>28621.73</v>
      </c>
      <c r="G1734" s="35"/>
      <c r="H1734" s="36">
        <f t="shared" si="78"/>
        <v>18031.689900000001</v>
      </c>
      <c r="I1734" s="37">
        <f t="shared" si="79"/>
        <v>18031.689900000001</v>
      </c>
      <c r="J1734" s="4"/>
      <c r="K1734" s="38">
        <f t="shared" si="80"/>
        <v>0</v>
      </c>
    </row>
    <row r="1735" spans="1:11">
      <c r="A1735" t="s">
        <v>3713</v>
      </c>
      <c r="B1735" t="s">
        <v>17</v>
      </c>
      <c r="C1735" t="s">
        <v>9174</v>
      </c>
      <c r="D1735" t="s">
        <v>9189</v>
      </c>
      <c r="E1735">
        <v>30274.74</v>
      </c>
      <c r="G1735" s="35"/>
      <c r="H1735" s="36">
        <f t="shared" ref="H1735:H1798" si="81">+E1735*$H$1*(1-G1735)</f>
        <v>19073.086200000002</v>
      </c>
      <c r="I1735" s="37">
        <f t="shared" ref="I1735:I1798" si="82">H1735*$H$4</f>
        <v>19073.086200000002</v>
      </c>
      <c r="J1735" s="4"/>
      <c r="K1735" s="38">
        <f t="shared" ref="K1735:K1798" si="83">J1735*I1735</f>
        <v>0</v>
      </c>
    </row>
    <row r="1736" spans="1:11">
      <c r="A1736" t="s">
        <v>3714</v>
      </c>
      <c r="B1736" t="s">
        <v>17</v>
      </c>
      <c r="C1736" t="s">
        <v>9174</v>
      </c>
      <c r="D1736" t="s">
        <v>9190</v>
      </c>
      <c r="E1736">
        <v>16033.11</v>
      </c>
      <c r="G1736" s="35"/>
      <c r="H1736" s="36">
        <f t="shared" si="81"/>
        <v>10100.8593</v>
      </c>
      <c r="I1736" s="37">
        <f t="shared" si="82"/>
        <v>10100.8593</v>
      </c>
      <c r="J1736" s="4"/>
      <c r="K1736" s="38">
        <f t="shared" si="83"/>
        <v>0</v>
      </c>
    </row>
    <row r="1737" spans="1:11">
      <c r="A1737" t="s">
        <v>3715</v>
      </c>
      <c r="B1737" t="s">
        <v>17</v>
      </c>
      <c r="C1737" t="s">
        <v>9174</v>
      </c>
      <c r="D1737" t="s">
        <v>9191</v>
      </c>
      <c r="E1737">
        <v>19974.22</v>
      </c>
      <c r="G1737" s="35"/>
      <c r="H1737" s="36">
        <f t="shared" si="81"/>
        <v>12583.758600000001</v>
      </c>
      <c r="I1737" s="37">
        <f t="shared" si="82"/>
        <v>12583.758600000001</v>
      </c>
      <c r="J1737" s="4"/>
      <c r="K1737" s="38">
        <f t="shared" si="83"/>
        <v>0</v>
      </c>
    </row>
    <row r="1738" spans="1:11">
      <c r="A1738" t="s">
        <v>3716</v>
      </c>
      <c r="B1738" t="s">
        <v>17</v>
      </c>
      <c r="C1738" t="s">
        <v>9174</v>
      </c>
      <c r="D1738" t="s">
        <v>9192</v>
      </c>
      <c r="E1738">
        <v>29215.37</v>
      </c>
      <c r="G1738" s="35"/>
      <c r="H1738" s="36">
        <f t="shared" si="81"/>
        <v>18405.683099999998</v>
      </c>
      <c r="I1738" s="37">
        <f t="shared" si="82"/>
        <v>18405.683099999998</v>
      </c>
      <c r="J1738" s="4"/>
      <c r="K1738" s="38">
        <f t="shared" si="83"/>
        <v>0</v>
      </c>
    </row>
    <row r="1739" spans="1:11">
      <c r="A1739" t="s">
        <v>3717</v>
      </c>
      <c r="B1739" t="s">
        <v>17</v>
      </c>
      <c r="C1739" t="s">
        <v>9174</v>
      </c>
      <c r="D1739" t="s">
        <v>9193</v>
      </c>
      <c r="E1739">
        <v>50433.01</v>
      </c>
      <c r="G1739" s="35"/>
      <c r="H1739" s="36">
        <f t="shared" si="81"/>
        <v>31772.796300000002</v>
      </c>
      <c r="I1739" s="37">
        <f t="shared" si="82"/>
        <v>31772.796300000002</v>
      </c>
      <c r="J1739" s="4"/>
      <c r="K1739" s="38">
        <f t="shared" si="83"/>
        <v>0</v>
      </c>
    </row>
    <row r="1740" spans="1:11">
      <c r="A1740" t="s">
        <v>3718</v>
      </c>
      <c r="B1740" t="s">
        <v>17</v>
      </c>
      <c r="C1740" t="s">
        <v>9174</v>
      </c>
      <c r="D1740" t="s">
        <v>9194</v>
      </c>
      <c r="E1740">
        <v>53260.6</v>
      </c>
      <c r="G1740" s="35"/>
      <c r="H1740" s="36">
        <f t="shared" si="81"/>
        <v>33554.178</v>
      </c>
      <c r="I1740" s="37">
        <f t="shared" si="82"/>
        <v>33554.178</v>
      </c>
      <c r="J1740" s="4"/>
      <c r="K1740" s="38">
        <f t="shared" si="83"/>
        <v>0</v>
      </c>
    </row>
    <row r="1741" spans="1:11">
      <c r="A1741" t="s">
        <v>3719</v>
      </c>
      <c r="B1741" t="s">
        <v>17</v>
      </c>
      <c r="C1741" t="s">
        <v>9174</v>
      </c>
      <c r="D1741" t="s">
        <v>9195</v>
      </c>
      <c r="E1741">
        <v>86645.55</v>
      </c>
      <c r="G1741" s="35"/>
      <c r="H1741" s="36">
        <f t="shared" si="81"/>
        <v>54586.696500000005</v>
      </c>
      <c r="I1741" s="37">
        <f t="shared" si="82"/>
        <v>54586.696500000005</v>
      </c>
      <c r="J1741" s="4"/>
      <c r="K1741" s="38">
        <f t="shared" si="83"/>
        <v>0</v>
      </c>
    </row>
    <row r="1742" spans="1:11">
      <c r="A1742" t="s">
        <v>3720</v>
      </c>
      <c r="B1742" t="s">
        <v>17</v>
      </c>
      <c r="C1742" t="s">
        <v>9174</v>
      </c>
      <c r="D1742" t="s">
        <v>9196</v>
      </c>
      <c r="E1742">
        <v>900.8</v>
      </c>
      <c r="G1742" s="35"/>
      <c r="H1742" s="36">
        <f t="shared" si="81"/>
        <v>567.50400000000002</v>
      </c>
      <c r="I1742" s="37">
        <f t="shared" si="82"/>
        <v>567.50400000000002</v>
      </c>
      <c r="J1742" s="4"/>
      <c r="K1742" s="38">
        <f t="shared" si="83"/>
        <v>0</v>
      </c>
    </row>
    <row r="1743" spans="1:11">
      <c r="A1743" t="s">
        <v>3721</v>
      </c>
      <c r="B1743" t="s">
        <v>17</v>
      </c>
      <c r="C1743" t="s">
        <v>9174</v>
      </c>
      <c r="D1743" t="s">
        <v>9197</v>
      </c>
      <c r="E1743">
        <v>14228.83</v>
      </c>
      <c r="G1743" s="35"/>
      <c r="H1743" s="36">
        <f t="shared" si="81"/>
        <v>8964.1628999999994</v>
      </c>
      <c r="I1743" s="37">
        <f t="shared" si="82"/>
        <v>8964.1628999999994</v>
      </c>
      <c r="J1743" s="4"/>
      <c r="K1743" s="38">
        <f t="shared" si="83"/>
        <v>0</v>
      </c>
    </row>
    <row r="1744" spans="1:11">
      <c r="A1744" t="s">
        <v>3722</v>
      </c>
      <c r="B1744" t="s">
        <v>17</v>
      </c>
      <c r="C1744" t="s">
        <v>9174</v>
      </c>
      <c r="D1744" t="s">
        <v>9198</v>
      </c>
      <c r="E1744">
        <v>15982.21</v>
      </c>
      <c r="G1744" s="35"/>
      <c r="H1744" s="36">
        <f t="shared" si="81"/>
        <v>10068.792299999999</v>
      </c>
      <c r="I1744" s="37">
        <f t="shared" si="82"/>
        <v>10068.792299999999</v>
      </c>
      <c r="J1744" s="4"/>
      <c r="K1744" s="38">
        <f t="shared" si="83"/>
        <v>0</v>
      </c>
    </row>
    <row r="1745" spans="1:11">
      <c r="A1745" t="s">
        <v>3723</v>
      </c>
      <c r="B1745" t="s">
        <v>17</v>
      </c>
      <c r="C1745" t="s">
        <v>9174</v>
      </c>
      <c r="D1745" t="s">
        <v>9199</v>
      </c>
      <c r="E1745">
        <v>19921.330000000002</v>
      </c>
      <c r="G1745" s="35"/>
      <c r="H1745" s="36">
        <f t="shared" si="81"/>
        <v>12550.437900000001</v>
      </c>
      <c r="I1745" s="37">
        <f t="shared" si="82"/>
        <v>12550.437900000001</v>
      </c>
      <c r="J1745" s="4"/>
      <c r="K1745" s="38">
        <f t="shared" si="83"/>
        <v>0</v>
      </c>
    </row>
    <row r="1746" spans="1:11">
      <c r="A1746" t="s">
        <v>3724</v>
      </c>
      <c r="B1746" t="s">
        <v>17</v>
      </c>
      <c r="C1746" t="s">
        <v>9174</v>
      </c>
      <c r="D1746" t="s">
        <v>9200</v>
      </c>
      <c r="E1746">
        <v>13993</v>
      </c>
      <c r="G1746" s="35"/>
      <c r="H1746" s="36">
        <f t="shared" si="81"/>
        <v>8815.59</v>
      </c>
      <c r="I1746" s="37">
        <f t="shared" si="82"/>
        <v>8815.59</v>
      </c>
      <c r="J1746" s="4"/>
      <c r="K1746" s="38">
        <f t="shared" si="83"/>
        <v>0</v>
      </c>
    </row>
    <row r="1747" spans="1:11">
      <c r="A1747" t="s">
        <v>3725</v>
      </c>
      <c r="B1747" t="s">
        <v>17</v>
      </c>
      <c r="C1747" t="s">
        <v>9174</v>
      </c>
      <c r="D1747" t="s">
        <v>9201</v>
      </c>
      <c r="E1747">
        <v>22095.279999999999</v>
      </c>
      <c r="G1747" s="35"/>
      <c r="H1747" s="36">
        <f t="shared" si="81"/>
        <v>13920.026399999999</v>
      </c>
      <c r="I1747" s="37">
        <f t="shared" si="82"/>
        <v>13920.026399999999</v>
      </c>
      <c r="J1747" s="4"/>
      <c r="K1747" s="38">
        <f t="shared" si="83"/>
        <v>0</v>
      </c>
    </row>
    <row r="1748" spans="1:11">
      <c r="A1748" t="s">
        <v>3726</v>
      </c>
      <c r="B1748" t="s">
        <v>17</v>
      </c>
      <c r="C1748" t="s">
        <v>9174</v>
      </c>
      <c r="D1748" t="s">
        <v>9202</v>
      </c>
      <c r="E1748">
        <v>22886.2</v>
      </c>
      <c r="G1748" s="35"/>
      <c r="H1748" s="36">
        <f t="shared" si="81"/>
        <v>14418.306</v>
      </c>
      <c r="I1748" s="37">
        <f t="shared" si="82"/>
        <v>14418.306</v>
      </c>
      <c r="J1748" s="4"/>
      <c r="K1748" s="38">
        <f t="shared" si="83"/>
        <v>0</v>
      </c>
    </row>
    <row r="1749" spans="1:11">
      <c r="A1749" t="s">
        <v>3727</v>
      </c>
      <c r="B1749" t="s">
        <v>17</v>
      </c>
      <c r="C1749" t="s">
        <v>9174</v>
      </c>
      <c r="D1749" t="s">
        <v>9203</v>
      </c>
      <c r="E1749">
        <v>28060.52</v>
      </c>
      <c r="G1749" s="35"/>
      <c r="H1749" s="36">
        <f t="shared" si="81"/>
        <v>17678.1276</v>
      </c>
      <c r="I1749" s="37">
        <f t="shared" si="82"/>
        <v>17678.1276</v>
      </c>
      <c r="J1749" s="4"/>
      <c r="K1749" s="38">
        <f t="shared" si="83"/>
        <v>0</v>
      </c>
    </row>
    <row r="1750" spans="1:11">
      <c r="A1750" t="s">
        <v>3728</v>
      </c>
      <c r="B1750" t="s">
        <v>17</v>
      </c>
      <c r="C1750" t="s">
        <v>9174</v>
      </c>
      <c r="D1750" t="s">
        <v>9204</v>
      </c>
      <c r="E1750">
        <v>29681.11</v>
      </c>
      <c r="G1750" s="35"/>
      <c r="H1750" s="36">
        <f t="shared" si="81"/>
        <v>18699.099300000002</v>
      </c>
      <c r="I1750" s="37">
        <f t="shared" si="82"/>
        <v>18699.099300000002</v>
      </c>
      <c r="J1750" s="4"/>
      <c r="K1750" s="38">
        <f t="shared" si="83"/>
        <v>0</v>
      </c>
    </row>
    <row r="1751" spans="1:11">
      <c r="A1751" t="s">
        <v>3729</v>
      </c>
      <c r="B1751" t="s">
        <v>17</v>
      </c>
      <c r="C1751" t="s">
        <v>9174</v>
      </c>
      <c r="D1751" t="s">
        <v>9205</v>
      </c>
      <c r="E1751">
        <v>13656.97</v>
      </c>
      <c r="G1751" s="35"/>
      <c r="H1751" s="36">
        <f t="shared" si="81"/>
        <v>8603.8910999999989</v>
      </c>
      <c r="I1751" s="37">
        <f t="shared" si="82"/>
        <v>8603.8910999999989</v>
      </c>
      <c r="J1751" s="4"/>
      <c r="K1751" s="38">
        <f t="shared" si="83"/>
        <v>0</v>
      </c>
    </row>
    <row r="1752" spans="1:11">
      <c r="A1752" t="s">
        <v>3730</v>
      </c>
      <c r="B1752" t="s">
        <v>17</v>
      </c>
      <c r="C1752" t="s">
        <v>9174</v>
      </c>
      <c r="D1752" t="s">
        <v>9206</v>
      </c>
      <c r="E1752">
        <v>17211.96</v>
      </c>
      <c r="G1752" s="35"/>
      <c r="H1752" s="36">
        <f t="shared" si="81"/>
        <v>10843.534799999999</v>
      </c>
      <c r="I1752" s="37">
        <f t="shared" si="82"/>
        <v>10843.534799999999</v>
      </c>
      <c r="J1752" s="4"/>
      <c r="K1752" s="38">
        <f t="shared" si="83"/>
        <v>0</v>
      </c>
    </row>
    <row r="1753" spans="1:11">
      <c r="A1753" t="s">
        <v>3731</v>
      </c>
      <c r="B1753" t="s">
        <v>17</v>
      </c>
      <c r="C1753" t="s">
        <v>9174</v>
      </c>
      <c r="D1753" t="s">
        <v>9207</v>
      </c>
      <c r="E1753">
        <v>23819.86</v>
      </c>
      <c r="G1753" s="35"/>
      <c r="H1753" s="36">
        <f t="shared" si="81"/>
        <v>15006.5118</v>
      </c>
      <c r="I1753" s="37">
        <f t="shared" si="82"/>
        <v>15006.5118</v>
      </c>
      <c r="J1753" s="4"/>
      <c r="K1753" s="38">
        <f t="shared" si="83"/>
        <v>0</v>
      </c>
    </row>
    <row r="1754" spans="1:11">
      <c r="A1754" t="s">
        <v>3732</v>
      </c>
      <c r="B1754" t="s">
        <v>17</v>
      </c>
      <c r="C1754" t="s">
        <v>9174</v>
      </c>
      <c r="D1754" t="s">
        <v>9208</v>
      </c>
      <c r="E1754">
        <v>48973.49</v>
      </c>
      <c r="G1754" s="35"/>
      <c r="H1754" s="36">
        <f t="shared" si="81"/>
        <v>30853.298699999999</v>
      </c>
      <c r="I1754" s="37">
        <f t="shared" si="82"/>
        <v>30853.298699999999</v>
      </c>
      <c r="J1754" s="4"/>
      <c r="K1754" s="38">
        <f t="shared" si="83"/>
        <v>0</v>
      </c>
    </row>
    <row r="1755" spans="1:11">
      <c r="A1755" t="s">
        <v>3733</v>
      </c>
      <c r="B1755" t="s">
        <v>17</v>
      </c>
      <c r="C1755" t="s">
        <v>9174</v>
      </c>
      <c r="D1755" t="s">
        <v>9209</v>
      </c>
      <c r="E1755">
        <v>57688.94</v>
      </c>
      <c r="G1755" s="35"/>
      <c r="H1755" s="36">
        <f t="shared" si="81"/>
        <v>36344.032200000001</v>
      </c>
      <c r="I1755" s="37">
        <f t="shared" si="82"/>
        <v>36344.032200000001</v>
      </c>
      <c r="J1755" s="4"/>
      <c r="K1755" s="38">
        <f t="shared" si="83"/>
        <v>0</v>
      </c>
    </row>
    <row r="1756" spans="1:11">
      <c r="A1756" t="s">
        <v>3734</v>
      </c>
      <c r="B1756" t="s">
        <v>17</v>
      </c>
      <c r="C1756" t="s">
        <v>9174</v>
      </c>
      <c r="D1756" t="s">
        <v>9210</v>
      </c>
      <c r="E1756">
        <v>92925.34</v>
      </c>
      <c r="G1756" s="35"/>
      <c r="H1756" s="36">
        <f t="shared" si="81"/>
        <v>58542.964199999995</v>
      </c>
      <c r="I1756" s="37">
        <f t="shared" si="82"/>
        <v>58542.964199999995</v>
      </c>
      <c r="J1756" s="4"/>
      <c r="K1756" s="38">
        <f t="shared" si="83"/>
        <v>0</v>
      </c>
    </row>
    <row r="1757" spans="1:11">
      <c r="A1757" t="s">
        <v>3735</v>
      </c>
      <c r="B1757" t="s">
        <v>17</v>
      </c>
      <c r="C1757" t="s">
        <v>9174</v>
      </c>
      <c r="D1757" t="s">
        <v>9211</v>
      </c>
      <c r="E1757">
        <v>14997.52</v>
      </c>
      <c r="G1757" s="35"/>
      <c r="H1757" s="36">
        <f t="shared" si="81"/>
        <v>9448.4376000000011</v>
      </c>
      <c r="I1757" s="37">
        <f t="shared" si="82"/>
        <v>9448.4376000000011</v>
      </c>
      <c r="J1757" s="4"/>
      <c r="K1757" s="38">
        <f t="shared" si="83"/>
        <v>0</v>
      </c>
    </row>
    <row r="1758" spans="1:11">
      <c r="A1758" t="s">
        <v>3736</v>
      </c>
      <c r="B1758" t="s">
        <v>17</v>
      </c>
      <c r="C1758" t="s">
        <v>9174</v>
      </c>
      <c r="D1758" t="s">
        <v>9212</v>
      </c>
      <c r="E1758">
        <v>19467.71</v>
      </c>
      <c r="G1758" s="35"/>
      <c r="H1758" s="36">
        <f t="shared" si="81"/>
        <v>12264.657299999999</v>
      </c>
      <c r="I1758" s="37">
        <f t="shared" si="82"/>
        <v>12264.657299999999</v>
      </c>
      <c r="J1758" s="4"/>
      <c r="K1758" s="38">
        <f t="shared" si="83"/>
        <v>0</v>
      </c>
    </row>
    <row r="1759" spans="1:11">
      <c r="A1759" t="s">
        <v>3737</v>
      </c>
      <c r="B1759" t="s">
        <v>17</v>
      </c>
      <c r="C1759" t="s">
        <v>9174</v>
      </c>
      <c r="D1759" t="s">
        <v>9213</v>
      </c>
      <c r="E1759">
        <v>27722.68</v>
      </c>
      <c r="G1759" s="35"/>
      <c r="H1759" s="36">
        <f t="shared" si="81"/>
        <v>17465.288400000001</v>
      </c>
      <c r="I1759" s="37">
        <f t="shared" si="82"/>
        <v>17465.288400000001</v>
      </c>
      <c r="J1759" s="4"/>
      <c r="K1759" s="38">
        <f t="shared" si="83"/>
        <v>0</v>
      </c>
    </row>
    <row r="1760" spans="1:11">
      <c r="A1760" t="s">
        <v>3738</v>
      </c>
      <c r="B1760" t="s">
        <v>17</v>
      </c>
      <c r="C1760" t="s">
        <v>9174</v>
      </c>
      <c r="D1760" t="s">
        <v>9214</v>
      </c>
      <c r="E1760">
        <v>17044.97</v>
      </c>
      <c r="G1760" s="35"/>
      <c r="H1760" s="36">
        <f t="shared" si="81"/>
        <v>10738.331100000001</v>
      </c>
      <c r="I1760" s="37">
        <f t="shared" si="82"/>
        <v>10738.331100000001</v>
      </c>
      <c r="J1760" s="4"/>
      <c r="K1760" s="38">
        <f t="shared" si="83"/>
        <v>0</v>
      </c>
    </row>
    <row r="1761" spans="1:11">
      <c r="A1761" t="s">
        <v>3739</v>
      </c>
      <c r="B1761" t="s">
        <v>17</v>
      </c>
      <c r="C1761" t="s">
        <v>9174</v>
      </c>
      <c r="D1761" t="s">
        <v>9215</v>
      </c>
      <c r="E1761">
        <v>21452.06</v>
      </c>
      <c r="G1761" s="35"/>
      <c r="H1761" s="36">
        <f t="shared" si="81"/>
        <v>13514.7978</v>
      </c>
      <c r="I1761" s="37">
        <f t="shared" si="82"/>
        <v>13514.7978</v>
      </c>
      <c r="J1761" s="4"/>
      <c r="K1761" s="38">
        <f t="shared" si="83"/>
        <v>0</v>
      </c>
    </row>
    <row r="1762" spans="1:11">
      <c r="A1762" t="s">
        <v>3740</v>
      </c>
      <c r="B1762" t="s">
        <v>17</v>
      </c>
      <c r="C1762" t="s">
        <v>9174</v>
      </c>
      <c r="D1762" t="s">
        <v>9216</v>
      </c>
      <c r="E1762">
        <v>31057.82</v>
      </c>
      <c r="G1762" s="35"/>
      <c r="H1762" s="36">
        <f t="shared" si="81"/>
        <v>19566.426599999999</v>
      </c>
      <c r="I1762" s="37">
        <f t="shared" si="82"/>
        <v>19566.426599999999</v>
      </c>
      <c r="J1762" s="4"/>
      <c r="K1762" s="38">
        <f t="shared" si="83"/>
        <v>0</v>
      </c>
    </row>
    <row r="1763" spans="1:11">
      <c r="A1763" t="s">
        <v>3741</v>
      </c>
      <c r="B1763" t="s">
        <v>17</v>
      </c>
      <c r="C1763" t="s">
        <v>9174</v>
      </c>
      <c r="D1763" t="s">
        <v>9217</v>
      </c>
      <c r="E1763">
        <v>52491.42</v>
      </c>
      <c r="G1763" s="35"/>
      <c r="H1763" s="36">
        <f t="shared" si="81"/>
        <v>33069.594599999997</v>
      </c>
      <c r="I1763" s="37">
        <f t="shared" si="82"/>
        <v>33069.594599999997</v>
      </c>
      <c r="J1763" s="4"/>
      <c r="K1763" s="38">
        <f t="shared" si="83"/>
        <v>0</v>
      </c>
    </row>
    <row r="1764" spans="1:11">
      <c r="A1764" t="s">
        <v>3742</v>
      </c>
      <c r="B1764" t="s">
        <v>17</v>
      </c>
      <c r="C1764" t="s">
        <v>9174</v>
      </c>
      <c r="D1764" t="s">
        <v>9218</v>
      </c>
      <c r="E1764">
        <v>56036.57</v>
      </c>
      <c r="G1764" s="35"/>
      <c r="H1764" s="36">
        <f t="shared" si="81"/>
        <v>35303.039100000002</v>
      </c>
      <c r="I1764" s="37">
        <f t="shared" si="82"/>
        <v>35303.039100000002</v>
      </c>
      <c r="J1764" s="4"/>
      <c r="K1764" s="38">
        <f t="shared" si="83"/>
        <v>0</v>
      </c>
    </row>
    <row r="1765" spans="1:11">
      <c r="A1765" t="s">
        <v>3743</v>
      </c>
      <c r="B1765" t="s">
        <v>17</v>
      </c>
      <c r="C1765" t="s">
        <v>9174</v>
      </c>
      <c r="D1765" t="s">
        <v>9219</v>
      </c>
      <c r="E1765">
        <v>91236.82</v>
      </c>
      <c r="G1765" s="35"/>
      <c r="H1765" s="36">
        <f t="shared" si="81"/>
        <v>57479.196600000003</v>
      </c>
      <c r="I1765" s="37">
        <f t="shared" si="82"/>
        <v>57479.196600000003</v>
      </c>
      <c r="J1765" s="4"/>
      <c r="K1765" s="38">
        <f t="shared" si="83"/>
        <v>0</v>
      </c>
    </row>
    <row r="1766" spans="1:11">
      <c r="A1766" t="s">
        <v>3744</v>
      </c>
      <c r="B1766" t="s">
        <v>17</v>
      </c>
      <c r="C1766" t="s">
        <v>9174</v>
      </c>
      <c r="D1766" t="s">
        <v>9220</v>
      </c>
      <c r="E1766">
        <v>16033.11</v>
      </c>
      <c r="G1766" s="35"/>
      <c r="H1766" s="36">
        <f t="shared" si="81"/>
        <v>10100.8593</v>
      </c>
      <c r="I1766" s="37">
        <f t="shared" si="82"/>
        <v>10100.8593</v>
      </c>
      <c r="J1766" s="4"/>
      <c r="K1766" s="38">
        <f t="shared" si="83"/>
        <v>0</v>
      </c>
    </row>
    <row r="1767" spans="1:11">
      <c r="A1767" t="s">
        <v>3745</v>
      </c>
      <c r="B1767" t="s">
        <v>17</v>
      </c>
      <c r="C1767" t="s">
        <v>9174</v>
      </c>
      <c r="D1767" t="s">
        <v>9221</v>
      </c>
      <c r="E1767">
        <v>19974.22</v>
      </c>
      <c r="G1767" s="35"/>
      <c r="H1767" s="36">
        <f t="shared" si="81"/>
        <v>12583.758600000001</v>
      </c>
      <c r="I1767" s="37">
        <f t="shared" si="82"/>
        <v>12583.758600000001</v>
      </c>
      <c r="J1767" s="4"/>
      <c r="K1767" s="38">
        <f t="shared" si="83"/>
        <v>0</v>
      </c>
    </row>
    <row r="1768" spans="1:11">
      <c r="A1768" t="s">
        <v>3746</v>
      </c>
      <c r="B1768" t="s">
        <v>17</v>
      </c>
      <c r="C1768" t="s">
        <v>9174</v>
      </c>
      <c r="D1768" t="s">
        <v>9222</v>
      </c>
      <c r="E1768">
        <v>29215.37</v>
      </c>
      <c r="G1768" s="35"/>
      <c r="H1768" s="36">
        <f t="shared" si="81"/>
        <v>18405.683099999998</v>
      </c>
      <c r="I1768" s="37">
        <f t="shared" si="82"/>
        <v>18405.683099999998</v>
      </c>
      <c r="J1768" s="4"/>
      <c r="K1768" s="38">
        <f t="shared" si="83"/>
        <v>0</v>
      </c>
    </row>
    <row r="1769" spans="1:11">
      <c r="A1769" t="s">
        <v>3747</v>
      </c>
      <c r="B1769" t="s">
        <v>17</v>
      </c>
      <c r="C1769" t="s">
        <v>9174</v>
      </c>
      <c r="D1769" t="s">
        <v>9223</v>
      </c>
      <c r="E1769">
        <v>50433.01</v>
      </c>
      <c r="G1769" s="35"/>
      <c r="H1769" s="36">
        <f t="shared" si="81"/>
        <v>31772.796300000002</v>
      </c>
      <c r="I1769" s="37">
        <f t="shared" si="82"/>
        <v>31772.796300000002</v>
      </c>
      <c r="J1769" s="4"/>
      <c r="K1769" s="38">
        <f t="shared" si="83"/>
        <v>0</v>
      </c>
    </row>
    <row r="1770" spans="1:11">
      <c r="A1770" t="s">
        <v>3748</v>
      </c>
      <c r="B1770" t="s">
        <v>17</v>
      </c>
      <c r="C1770" t="s">
        <v>9174</v>
      </c>
      <c r="D1770" t="s">
        <v>9224</v>
      </c>
      <c r="E1770">
        <v>53260.6</v>
      </c>
      <c r="G1770" s="35"/>
      <c r="H1770" s="36">
        <f t="shared" si="81"/>
        <v>33554.178</v>
      </c>
      <c r="I1770" s="37">
        <f t="shared" si="82"/>
        <v>33554.178</v>
      </c>
      <c r="J1770" s="4"/>
      <c r="K1770" s="38">
        <f t="shared" si="83"/>
        <v>0</v>
      </c>
    </row>
    <row r="1771" spans="1:11">
      <c r="A1771" t="s">
        <v>3749</v>
      </c>
      <c r="B1771" t="s">
        <v>17</v>
      </c>
      <c r="C1771" t="s">
        <v>9174</v>
      </c>
      <c r="D1771" t="s">
        <v>9225</v>
      </c>
      <c r="E1771">
        <v>86645.55</v>
      </c>
      <c r="G1771" s="35"/>
      <c r="H1771" s="36">
        <f t="shared" si="81"/>
        <v>54586.696500000005</v>
      </c>
      <c r="I1771" s="37">
        <f t="shared" si="82"/>
        <v>54586.696500000005</v>
      </c>
      <c r="J1771" s="4"/>
      <c r="K1771" s="38">
        <f t="shared" si="83"/>
        <v>0</v>
      </c>
    </row>
    <row r="1772" spans="1:11">
      <c r="A1772" t="s">
        <v>2385</v>
      </c>
      <c r="B1772" t="s">
        <v>10177</v>
      </c>
      <c r="C1772" t="s">
        <v>7912</v>
      </c>
      <c r="D1772" t="s">
        <v>7913</v>
      </c>
      <c r="E1772">
        <v>5877.12</v>
      </c>
      <c r="G1772" s="35"/>
      <c r="H1772" s="36">
        <f t="shared" si="81"/>
        <v>3702.5855999999999</v>
      </c>
      <c r="I1772" s="37">
        <f t="shared" si="82"/>
        <v>3702.5855999999999</v>
      </c>
      <c r="J1772" s="4"/>
      <c r="K1772" s="38">
        <f t="shared" si="83"/>
        <v>0</v>
      </c>
    </row>
    <row r="1773" spans="1:11">
      <c r="A1773" t="s">
        <v>2386</v>
      </c>
      <c r="B1773" t="s">
        <v>10177</v>
      </c>
      <c r="C1773" t="s">
        <v>7912</v>
      </c>
      <c r="D1773" t="s">
        <v>7914</v>
      </c>
      <c r="E1773">
        <v>527.24</v>
      </c>
      <c r="G1773" s="35"/>
      <c r="H1773" s="36">
        <f t="shared" si="81"/>
        <v>332.16120000000001</v>
      </c>
      <c r="I1773" s="37">
        <f t="shared" si="82"/>
        <v>332.16120000000001</v>
      </c>
      <c r="J1773" s="4"/>
      <c r="K1773" s="38">
        <f t="shared" si="83"/>
        <v>0</v>
      </c>
    </row>
    <row r="1774" spans="1:11">
      <c r="A1774" t="s">
        <v>10114</v>
      </c>
      <c r="B1774" t="s">
        <v>10177</v>
      </c>
      <c r="C1774" t="s">
        <v>8121</v>
      </c>
      <c r="D1774" t="s">
        <v>10115</v>
      </c>
      <c r="E1774">
        <v>17525.28</v>
      </c>
      <c r="G1774" s="35"/>
      <c r="H1774" s="36">
        <f t="shared" si="81"/>
        <v>11040.926399999998</v>
      </c>
      <c r="I1774" s="37">
        <f t="shared" si="82"/>
        <v>11040.926399999998</v>
      </c>
      <c r="J1774" s="4"/>
      <c r="K1774" s="38">
        <f t="shared" si="83"/>
        <v>0</v>
      </c>
    </row>
    <row r="1775" spans="1:11">
      <c r="A1775" t="s">
        <v>10116</v>
      </c>
      <c r="B1775" t="s">
        <v>10177</v>
      </c>
      <c r="C1775" t="s">
        <v>8121</v>
      </c>
      <c r="D1775" t="s">
        <v>10117</v>
      </c>
      <c r="E1775">
        <v>66890.37</v>
      </c>
      <c r="G1775" s="35"/>
      <c r="H1775" s="36">
        <f t="shared" si="81"/>
        <v>42140.933099999995</v>
      </c>
      <c r="I1775" s="37">
        <f t="shared" si="82"/>
        <v>42140.933099999995</v>
      </c>
      <c r="J1775" s="4"/>
      <c r="K1775" s="38">
        <f t="shared" si="83"/>
        <v>0</v>
      </c>
    </row>
    <row r="1776" spans="1:11">
      <c r="A1776" t="s">
        <v>2590</v>
      </c>
      <c r="B1776" t="s">
        <v>10177</v>
      </c>
      <c r="C1776" t="s">
        <v>8121</v>
      </c>
      <c r="D1776" t="s">
        <v>8122</v>
      </c>
      <c r="E1776">
        <v>10579.54</v>
      </c>
      <c r="G1776" s="35"/>
      <c r="H1776" s="36">
        <f t="shared" si="81"/>
        <v>6665.110200000001</v>
      </c>
      <c r="I1776" s="37">
        <f t="shared" si="82"/>
        <v>6665.110200000001</v>
      </c>
      <c r="J1776" s="4"/>
      <c r="K1776" s="38">
        <f t="shared" si="83"/>
        <v>0</v>
      </c>
    </row>
    <row r="1777" spans="1:11">
      <c r="A1777" t="s">
        <v>2591</v>
      </c>
      <c r="B1777" t="s">
        <v>10177</v>
      </c>
      <c r="C1777" t="s">
        <v>8121</v>
      </c>
      <c r="D1777" t="s">
        <v>8123</v>
      </c>
      <c r="E1777">
        <v>36803.65</v>
      </c>
      <c r="G1777" s="35"/>
      <c r="H1777" s="36">
        <f t="shared" si="81"/>
        <v>23186.299500000001</v>
      </c>
      <c r="I1777" s="37">
        <f t="shared" si="82"/>
        <v>23186.299500000001</v>
      </c>
      <c r="J1777" s="4"/>
      <c r="K1777" s="38">
        <f t="shared" si="83"/>
        <v>0</v>
      </c>
    </row>
    <row r="1778" spans="1:11">
      <c r="A1778" t="s">
        <v>2592</v>
      </c>
      <c r="B1778" t="s">
        <v>10177</v>
      </c>
      <c r="C1778" t="s">
        <v>8121</v>
      </c>
      <c r="D1778" t="s">
        <v>8124</v>
      </c>
      <c r="E1778">
        <v>10705.23</v>
      </c>
      <c r="G1778" s="35"/>
      <c r="H1778" s="36">
        <f t="shared" si="81"/>
        <v>6744.2948999999999</v>
      </c>
      <c r="I1778" s="37">
        <f t="shared" si="82"/>
        <v>6744.2948999999999</v>
      </c>
      <c r="J1778" s="4"/>
      <c r="K1778" s="38">
        <f t="shared" si="83"/>
        <v>0</v>
      </c>
    </row>
    <row r="1779" spans="1:11">
      <c r="A1779" t="s">
        <v>2593</v>
      </c>
      <c r="B1779" t="s">
        <v>10177</v>
      </c>
      <c r="C1779" t="s">
        <v>8121</v>
      </c>
      <c r="D1779" t="s">
        <v>8125</v>
      </c>
      <c r="E1779">
        <v>41089.980000000003</v>
      </c>
      <c r="G1779" s="35"/>
      <c r="H1779" s="36">
        <f t="shared" si="81"/>
        <v>25886.687400000003</v>
      </c>
      <c r="I1779" s="37">
        <f t="shared" si="82"/>
        <v>25886.687400000003</v>
      </c>
      <c r="J1779" s="4"/>
      <c r="K1779" s="38">
        <f t="shared" si="83"/>
        <v>0</v>
      </c>
    </row>
    <row r="1780" spans="1:11">
      <c r="A1780" t="s">
        <v>4063</v>
      </c>
      <c r="B1780" t="s">
        <v>10177</v>
      </c>
      <c r="C1780" t="s">
        <v>9521</v>
      </c>
      <c r="D1780" t="s">
        <v>9522</v>
      </c>
      <c r="E1780">
        <v>7804.8</v>
      </c>
      <c r="G1780" s="35"/>
      <c r="H1780" s="36">
        <f t="shared" si="81"/>
        <v>4917.0240000000003</v>
      </c>
      <c r="I1780" s="37">
        <f t="shared" si="82"/>
        <v>4917.0240000000003</v>
      </c>
      <c r="J1780" s="4"/>
      <c r="K1780" s="38">
        <f t="shared" si="83"/>
        <v>0</v>
      </c>
    </row>
    <row r="1781" spans="1:11">
      <c r="A1781" t="s">
        <v>2409</v>
      </c>
      <c r="B1781" t="s">
        <v>10177</v>
      </c>
      <c r="C1781" t="s">
        <v>7927</v>
      </c>
      <c r="D1781" t="s">
        <v>7928</v>
      </c>
      <c r="E1781">
        <v>7814.58</v>
      </c>
      <c r="G1781" s="35"/>
      <c r="H1781" s="36">
        <f t="shared" si="81"/>
        <v>4923.1854000000003</v>
      </c>
      <c r="I1781" s="37">
        <f t="shared" si="82"/>
        <v>4923.1854000000003</v>
      </c>
      <c r="J1781" s="4"/>
      <c r="K1781" s="38">
        <f t="shared" si="83"/>
        <v>0</v>
      </c>
    </row>
    <row r="1782" spans="1:11">
      <c r="A1782" t="s">
        <v>2410</v>
      </c>
      <c r="B1782" t="s">
        <v>10177</v>
      </c>
      <c r="C1782" t="s">
        <v>7927</v>
      </c>
      <c r="D1782" t="s">
        <v>7929</v>
      </c>
      <c r="E1782">
        <v>7814.58</v>
      </c>
      <c r="G1782" s="35"/>
      <c r="H1782" s="36">
        <f t="shared" si="81"/>
        <v>4923.1854000000003</v>
      </c>
      <c r="I1782" s="37">
        <f t="shared" si="82"/>
        <v>4923.1854000000003</v>
      </c>
      <c r="J1782" s="4"/>
      <c r="K1782" s="38">
        <f t="shared" si="83"/>
        <v>0</v>
      </c>
    </row>
    <row r="1783" spans="1:11">
      <c r="A1783" t="s">
        <v>2411</v>
      </c>
      <c r="B1783" t="s">
        <v>10177</v>
      </c>
      <c r="C1783" t="s">
        <v>7927</v>
      </c>
      <c r="D1783" t="s">
        <v>7930</v>
      </c>
      <c r="E1783">
        <v>2397.6</v>
      </c>
      <c r="G1783" s="35"/>
      <c r="H1783" s="36">
        <f t="shared" si="81"/>
        <v>1510.4880000000001</v>
      </c>
      <c r="I1783" s="37">
        <f t="shared" si="82"/>
        <v>1510.4880000000001</v>
      </c>
      <c r="J1783" s="4"/>
      <c r="K1783" s="38">
        <f t="shared" si="83"/>
        <v>0</v>
      </c>
    </row>
    <row r="1784" spans="1:11">
      <c r="A1784" t="s">
        <v>2412</v>
      </c>
      <c r="B1784" t="s">
        <v>10177</v>
      </c>
      <c r="C1784" t="s">
        <v>7927</v>
      </c>
      <c r="D1784" t="s">
        <v>7931</v>
      </c>
      <c r="E1784">
        <v>2908.2</v>
      </c>
      <c r="G1784" s="35"/>
      <c r="H1784" s="36">
        <f t="shared" si="81"/>
        <v>1832.1659999999999</v>
      </c>
      <c r="I1784" s="37">
        <f t="shared" si="82"/>
        <v>1832.1659999999999</v>
      </c>
      <c r="J1784" s="4"/>
      <c r="K1784" s="38">
        <f t="shared" si="83"/>
        <v>0</v>
      </c>
    </row>
    <row r="1785" spans="1:11">
      <c r="A1785" t="s">
        <v>4040</v>
      </c>
      <c r="B1785" t="s">
        <v>10177</v>
      </c>
      <c r="C1785" t="s">
        <v>9505</v>
      </c>
      <c r="D1785" t="s">
        <v>9506</v>
      </c>
      <c r="E1785">
        <v>12243.74</v>
      </c>
      <c r="G1785" s="35"/>
      <c r="H1785" s="36">
        <f t="shared" si="81"/>
        <v>7713.5562</v>
      </c>
      <c r="I1785" s="37">
        <f t="shared" si="82"/>
        <v>7713.5562</v>
      </c>
      <c r="J1785" s="4"/>
      <c r="K1785" s="38">
        <f t="shared" si="83"/>
        <v>0</v>
      </c>
    </row>
    <row r="1786" spans="1:11">
      <c r="A1786" t="s">
        <v>4041</v>
      </c>
      <c r="B1786" t="s">
        <v>10177</v>
      </c>
      <c r="C1786" t="s">
        <v>9505</v>
      </c>
      <c r="D1786" t="s">
        <v>9507</v>
      </c>
      <c r="E1786">
        <v>12243.74</v>
      </c>
      <c r="G1786" s="35"/>
      <c r="H1786" s="36">
        <f t="shared" si="81"/>
        <v>7713.5562</v>
      </c>
      <c r="I1786" s="37">
        <f t="shared" si="82"/>
        <v>7713.5562</v>
      </c>
      <c r="J1786" s="4"/>
      <c r="K1786" s="38">
        <f t="shared" si="83"/>
        <v>0</v>
      </c>
    </row>
    <row r="1787" spans="1:11">
      <c r="A1787" t="s">
        <v>4042</v>
      </c>
      <c r="B1787" t="s">
        <v>10177</v>
      </c>
      <c r="C1787" t="s">
        <v>9505</v>
      </c>
      <c r="D1787" t="s">
        <v>9508</v>
      </c>
      <c r="E1787">
        <v>3529.8</v>
      </c>
      <c r="G1787" s="35"/>
      <c r="H1787" s="36">
        <f t="shared" si="81"/>
        <v>2223.7740000000003</v>
      </c>
      <c r="I1787" s="37">
        <f t="shared" si="82"/>
        <v>2223.7740000000003</v>
      </c>
      <c r="J1787" s="4"/>
      <c r="K1787" s="38">
        <f t="shared" si="83"/>
        <v>0</v>
      </c>
    </row>
    <row r="1788" spans="1:11">
      <c r="A1788" t="s">
        <v>4043</v>
      </c>
      <c r="B1788" t="s">
        <v>10177</v>
      </c>
      <c r="C1788" t="s">
        <v>9505</v>
      </c>
      <c r="D1788" t="s">
        <v>9509</v>
      </c>
      <c r="E1788">
        <v>4551</v>
      </c>
      <c r="G1788" s="35"/>
      <c r="H1788" s="36">
        <f t="shared" si="81"/>
        <v>2867.13</v>
      </c>
      <c r="I1788" s="37">
        <f t="shared" si="82"/>
        <v>2867.13</v>
      </c>
      <c r="J1788" s="4"/>
      <c r="K1788" s="38">
        <f t="shared" si="83"/>
        <v>0</v>
      </c>
    </row>
    <row r="1789" spans="1:11">
      <c r="A1789" t="s">
        <v>327</v>
      </c>
      <c r="B1789" t="s">
        <v>10177</v>
      </c>
      <c r="C1789" t="s">
        <v>5901</v>
      </c>
      <c r="D1789" t="s">
        <v>5902</v>
      </c>
      <c r="E1789">
        <v>4942.76</v>
      </c>
      <c r="G1789" s="35"/>
      <c r="H1789" s="36">
        <f t="shared" si="81"/>
        <v>3113.9388000000004</v>
      </c>
      <c r="I1789" s="37">
        <f t="shared" si="82"/>
        <v>3113.9388000000004</v>
      </c>
      <c r="J1789" s="4"/>
      <c r="K1789" s="38">
        <f t="shared" si="83"/>
        <v>0</v>
      </c>
    </row>
    <row r="1790" spans="1:11">
      <c r="A1790" t="s">
        <v>4050</v>
      </c>
      <c r="B1790" t="s">
        <v>10177</v>
      </c>
      <c r="C1790" t="s">
        <v>9515</v>
      </c>
      <c r="D1790" t="s">
        <v>9518</v>
      </c>
      <c r="E1790">
        <v>6819.36</v>
      </c>
      <c r="G1790" s="35"/>
      <c r="H1790" s="36">
        <f t="shared" si="81"/>
        <v>4296.1967999999997</v>
      </c>
      <c r="I1790" s="37">
        <f t="shared" si="82"/>
        <v>4296.1967999999997</v>
      </c>
      <c r="J1790" s="4"/>
      <c r="K1790" s="38">
        <f t="shared" si="83"/>
        <v>0</v>
      </c>
    </row>
    <row r="1791" spans="1:11">
      <c r="A1791" t="s">
        <v>4048</v>
      </c>
      <c r="B1791" t="s">
        <v>10177</v>
      </c>
      <c r="C1791" t="s">
        <v>9515</v>
      </c>
      <c r="D1791" t="s">
        <v>9516</v>
      </c>
      <c r="E1791">
        <v>6695.22</v>
      </c>
      <c r="G1791" s="35"/>
      <c r="H1791" s="36">
        <f t="shared" si="81"/>
        <v>4217.9886000000006</v>
      </c>
      <c r="I1791" s="37">
        <f t="shared" si="82"/>
        <v>4217.9886000000006</v>
      </c>
      <c r="J1791" s="4"/>
      <c r="K1791" s="38">
        <f t="shared" si="83"/>
        <v>0</v>
      </c>
    </row>
    <row r="1792" spans="1:11">
      <c r="A1792" t="s">
        <v>4049</v>
      </c>
      <c r="B1792" t="s">
        <v>10177</v>
      </c>
      <c r="C1792" t="s">
        <v>9515</v>
      </c>
      <c r="D1792" t="s">
        <v>9517</v>
      </c>
      <c r="E1792">
        <v>14947.98</v>
      </c>
      <c r="G1792" s="35"/>
      <c r="H1792" s="36">
        <f t="shared" si="81"/>
        <v>9417.2273999999998</v>
      </c>
      <c r="I1792" s="37">
        <f t="shared" si="82"/>
        <v>9417.2273999999998</v>
      </c>
      <c r="J1792" s="4"/>
      <c r="K1792" s="38">
        <f t="shared" si="83"/>
        <v>0</v>
      </c>
    </row>
    <row r="1793" spans="1:11">
      <c r="A1793" t="s">
        <v>3769</v>
      </c>
      <c r="B1793" t="s">
        <v>10177</v>
      </c>
      <c r="C1793" t="s">
        <v>9248</v>
      </c>
      <c r="D1793" t="s">
        <v>9249</v>
      </c>
      <c r="E1793">
        <v>2547.85</v>
      </c>
      <c r="G1793" s="35"/>
      <c r="H1793" s="36">
        <f t="shared" si="81"/>
        <v>1605.1454999999999</v>
      </c>
      <c r="I1793" s="37">
        <f t="shared" si="82"/>
        <v>1605.1454999999999</v>
      </c>
      <c r="J1793" s="4"/>
      <c r="K1793" s="38">
        <f t="shared" si="83"/>
        <v>0</v>
      </c>
    </row>
    <row r="1794" spans="1:11">
      <c r="A1794" t="s">
        <v>2024</v>
      </c>
      <c r="B1794" t="s">
        <v>10177</v>
      </c>
      <c r="C1794" t="s">
        <v>7608</v>
      </c>
      <c r="D1794" t="s">
        <v>7609</v>
      </c>
      <c r="E1794">
        <v>91792.31</v>
      </c>
      <c r="G1794" s="35"/>
      <c r="H1794" s="36">
        <f t="shared" si="81"/>
        <v>57829.155299999999</v>
      </c>
      <c r="I1794" s="37">
        <f t="shared" si="82"/>
        <v>57829.155299999999</v>
      </c>
      <c r="J1794" s="4"/>
      <c r="K1794" s="38">
        <f t="shared" si="83"/>
        <v>0</v>
      </c>
    </row>
    <row r="1795" spans="1:11">
      <c r="A1795" t="s">
        <v>2025</v>
      </c>
      <c r="B1795" t="s">
        <v>10177</v>
      </c>
      <c r="C1795" t="s">
        <v>7608</v>
      </c>
      <c r="D1795" t="s">
        <v>7610</v>
      </c>
      <c r="E1795">
        <v>128639.35</v>
      </c>
      <c r="G1795" s="35"/>
      <c r="H1795" s="36">
        <f t="shared" si="81"/>
        <v>81042.790500000003</v>
      </c>
      <c r="I1795" s="37">
        <f t="shared" si="82"/>
        <v>81042.790500000003</v>
      </c>
      <c r="J1795" s="4"/>
      <c r="K1795" s="38">
        <f t="shared" si="83"/>
        <v>0</v>
      </c>
    </row>
    <row r="1796" spans="1:11">
      <c r="A1796" t="s">
        <v>2026</v>
      </c>
      <c r="B1796" t="s">
        <v>10177</v>
      </c>
      <c r="C1796" t="s">
        <v>7608</v>
      </c>
      <c r="D1796" t="s">
        <v>7611</v>
      </c>
      <c r="E1796">
        <v>60261.69</v>
      </c>
      <c r="G1796" s="35"/>
      <c r="H1796" s="36">
        <f t="shared" si="81"/>
        <v>37964.864699999998</v>
      </c>
      <c r="I1796" s="37">
        <f t="shared" si="82"/>
        <v>37964.864699999998</v>
      </c>
      <c r="J1796" s="4"/>
      <c r="K1796" s="38">
        <f t="shared" si="83"/>
        <v>0</v>
      </c>
    </row>
    <row r="1797" spans="1:11">
      <c r="A1797" t="s">
        <v>2027</v>
      </c>
      <c r="B1797" t="s">
        <v>10177</v>
      </c>
      <c r="C1797" t="s">
        <v>7608</v>
      </c>
      <c r="D1797" t="s">
        <v>7612</v>
      </c>
      <c r="E1797">
        <v>19649.07</v>
      </c>
      <c r="G1797" s="35"/>
      <c r="H1797" s="36">
        <f t="shared" si="81"/>
        <v>12378.9141</v>
      </c>
      <c r="I1797" s="37">
        <f t="shared" si="82"/>
        <v>12378.9141</v>
      </c>
      <c r="J1797" s="4"/>
      <c r="K1797" s="38">
        <f t="shared" si="83"/>
        <v>0</v>
      </c>
    </row>
    <row r="1798" spans="1:11">
      <c r="A1798" t="s">
        <v>2028</v>
      </c>
      <c r="B1798" t="s">
        <v>10177</v>
      </c>
      <c r="C1798" t="s">
        <v>7608</v>
      </c>
      <c r="D1798" t="s">
        <v>7613</v>
      </c>
      <c r="E1798">
        <v>24512.14</v>
      </c>
      <c r="G1798" s="35"/>
      <c r="H1798" s="36">
        <f t="shared" si="81"/>
        <v>15442.6482</v>
      </c>
      <c r="I1798" s="37">
        <f t="shared" si="82"/>
        <v>15442.6482</v>
      </c>
      <c r="J1798" s="4"/>
      <c r="K1798" s="38">
        <f t="shared" si="83"/>
        <v>0</v>
      </c>
    </row>
    <row r="1799" spans="1:11">
      <c r="A1799" t="s">
        <v>333</v>
      </c>
      <c r="B1799" t="s">
        <v>10177</v>
      </c>
      <c r="C1799" t="s">
        <v>5993</v>
      </c>
      <c r="D1799" t="s">
        <v>5994</v>
      </c>
      <c r="E1799">
        <v>8836.2999999999993</v>
      </c>
      <c r="G1799" s="35"/>
      <c r="H1799" s="36">
        <f t="shared" ref="H1799:H1862" si="84">+E1799*$H$1*(1-G1799)</f>
        <v>5566.8689999999997</v>
      </c>
      <c r="I1799" s="37">
        <f t="shared" ref="I1799:I1862" si="85">H1799*$H$4</f>
        <v>5566.8689999999997</v>
      </c>
      <c r="J1799" s="4"/>
      <c r="K1799" s="38">
        <f t="shared" ref="K1799:K1862" si="86">J1799*I1799</f>
        <v>0</v>
      </c>
    </row>
    <row r="1800" spans="1:11">
      <c r="A1800" t="s">
        <v>334</v>
      </c>
      <c r="B1800" t="s">
        <v>10177</v>
      </c>
      <c r="C1800" t="s">
        <v>5993</v>
      </c>
      <c r="D1800" t="s">
        <v>5995</v>
      </c>
      <c r="E1800">
        <v>34829.910000000003</v>
      </c>
      <c r="G1800" s="35"/>
      <c r="H1800" s="36">
        <f t="shared" si="84"/>
        <v>21942.843300000004</v>
      </c>
      <c r="I1800" s="37">
        <f t="shared" si="85"/>
        <v>21942.843300000004</v>
      </c>
      <c r="J1800" s="4"/>
      <c r="K1800" s="38">
        <f t="shared" si="86"/>
        <v>0</v>
      </c>
    </row>
    <row r="1801" spans="1:11">
      <c r="A1801" t="s">
        <v>4067</v>
      </c>
      <c r="B1801" t="s">
        <v>10177</v>
      </c>
      <c r="C1801" t="s">
        <v>9524</v>
      </c>
      <c r="D1801" t="s">
        <v>9525</v>
      </c>
      <c r="E1801">
        <v>5895.32</v>
      </c>
      <c r="G1801" s="35"/>
      <c r="H1801" s="36">
        <f t="shared" si="84"/>
        <v>3714.0515999999998</v>
      </c>
      <c r="I1801" s="37">
        <f t="shared" si="85"/>
        <v>3714.0515999999998</v>
      </c>
      <c r="J1801" s="4"/>
      <c r="K1801" s="38">
        <f t="shared" si="86"/>
        <v>0</v>
      </c>
    </row>
    <row r="1802" spans="1:11">
      <c r="A1802" t="s">
        <v>4068</v>
      </c>
      <c r="B1802" t="s">
        <v>10177</v>
      </c>
      <c r="C1802" t="s">
        <v>9526</v>
      </c>
      <c r="D1802" t="s">
        <v>6880</v>
      </c>
      <c r="E1802">
        <v>7140.29</v>
      </c>
      <c r="G1802" s="35"/>
      <c r="H1802" s="36">
        <f t="shared" si="84"/>
        <v>4498.3827000000001</v>
      </c>
      <c r="I1802" s="37">
        <f t="shared" si="85"/>
        <v>4498.3827000000001</v>
      </c>
      <c r="J1802" s="4"/>
      <c r="K1802" s="38">
        <f t="shared" si="86"/>
        <v>0</v>
      </c>
    </row>
    <row r="1803" spans="1:11">
      <c r="A1803" t="s">
        <v>555</v>
      </c>
      <c r="B1803" t="s">
        <v>10177</v>
      </c>
      <c r="C1803" t="s">
        <v>6215</v>
      </c>
      <c r="D1803" t="s">
        <v>6216</v>
      </c>
      <c r="E1803">
        <v>3188.53</v>
      </c>
      <c r="G1803" s="35"/>
      <c r="H1803" s="36">
        <f t="shared" si="84"/>
        <v>2008.7739000000001</v>
      </c>
      <c r="I1803" s="37">
        <f t="shared" si="85"/>
        <v>2008.7739000000001</v>
      </c>
      <c r="J1803" s="4"/>
      <c r="K1803" s="38">
        <f t="shared" si="86"/>
        <v>0</v>
      </c>
    </row>
    <row r="1804" spans="1:11">
      <c r="A1804" t="s">
        <v>556</v>
      </c>
      <c r="B1804" t="s">
        <v>10177</v>
      </c>
      <c r="C1804" t="s">
        <v>6215</v>
      </c>
      <c r="D1804" t="s">
        <v>6217</v>
      </c>
      <c r="E1804">
        <v>627.91999999999996</v>
      </c>
      <c r="G1804" s="35"/>
      <c r="H1804" s="36">
        <f t="shared" si="84"/>
        <v>395.58959999999996</v>
      </c>
      <c r="I1804" s="37">
        <f t="shared" si="85"/>
        <v>395.58959999999996</v>
      </c>
      <c r="J1804" s="4"/>
      <c r="K1804" s="38">
        <f t="shared" si="86"/>
        <v>0</v>
      </c>
    </row>
    <row r="1805" spans="1:11">
      <c r="A1805" t="s">
        <v>557</v>
      </c>
      <c r="B1805" t="s">
        <v>10177</v>
      </c>
      <c r="C1805" t="s">
        <v>6215</v>
      </c>
      <c r="D1805" t="s">
        <v>6218</v>
      </c>
      <c r="E1805">
        <v>882.23</v>
      </c>
      <c r="G1805" s="35"/>
      <c r="H1805" s="36">
        <f t="shared" si="84"/>
        <v>555.80489999999998</v>
      </c>
      <c r="I1805" s="37">
        <f t="shared" si="85"/>
        <v>555.80489999999998</v>
      </c>
      <c r="J1805" s="4"/>
      <c r="K1805" s="38">
        <f t="shared" si="86"/>
        <v>0</v>
      </c>
    </row>
    <row r="1806" spans="1:11">
      <c r="A1806" t="s">
        <v>558</v>
      </c>
      <c r="B1806" t="s">
        <v>10177</v>
      </c>
      <c r="C1806" t="s">
        <v>6215</v>
      </c>
      <c r="D1806" t="s">
        <v>6219</v>
      </c>
      <c r="E1806">
        <v>17843.84</v>
      </c>
      <c r="G1806" s="35"/>
      <c r="H1806" s="36">
        <f t="shared" si="84"/>
        <v>11241.619200000001</v>
      </c>
      <c r="I1806" s="37">
        <f t="shared" si="85"/>
        <v>11241.619200000001</v>
      </c>
      <c r="J1806" s="4"/>
      <c r="K1806" s="38">
        <f t="shared" si="86"/>
        <v>0</v>
      </c>
    </row>
    <row r="1807" spans="1:11">
      <c r="A1807" t="s">
        <v>559</v>
      </c>
      <c r="B1807" t="s">
        <v>10177</v>
      </c>
      <c r="C1807" t="s">
        <v>6215</v>
      </c>
      <c r="D1807" t="s">
        <v>6220</v>
      </c>
      <c r="E1807">
        <v>1482.08</v>
      </c>
      <c r="G1807" s="35"/>
      <c r="H1807" s="36">
        <f t="shared" si="84"/>
        <v>933.71039999999994</v>
      </c>
      <c r="I1807" s="37">
        <f t="shared" si="85"/>
        <v>933.71039999999994</v>
      </c>
      <c r="J1807" s="4"/>
      <c r="K1807" s="38">
        <f t="shared" si="86"/>
        <v>0</v>
      </c>
    </row>
    <row r="1808" spans="1:11">
      <c r="A1808" t="s">
        <v>560</v>
      </c>
      <c r="B1808" t="s">
        <v>10177</v>
      </c>
      <c r="C1808" t="s">
        <v>6215</v>
      </c>
      <c r="D1808" t="s">
        <v>6221</v>
      </c>
      <c r="E1808">
        <v>3821.46</v>
      </c>
      <c r="G1808" s="35"/>
      <c r="H1808" s="36">
        <f t="shared" si="84"/>
        <v>2407.5198</v>
      </c>
      <c r="I1808" s="37">
        <f t="shared" si="85"/>
        <v>2407.5198</v>
      </c>
      <c r="J1808" s="4"/>
      <c r="K1808" s="38">
        <f t="shared" si="86"/>
        <v>0</v>
      </c>
    </row>
    <row r="1809" spans="1:11">
      <c r="A1809" t="s">
        <v>561</v>
      </c>
      <c r="B1809" t="s">
        <v>10177</v>
      </c>
      <c r="C1809" t="s">
        <v>6215</v>
      </c>
      <c r="D1809" t="s">
        <v>6222</v>
      </c>
      <c r="E1809">
        <v>807.12</v>
      </c>
      <c r="G1809" s="35"/>
      <c r="H1809" s="36">
        <f t="shared" si="84"/>
        <v>508.48560000000003</v>
      </c>
      <c r="I1809" s="37">
        <f t="shared" si="85"/>
        <v>508.48560000000003</v>
      </c>
      <c r="J1809" s="4"/>
      <c r="K1809" s="38">
        <f t="shared" si="86"/>
        <v>0</v>
      </c>
    </row>
    <row r="1810" spans="1:11">
      <c r="A1810" t="s">
        <v>562</v>
      </c>
      <c r="B1810" t="s">
        <v>10177</v>
      </c>
      <c r="C1810" t="s">
        <v>6215</v>
      </c>
      <c r="D1810" t="s">
        <v>6223</v>
      </c>
      <c r="E1810">
        <v>1091.05</v>
      </c>
      <c r="G1810" s="35"/>
      <c r="H1810" s="36">
        <f t="shared" si="84"/>
        <v>687.36149999999998</v>
      </c>
      <c r="I1810" s="37">
        <f t="shared" si="85"/>
        <v>687.36149999999998</v>
      </c>
      <c r="J1810" s="4"/>
      <c r="K1810" s="38">
        <f t="shared" si="86"/>
        <v>0</v>
      </c>
    </row>
    <row r="1811" spans="1:11">
      <c r="A1811" t="s">
        <v>563</v>
      </c>
      <c r="B1811" t="s">
        <v>10177</v>
      </c>
      <c r="C1811" t="s">
        <v>6215</v>
      </c>
      <c r="D1811" t="s">
        <v>6224</v>
      </c>
      <c r="E1811">
        <v>1748.08</v>
      </c>
      <c r="G1811" s="35"/>
      <c r="H1811" s="36">
        <f t="shared" si="84"/>
        <v>1101.2903999999999</v>
      </c>
      <c r="I1811" s="37">
        <f t="shared" si="85"/>
        <v>1101.2903999999999</v>
      </c>
      <c r="J1811" s="4"/>
      <c r="K1811" s="38">
        <f t="shared" si="86"/>
        <v>0</v>
      </c>
    </row>
    <row r="1812" spans="1:11">
      <c r="A1812" t="s">
        <v>564</v>
      </c>
      <c r="B1812" t="s">
        <v>10177</v>
      </c>
      <c r="C1812" t="s">
        <v>6225</v>
      </c>
      <c r="D1812" t="s">
        <v>6216</v>
      </c>
      <c r="E1812">
        <v>3463.7</v>
      </c>
      <c r="G1812" s="35"/>
      <c r="H1812" s="36">
        <f t="shared" si="84"/>
        <v>2182.1309999999999</v>
      </c>
      <c r="I1812" s="37">
        <f t="shared" si="85"/>
        <v>2182.1309999999999</v>
      </c>
      <c r="J1812" s="4"/>
      <c r="K1812" s="38">
        <f t="shared" si="86"/>
        <v>0</v>
      </c>
    </row>
    <row r="1813" spans="1:11">
      <c r="A1813" t="s">
        <v>565</v>
      </c>
      <c r="B1813" t="s">
        <v>10177</v>
      </c>
      <c r="C1813" t="s">
        <v>6225</v>
      </c>
      <c r="D1813" t="s">
        <v>6217</v>
      </c>
      <c r="E1813">
        <v>677.39</v>
      </c>
      <c r="G1813" s="35"/>
      <c r="H1813" s="36">
        <f t="shared" si="84"/>
        <v>426.75569999999999</v>
      </c>
      <c r="I1813" s="37">
        <f t="shared" si="85"/>
        <v>426.75569999999999</v>
      </c>
      <c r="J1813" s="4"/>
      <c r="K1813" s="38">
        <f t="shared" si="86"/>
        <v>0</v>
      </c>
    </row>
    <row r="1814" spans="1:11">
      <c r="A1814" t="s">
        <v>566</v>
      </c>
      <c r="B1814" t="s">
        <v>10177</v>
      </c>
      <c r="C1814" t="s">
        <v>6225</v>
      </c>
      <c r="D1814" t="s">
        <v>6218</v>
      </c>
      <c r="E1814">
        <v>882.23</v>
      </c>
      <c r="G1814" s="35"/>
      <c r="H1814" s="36">
        <f t="shared" si="84"/>
        <v>555.80489999999998</v>
      </c>
      <c r="I1814" s="37">
        <f t="shared" si="85"/>
        <v>555.80489999999998</v>
      </c>
      <c r="J1814" s="4"/>
      <c r="K1814" s="38">
        <f t="shared" si="86"/>
        <v>0</v>
      </c>
    </row>
    <row r="1815" spans="1:11">
      <c r="A1815" t="s">
        <v>567</v>
      </c>
      <c r="B1815" t="s">
        <v>10177</v>
      </c>
      <c r="C1815" t="s">
        <v>6225</v>
      </c>
      <c r="D1815" t="s">
        <v>6220</v>
      </c>
      <c r="E1815">
        <v>1565.02</v>
      </c>
      <c r="G1815" s="35"/>
      <c r="H1815" s="36">
        <f t="shared" si="84"/>
        <v>985.96259999999995</v>
      </c>
      <c r="I1815" s="37">
        <f t="shared" si="85"/>
        <v>985.96259999999995</v>
      </c>
      <c r="J1815" s="4"/>
      <c r="K1815" s="38">
        <f t="shared" si="86"/>
        <v>0</v>
      </c>
    </row>
    <row r="1816" spans="1:11">
      <c r="A1816" t="s">
        <v>568</v>
      </c>
      <c r="B1816" t="s">
        <v>10177</v>
      </c>
      <c r="C1816" t="s">
        <v>6225</v>
      </c>
      <c r="D1816" t="s">
        <v>6222</v>
      </c>
      <c r="E1816">
        <v>893.67</v>
      </c>
      <c r="G1816" s="35"/>
      <c r="H1816" s="36">
        <f t="shared" si="84"/>
        <v>563.01210000000003</v>
      </c>
      <c r="I1816" s="37">
        <f t="shared" si="85"/>
        <v>563.01210000000003</v>
      </c>
      <c r="J1816" s="4"/>
      <c r="K1816" s="38">
        <f t="shared" si="86"/>
        <v>0</v>
      </c>
    </row>
    <row r="1817" spans="1:11">
      <c r="A1817" t="s">
        <v>569</v>
      </c>
      <c r="B1817" t="s">
        <v>10177</v>
      </c>
      <c r="C1817" t="s">
        <v>6225</v>
      </c>
      <c r="D1817" t="s">
        <v>6223</v>
      </c>
      <c r="E1817">
        <v>1174.54</v>
      </c>
      <c r="G1817" s="35"/>
      <c r="H1817" s="36">
        <f t="shared" si="84"/>
        <v>739.96019999999999</v>
      </c>
      <c r="I1817" s="37">
        <f t="shared" si="85"/>
        <v>739.96019999999999</v>
      </c>
      <c r="J1817" s="4"/>
      <c r="K1817" s="38">
        <f t="shared" si="86"/>
        <v>0</v>
      </c>
    </row>
    <row r="1818" spans="1:11">
      <c r="A1818" t="s">
        <v>570</v>
      </c>
      <c r="B1818" t="s">
        <v>10177</v>
      </c>
      <c r="C1818" t="s">
        <v>6225</v>
      </c>
      <c r="D1818" t="s">
        <v>6224</v>
      </c>
      <c r="E1818">
        <v>1831.01</v>
      </c>
      <c r="G1818" s="35"/>
      <c r="H1818" s="36">
        <f t="shared" si="84"/>
        <v>1153.5363</v>
      </c>
      <c r="I1818" s="37">
        <f t="shared" si="85"/>
        <v>1153.5363</v>
      </c>
      <c r="J1818" s="4"/>
      <c r="K1818" s="38">
        <f t="shared" si="86"/>
        <v>0</v>
      </c>
    </row>
    <row r="1819" spans="1:11">
      <c r="A1819" t="s">
        <v>571</v>
      </c>
      <c r="B1819" t="s">
        <v>10177</v>
      </c>
      <c r="C1819" t="s">
        <v>6225</v>
      </c>
      <c r="D1819" t="s">
        <v>6226</v>
      </c>
      <c r="E1819">
        <v>1013.39</v>
      </c>
      <c r="G1819" s="35"/>
      <c r="H1819" s="36">
        <f t="shared" si="84"/>
        <v>638.4357</v>
      </c>
      <c r="I1819" s="37">
        <f t="shared" si="85"/>
        <v>638.4357</v>
      </c>
      <c r="J1819" s="4"/>
      <c r="K1819" s="38">
        <f t="shared" si="86"/>
        <v>0</v>
      </c>
    </row>
    <row r="1820" spans="1:11">
      <c r="A1820" t="s">
        <v>572</v>
      </c>
      <c r="B1820" t="s">
        <v>10177</v>
      </c>
      <c r="C1820" t="s">
        <v>6225</v>
      </c>
      <c r="D1820" t="s">
        <v>6227</v>
      </c>
      <c r="E1820">
        <v>1390.33</v>
      </c>
      <c r="G1820" s="35"/>
      <c r="H1820" s="36">
        <f t="shared" si="84"/>
        <v>875.90789999999993</v>
      </c>
      <c r="I1820" s="37">
        <f t="shared" si="85"/>
        <v>875.90789999999993</v>
      </c>
      <c r="J1820" s="4"/>
      <c r="K1820" s="38">
        <f t="shared" si="86"/>
        <v>0</v>
      </c>
    </row>
    <row r="1821" spans="1:11">
      <c r="A1821" t="s">
        <v>573</v>
      </c>
      <c r="B1821" t="s">
        <v>10177</v>
      </c>
      <c r="C1821" t="s">
        <v>6225</v>
      </c>
      <c r="D1821" t="s">
        <v>6219</v>
      </c>
      <c r="E1821">
        <v>19271.330000000002</v>
      </c>
      <c r="G1821" s="35"/>
      <c r="H1821" s="36">
        <f t="shared" si="84"/>
        <v>12140.937900000001</v>
      </c>
      <c r="I1821" s="37">
        <f t="shared" si="85"/>
        <v>12140.937900000001</v>
      </c>
      <c r="J1821" s="4"/>
      <c r="K1821" s="38">
        <f t="shared" si="86"/>
        <v>0</v>
      </c>
    </row>
    <row r="1822" spans="1:11">
      <c r="A1822" t="s">
        <v>574</v>
      </c>
      <c r="B1822" t="s">
        <v>10177</v>
      </c>
      <c r="C1822" t="s">
        <v>6225</v>
      </c>
      <c r="D1822" t="s">
        <v>6221</v>
      </c>
      <c r="E1822">
        <v>4144.4799999999996</v>
      </c>
      <c r="G1822" s="35"/>
      <c r="H1822" s="36">
        <f t="shared" si="84"/>
        <v>2611.0223999999998</v>
      </c>
      <c r="I1822" s="37">
        <f t="shared" si="85"/>
        <v>2611.0223999999998</v>
      </c>
      <c r="J1822" s="4"/>
      <c r="K1822" s="38">
        <f t="shared" si="86"/>
        <v>0</v>
      </c>
    </row>
    <row r="1823" spans="1:11">
      <c r="A1823" t="s">
        <v>575</v>
      </c>
      <c r="B1823" t="s">
        <v>10177</v>
      </c>
      <c r="C1823" t="s">
        <v>6225</v>
      </c>
      <c r="D1823" t="s">
        <v>6228</v>
      </c>
      <c r="E1823">
        <v>4728.1899999999996</v>
      </c>
      <c r="G1823" s="35"/>
      <c r="H1823" s="36">
        <f t="shared" si="84"/>
        <v>2978.7596999999996</v>
      </c>
      <c r="I1823" s="37">
        <f t="shared" si="85"/>
        <v>2978.7596999999996</v>
      </c>
      <c r="J1823" s="4"/>
      <c r="K1823" s="38">
        <f t="shared" si="86"/>
        <v>0</v>
      </c>
    </row>
    <row r="1824" spans="1:11">
      <c r="A1824" t="s">
        <v>121</v>
      </c>
      <c r="B1824" t="s">
        <v>10177</v>
      </c>
      <c r="C1824" t="s">
        <v>5673</v>
      </c>
      <c r="D1824" t="s">
        <v>5674</v>
      </c>
      <c r="E1824">
        <v>6689.44</v>
      </c>
      <c r="G1824" s="35"/>
      <c r="H1824" s="36">
        <f t="shared" si="84"/>
        <v>4214.3472000000002</v>
      </c>
      <c r="I1824" s="37">
        <f t="shared" si="85"/>
        <v>4214.3472000000002</v>
      </c>
      <c r="J1824" s="4"/>
      <c r="K1824" s="38">
        <f t="shared" si="86"/>
        <v>0</v>
      </c>
    </row>
    <row r="1825" spans="1:11">
      <c r="A1825" t="s">
        <v>122</v>
      </c>
      <c r="B1825" t="s">
        <v>10177</v>
      </c>
      <c r="C1825" t="s">
        <v>5673</v>
      </c>
      <c r="D1825" t="s">
        <v>5675</v>
      </c>
      <c r="E1825">
        <v>6971.31</v>
      </c>
      <c r="G1825" s="35"/>
      <c r="H1825" s="36">
        <f t="shared" si="84"/>
        <v>4391.9252999999999</v>
      </c>
      <c r="I1825" s="37">
        <f t="shared" si="85"/>
        <v>4391.9252999999999</v>
      </c>
      <c r="J1825" s="4"/>
      <c r="K1825" s="38">
        <f t="shared" si="86"/>
        <v>0</v>
      </c>
    </row>
    <row r="1826" spans="1:11">
      <c r="A1826" t="s">
        <v>638</v>
      </c>
      <c r="B1826" t="s">
        <v>10177</v>
      </c>
      <c r="C1826" t="s">
        <v>6292</v>
      </c>
      <c r="D1826" t="s">
        <v>6293</v>
      </c>
      <c r="E1826">
        <v>3419.95</v>
      </c>
      <c r="G1826" s="35"/>
      <c r="H1826" s="36">
        <f t="shared" si="84"/>
        <v>2154.5684999999999</v>
      </c>
      <c r="I1826" s="37">
        <f t="shared" si="85"/>
        <v>2154.5684999999999</v>
      </c>
      <c r="J1826" s="4"/>
      <c r="K1826" s="38">
        <f t="shared" si="86"/>
        <v>0</v>
      </c>
    </row>
    <row r="1827" spans="1:11">
      <c r="A1827" t="s">
        <v>3999</v>
      </c>
      <c r="B1827" t="s">
        <v>10177</v>
      </c>
      <c r="C1827" t="s">
        <v>9464</v>
      </c>
      <c r="D1827" t="s">
        <v>9465</v>
      </c>
      <c r="E1827">
        <v>34418.35</v>
      </c>
      <c r="G1827" s="35"/>
      <c r="H1827" s="36">
        <f t="shared" si="84"/>
        <v>21683.5605</v>
      </c>
      <c r="I1827" s="37">
        <f t="shared" si="85"/>
        <v>21683.5605</v>
      </c>
      <c r="J1827" s="4"/>
      <c r="K1827" s="38">
        <f t="shared" si="86"/>
        <v>0</v>
      </c>
    </row>
    <row r="1828" spans="1:11">
      <c r="A1828" t="s">
        <v>4000</v>
      </c>
      <c r="B1828" t="s">
        <v>10177</v>
      </c>
      <c r="C1828" t="s">
        <v>9464</v>
      </c>
      <c r="D1828" t="s">
        <v>9466</v>
      </c>
      <c r="E1828">
        <v>26853.119999999999</v>
      </c>
      <c r="G1828" s="35"/>
      <c r="H1828" s="36">
        <f t="shared" si="84"/>
        <v>16917.4656</v>
      </c>
      <c r="I1828" s="37">
        <f t="shared" si="85"/>
        <v>16917.4656</v>
      </c>
      <c r="J1828" s="4"/>
      <c r="K1828" s="38">
        <f t="shared" si="86"/>
        <v>0</v>
      </c>
    </row>
    <row r="1829" spans="1:11">
      <c r="A1829" t="s">
        <v>800</v>
      </c>
      <c r="B1829" t="s">
        <v>10177</v>
      </c>
      <c r="C1829" t="s">
        <v>6454</v>
      </c>
      <c r="D1829" t="s">
        <v>6455</v>
      </c>
      <c r="E1829">
        <v>1814.76</v>
      </c>
      <c r="G1829" s="35"/>
      <c r="H1829" s="36">
        <f t="shared" si="84"/>
        <v>1143.2988</v>
      </c>
      <c r="I1829" s="37">
        <f t="shared" si="85"/>
        <v>1143.2988</v>
      </c>
      <c r="J1829" s="4"/>
      <c r="K1829" s="38">
        <f t="shared" si="86"/>
        <v>0</v>
      </c>
    </row>
    <row r="1830" spans="1:11">
      <c r="A1830" t="s">
        <v>801</v>
      </c>
      <c r="B1830" t="s">
        <v>10177</v>
      </c>
      <c r="C1830" t="s">
        <v>6454</v>
      </c>
      <c r="D1830" t="s">
        <v>6456</v>
      </c>
      <c r="E1830">
        <v>2525.27</v>
      </c>
      <c r="G1830" s="35"/>
      <c r="H1830" s="36">
        <f t="shared" si="84"/>
        <v>1590.9201</v>
      </c>
      <c r="I1830" s="37">
        <f t="shared" si="85"/>
        <v>1590.9201</v>
      </c>
      <c r="J1830" s="4"/>
      <c r="K1830" s="38">
        <f t="shared" si="86"/>
        <v>0</v>
      </c>
    </row>
    <row r="1831" spans="1:11">
      <c r="A1831" t="s">
        <v>802</v>
      </c>
      <c r="B1831" t="s">
        <v>10177</v>
      </c>
      <c r="C1831" t="s">
        <v>6454</v>
      </c>
      <c r="D1831" t="s">
        <v>6457</v>
      </c>
      <c r="E1831">
        <v>4012.55</v>
      </c>
      <c r="G1831" s="35"/>
      <c r="H1831" s="36">
        <f t="shared" si="84"/>
        <v>2527.9065000000001</v>
      </c>
      <c r="I1831" s="37">
        <f t="shared" si="85"/>
        <v>2527.9065000000001</v>
      </c>
      <c r="J1831" s="4"/>
      <c r="K1831" s="38">
        <f t="shared" si="86"/>
        <v>0</v>
      </c>
    </row>
    <row r="1832" spans="1:11">
      <c r="A1832" t="s">
        <v>803</v>
      </c>
      <c r="B1832" t="s">
        <v>10177</v>
      </c>
      <c r="C1832" t="s">
        <v>6454</v>
      </c>
      <c r="D1832" t="s">
        <v>6458</v>
      </c>
      <c r="E1832">
        <v>8093.68</v>
      </c>
      <c r="G1832" s="35"/>
      <c r="H1832" s="36">
        <f t="shared" si="84"/>
        <v>5099.0183999999999</v>
      </c>
      <c r="I1832" s="37">
        <f t="shared" si="85"/>
        <v>5099.0183999999999</v>
      </c>
      <c r="J1832" s="4"/>
      <c r="K1832" s="38">
        <f t="shared" si="86"/>
        <v>0</v>
      </c>
    </row>
    <row r="1833" spans="1:11">
      <c r="A1833" t="s">
        <v>816</v>
      </c>
      <c r="B1833" t="s">
        <v>10177</v>
      </c>
      <c r="C1833" t="s">
        <v>6466</v>
      </c>
      <c r="D1833" t="s">
        <v>5997</v>
      </c>
      <c r="E1833">
        <v>628.05999999999995</v>
      </c>
      <c r="G1833" s="35"/>
      <c r="H1833" s="36">
        <f t="shared" si="84"/>
        <v>395.67779999999999</v>
      </c>
      <c r="I1833" s="37">
        <f t="shared" si="85"/>
        <v>395.67779999999999</v>
      </c>
      <c r="J1833" s="4"/>
      <c r="K1833" s="38">
        <f t="shared" si="86"/>
        <v>0</v>
      </c>
    </row>
    <row r="1834" spans="1:11">
      <c r="A1834" t="s">
        <v>817</v>
      </c>
      <c r="B1834" t="s">
        <v>10177</v>
      </c>
      <c r="C1834" t="s">
        <v>6466</v>
      </c>
      <c r="D1834" t="s">
        <v>5998</v>
      </c>
      <c r="E1834">
        <v>856.28</v>
      </c>
      <c r="G1834" s="35"/>
      <c r="H1834" s="36">
        <f t="shared" si="84"/>
        <v>539.45640000000003</v>
      </c>
      <c r="I1834" s="37">
        <f t="shared" si="85"/>
        <v>539.45640000000003</v>
      </c>
      <c r="J1834" s="4"/>
      <c r="K1834" s="38">
        <f t="shared" si="86"/>
        <v>0</v>
      </c>
    </row>
    <row r="1835" spans="1:11">
      <c r="A1835" t="s">
        <v>818</v>
      </c>
      <c r="B1835" t="s">
        <v>10177</v>
      </c>
      <c r="C1835" t="s">
        <v>6466</v>
      </c>
      <c r="D1835" t="s">
        <v>5999</v>
      </c>
      <c r="E1835">
        <v>1048.46</v>
      </c>
      <c r="G1835" s="35"/>
      <c r="H1835" s="36">
        <f t="shared" si="84"/>
        <v>660.52980000000002</v>
      </c>
      <c r="I1835" s="37">
        <f t="shared" si="85"/>
        <v>660.52980000000002</v>
      </c>
      <c r="J1835" s="4"/>
      <c r="K1835" s="38">
        <f t="shared" si="86"/>
        <v>0</v>
      </c>
    </row>
    <row r="1836" spans="1:11">
      <c r="A1836" t="s">
        <v>819</v>
      </c>
      <c r="B1836" t="s">
        <v>10177</v>
      </c>
      <c r="C1836" t="s">
        <v>6466</v>
      </c>
      <c r="D1836" t="s">
        <v>6467</v>
      </c>
      <c r="E1836">
        <v>2434.98</v>
      </c>
      <c r="G1836" s="35"/>
      <c r="H1836" s="36">
        <f t="shared" si="84"/>
        <v>1534.0373999999999</v>
      </c>
      <c r="I1836" s="37">
        <f t="shared" si="85"/>
        <v>1534.0373999999999</v>
      </c>
      <c r="J1836" s="4"/>
      <c r="K1836" s="38">
        <f t="shared" si="86"/>
        <v>0</v>
      </c>
    </row>
    <row r="1837" spans="1:11">
      <c r="A1837" t="s">
        <v>639</v>
      </c>
      <c r="B1837" t="s">
        <v>10177</v>
      </c>
      <c r="C1837" t="s">
        <v>6294</v>
      </c>
      <c r="D1837" t="s">
        <v>6295</v>
      </c>
      <c r="E1837">
        <v>619.09</v>
      </c>
      <c r="G1837" s="35"/>
      <c r="H1837" s="36">
        <f t="shared" si="84"/>
        <v>390.02670000000001</v>
      </c>
      <c r="I1837" s="37">
        <f t="shared" si="85"/>
        <v>390.02670000000001</v>
      </c>
      <c r="J1837" s="4"/>
      <c r="K1837" s="38">
        <f t="shared" si="86"/>
        <v>0</v>
      </c>
    </row>
    <row r="1838" spans="1:11">
      <c r="A1838" t="s">
        <v>640</v>
      </c>
      <c r="B1838" t="s">
        <v>10177</v>
      </c>
      <c r="C1838" t="s">
        <v>6294</v>
      </c>
      <c r="D1838" t="s">
        <v>6296</v>
      </c>
      <c r="E1838">
        <v>1145.9100000000001</v>
      </c>
      <c r="G1838" s="35"/>
      <c r="H1838" s="36">
        <f t="shared" si="84"/>
        <v>721.92330000000004</v>
      </c>
      <c r="I1838" s="37">
        <f t="shared" si="85"/>
        <v>721.92330000000004</v>
      </c>
      <c r="J1838" s="4"/>
      <c r="K1838" s="38">
        <f t="shared" si="86"/>
        <v>0</v>
      </c>
    </row>
    <row r="1839" spans="1:11">
      <c r="A1839" t="s">
        <v>641</v>
      </c>
      <c r="B1839" t="s">
        <v>10177</v>
      </c>
      <c r="C1839" t="s">
        <v>6294</v>
      </c>
      <c r="D1839" t="s">
        <v>6297</v>
      </c>
      <c r="E1839">
        <v>1512.95</v>
      </c>
      <c r="G1839" s="35"/>
      <c r="H1839" s="36">
        <f t="shared" si="84"/>
        <v>953.1585</v>
      </c>
      <c r="I1839" s="37">
        <f t="shared" si="85"/>
        <v>953.1585</v>
      </c>
      <c r="J1839" s="4"/>
      <c r="K1839" s="38">
        <f t="shared" si="86"/>
        <v>0</v>
      </c>
    </row>
    <row r="1840" spans="1:11">
      <c r="A1840" t="s">
        <v>642</v>
      </c>
      <c r="B1840" t="s">
        <v>10177</v>
      </c>
      <c r="C1840" t="s">
        <v>6294</v>
      </c>
      <c r="D1840" t="s">
        <v>6298</v>
      </c>
      <c r="E1840">
        <v>3059.97</v>
      </c>
      <c r="G1840" s="35"/>
      <c r="H1840" s="36">
        <f t="shared" si="84"/>
        <v>1927.7810999999999</v>
      </c>
      <c r="I1840" s="37">
        <f t="shared" si="85"/>
        <v>1927.7810999999999</v>
      </c>
      <c r="J1840" s="4"/>
      <c r="K1840" s="38">
        <f t="shared" si="86"/>
        <v>0</v>
      </c>
    </row>
    <row r="1841" spans="1:11">
      <c r="A1841" t="s">
        <v>643</v>
      </c>
      <c r="B1841" t="s">
        <v>10177</v>
      </c>
      <c r="C1841" t="s">
        <v>6294</v>
      </c>
      <c r="D1841" t="s">
        <v>6299</v>
      </c>
      <c r="E1841">
        <v>10452.83</v>
      </c>
      <c r="G1841" s="35"/>
      <c r="H1841" s="36">
        <f t="shared" si="84"/>
        <v>6585.2829000000002</v>
      </c>
      <c r="I1841" s="37">
        <f t="shared" si="85"/>
        <v>6585.2829000000002</v>
      </c>
      <c r="J1841" s="4"/>
      <c r="K1841" s="38">
        <f t="shared" si="86"/>
        <v>0</v>
      </c>
    </row>
    <row r="1842" spans="1:11">
      <c r="A1842" t="s">
        <v>644</v>
      </c>
      <c r="B1842" t="s">
        <v>10177</v>
      </c>
      <c r="C1842" t="s">
        <v>6294</v>
      </c>
      <c r="D1842" t="s">
        <v>6300</v>
      </c>
      <c r="E1842">
        <v>3894.82</v>
      </c>
      <c r="G1842" s="35"/>
      <c r="H1842" s="36">
        <f t="shared" si="84"/>
        <v>2453.7366000000002</v>
      </c>
      <c r="I1842" s="37">
        <f t="shared" si="85"/>
        <v>2453.7366000000002</v>
      </c>
      <c r="J1842" s="4"/>
      <c r="K1842" s="38">
        <f t="shared" si="86"/>
        <v>0</v>
      </c>
    </row>
    <row r="1843" spans="1:11">
      <c r="A1843" t="s">
        <v>645</v>
      </c>
      <c r="B1843" t="s">
        <v>10177</v>
      </c>
      <c r="C1843" t="s">
        <v>6294</v>
      </c>
      <c r="D1843" t="s">
        <v>6301</v>
      </c>
      <c r="E1843">
        <v>619.09</v>
      </c>
      <c r="G1843" s="35"/>
      <c r="H1843" s="36">
        <f t="shared" si="84"/>
        <v>390.02670000000001</v>
      </c>
      <c r="I1843" s="37">
        <f t="shared" si="85"/>
        <v>390.02670000000001</v>
      </c>
      <c r="J1843" s="4"/>
      <c r="K1843" s="38">
        <f t="shared" si="86"/>
        <v>0</v>
      </c>
    </row>
    <row r="1844" spans="1:11">
      <c r="A1844" t="s">
        <v>646</v>
      </c>
      <c r="B1844" t="s">
        <v>10177</v>
      </c>
      <c r="C1844" t="s">
        <v>6294</v>
      </c>
      <c r="D1844" t="s">
        <v>6302</v>
      </c>
      <c r="E1844">
        <v>1145.9100000000001</v>
      </c>
      <c r="G1844" s="35"/>
      <c r="H1844" s="36">
        <f t="shared" si="84"/>
        <v>721.92330000000004</v>
      </c>
      <c r="I1844" s="37">
        <f t="shared" si="85"/>
        <v>721.92330000000004</v>
      </c>
      <c r="J1844" s="4"/>
      <c r="K1844" s="38">
        <f t="shared" si="86"/>
        <v>0</v>
      </c>
    </row>
    <row r="1845" spans="1:11">
      <c r="A1845" t="s">
        <v>647</v>
      </c>
      <c r="B1845" t="s">
        <v>10177</v>
      </c>
      <c r="C1845" t="s">
        <v>6294</v>
      </c>
      <c r="D1845" t="s">
        <v>6303</v>
      </c>
      <c r="E1845">
        <v>1423.3</v>
      </c>
      <c r="G1845" s="35"/>
      <c r="H1845" s="36">
        <f t="shared" si="84"/>
        <v>896.67899999999997</v>
      </c>
      <c r="I1845" s="37">
        <f t="shared" si="85"/>
        <v>896.67899999999997</v>
      </c>
      <c r="J1845" s="4"/>
      <c r="K1845" s="38">
        <f t="shared" si="86"/>
        <v>0</v>
      </c>
    </row>
    <row r="1846" spans="1:11">
      <c r="A1846" t="s">
        <v>648</v>
      </c>
      <c r="B1846" t="s">
        <v>10177</v>
      </c>
      <c r="C1846" t="s">
        <v>6294</v>
      </c>
      <c r="D1846" t="s">
        <v>6304</v>
      </c>
      <c r="E1846">
        <v>3037.27</v>
      </c>
      <c r="G1846" s="35"/>
      <c r="H1846" s="36">
        <f t="shared" si="84"/>
        <v>1913.4801</v>
      </c>
      <c r="I1846" s="37">
        <f t="shared" si="85"/>
        <v>1913.4801</v>
      </c>
      <c r="J1846" s="4"/>
      <c r="K1846" s="38">
        <f t="shared" si="86"/>
        <v>0</v>
      </c>
    </row>
    <row r="1847" spans="1:11">
      <c r="A1847" t="s">
        <v>649</v>
      </c>
      <c r="B1847" t="s">
        <v>10177</v>
      </c>
      <c r="C1847" t="s">
        <v>6294</v>
      </c>
      <c r="D1847" t="s">
        <v>6305</v>
      </c>
      <c r="E1847">
        <v>7944.49</v>
      </c>
      <c r="G1847" s="35"/>
      <c r="H1847" s="36">
        <f t="shared" si="84"/>
        <v>5005.0286999999998</v>
      </c>
      <c r="I1847" s="37">
        <f t="shared" si="85"/>
        <v>5005.0286999999998</v>
      </c>
      <c r="J1847" s="4"/>
      <c r="K1847" s="38">
        <f t="shared" si="86"/>
        <v>0</v>
      </c>
    </row>
    <row r="1848" spans="1:11">
      <c r="A1848" t="s">
        <v>650</v>
      </c>
      <c r="B1848" t="s">
        <v>10177</v>
      </c>
      <c r="C1848" t="s">
        <v>6294</v>
      </c>
      <c r="D1848" t="s">
        <v>6306</v>
      </c>
      <c r="E1848">
        <v>5626.49</v>
      </c>
      <c r="G1848" s="35"/>
      <c r="H1848" s="36">
        <f t="shared" si="84"/>
        <v>3544.6886999999997</v>
      </c>
      <c r="I1848" s="37">
        <f t="shared" si="85"/>
        <v>3544.6886999999997</v>
      </c>
      <c r="J1848" s="4"/>
      <c r="K1848" s="38">
        <f t="shared" si="86"/>
        <v>0</v>
      </c>
    </row>
    <row r="1849" spans="1:11">
      <c r="A1849" t="s">
        <v>651</v>
      </c>
      <c r="B1849" t="s">
        <v>10177</v>
      </c>
      <c r="C1849" t="s">
        <v>6294</v>
      </c>
      <c r="D1849" t="s">
        <v>6307</v>
      </c>
      <c r="E1849">
        <v>4641.57</v>
      </c>
      <c r="G1849" s="35"/>
      <c r="H1849" s="36">
        <f t="shared" si="84"/>
        <v>2924.1891000000001</v>
      </c>
      <c r="I1849" s="37">
        <f t="shared" si="85"/>
        <v>2924.1891000000001</v>
      </c>
      <c r="J1849" s="4"/>
      <c r="K1849" s="38">
        <f t="shared" si="86"/>
        <v>0</v>
      </c>
    </row>
    <row r="1850" spans="1:11">
      <c r="A1850" t="s">
        <v>870</v>
      </c>
      <c r="B1850" t="s">
        <v>10177</v>
      </c>
      <c r="C1850" t="s">
        <v>6519</v>
      </c>
      <c r="D1850" t="s">
        <v>6520</v>
      </c>
      <c r="E1850">
        <v>4329</v>
      </c>
      <c r="G1850" s="35"/>
      <c r="H1850" s="36">
        <f t="shared" si="84"/>
        <v>2727.27</v>
      </c>
      <c r="I1850" s="37">
        <f t="shared" si="85"/>
        <v>2727.27</v>
      </c>
      <c r="J1850" s="4"/>
      <c r="K1850" s="38">
        <f t="shared" si="86"/>
        <v>0</v>
      </c>
    </row>
    <row r="1851" spans="1:11">
      <c r="A1851" t="s">
        <v>871</v>
      </c>
      <c r="B1851" t="s">
        <v>10177</v>
      </c>
      <c r="C1851" t="s">
        <v>6519</v>
      </c>
      <c r="D1851" t="s">
        <v>6521</v>
      </c>
      <c r="E1851">
        <v>4329</v>
      </c>
      <c r="G1851" s="35"/>
      <c r="H1851" s="36">
        <f t="shared" si="84"/>
        <v>2727.27</v>
      </c>
      <c r="I1851" s="37">
        <f t="shared" si="85"/>
        <v>2727.27</v>
      </c>
      <c r="J1851" s="4"/>
      <c r="K1851" s="38">
        <f t="shared" si="86"/>
        <v>0</v>
      </c>
    </row>
    <row r="1852" spans="1:11">
      <c r="A1852" t="s">
        <v>872</v>
      </c>
      <c r="B1852" t="s">
        <v>10177</v>
      </c>
      <c r="C1852" t="s">
        <v>6519</v>
      </c>
      <c r="D1852" t="s">
        <v>6522</v>
      </c>
      <c r="E1852">
        <v>4329</v>
      </c>
      <c r="G1852" s="35"/>
      <c r="H1852" s="36">
        <f t="shared" si="84"/>
        <v>2727.27</v>
      </c>
      <c r="I1852" s="37">
        <f t="shared" si="85"/>
        <v>2727.27</v>
      </c>
      <c r="J1852" s="4"/>
      <c r="K1852" s="38">
        <f t="shared" si="86"/>
        <v>0</v>
      </c>
    </row>
    <row r="1853" spans="1:11">
      <c r="A1853" t="s">
        <v>1075</v>
      </c>
      <c r="B1853" t="s">
        <v>10177</v>
      </c>
      <c r="C1853" t="s">
        <v>6672</v>
      </c>
      <c r="D1853" t="s">
        <v>6673</v>
      </c>
      <c r="E1853">
        <v>4895.37</v>
      </c>
      <c r="G1853" s="35"/>
      <c r="H1853" s="36">
        <f t="shared" si="84"/>
        <v>3084.0830999999998</v>
      </c>
      <c r="I1853" s="37">
        <f t="shared" si="85"/>
        <v>3084.0830999999998</v>
      </c>
      <c r="J1853" s="4"/>
      <c r="K1853" s="38">
        <f t="shared" si="86"/>
        <v>0</v>
      </c>
    </row>
    <row r="1854" spans="1:11">
      <c r="A1854" t="s">
        <v>1076</v>
      </c>
      <c r="B1854" t="s">
        <v>10177</v>
      </c>
      <c r="C1854" t="s">
        <v>6672</v>
      </c>
      <c r="D1854" t="s">
        <v>6674</v>
      </c>
      <c r="E1854">
        <v>18068.310000000001</v>
      </c>
      <c r="G1854" s="35"/>
      <c r="H1854" s="36">
        <f t="shared" si="84"/>
        <v>11383.035300000001</v>
      </c>
      <c r="I1854" s="37">
        <f t="shared" si="85"/>
        <v>11383.035300000001</v>
      </c>
      <c r="J1854" s="4"/>
      <c r="K1854" s="38">
        <f t="shared" si="86"/>
        <v>0</v>
      </c>
    </row>
    <row r="1855" spans="1:11">
      <c r="A1855" t="s">
        <v>1077</v>
      </c>
      <c r="B1855" t="s">
        <v>10177</v>
      </c>
      <c r="C1855" t="s">
        <v>6672</v>
      </c>
      <c r="D1855" t="s">
        <v>6675</v>
      </c>
      <c r="E1855">
        <v>63937.599999999999</v>
      </c>
      <c r="G1855" s="35"/>
      <c r="H1855" s="36">
        <f t="shared" si="84"/>
        <v>40280.688000000002</v>
      </c>
      <c r="I1855" s="37">
        <f t="shared" si="85"/>
        <v>40280.688000000002</v>
      </c>
      <c r="J1855" s="4"/>
      <c r="K1855" s="38">
        <f t="shared" si="86"/>
        <v>0</v>
      </c>
    </row>
    <row r="1856" spans="1:11">
      <c r="A1856" t="s">
        <v>1078</v>
      </c>
      <c r="B1856" t="s">
        <v>10177</v>
      </c>
      <c r="C1856" t="s">
        <v>6676</v>
      </c>
      <c r="D1856" t="s">
        <v>6677</v>
      </c>
      <c r="E1856">
        <v>3075.61</v>
      </c>
      <c r="G1856" s="35"/>
      <c r="H1856" s="36">
        <f t="shared" si="84"/>
        <v>1937.6343000000002</v>
      </c>
      <c r="I1856" s="37">
        <f t="shared" si="85"/>
        <v>1937.6343000000002</v>
      </c>
      <c r="J1856" s="4"/>
      <c r="K1856" s="38">
        <f t="shared" si="86"/>
        <v>0</v>
      </c>
    </row>
    <row r="1857" spans="1:11">
      <c r="A1857" t="s">
        <v>1079</v>
      </c>
      <c r="B1857" t="s">
        <v>10177</v>
      </c>
      <c r="C1857" t="s">
        <v>6676</v>
      </c>
      <c r="D1857" t="s">
        <v>6678</v>
      </c>
      <c r="E1857">
        <v>15100.82</v>
      </c>
      <c r="G1857" s="35"/>
      <c r="H1857" s="36">
        <f t="shared" si="84"/>
        <v>9513.516599999999</v>
      </c>
      <c r="I1857" s="37">
        <f t="shared" si="85"/>
        <v>9513.516599999999</v>
      </c>
      <c r="J1857" s="4"/>
      <c r="K1857" s="38">
        <f t="shared" si="86"/>
        <v>0</v>
      </c>
    </row>
    <row r="1858" spans="1:11">
      <c r="A1858" t="s">
        <v>1080</v>
      </c>
      <c r="B1858" t="s">
        <v>10177</v>
      </c>
      <c r="C1858" t="s">
        <v>6676</v>
      </c>
      <c r="D1858" t="s">
        <v>6679</v>
      </c>
      <c r="E1858">
        <v>1565.74</v>
      </c>
      <c r="G1858" s="35"/>
      <c r="H1858" s="36">
        <f t="shared" si="84"/>
        <v>986.4162</v>
      </c>
      <c r="I1858" s="37">
        <f t="shared" si="85"/>
        <v>986.4162</v>
      </c>
      <c r="J1858" s="4"/>
      <c r="K1858" s="38">
        <f t="shared" si="86"/>
        <v>0</v>
      </c>
    </row>
    <row r="1859" spans="1:11">
      <c r="A1859" t="s">
        <v>1081</v>
      </c>
      <c r="B1859" t="s">
        <v>10177</v>
      </c>
      <c r="C1859" t="s">
        <v>6676</v>
      </c>
      <c r="D1859" t="s">
        <v>6680</v>
      </c>
      <c r="E1859">
        <v>1802.25</v>
      </c>
      <c r="G1859" s="35"/>
      <c r="H1859" s="36">
        <f t="shared" si="84"/>
        <v>1135.4175</v>
      </c>
      <c r="I1859" s="37">
        <f t="shared" si="85"/>
        <v>1135.4175</v>
      </c>
      <c r="J1859" s="4"/>
      <c r="K1859" s="38">
        <f t="shared" si="86"/>
        <v>0</v>
      </c>
    </row>
    <row r="1860" spans="1:11">
      <c r="A1860" t="s">
        <v>1082</v>
      </c>
      <c r="B1860" t="s">
        <v>10177</v>
      </c>
      <c r="C1860" t="s">
        <v>6676</v>
      </c>
      <c r="D1860" t="s">
        <v>6681</v>
      </c>
      <c r="E1860">
        <v>2519.38</v>
      </c>
      <c r="G1860" s="35"/>
      <c r="H1860" s="36">
        <f t="shared" si="84"/>
        <v>1587.2094000000002</v>
      </c>
      <c r="I1860" s="37">
        <f t="shared" si="85"/>
        <v>1587.2094000000002</v>
      </c>
      <c r="J1860" s="4"/>
      <c r="K1860" s="38">
        <f t="shared" si="86"/>
        <v>0</v>
      </c>
    </row>
    <row r="1861" spans="1:11">
      <c r="A1861" t="s">
        <v>1119</v>
      </c>
      <c r="B1861" t="s">
        <v>10177</v>
      </c>
      <c r="C1861" t="s">
        <v>6709</v>
      </c>
      <c r="D1861" t="s">
        <v>6677</v>
      </c>
      <c r="E1861">
        <v>3297.13</v>
      </c>
      <c r="G1861" s="35"/>
      <c r="H1861" s="36">
        <f t="shared" si="84"/>
        <v>2077.1919000000003</v>
      </c>
      <c r="I1861" s="37">
        <f t="shared" si="85"/>
        <v>2077.1919000000003</v>
      </c>
      <c r="J1861" s="4"/>
      <c r="K1861" s="38">
        <f t="shared" si="86"/>
        <v>0</v>
      </c>
    </row>
    <row r="1862" spans="1:11">
      <c r="A1862" t="s">
        <v>1120</v>
      </c>
      <c r="B1862" t="s">
        <v>10177</v>
      </c>
      <c r="C1862" t="s">
        <v>6709</v>
      </c>
      <c r="D1862" t="s">
        <v>6678</v>
      </c>
      <c r="E1862">
        <v>16610.88</v>
      </c>
      <c r="G1862" s="35"/>
      <c r="H1862" s="36">
        <f t="shared" si="84"/>
        <v>10464.8544</v>
      </c>
      <c r="I1862" s="37">
        <f t="shared" si="85"/>
        <v>10464.8544</v>
      </c>
      <c r="J1862" s="4"/>
      <c r="K1862" s="38">
        <f t="shared" si="86"/>
        <v>0</v>
      </c>
    </row>
    <row r="1863" spans="1:11">
      <c r="A1863" t="s">
        <v>1121</v>
      </c>
      <c r="B1863" t="s">
        <v>10177</v>
      </c>
      <c r="C1863" t="s">
        <v>6709</v>
      </c>
      <c r="D1863" t="s">
        <v>6679</v>
      </c>
      <c r="E1863">
        <v>1016.2</v>
      </c>
      <c r="G1863" s="35"/>
      <c r="H1863" s="36">
        <f t="shared" ref="H1863:H1926" si="87">+E1863*$H$1*(1-G1863)</f>
        <v>640.20600000000002</v>
      </c>
      <c r="I1863" s="37">
        <f t="shared" ref="I1863:I1926" si="88">H1863*$H$4</f>
        <v>640.20600000000002</v>
      </c>
      <c r="J1863" s="4"/>
      <c r="K1863" s="38">
        <f t="shared" ref="K1863:K1926" si="89">J1863*I1863</f>
        <v>0</v>
      </c>
    </row>
    <row r="1864" spans="1:11">
      <c r="A1864" t="s">
        <v>1122</v>
      </c>
      <c r="B1864" t="s">
        <v>10177</v>
      </c>
      <c r="C1864" t="s">
        <v>6709</v>
      </c>
      <c r="D1864" t="s">
        <v>6680</v>
      </c>
      <c r="E1864">
        <v>1177.92</v>
      </c>
      <c r="G1864" s="35"/>
      <c r="H1864" s="36">
        <f t="shared" si="87"/>
        <v>742.08960000000002</v>
      </c>
      <c r="I1864" s="37">
        <f t="shared" si="88"/>
        <v>742.08960000000002</v>
      </c>
      <c r="J1864" s="4"/>
      <c r="K1864" s="38">
        <f t="shared" si="89"/>
        <v>0</v>
      </c>
    </row>
    <row r="1865" spans="1:11">
      <c r="A1865" t="s">
        <v>1123</v>
      </c>
      <c r="B1865" t="s">
        <v>10177</v>
      </c>
      <c r="C1865" t="s">
        <v>6709</v>
      </c>
      <c r="D1865" t="s">
        <v>6681</v>
      </c>
      <c r="E1865">
        <v>1543.47</v>
      </c>
      <c r="G1865" s="35"/>
      <c r="H1865" s="36">
        <f t="shared" si="87"/>
        <v>972.38610000000006</v>
      </c>
      <c r="I1865" s="37">
        <f t="shared" si="88"/>
        <v>972.38610000000006</v>
      </c>
      <c r="J1865" s="4"/>
      <c r="K1865" s="38">
        <f t="shared" si="89"/>
        <v>0</v>
      </c>
    </row>
    <row r="1866" spans="1:11">
      <c r="A1866" t="s">
        <v>1133</v>
      </c>
      <c r="B1866" t="s">
        <v>10177</v>
      </c>
      <c r="C1866" t="s">
        <v>6714</v>
      </c>
      <c r="D1866" t="s">
        <v>6715</v>
      </c>
      <c r="E1866">
        <v>765.39</v>
      </c>
      <c r="G1866" s="35"/>
      <c r="H1866" s="36">
        <f t="shared" si="87"/>
        <v>482.19569999999999</v>
      </c>
      <c r="I1866" s="37">
        <f t="shared" si="88"/>
        <v>482.19569999999999</v>
      </c>
      <c r="J1866" s="4"/>
      <c r="K1866" s="38">
        <f t="shared" si="89"/>
        <v>0</v>
      </c>
    </row>
    <row r="1867" spans="1:11">
      <c r="A1867" t="s">
        <v>1134</v>
      </c>
      <c r="B1867" t="s">
        <v>10177</v>
      </c>
      <c r="C1867" t="s">
        <v>6714</v>
      </c>
      <c r="D1867" t="s">
        <v>6716</v>
      </c>
      <c r="E1867">
        <v>828.65</v>
      </c>
      <c r="G1867" s="35"/>
      <c r="H1867" s="36">
        <f t="shared" si="87"/>
        <v>522.04949999999997</v>
      </c>
      <c r="I1867" s="37">
        <f t="shared" si="88"/>
        <v>522.04949999999997</v>
      </c>
      <c r="J1867" s="4"/>
      <c r="K1867" s="38">
        <f t="shared" si="89"/>
        <v>0</v>
      </c>
    </row>
    <row r="1868" spans="1:11">
      <c r="A1868" t="s">
        <v>1136</v>
      </c>
      <c r="B1868" t="s">
        <v>10177</v>
      </c>
      <c r="C1868" t="s">
        <v>6714</v>
      </c>
      <c r="D1868" t="s">
        <v>6718</v>
      </c>
      <c r="E1868">
        <v>1179.01</v>
      </c>
      <c r="G1868" s="35"/>
      <c r="H1868" s="36">
        <f t="shared" si="87"/>
        <v>742.77629999999999</v>
      </c>
      <c r="I1868" s="37">
        <f t="shared" si="88"/>
        <v>742.77629999999999</v>
      </c>
      <c r="J1868" s="4"/>
      <c r="K1868" s="38">
        <f t="shared" si="89"/>
        <v>0</v>
      </c>
    </row>
    <row r="1869" spans="1:11">
      <c r="A1869" t="s">
        <v>1135</v>
      </c>
      <c r="B1869" t="s">
        <v>10177</v>
      </c>
      <c r="C1869" t="s">
        <v>6714</v>
      </c>
      <c r="D1869" t="s">
        <v>6717</v>
      </c>
      <c r="E1869">
        <v>2398.9299999999998</v>
      </c>
      <c r="G1869" s="35"/>
      <c r="H1869" s="36">
        <f t="shared" si="87"/>
        <v>1511.3258999999998</v>
      </c>
      <c r="I1869" s="37">
        <f t="shared" si="88"/>
        <v>1511.3258999999998</v>
      </c>
      <c r="J1869" s="4"/>
      <c r="K1869" s="38">
        <f t="shared" si="89"/>
        <v>0</v>
      </c>
    </row>
    <row r="1870" spans="1:11">
      <c r="A1870" t="s">
        <v>1145</v>
      </c>
      <c r="B1870" t="s">
        <v>10177</v>
      </c>
      <c r="C1870" t="s">
        <v>6728</v>
      </c>
      <c r="D1870" t="s">
        <v>6729</v>
      </c>
      <c r="E1870">
        <v>631.49</v>
      </c>
      <c r="G1870" s="35"/>
      <c r="H1870" s="36">
        <f t="shared" si="87"/>
        <v>397.83870000000002</v>
      </c>
      <c r="I1870" s="37">
        <f t="shared" si="88"/>
        <v>397.83870000000002</v>
      </c>
      <c r="J1870" s="4"/>
      <c r="K1870" s="38">
        <f t="shared" si="89"/>
        <v>0</v>
      </c>
    </row>
    <row r="1871" spans="1:11">
      <c r="A1871" t="s">
        <v>1146</v>
      </c>
      <c r="B1871" t="s">
        <v>10177</v>
      </c>
      <c r="C1871" t="s">
        <v>6728</v>
      </c>
      <c r="D1871" t="s">
        <v>6730</v>
      </c>
      <c r="E1871">
        <v>796.22</v>
      </c>
      <c r="G1871" s="35"/>
      <c r="H1871" s="36">
        <f t="shared" si="87"/>
        <v>501.61860000000001</v>
      </c>
      <c r="I1871" s="37">
        <f t="shared" si="88"/>
        <v>501.61860000000001</v>
      </c>
      <c r="J1871" s="4"/>
      <c r="K1871" s="38">
        <f t="shared" si="89"/>
        <v>0</v>
      </c>
    </row>
    <row r="1872" spans="1:11">
      <c r="A1872" t="s">
        <v>1147</v>
      </c>
      <c r="B1872" t="s">
        <v>10177</v>
      </c>
      <c r="C1872" t="s">
        <v>6728</v>
      </c>
      <c r="D1872" t="s">
        <v>6731</v>
      </c>
      <c r="E1872">
        <v>875.16</v>
      </c>
      <c r="G1872" s="35"/>
      <c r="H1872" s="36">
        <f t="shared" si="87"/>
        <v>551.35079999999994</v>
      </c>
      <c r="I1872" s="37">
        <f t="shared" si="88"/>
        <v>551.35079999999994</v>
      </c>
      <c r="J1872" s="4"/>
      <c r="K1872" s="38">
        <f t="shared" si="89"/>
        <v>0</v>
      </c>
    </row>
    <row r="1873" spans="1:11">
      <c r="A1873" t="s">
        <v>1148</v>
      </c>
      <c r="B1873" t="s">
        <v>10177</v>
      </c>
      <c r="C1873" t="s">
        <v>6728</v>
      </c>
      <c r="D1873" t="s">
        <v>6732</v>
      </c>
      <c r="E1873">
        <v>2036.88</v>
      </c>
      <c r="G1873" s="35"/>
      <c r="H1873" s="36">
        <f t="shared" si="87"/>
        <v>1283.2344000000001</v>
      </c>
      <c r="I1873" s="37">
        <f t="shared" si="88"/>
        <v>1283.2344000000001</v>
      </c>
      <c r="J1873" s="4"/>
      <c r="K1873" s="38">
        <f t="shared" si="89"/>
        <v>0</v>
      </c>
    </row>
    <row r="1874" spans="1:11">
      <c r="A1874" t="s">
        <v>339</v>
      </c>
      <c r="B1874" t="s">
        <v>10177</v>
      </c>
      <c r="C1874" t="s">
        <v>6001</v>
      </c>
      <c r="D1874" t="s">
        <v>6002</v>
      </c>
      <c r="E1874">
        <v>616.88</v>
      </c>
      <c r="G1874" s="35"/>
      <c r="H1874" s="36">
        <f t="shared" si="87"/>
        <v>388.63440000000003</v>
      </c>
      <c r="I1874" s="37">
        <f t="shared" si="88"/>
        <v>388.63440000000003</v>
      </c>
      <c r="J1874" s="4"/>
      <c r="K1874" s="38">
        <f t="shared" si="89"/>
        <v>0</v>
      </c>
    </row>
    <row r="1875" spans="1:11">
      <c r="A1875" t="s">
        <v>340</v>
      </c>
      <c r="B1875" t="s">
        <v>10177</v>
      </c>
      <c r="C1875" t="s">
        <v>6001</v>
      </c>
      <c r="D1875" t="s">
        <v>6003</v>
      </c>
      <c r="E1875">
        <v>859.71</v>
      </c>
      <c r="G1875" s="35"/>
      <c r="H1875" s="36">
        <f t="shared" si="87"/>
        <v>541.6173</v>
      </c>
      <c r="I1875" s="37">
        <f t="shared" si="88"/>
        <v>541.6173</v>
      </c>
      <c r="J1875" s="4"/>
      <c r="K1875" s="38">
        <f t="shared" si="89"/>
        <v>0</v>
      </c>
    </row>
    <row r="1876" spans="1:11">
      <c r="A1876" t="s">
        <v>341</v>
      </c>
      <c r="B1876" t="s">
        <v>10177</v>
      </c>
      <c r="C1876" t="s">
        <v>6001</v>
      </c>
      <c r="D1876" t="s">
        <v>6004</v>
      </c>
      <c r="E1876">
        <v>1224.81</v>
      </c>
      <c r="G1876" s="35"/>
      <c r="H1876" s="36">
        <f t="shared" si="87"/>
        <v>771.63029999999992</v>
      </c>
      <c r="I1876" s="37">
        <f t="shared" si="88"/>
        <v>771.63029999999992</v>
      </c>
      <c r="J1876" s="4"/>
      <c r="K1876" s="38">
        <f t="shared" si="89"/>
        <v>0</v>
      </c>
    </row>
    <row r="1877" spans="1:11">
      <c r="A1877" t="s">
        <v>342</v>
      </c>
      <c r="B1877" t="s">
        <v>10177</v>
      </c>
      <c r="C1877" t="s">
        <v>6001</v>
      </c>
      <c r="D1877" t="s">
        <v>6005</v>
      </c>
      <c r="E1877">
        <v>3392.5</v>
      </c>
      <c r="G1877" s="35"/>
      <c r="H1877" s="36">
        <f t="shared" si="87"/>
        <v>2137.2750000000001</v>
      </c>
      <c r="I1877" s="37">
        <f t="shared" si="88"/>
        <v>2137.2750000000001</v>
      </c>
      <c r="J1877" s="4"/>
      <c r="K1877" s="38">
        <f t="shared" si="89"/>
        <v>0</v>
      </c>
    </row>
    <row r="1878" spans="1:11">
      <c r="A1878" t="s">
        <v>1203</v>
      </c>
      <c r="B1878" t="s">
        <v>10177</v>
      </c>
      <c r="C1878" t="s">
        <v>6783</v>
      </c>
      <c r="D1878" t="s">
        <v>6216</v>
      </c>
      <c r="E1878">
        <v>5866.63</v>
      </c>
      <c r="G1878" s="35"/>
      <c r="H1878" s="36">
        <f t="shared" si="87"/>
        <v>3695.9769000000001</v>
      </c>
      <c r="I1878" s="37">
        <f t="shared" si="88"/>
        <v>3695.9769000000001</v>
      </c>
      <c r="J1878" s="4"/>
      <c r="K1878" s="38">
        <f t="shared" si="89"/>
        <v>0</v>
      </c>
    </row>
    <row r="1879" spans="1:11">
      <c r="A1879" t="s">
        <v>1204</v>
      </c>
      <c r="B1879" t="s">
        <v>10177</v>
      </c>
      <c r="C1879" t="s">
        <v>6783</v>
      </c>
      <c r="D1879" t="s">
        <v>6784</v>
      </c>
      <c r="E1879">
        <v>9200.39</v>
      </c>
      <c r="G1879" s="35"/>
      <c r="H1879" s="36">
        <f t="shared" si="87"/>
        <v>5796.2456999999995</v>
      </c>
      <c r="I1879" s="37">
        <f t="shared" si="88"/>
        <v>5796.2456999999995</v>
      </c>
      <c r="J1879" s="4"/>
      <c r="K1879" s="38">
        <f t="shared" si="89"/>
        <v>0</v>
      </c>
    </row>
    <row r="1880" spans="1:11">
      <c r="A1880" t="s">
        <v>335</v>
      </c>
      <c r="B1880" t="s">
        <v>10177</v>
      </c>
      <c r="C1880" t="s">
        <v>5996</v>
      </c>
      <c r="D1880" t="s">
        <v>5997</v>
      </c>
      <c r="E1880">
        <v>952.37</v>
      </c>
      <c r="G1880" s="35"/>
      <c r="H1880" s="36">
        <f t="shared" si="87"/>
        <v>599.99310000000003</v>
      </c>
      <c r="I1880" s="37">
        <f t="shared" si="88"/>
        <v>599.99310000000003</v>
      </c>
      <c r="J1880" s="4"/>
      <c r="K1880" s="38">
        <f t="shared" si="89"/>
        <v>0</v>
      </c>
    </row>
    <row r="1881" spans="1:11">
      <c r="A1881" t="s">
        <v>336</v>
      </c>
      <c r="B1881" t="s">
        <v>10177</v>
      </c>
      <c r="C1881" t="s">
        <v>5996</v>
      </c>
      <c r="D1881" t="s">
        <v>5998</v>
      </c>
      <c r="E1881">
        <v>1556.41</v>
      </c>
      <c r="G1881" s="35"/>
      <c r="H1881" s="36">
        <f t="shared" si="87"/>
        <v>980.53830000000005</v>
      </c>
      <c r="I1881" s="37">
        <f t="shared" si="88"/>
        <v>980.53830000000005</v>
      </c>
      <c r="J1881" s="4"/>
      <c r="K1881" s="38">
        <f t="shared" si="89"/>
        <v>0</v>
      </c>
    </row>
    <row r="1882" spans="1:11">
      <c r="A1882" t="s">
        <v>337</v>
      </c>
      <c r="B1882" t="s">
        <v>10177</v>
      </c>
      <c r="C1882" t="s">
        <v>5996</v>
      </c>
      <c r="D1882" t="s">
        <v>5999</v>
      </c>
      <c r="E1882">
        <v>1882.43</v>
      </c>
      <c r="G1882" s="35"/>
      <c r="H1882" s="36">
        <f t="shared" si="87"/>
        <v>1185.9309000000001</v>
      </c>
      <c r="I1882" s="37">
        <f t="shared" si="88"/>
        <v>1185.9309000000001</v>
      </c>
      <c r="J1882" s="4"/>
      <c r="K1882" s="38">
        <f t="shared" si="89"/>
        <v>0</v>
      </c>
    </row>
    <row r="1883" spans="1:11">
      <c r="A1883" t="s">
        <v>338</v>
      </c>
      <c r="B1883" t="s">
        <v>10177</v>
      </c>
      <c r="C1883" t="s">
        <v>5996</v>
      </c>
      <c r="D1883" t="s">
        <v>6000</v>
      </c>
      <c r="E1883">
        <v>4948.91</v>
      </c>
      <c r="G1883" s="35"/>
      <c r="H1883" s="36">
        <f t="shared" si="87"/>
        <v>3117.8132999999998</v>
      </c>
      <c r="I1883" s="37">
        <f t="shared" si="88"/>
        <v>3117.8132999999998</v>
      </c>
      <c r="J1883" s="4"/>
      <c r="K1883" s="38">
        <f t="shared" si="89"/>
        <v>0</v>
      </c>
    </row>
    <row r="1884" spans="1:11">
      <c r="A1884" t="s">
        <v>4010</v>
      </c>
      <c r="B1884" t="s">
        <v>10177</v>
      </c>
      <c r="C1884" t="s">
        <v>9477</v>
      </c>
      <c r="D1884" t="s">
        <v>9478</v>
      </c>
      <c r="E1884">
        <v>818.69</v>
      </c>
      <c r="G1884" s="35"/>
      <c r="H1884" s="36">
        <f t="shared" si="87"/>
        <v>515.77470000000005</v>
      </c>
      <c r="I1884" s="37">
        <f t="shared" si="88"/>
        <v>515.77470000000005</v>
      </c>
      <c r="J1884" s="4"/>
      <c r="K1884" s="38">
        <f t="shared" si="89"/>
        <v>0</v>
      </c>
    </row>
    <row r="1885" spans="1:11">
      <c r="A1885" t="s">
        <v>4011</v>
      </c>
      <c r="B1885" t="s">
        <v>10177</v>
      </c>
      <c r="C1885" t="s">
        <v>9477</v>
      </c>
      <c r="D1885" t="s">
        <v>9479</v>
      </c>
      <c r="E1885">
        <v>1119.43</v>
      </c>
      <c r="G1885" s="35"/>
      <c r="H1885" s="36">
        <f t="shared" si="87"/>
        <v>705.24090000000001</v>
      </c>
      <c r="I1885" s="37">
        <f t="shared" si="88"/>
        <v>705.24090000000001</v>
      </c>
      <c r="J1885" s="4"/>
      <c r="K1885" s="38">
        <f t="shared" si="89"/>
        <v>0</v>
      </c>
    </row>
    <row r="1886" spans="1:11">
      <c r="A1886" t="s">
        <v>4012</v>
      </c>
      <c r="B1886" t="s">
        <v>10177</v>
      </c>
      <c r="C1886" t="s">
        <v>9477</v>
      </c>
      <c r="D1886" t="s">
        <v>6303</v>
      </c>
      <c r="E1886">
        <v>1914.4</v>
      </c>
      <c r="G1886" s="35"/>
      <c r="H1886" s="36">
        <f t="shared" si="87"/>
        <v>1206.0720000000001</v>
      </c>
      <c r="I1886" s="37">
        <f t="shared" si="88"/>
        <v>1206.0720000000001</v>
      </c>
      <c r="J1886" s="4"/>
      <c r="K1886" s="38">
        <f t="shared" si="89"/>
        <v>0</v>
      </c>
    </row>
    <row r="1887" spans="1:11">
      <c r="A1887" t="s">
        <v>4013</v>
      </c>
      <c r="B1887" t="s">
        <v>10177</v>
      </c>
      <c r="C1887" t="s">
        <v>9477</v>
      </c>
      <c r="D1887" t="s">
        <v>9480</v>
      </c>
      <c r="E1887">
        <v>5626.49</v>
      </c>
      <c r="G1887" s="35"/>
      <c r="H1887" s="36">
        <f t="shared" si="87"/>
        <v>3544.6886999999997</v>
      </c>
      <c r="I1887" s="37">
        <f t="shared" si="88"/>
        <v>3544.6886999999997</v>
      </c>
      <c r="J1887" s="4"/>
      <c r="K1887" s="38">
        <f t="shared" si="89"/>
        <v>0</v>
      </c>
    </row>
    <row r="1888" spans="1:11">
      <c r="A1888" t="s">
        <v>1215</v>
      </c>
      <c r="B1888" t="s">
        <v>10177</v>
      </c>
      <c r="C1888" t="s">
        <v>6795</v>
      </c>
      <c r="D1888" t="s">
        <v>6573</v>
      </c>
      <c r="E1888">
        <v>821.77</v>
      </c>
      <c r="G1888" s="35"/>
      <c r="H1888" s="36">
        <f t="shared" si="87"/>
        <v>517.71510000000001</v>
      </c>
      <c r="I1888" s="37">
        <f t="shared" si="88"/>
        <v>517.71510000000001</v>
      </c>
      <c r="J1888" s="4"/>
      <c r="K1888" s="38">
        <f t="shared" si="89"/>
        <v>0</v>
      </c>
    </row>
    <row r="1889" spans="1:11">
      <c r="A1889" t="s">
        <v>1216</v>
      </c>
      <c r="B1889" t="s">
        <v>10177</v>
      </c>
      <c r="C1889" t="s">
        <v>6795</v>
      </c>
      <c r="D1889" t="s">
        <v>6574</v>
      </c>
      <c r="E1889">
        <v>1283.94</v>
      </c>
      <c r="G1889" s="35"/>
      <c r="H1889" s="36">
        <f t="shared" si="87"/>
        <v>808.88220000000001</v>
      </c>
      <c r="I1889" s="37">
        <f t="shared" si="88"/>
        <v>808.88220000000001</v>
      </c>
      <c r="J1889" s="4"/>
      <c r="K1889" s="38">
        <f t="shared" si="89"/>
        <v>0</v>
      </c>
    </row>
    <row r="1890" spans="1:11">
      <c r="A1890" t="s">
        <v>1217</v>
      </c>
      <c r="B1890" t="s">
        <v>10177</v>
      </c>
      <c r="C1890" t="s">
        <v>6795</v>
      </c>
      <c r="D1890" t="s">
        <v>6575</v>
      </c>
      <c r="E1890">
        <v>1781.87</v>
      </c>
      <c r="G1890" s="35"/>
      <c r="H1890" s="36">
        <f t="shared" si="87"/>
        <v>1122.5780999999999</v>
      </c>
      <c r="I1890" s="37">
        <f t="shared" si="88"/>
        <v>1122.5780999999999</v>
      </c>
      <c r="J1890" s="4"/>
      <c r="K1890" s="38">
        <f t="shared" si="89"/>
        <v>0</v>
      </c>
    </row>
    <row r="1891" spans="1:11">
      <c r="A1891" t="s">
        <v>1262</v>
      </c>
      <c r="B1891" t="s">
        <v>10177</v>
      </c>
      <c r="C1891" t="s">
        <v>6843</v>
      </c>
      <c r="D1891" t="s">
        <v>6715</v>
      </c>
      <c r="E1891">
        <v>1252.44</v>
      </c>
      <c r="G1891" s="35"/>
      <c r="H1891" s="36">
        <f t="shared" si="87"/>
        <v>789.03719999999998</v>
      </c>
      <c r="I1891" s="37">
        <f t="shared" si="88"/>
        <v>789.03719999999998</v>
      </c>
      <c r="J1891" s="4"/>
      <c r="K1891" s="38">
        <f t="shared" si="89"/>
        <v>0</v>
      </c>
    </row>
    <row r="1892" spans="1:11">
      <c r="A1892" t="s">
        <v>1263</v>
      </c>
      <c r="B1892" t="s">
        <v>10177</v>
      </c>
      <c r="C1892" t="s">
        <v>6843</v>
      </c>
      <c r="D1892" t="s">
        <v>6716</v>
      </c>
      <c r="E1892">
        <v>1640.07</v>
      </c>
      <c r="G1892" s="35"/>
      <c r="H1892" s="36">
        <f t="shared" si="87"/>
        <v>1033.2440999999999</v>
      </c>
      <c r="I1892" s="37">
        <f t="shared" si="88"/>
        <v>1033.2440999999999</v>
      </c>
      <c r="J1892" s="4"/>
      <c r="K1892" s="38">
        <f t="shared" si="89"/>
        <v>0</v>
      </c>
    </row>
    <row r="1893" spans="1:11">
      <c r="A1893" t="s">
        <v>1264</v>
      </c>
      <c r="B1893" t="s">
        <v>10177</v>
      </c>
      <c r="C1893" t="s">
        <v>6843</v>
      </c>
      <c r="D1893" t="s">
        <v>6718</v>
      </c>
      <c r="E1893">
        <v>2393.73</v>
      </c>
      <c r="G1893" s="35"/>
      <c r="H1893" s="36">
        <f t="shared" si="87"/>
        <v>1508.0499</v>
      </c>
      <c r="I1893" s="37">
        <f t="shared" si="88"/>
        <v>1508.0499</v>
      </c>
      <c r="J1893" s="4"/>
      <c r="K1893" s="38">
        <f t="shared" si="89"/>
        <v>0</v>
      </c>
    </row>
    <row r="1894" spans="1:11">
      <c r="A1894" t="s">
        <v>1265</v>
      </c>
      <c r="B1894" t="s">
        <v>10177</v>
      </c>
      <c r="C1894" t="s">
        <v>6843</v>
      </c>
      <c r="D1894" t="s">
        <v>6717</v>
      </c>
      <c r="E1894">
        <v>5820.56</v>
      </c>
      <c r="G1894" s="35"/>
      <c r="H1894" s="36">
        <f t="shared" si="87"/>
        <v>3666.9528000000005</v>
      </c>
      <c r="I1894" s="37">
        <f t="shared" si="88"/>
        <v>3666.9528000000005</v>
      </c>
      <c r="J1894" s="4"/>
      <c r="K1894" s="38">
        <f t="shared" si="89"/>
        <v>0</v>
      </c>
    </row>
    <row r="1895" spans="1:11">
      <c r="A1895" t="s">
        <v>1266</v>
      </c>
      <c r="B1895" t="s">
        <v>10177</v>
      </c>
      <c r="C1895" t="s">
        <v>6844</v>
      </c>
      <c r="D1895" t="s">
        <v>6845</v>
      </c>
      <c r="E1895">
        <v>40426.730000000003</v>
      </c>
      <c r="G1895" s="35"/>
      <c r="H1895" s="36">
        <f t="shared" si="87"/>
        <v>25468.839900000003</v>
      </c>
      <c r="I1895" s="37">
        <f t="shared" si="88"/>
        <v>25468.839900000003</v>
      </c>
      <c r="J1895" s="4"/>
      <c r="K1895" s="38">
        <f t="shared" si="89"/>
        <v>0</v>
      </c>
    </row>
    <row r="1896" spans="1:11">
      <c r="A1896" t="s">
        <v>1267</v>
      </c>
      <c r="B1896" t="s">
        <v>10177</v>
      </c>
      <c r="C1896" t="s">
        <v>6844</v>
      </c>
      <c r="D1896" t="s">
        <v>11284</v>
      </c>
      <c r="E1896">
        <v>71520.41</v>
      </c>
      <c r="G1896" s="35"/>
      <c r="H1896" s="36">
        <f t="shared" si="87"/>
        <v>45057.8583</v>
      </c>
      <c r="I1896" s="37">
        <f t="shared" si="88"/>
        <v>45057.8583</v>
      </c>
      <c r="J1896" s="4"/>
      <c r="K1896" s="38">
        <f t="shared" si="89"/>
        <v>0</v>
      </c>
    </row>
    <row r="1897" spans="1:11">
      <c r="A1897" t="s">
        <v>1268</v>
      </c>
      <c r="B1897" t="s">
        <v>10177</v>
      </c>
      <c r="C1897" t="s">
        <v>6844</v>
      </c>
      <c r="D1897" t="s">
        <v>6846</v>
      </c>
      <c r="E1897">
        <v>27677.89</v>
      </c>
      <c r="G1897" s="35"/>
      <c r="H1897" s="36">
        <f t="shared" si="87"/>
        <v>17437.0707</v>
      </c>
      <c r="I1897" s="37">
        <f t="shared" si="88"/>
        <v>17437.0707</v>
      </c>
      <c r="J1897" s="4"/>
      <c r="K1897" s="38">
        <f t="shared" si="89"/>
        <v>0</v>
      </c>
    </row>
    <row r="1898" spans="1:11">
      <c r="A1898" t="s">
        <v>9999</v>
      </c>
      <c r="B1898" t="s">
        <v>10177</v>
      </c>
      <c r="C1898" t="s">
        <v>6844</v>
      </c>
      <c r="D1898" t="s">
        <v>9466</v>
      </c>
      <c r="E1898">
        <v>50378.37</v>
      </c>
      <c r="G1898" s="35"/>
      <c r="H1898" s="36">
        <f t="shared" si="87"/>
        <v>31738.373100000001</v>
      </c>
      <c r="I1898" s="37">
        <f t="shared" si="88"/>
        <v>31738.373100000001</v>
      </c>
      <c r="J1898" s="4"/>
      <c r="K1898" s="38">
        <f t="shared" si="89"/>
        <v>0</v>
      </c>
    </row>
    <row r="1899" spans="1:11">
      <c r="A1899" t="s">
        <v>1302</v>
      </c>
      <c r="B1899" t="s">
        <v>10177</v>
      </c>
      <c r="C1899" t="s">
        <v>6879</v>
      </c>
      <c r="D1899" t="s">
        <v>6880</v>
      </c>
      <c r="E1899">
        <v>11133.51</v>
      </c>
      <c r="G1899" s="35"/>
      <c r="H1899" s="36">
        <f t="shared" si="87"/>
        <v>7014.1113000000005</v>
      </c>
      <c r="I1899" s="37">
        <f t="shared" si="88"/>
        <v>7014.1113000000005</v>
      </c>
      <c r="J1899" s="4"/>
      <c r="K1899" s="38">
        <f t="shared" si="89"/>
        <v>0</v>
      </c>
    </row>
    <row r="1900" spans="1:11">
      <c r="A1900" t="s">
        <v>1335</v>
      </c>
      <c r="B1900" t="s">
        <v>10177</v>
      </c>
      <c r="C1900" t="s">
        <v>6912</v>
      </c>
      <c r="D1900" t="s">
        <v>6913</v>
      </c>
      <c r="E1900">
        <v>6063.82</v>
      </c>
      <c r="G1900" s="35"/>
      <c r="H1900" s="36">
        <f t="shared" si="87"/>
        <v>3820.2066</v>
      </c>
      <c r="I1900" s="37">
        <f t="shared" si="88"/>
        <v>3820.2066</v>
      </c>
      <c r="J1900" s="4"/>
      <c r="K1900" s="38">
        <f t="shared" si="89"/>
        <v>0</v>
      </c>
    </row>
    <row r="1901" spans="1:11">
      <c r="A1901" t="s">
        <v>1336</v>
      </c>
      <c r="B1901" t="s">
        <v>10177</v>
      </c>
      <c r="C1901" t="s">
        <v>6912</v>
      </c>
      <c r="D1901" t="s">
        <v>6914</v>
      </c>
      <c r="E1901">
        <v>6700.57</v>
      </c>
      <c r="G1901" s="35"/>
      <c r="H1901" s="36">
        <f t="shared" si="87"/>
        <v>4221.3590999999997</v>
      </c>
      <c r="I1901" s="37">
        <f t="shared" si="88"/>
        <v>4221.3590999999997</v>
      </c>
      <c r="J1901" s="4"/>
      <c r="K1901" s="38">
        <f t="shared" si="89"/>
        <v>0</v>
      </c>
    </row>
    <row r="1902" spans="1:11">
      <c r="A1902" t="s">
        <v>1337</v>
      </c>
      <c r="B1902" t="s">
        <v>10177</v>
      </c>
      <c r="C1902" t="s">
        <v>6912</v>
      </c>
      <c r="D1902" t="s">
        <v>6915</v>
      </c>
      <c r="E1902">
        <v>6219.05</v>
      </c>
      <c r="G1902" s="35"/>
      <c r="H1902" s="36">
        <f t="shared" si="87"/>
        <v>3918.0015000000003</v>
      </c>
      <c r="I1902" s="37">
        <f t="shared" si="88"/>
        <v>3918.0015000000003</v>
      </c>
      <c r="J1902" s="4"/>
      <c r="K1902" s="38">
        <f t="shared" si="89"/>
        <v>0</v>
      </c>
    </row>
    <row r="1903" spans="1:11">
      <c r="A1903" t="s">
        <v>1338</v>
      </c>
      <c r="B1903" t="s">
        <v>10177</v>
      </c>
      <c r="C1903" t="s">
        <v>6912</v>
      </c>
      <c r="D1903" t="s">
        <v>6916</v>
      </c>
      <c r="E1903">
        <v>6348.28</v>
      </c>
      <c r="G1903" s="35"/>
      <c r="H1903" s="36">
        <f t="shared" si="87"/>
        <v>3999.4164000000001</v>
      </c>
      <c r="I1903" s="37">
        <f t="shared" si="88"/>
        <v>3999.4164000000001</v>
      </c>
      <c r="J1903" s="4"/>
      <c r="K1903" s="38">
        <f t="shared" si="89"/>
        <v>0</v>
      </c>
    </row>
    <row r="1904" spans="1:11">
      <c r="A1904" t="s">
        <v>1340</v>
      </c>
      <c r="B1904" t="s">
        <v>10177</v>
      </c>
      <c r="C1904" t="s">
        <v>6912</v>
      </c>
      <c r="D1904" t="s">
        <v>6918</v>
      </c>
      <c r="E1904">
        <v>7577.68</v>
      </c>
      <c r="G1904" s="35"/>
      <c r="H1904" s="36">
        <f t="shared" si="87"/>
        <v>4773.9384</v>
      </c>
      <c r="I1904" s="37">
        <f t="shared" si="88"/>
        <v>4773.9384</v>
      </c>
      <c r="J1904" s="4"/>
      <c r="K1904" s="38">
        <f t="shared" si="89"/>
        <v>0</v>
      </c>
    </row>
    <row r="1905" spans="1:11">
      <c r="A1905" t="s">
        <v>1339</v>
      </c>
      <c r="B1905" t="s">
        <v>10177</v>
      </c>
      <c r="C1905" t="s">
        <v>6912</v>
      </c>
      <c r="D1905" t="s">
        <v>6917</v>
      </c>
      <c r="E1905">
        <v>7024.97</v>
      </c>
      <c r="G1905" s="35"/>
      <c r="H1905" s="36">
        <f t="shared" si="87"/>
        <v>4425.7311</v>
      </c>
      <c r="I1905" s="37">
        <f t="shared" si="88"/>
        <v>4425.7311</v>
      </c>
      <c r="J1905" s="4"/>
      <c r="K1905" s="38">
        <f t="shared" si="89"/>
        <v>0</v>
      </c>
    </row>
    <row r="1906" spans="1:11">
      <c r="A1906" t="s">
        <v>1344</v>
      </c>
      <c r="B1906" t="s">
        <v>10177</v>
      </c>
      <c r="C1906" t="s">
        <v>6922</v>
      </c>
      <c r="D1906" t="s">
        <v>6923</v>
      </c>
      <c r="E1906">
        <v>4959.3900000000003</v>
      </c>
      <c r="G1906" s="35"/>
      <c r="H1906" s="36">
        <f t="shared" si="87"/>
        <v>3124.4157</v>
      </c>
      <c r="I1906" s="37">
        <f t="shared" si="88"/>
        <v>3124.4157</v>
      </c>
      <c r="J1906" s="4"/>
      <c r="K1906" s="38">
        <f t="shared" si="89"/>
        <v>0</v>
      </c>
    </row>
    <row r="1907" spans="1:11">
      <c r="A1907" t="s">
        <v>1345</v>
      </c>
      <c r="B1907" t="s">
        <v>10177</v>
      </c>
      <c r="C1907" t="s">
        <v>6922</v>
      </c>
      <c r="D1907" t="s">
        <v>6924</v>
      </c>
      <c r="E1907">
        <v>4965.03</v>
      </c>
      <c r="G1907" s="35"/>
      <c r="H1907" s="36">
        <f t="shared" si="87"/>
        <v>3127.9688999999998</v>
      </c>
      <c r="I1907" s="37">
        <f t="shared" si="88"/>
        <v>3127.9688999999998</v>
      </c>
      <c r="J1907" s="4"/>
      <c r="K1907" s="38">
        <f t="shared" si="89"/>
        <v>0</v>
      </c>
    </row>
    <row r="1908" spans="1:11">
      <c r="A1908" t="s">
        <v>1346</v>
      </c>
      <c r="B1908" t="s">
        <v>10177</v>
      </c>
      <c r="C1908" t="s">
        <v>6922</v>
      </c>
      <c r="D1908" t="s">
        <v>6925</v>
      </c>
      <c r="E1908">
        <v>4333.2</v>
      </c>
      <c r="G1908" s="35"/>
      <c r="H1908" s="36">
        <f t="shared" si="87"/>
        <v>2729.9159999999997</v>
      </c>
      <c r="I1908" s="37">
        <f t="shared" si="88"/>
        <v>2729.9159999999997</v>
      </c>
      <c r="J1908" s="4"/>
      <c r="K1908" s="38">
        <f t="shared" si="89"/>
        <v>0</v>
      </c>
    </row>
    <row r="1909" spans="1:11">
      <c r="A1909" t="s">
        <v>1347</v>
      </c>
      <c r="B1909" t="s">
        <v>10177</v>
      </c>
      <c r="C1909" t="s">
        <v>6922</v>
      </c>
      <c r="D1909" t="s">
        <v>6926</v>
      </c>
      <c r="E1909">
        <v>4333.2</v>
      </c>
      <c r="G1909" s="35"/>
      <c r="H1909" s="36">
        <f t="shared" si="87"/>
        <v>2729.9159999999997</v>
      </c>
      <c r="I1909" s="37">
        <f t="shared" si="88"/>
        <v>2729.9159999999997</v>
      </c>
      <c r="J1909" s="4"/>
      <c r="K1909" s="38">
        <f t="shared" si="89"/>
        <v>0</v>
      </c>
    </row>
    <row r="1910" spans="1:11">
      <c r="A1910" t="s">
        <v>945</v>
      </c>
      <c r="B1910" t="s">
        <v>10177</v>
      </c>
      <c r="C1910" t="s">
        <v>6596</v>
      </c>
      <c r="D1910" t="s">
        <v>6597</v>
      </c>
      <c r="E1910">
        <v>35628.31</v>
      </c>
      <c r="G1910" s="35"/>
      <c r="H1910" s="36">
        <f t="shared" si="87"/>
        <v>22445.835299999999</v>
      </c>
      <c r="I1910" s="37">
        <f t="shared" si="88"/>
        <v>22445.835299999999</v>
      </c>
      <c r="J1910" s="4"/>
      <c r="K1910" s="38">
        <f t="shared" si="89"/>
        <v>0</v>
      </c>
    </row>
    <row r="1911" spans="1:11">
      <c r="A1911" t="s">
        <v>2176</v>
      </c>
      <c r="B1911" t="s">
        <v>10177</v>
      </c>
      <c r="C1911" t="s">
        <v>7218</v>
      </c>
      <c r="D1911" t="s">
        <v>6681</v>
      </c>
      <c r="E1911">
        <v>5613.83</v>
      </c>
      <c r="G1911" s="35"/>
      <c r="H1911" s="36">
        <f t="shared" si="87"/>
        <v>3536.7129</v>
      </c>
      <c r="I1911" s="37">
        <f t="shared" si="88"/>
        <v>3536.7129</v>
      </c>
      <c r="J1911" s="4"/>
      <c r="K1911" s="38">
        <f t="shared" si="89"/>
        <v>0</v>
      </c>
    </row>
    <row r="1912" spans="1:11">
      <c r="A1912" t="s">
        <v>2177</v>
      </c>
      <c r="B1912" t="s">
        <v>10177</v>
      </c>
      <c r="C1912" t="s">
        <v>7218</v>
      </c>
      <c r="D1912" t="s">
        <v>7731</v>
      </c>
      <c r="E1912">
        <v>6413.28</v>
      </c>
      <c r="G1912" s="35"/>
      <c r="H1912" s="36">
        <f t="shared" si="87"/>
        <v>4040.3663999999999</v>
      </c>
      <c r="I1912" s="37">
        <f t="shared" si="88"/>
        <v>4040.3663999999999</v>
      </c>
      <c r="J1912" s="4"/>
      <c r="K1912" s="38">
        <f t="shared" si="89"/>
        <v>0</v>
      </c>
    </row>
    <row r="1913" spans="1:11">
      <c r="A1913" t="s">
        <v>3493</v>
      </c>
      <c r="B1913" t="s">
        <v>10177</v>
      </c>
      <c r="C1913" t="s">
        <v>8988</v>
      </c>
      <c r="D1913" t="s">
        <v>8989</v>
      </c>
      <c r="E1913">
        <v>5120.1899999999996</v>
      </c>
      <c r="G1913" s="35"/>
      <c r="H1913" s="36">
        <f t="shared" si="87"/>
        <v>3225.7196999999996</v>
      </c>
      <c r="I1913" s="37">
        <f t="shared" si="88"/>
        <v>3225.7196999999996</v>
      </c>
      <c r="J1913" s="4"/>
      <c r="K1913" s="38">
        <f t="shared" si="89"/>
        <v>0</v>
      </c>
    </row>
    <row r="1914" spans="1:11">
      <c r="A1914" t="s">
        <v>3494</v>
      </c>
      <c r="B1914" t="s">
        <v>10177</v>
      </c>
      <c r="C1914" t="s">
        <v>8988</v>
      </c>
      <c r="D1914" t="s">
        <v>8990</v>
      </c>
      <c r="E1914">
        <v>9856.6200000000008</v>
      </c>
      <c r="G1914" s="35"/>
      <c r="H1914" s="36">
        <f t="shared" si="87"/>
        <v>6209.6706000000004</v>
      </c>
      <c r="I1914" s="37">
        <f t="shared" si="88"/>
        <v>6209.6706000000004</v>
      </c>
      <c r="J1914" s="4"/>
      <c r="K1914" s="38">
        <f t="shared" si="89"/>
        <v>0</v>
      </c>
    </row>
    <row r="1915" spans="1:11">
      <c r="A1915" t="s">
        <v>3895</v>
      </c>
      <c r="B1915" t="s">
        <v>10177</v>
      </c>
      <c r="C1915" t="s">
        <v>9364</v>
      </c>
      <c r="D1915" t="s">
        <v>9365</v>
      </c>
      <c r="E1915">
        <v>8107.98</v>
      </c>
      <c r="G1915" s="35"/>
      <c r="H1915" s="36">
        <f t="shared" si="87"/>
        <v>5108.0273999999999</v>
      </c>
      <c r="I1915" s="37">
        <f t="shared" si="88"/>
        <v>5108.0273999999999</v>
      </c>
      <c r="J1915" s="4"/>
      <c r="K1915" s="38">
        <f t="shared" si="89"/>
        <v>0</v>
      </c>
    </row>
    <row r="1916" spans="1:11">
      <c r="A1916" t="s">
        <v>3896</v>
      </c>
      <c r="B1916" t="s">
        <v>10177</v>
      </c>
      <c r="C1916" t="s">
        <v>9364</v>
      </c>
      <c r="D1916" t="s">
        <v>9366</v>
      </c>
      <c r="E1916">
        <v>8694.68</v>
      </c>
      <c r="G1916" s="35"/>
      <c r="H1916" s="36">
        <f t="shared" si="87"/>
        <v>5477.6484</v>
      </c>
      <c r="I1916" s="37">
        <f t="shared" si="88"/>
        <v>5477.6484</v>
      </c>
      <c r="J1916" s="4"/>
      <c r="K1916" s="38">
        <f t="shared" si="89"/>
        <v>0</v>
      </c>
    </row>
    <row r="1917" spans="1:11">
      <c r="A1917" t="s">
        <v>3897</v>
      </c>
      <c r="B1917" t="s">
        <v>10177</v>
      </c>
      <c r="C1917" t="s">
        <v>9364</v>
      </c>
      <c r="D1917" t="s">
        <v>9367</v>
      </c>
      <c r="E1917">
        <v>11722.33</v>
      </c>
      <c r="G1917" s="35"/>
      <c r="H1917" s="36">
        <f t="shared" si="87"/>
        <v>7385.0679</v>
      </c>
      <c r="I1917" s="37">
        <f t="shared" si="88"/>
        <v>7385.0679</v>
      </c>
      <c r="J1917" s="4"/>
      <c r="K1917" s="38">
        <f t="shared" si="89"/>
        <v>0</v>
      </c>
    </row>
    <row r="1918" spans="1:11">
      <c r="A1918" t="s">
        <v>3898</v>
      </c>
      <c r="B1918" t="s">
        <v>10177</v>
      </c>
      <c r="C1918" t="s">
        <v>9364</v>
      </c>
      <c r="D1918" t="s">
        <v>9368</v>
      </c>
      <c r="E1918">
        <v>13021.07</v>
      </c>
      <c r="G1918" s="35"/>
      <c r="H1918" s="36">
        <f t="shared" si="87"/>
        <v>8203.2741000000005</v>
      </c>
      <c r="I1918" s="37">
        <f t="shared" si="88"/>
        <v>8203.2741000000005</v>
      </c>
      <c r="J1918" s="4"/>
      <c r="K1918" s="38">
        <f t="shared" si="89"/>
        <v>0</v>
      </c>
    </row>
    <row r="1919" spans="1:11">
      <c r="A1919" t="s">
        <v>3899</v>
      </c>
      <c r="B1919" t="s">
        <v>10177</v>
      </c>
      <c r="C1919" t="s">
        <v>9364</v>
      </c>
      <c r="D1919" t="s">
        <v>9369</v>
      </c>
      <c r="E1919">
        <v>9683.4</v>
      </c>
      <c r="G1919" s="35"/>
      <c r="H1919" s="36">
        <f t="shared" si="87"/>
        <v>6100.5419999999995</v>
      </c>
      <c r="I1919" s="37">
        <f t="shared" si="88"/>
        <v>6100.5419999999995</v>
      </c>
      <c r="J1919" s="4"/>
      <c r="K1919" s="38">
        <f t="shared" si="89"/>
        <v>0</v>
      </c>
    </row>
    <row r="1920" spans="1:11">
      <c r="A1920" t="s">
        <v>3901</v>
      </c>
      <c r="B1920" t="s">
        <v>10177</v>
      </c>
      <c r="C1920" t="s">
        <v>9371</v>
      </c>
      <c r="D1920" t="s">
        <v>9372</v>
      </c>
      <c r="E1920">
        <v>8456.57</v>
      </c>
      <c r="G1920" s="35"/>
      <c r="H1920" s="36">
        <f t="shared" si="87"/>
        <v>5327.6390999999994</v>
      </c>
      <c r="I1920" s="37">
        <f t="shared" si="88"/>
        <v>5327.6390999999994</v>
      </c>
      <c r="J1920" s="4"/>
      <c r="K1920" s="38">
        <f t="shared" si="89"/>
        <v>0</v>
      </c>
    </row>
    <row r="1921" spans="1:11">
      <c r="A1921" t="s">
        <v>3902</v>
      </c>
      <c r="B1921" t="s">
        <v>10177</v>
      </c>
      <c r="C1921" t="s">
        <v>9371</v>
      </c>
      <c r="D1921" t="s">
        <v>9373</v>
      </c>
      <c r="E1921">
        <v>10010.84</v>
      </c>
      <c r="G1921" s="35"/>
      <c r="H1921" s="36">
        <f t="shared" si="87"/>
        <v>6306.8292000000001</v>
      </c>
      <c r="I1921" s="37">
        <f t="shared" si="88"/>
        <v>6306.8292000000001</v>
      </c>
      <c r="J1921" s="4"/>
      <c r="K1921" s="38">
        <f t="shared" si="89"/>
        <v>0</v>
      </c>
    </row>
    <row r="1922" spans="1:11">
      <c r="A1922" t="s">
        <v>3903</v>
      </c>
      <c r="B1922" t="s">
        <v>10177</v>
      </c>
      <c r="C1922" t="s">
        <v>9371</v>
      </c>
      <c r="D1922" t="s">
        <v>9374</v>
      </c>
      <c r="E1922">
        <v>11403.66</v>
      </c>
      <c r="G1922" s="35"/>
      <c r="H1922" s="36">
        <f t="shared" si="87"/>
        <v>7184.3058000000001</v>
      </c>
      <c r="I1922" s="37">
        <f t="shared" si="88"/>
        <v>7184.3058000000001</v>
      </c>
      <c r="J1922" s="4"/>
      <c r="K1922" s="38">
        <f t="shared" si="89"/>
        <v>0</v>
      </c>
    </row>
    <row r="1923" spans="1:11">
      <c r="A1923" t="s">
        <v>3904</v>
      </c>
      <c r="B1923" t="s">
        <v>10177</v>
      </c>
      <c r="C1923" t="s">
        <v>9371</v>
      </c>
      <c r="D1923" t="s">
        <v>9375</v>
      </c>
      <c r="E1923">
        <v>10010.84</v>
      </c>
      <c r="G1923" s="35"/>
      <c r="H1923" s="36">
        <f t="shared" si="87"/>
        <v>6306.8292000000001</v>
      </c>
      <c r="I1923" s="37">
        <f t="shared" si="88"/>
        <v>6306.8292000000001</v>
      </c>
      <c r="J1923" s="4"/>
      <c r="K1923" s="38">
        <f t="shared" si="89"/>
        <v>0</v>
      </c>
    </row>
    <row r="1924" spans="1:11">
      <c r="A1924" t="s">
        <v>3905</v>
      </c>
      <c r="B1924" t="s">
        <v>10177</v>
      </c>
      <c r="C1924" t="s">
        <v>9371</v>
      </c>
      <c r="D1924" t="s">
        <v>9376</v>
      </c>
      <c r="E1924">
        <v>258.89999999999998</v>
      </c>
      <c r="G1924" s="35"/>
      <c r="H1924" s="36">
        <f t="shared" si="87"/>
        <v>163.107</v>
      </c>
      <c r="I1924" s="37">
        <f t="shared" si="88"/>
        <v>163.107</v>
      </c>
      <c r="J1924" s="4"/>
      <c r="K1924" s="38">
        <f t="shared" si="89"/>
        <v>0</v>
      </c>
    </row>
    <row r="1925" spans="1:11">
      <c r="A1925" t="s">
        <v>3906</v>
      </c>
      <c r="B1925" t="s">
        <v>10177</v>
      </c>
      <c r="C1925" t="s">
        <v>9371</v>
      </c>
      <c r="D1925" t="s">
        <v>9377</v>
      </c>
      <c r="E1925">
        <v>360.97</v>
      </c>
      <c r="G1925" s="35"/>
      <c r="H1925" s="36">
        <f t="shared" si="87"/>
        <v>227.4111</v>
      </c>
      <c r="I1925" s="37">
        <f t="shared" si="88"/>
        <v>227.4111</v>
      </c>
      <c r="J1925" s="4"/>
      <c r="K1925" s="38">
        <f t="shared" si="89"/>
        <v>0</v>
      </c>
    </row>
    <row r="1926" spans="1:11">
      <c r="A1926" t="s">
        <v>1812</v>
      </c>
      <c r="B1926" t="s">
        <v>10177</v>
      </c>
      <c r="C1926" t="s">
        <v>7414</v>
      </c>
      <c r="D1926" t="s">
        <v>7415</v>
      </c>
      <c r="E1926">
        <v>16032.79</v>
      </c>
      <c r="G1926" s="35"/>
      <c r="H1926" s="36">
        <f t="shared" si="87"/>
        <v>10100.6577</v>
      </c>
      <c r="I1926" s="37">
        <f t="shared" si="88"/>
        <v>10100.6577</v>
      </c>
      <c r="J1926" s="4"/>
      <c r="K1926" s="38">
        <f t="shared" si="89"/>
        <v>0</v>
      </c>
    </row>
    <row r="1927" spans="1:11">
      <c r="A1927" t="s">
        <v>1757</v>
      </c>
      <c r="B1927" t="s">
        <v>10177</v>
      </c>
      <c r="C1927" t="s">
        <v>7353</v>
      </c>
      <c r="D1927" t="s">
        <v>7354</v>
      </c>
      <c r="E1927">
        <v>5476.43</v>
      </c>
      <c r="G1927" s="35"/>
      <c r="H1927" s="36">
        <f t="shared" ref="H1927:H1990" si="90">+E1927*$H$1*(1-G1927)</f>
        <v>3450.1509000000001</v>
      </c>
      <c r="I1927" s="37">
        <f t="shared" ref="I1927:I1990" si="91">H1927*$H$4</f>
        <v>3450.1509000000001</v>
      </c>
      <c r="J1927" s="4"/>
      <c r="K1927" s="38">
        <f t="shared" ref="K1927:K1990" si="92">J1927*I1927</f>
        <v>0</v>
      </c>
    </row>
    <row r="1928" spans="1:11">
      <c r="A1928" t="s">
        <v>1758</v>
      </c>
      <c r="B1928" t="s">
        <v>10177</v>
      </c>
      <c r="C1928" t="s">
        <v>7353</v>
      </c>
      <c r="D1928" t="s">
        <v>7355</v>
      </c>
      <c r="E1928">
        <v>556.94000000000005</v>
      </c>
      <c r="G1928" s="35"/>
      <c r="H1928" s="36">
        <f t="shared" si="90"/>
        <v>350.87220000000002</v>
      </c>
      <c r="I1928" s="37">
        <f t="shared" si="91"/>
        <v>350.87220000000002</v>
      </c>
      <c r="J1928" s="4"/>
      <c r="K1928" s="38">
        <f t="shared" si="92"/>
        <v>0</v>
      </c>
    </row>
    <row r="1929" spans="1:11">
      <c r="A1929" t="s">
        <v>1710</v>
      </c>
      <c r="B1929" t="s">
        <v>10177</v>
      </c>
      <c r="C1929" t="s">
        <v>7301</v>
      </c>
      <c r="D1929" t="s">
        <v>7302</v>
      </c>
      <c r="E1929">
        <v>1734.02</v>
      </c>
      <c r="G1929" s="35"/>
      <c r="H1929" s="36">
        <f t="shared" si="90"/>
        <v>1092.4326000000001</v>
      </c>
      <c r="I1929" s="37">
        <f t="shared" si="91"/>
        <v>1092.4326000000001</v>
      </c>
      <c r="J1929" s="4"/>
      <c r="K1929" s="38">
        <f t="shared" si="92"/>
        <v>0</v>
      </c>
    </row>
    <row r="1930" spans="1:11">
      <c r="A1930" t="s">
        <v>1711</v>
      </c>
      <c r="B1930" t="s">
        <v>10177</v>
      </c>
      <c r="C1930" t="s">
        <v>7301</v>
      </c>
      <c r="D1930" t="s">
        <v>7303</v>
      </c>
      <c r="E1930">
        <v>1771.75</v>
      </c>
      <c r="G1930" s="35"/>
      <c r="H1930" s="36">
        <f t="shared" si="90"/>
        <v>1116.2025000000001</v>
      </c>
      <c r="I1930" s="37">
        <f t="shared" si="91"/>
        <v>1116.2025000000001</v>
      </c>
      <c r="J1930" s="4"/>
      <c r="K1930" s="38">
        <f t="shared" si="92"/>
        <v>0</v>
      </c>
    </row>
    <row r="1931" spans="1:11">
      <c r="A1931" t="s">
        <v>1712</v>
      </c>
      <c r="B1931" t="s">
        <v>10177</v>
      </c>
      <c r="C1931" t="s">
        <v>7301</v>
      </c>
      <c r="D1931" t="s">
        <v>7304</v>
      </c>
      <c r="E1931">
        <v>2981.09</v>
      </c>
      <c r="G1931" s="35"/>
      <c r="H1931" s="36">
        <f t="shared" si="90"/>
        <v>1878.0867000000001</v>
      </c>
      <c r="I1931" s="37">
        <f t="shared" si="91"/>
        <v>1878.0867000000001</v>
      </c>
      <c r="J1931" s="4"/>
      <c r="K1931" s="38">
        <f t="shared" si="92"/>
        <v>0</v>
      </c>
    </row>
    <row r="1932" spans="1:11">
      <c r="A1932" t="s">
        <v>1713</v>
      </c>
      <c r="B1932" t="s">
        <v>10177</v>
      </c>
      <c r="C1932" t="s">
        <v>7301</v>
      </c>
      <c r="D1932" t="s">
        <v>7305</v>
      </c>
      <c r="E1932">
        <v>3353.67</v>
      </c>
      <c r="G1932" s="35"/>
      <c r="H1932" s="36">
        <f t="shared" si="90"/>
        <v>2112.8121000000001</v>
      </c>
      <c r="I1932" s="37">
        <f t="shared" si="91"/>
        <v>2112.8121000000001</v>
      </c>
      <c r="J1932" s="4"/>
      <c r="K1932" s="38">
        <f t="shared" si="92"/>
        <v>0</v>
      </c>
    </row>
    <row r="1933" spans="1:11">
      <c r="A1933" t="s">
        <v>1714</v>
      </c>
      <c r="B1933" t="s">
        <v>10177</v>
      </c>
      <c r="C1933" t="s">
        <v>7301</v>
      </c>
      <c r="D1933" t="s">
        <v>7306</v>
      </c>
      <c r="E1933">
        <v>3485.48</v>
      </c>
      <c r="G1933" s="35"/>
      <c r="H1933" s="36">
        <f t="shared" si="90"/>
        <v>2195.8524000000002</v>
      </c>
      <c r="I1933" s="37">
        <f t="shared" si="91"/>
        <v>2195.8524000000002</v>
      </c>
      <c r="J1933" s="4"/>
      <c r="K1933" s="38">
        <f t="shared" si="92"/>
        <v>0</v>
      </c>
    </row>
    <row r="1934" spans="1:11">
      <c r="A1934" t="s">
        <v>1715</v>
      </c>
      <c r="B1934" t="s">
        <v>10177</v>
      </c>
      <c r="C1934" t="s">
        <v>7301</v>
      </c>
      <c r="D1934" t="s">
        <v>7307</v>
      </c>
      <c r="E1934">
        <v>3561.55</v>
      </c>
      <c r="G1934" s="35"/>
      <c r="H1934" s="36">
        <f t="shared" si="90"/>
        <v>2243.7764999999999</v>
      </c>
      <c r="I1934" s="37">
        <f t="shared" si="91"/>
        <v>2243.7764999999999</v>
      </c>
      <c r="J1934" s="4"/>
      <c r="K1934" s="38">
        <f t="shared" si="92"/>
        <v>0</v>
      </c>
    </row>
    <row r="1935" spans="1:11">
      <c r="A1935" t="s">
        <v>1716</v>
      </c>
      <c r="B1935" t="s">
        <v>10177</v>
      </c>
      <c r="C1935" t="s">
        <v>7301</v>
      </c>
      <c r="D1935" t="s">
        <v>7308</v>
      </c>
      <c r="E1935">
        <v>4401.08</v>
      </c>
      <c r="G1935" s="35"/>
      <c r="H1935" s="36">
        <f t="shared" si="90"/>
        <v>2772.6804000000002</v>
      </c>
      <c r="I1935" s="37">
        <f t="shared" si="91"/>
        <v>2772.6804000000002</v>
      </c>
      <c r="J1935" s="4"/>
      <c r="K1935" s="38">
        <f t="shared" si="92"/>
        <v>0</v>
      </c>
    </row>
    <row r="1936" spans="1:11">
      <c r="A1936" t="s">
        <v>1717</v>
      </c>
      <c r="B1936" t="s">
        <v>10177</v>
      </c>
      <c r="C1936" t="s">
        <v>7301</v>
      </c>
      <c r="D1936" t="s">
        <v>7309</v>
      </c>
      <c r="E1936">
        <v>5842.21</v>
      </c>
      <c r="G1936" s="35"/>
      <c r="H1936" s="36">
        <f t="shared" si="90"/>
        <v>3680.5923000000003</v>
      </c>
      <c r="I1936" s="37">
        <f t="shared" si="91"/>
        <v>3680.5923000000003</v>
      </c>
      <c r="J1936" s="4"/>
      <c r="K1936" s="38">
        <f t="shared" si="92"/>
        <v>0</v>
      </c>
    </row>
    <row r="1937" spans="1:11">
      <c r="A1937" t="s">
        <v>1718</v>
      </c>
      <c r="B1937" t="s">
        <v>10177</v>
      </c>
      <c r="C1937" t="s">
        <v>7301</v>
      </c>
      <c r="D1937" t="s">
        <v>7310</v>
      </c>
      <c r="E1937">
        <v>9135.93</v>
      </c>
      <c r="G1937" s="35"/>
      <c r="H1937" s="36">
        <f t="shared" si="90"/>
        <v>5755.6359000000002</v>
      </c>
      <c r="I1937" s="37">
        <f t="shared" si="91"/>
        <v>5755.6359000000002</v>
      </c>
      <c r="J1937" s="4"/>
      <c r="K1937" s="38">
        <f t="shared" si="92"/>
        <v>0</v>
      </c>
    </row>
    <row r="1938" spans="1:11">
      <c r="A1938" t="s">
        <v>1719</v>
      </c>
      <c r="B1938" t="s">
        <v>10177</v>
      </c>
      <c r="C1938" t="s">
        <v>7301</v>
      </c>
      <c r="D1938" t="s">
        <v>7311</v>
      </c>
      <c r="E1938">
        <v>8367.7000000000007</v>
      </c>
      <c r="G1938" s="35"/>
      <c r="H1938" s="36">
        <f t="shared" si="90"/>
        <v>5271.6510000000007</v>
      </c>
      <c r="I1938" s="37">
        <f t="shared" si="91"/>
        <v>5271.6510000000007</v>
      </c>
      <c r="J1938" s="4"/>
      <c r="K1938" s="38">
        <f t="shared" si="92"/>
        <v>0</v>
      </c>
    </row>
    <row r="1939" spans="1:11">
      <c r="A1939" t="s">
        <v>2041</v>
      </c>
      <c r="B1939" t="s">
        <v>10177</v>
      </c>
      <c r="C1939" t="s">
        <v>7628</v>
      </c>
      <c r="D1939" t="s">
        <v>6216</v>
      </c>
      <c r="E1939">
        <v>2668.17</v>
      </c>
      <c r="G1939" s="35"/>
      <c r="H1939" s="36">
        <f t="shared" si="90"/>
        <v>1680.9471000000001</v>
      </c>
      <c r="I1939" s="37">
        <f t="shared" si="91"/>
        <v>1680.9471000000001</v>
      </c>
      <c r="J1939" s="4"/>
      <c r="K1939" s="38">
        <f t="shared" si="92"/>
        <v>0</v>
      </c>
    </row>
    <row r="1940" spans="1:11">
      <c r="A1940" t="s">
        <v>2042</v>
      </c>
      <c r="B1940" t="s">
        <v>10177</v>
      </c>
      <c r="C1940" t="s">
        <v>7628</v>
      </c>
      <c r="D1940" t="s">
        <v>6217</v>
      </c>
      <c r="E1940">
        <v>822.15</v>
      </c>
      <c r="G1940" s="35"/>
      <c r="H1940" s="36">
        <f t="shared" si="90"/>
        <v>517.95449999999994</v>
      </c>
      <c r="I1940" s="37">
        <f t="shared" si="91"/>
        <v>517.95449999999994</v>
      </c>
      <c r="J1940" s="4"/>
      <c r="K1940" s="38">
        <f t="shared" si="92"/>
        <v>0</v>
      </c>
    </row>
    <row r="1941" spans="1:11">
      <c r="A1941" t="s">
        <v>2043</v>
      </c>
      <c r="B1941" t="s">
        <v>10177</v>
      </c>
      <c r="C1941" t="s">
        <v>7628</v>
      </c>
      <c r="D1941" t="s">
        <v>6218</v>
      </c>
      <c r="E1941">
        <v>909.18</v>
      </c>
      <c r="G1941" s="35"/>
      <c r="H1941" s="36">
        <f t="shared" si="90"/>
        <v>572.78340000000003</v>
      </c>
      <c r="I1941" s="37">
        <f t="shared" si="91"/>
        <v>572.78340000000003</v>
      </c>
      <c r="J1941" s="4"/>
      <c r="K1941" s="38">
        <f t="shared" si="92"/>
        <v>0</v>
      </c>
    </row>
    <row r="1942" spans="1:11">
      <c r="A1942" t="s">
        <v>2044</v>
      </c>
      <c r="B1942" t="s">
        <v>10177</v>
      </c>
      <c r="C1942" t="s">
        <v>7628</v>
      </c>
      <c r="D1942" t="s">
        <v>6220</v>
      </c>
      <c r="E1942">
        <v>1337.92</v>
      </c>
      <c r="G1942" s="35"/>
      <c r="H1942" s="36">
        <f t="shared" si="90"/>
        <v>842.88960000000009</v>
      </c>
      <c r="I1942" s="37">
        <f t="shared" si="91"/>
        <v>842.88960000000009</v>
      </c>
      <c r="J1942" s="4"/>
      <c r="K1942" s="38">
        <f t="shared" si="92"/>
        <v>0</v>
      </c>
    </row>
    <row r="1943" spans="1:11">
      <c r="A1943" t="s">
        <v>2048</v>
      </c>
      <c r="B1943" t="s">
        <v>10177</v>
      </c>
      <c r="C1943" t="s">
        <v>7634</v>
      </c>
      <c r="D1943" t="s">
        <v>7635</v>
      </c>
      <c r="E1943">
        <v>7301.74</v>
      </c>
      <c r="G1943" s="35"/>
      <c r="H1943" s="36">
        <f t="shared" si="90"/>
        <v>4600.0962</v>
      </c>
      <c r="I1943" s="37">
        <f t="shared" si="91"/>
        <v>4600.0962</v>
      </c>
      <c r="J1943" s="4"/>
      <c r="K1943" s="38">
        <f t="shared" si="92"/>
        <v>0</v>
      </c>
    </row>
    <row r="1944" spans="1:11">
      <c r="A1944" t="s">
        <v>2049</v>
      </c>
      <c r="B1944" t="s">
        <v>10177</v>
      </c>
      <c r="C1944" t="s">
        <v>7634</v>
      </c>
      <c r="D1944" t="s">
        <v>7636</v>
      </c>
      <c r="E1944">
        <v>2638.49</v>
      </c>
      <c r="G1944" s="35"/>
      <c r="H1944" s="36">
        <f t="shared" si="90"/>
        <v>1662.2486999999999</v>
      </c>
      <c r="I1944" s="37">
        <f t="shared" si="91"/>
        <v>1662.2486999999999</v>
      </c>
      <c r="J1944" s="4"/>
      <c r="K1944" s="38">
        <f t="shared" si="92"/>
        <v>0</v>
      </c>
    </row>
    <row r="1945" spans="1:11">
      <c r="A1945" t="s">
        <v>2050</v>
      </c>
      <c r="B1945" t="s">
        <v>10177</v>
      </c>
      <c r="C1945" t="s">
        <v>7634</v>
      </c>
      <c r="D1945" t="s">
        <v>7637</v>
      </c>
      <c r="E1945">
        <v>3062.34</v>
      </c>
      <c r="G1945" s="35"/>
      <c r="H1945" s="36">
        <f t="shared" si="90"/>
        <v>1929.2742000000001</v>
      </c>
      <c r="I1945" s="37">
        <f t="shared" si="91"/>
        <v>1929.2742000000001</v>
      </c>
      <c r="J1945" s="4"/>
      <c r="K1945" s="38">
        <f t="shared" si="92"/>
        <v>0</v>
      </c>
    </row>
    <row r="1946" spans="1:11">
      <c r="A1946" t="s">
        <v>2051</v>
      </c>
      <c r="B1946" t="s">
        <v>10177</v>
      </c>
      <c r="C1946" t="s">
        <v>7634</v>
      </c>
      <c r="D1946" t="s">
        <v>7638</v>
      </c>
      <c r="E1946">
        <v>31261.13</v>
      </c>
      <c r="G1946" s="35"/>
      <c r="H1946" s="36">
        <f t="shared" si="90"/>
        <v>19694.511900000001</v>
      </c>
      <c r="I1946" s="37">
        <f t="shared" si="91"/>
        <v>19694.511900000001</v>
      </c>
      <c r="J1946" s="4"/>
      <c r="K1946" s="38">
        <f t="shared" si="92"/>
        <v>0</v>
      </c>
    </row>
    <row r="1947" spans="1:11">
      <c r="A1947" t="s">
        <v>2052</v>
      </c>
      <c r="B1947" t="s">
        <v>10177</v>
      </c>
      <c r="C1947" t="s">
        <v>7634</v>
      </c>
      <c r="D1947" t="s">
        <v>7639</v>
      </c>
      <c r="E1947">
        <v>3456.26</v>
      </c>
      <c r="G1947" s="35"/>
      <c r="H1947" s="36">
        <f t="shared" si="90"/>
        <v>2177.4438</v>
      </c>
      <c r="I1947" s="37">
        <f t="shared" si="91"/>
        <v>2177.4438</v>
      </c>
      <c r="J1947" s="4"/>
      <c r="K1947" s="38">
        <f t="shared" si="92"/>
        <v>0</v>
      </c>
    </row>
    <row r="1948" spans="1:11">
      <c r="A1948" t="s">
        <v>2053</v>
      </c>
      <c r="B1948" t="s">
        <v>10177</v>
      </c>
      <c r="C1948" t="s">
        <v>7634</v>
      </c>
      <c r="D1948" t="s">
        <v>7640</v>
      </c>
      <c r="E1948">
        <v>8621.7800000000007</v>
      </c>
      <c r="G1948" s="35"/>
      <c r="H1948" s="36">
        <f t="shared" si="90"/>
        <v>5431.7214000000004</v>
      </c>
      <c r="I1948" s="37">
        <f t="shared" si="91"/>
        <v>5431.7214000000004</v>
      </c>
      <c r="J1948" s="4"/>
      <c r="K1948" s="38">
        <f t="shared" si="92"/>
        <v>0</v>
      </c>
    </row>
    <row r="1949" spans="1:11">
      <c r="A1949" t="s">
        <v>2054</v>
      </c>
      <c r="B1949" t="s">
        <v>10177</v>
      </c>
      <c r="C1949" t="s">
        <v>7634</v>
      </c>
      <c r="D1949" t="s">
        <v>7641</v>
      </c>
      <c r="E1949">
        <v>1897.88</v>
      </c>
      <c r="G1949" s="35"/>
      <c r="H1949" s="36">
        <f t="shared" si="90"/>
        <v>1195.6644000000001</v>
      </c>
      <c r="I1949" s="37">
        <f t="shared" si="91"/>
        <v>1195.6644000000001</v>
      </c>
      <c r="J1949" s="4"/>
      <c r="K1949" s="38">
        <f t="shared" si="92"/>
        <v>0</v>
      </c>
    </row>
    <row r="1950" spans="1:11">
      <c r="A1950" t="s">
        <v>2055</v>
      </c>
      <c r="B1950" t="s">
        <v>10177</v>
      </c>
      <c r="C1950" t="s">
        <v>7634</v>
      </c>
      <c r="D1950" t="s">
        <v>7642</v>
      </c>
      <c r="E1950">
        <v>2679.93</v>
      </c>
      <c r="G1950" s="35"/>
      <c r="H1950" s="36">
        <f t="shared" si="90"/>
        <v>1688.3559</v>
      </c>
      <c r="I1950" s="37">
        <f t="shared" si="91"/>
        <v>1688.3559</v>
      </c>
      <c r="J1950" s="4"/>
      <c r="K1950" s="38">
        <f t="shared" si="92"/>
        <v>0</v>
      </c>
    </row>
    <row r="1951" spans="1:11">
      <c r="A1951" t="s">
        <v>2056</v>
      </c>
      <c r="B1951" t="s">
        <v>10177</v>
      </c>
      <c r="C1951" t="s">
        <v>7634</v>
      </c>
      <c r="D1951" t="s">
        <v>7643</v>
      </c>
      <c r="E1951">
        <v>4019.76</v>
      </c>
      <c r="G1951" s="35"/>
      <c r="H1951" s="36">
        <f t="shared" si="90"/>
        <v>2532.4488000000001</v>
      </c>
      <c r="I1951" s="37">
        <f t="shared" si="91"/>
        <v>2532.4488000000001</v>
      </c>
      <c r="J1951" s="4"/>
      <c r="K1951" s="38">
        <f t="shared" si="92"/>
        <v>0</v>
      </c>
    </row>
    <row r="1952" spans="1:11">
      <c r="A1952" t="s">
        <v>2057</v>
      </c>
      <c r="B1952" t="s">
        <v>10177</v>
      </c>
      <c r="C1952" t="s">
        <v>7634</v>
      </c>
      <c r="D1952" t="s">
        <v>7644</v>
      </c>
      <c r="E1952">
        <v>4865.6400000000003</v>
      </c>
      <c r="G1952" s="35"/>
      <c r="H1952" s="36">
        <f t="shared" si="90"/>
        <v>3065.3532</v>
      </c>
      <c r="I1952" s="37">
        <f t="shared" si="91"/>
        <v>3065.3532</v>
      </c>
      <c r="J1952" s="4"/>
      <c r="K1952" s="38">
        <f t="shared" si="92"/>
        <v>0</v>
      </c>
    </row>
    <row r="1953" spans="1:11">
      <c r="A1953" t="s">
        <v>2058</v>
      </c>
      <c r="B1953" t="s">
        <v>10177</v>
      </c>
      <c r="C1953" t="s">
        <v>7634</v>
      </c>
      <c r="D1953" t="s">
        <v>7645</v>
      </c>
      <c r="E1953">
        <v>5186.96</v>
      </c>
      <c r="G1953" s="35"/>
      <c r="H1953" s="36">
        <f t="shared" si="90"/>
        <v>3267.7847999999999</v>
      </c>
      <c r="I1953" s="37">
        <f t="shared" si="91"/>
        <v>3267.7847999999999</v>
      </c>
      <c r="J1953" s="4"/>
      <c r="K1953" s="38">
        <f t="shared" si="92"/>
        <v>0</v>
      </c>
    </row>
    <row r="1954" spans="1:11">
      <c r="A1954" t="s">
        <v>2059</v>
      </c>
      <c r="B1954" t="s">
        <v>10177</v>
      </c>
      <c r="C1954" t="s">
        <v>7634</v>
      </c>
      <c r="D1954" t="s">
        <v>7646</v>
      </c>
      <c r="E1954">
        <v>5186.7700000000004</v>
      </c>
      <c r="G1954" s="35"/>
      <c r="H1954" s="36">
        <f t="shared" si="90"/>
        <v>3267.6651000000002</v>
      </c>
      <c r="I1954" s="37">
        <f t="shared" si="91"/>
        <v>3267.6651000000002</v>
      </c>
      <c r="J1954" s="4"/>
      <c r="K1954" s="38">
        <f t="shared" si="92"/>
        <v>0</v>
      </c>
    </row>
    <row r="1955" spans="1:11">
      <c r="A1955" t="s">
        <v>2060</v>
      </c>
      <c r="B1955" t="s">
        <v>10177</v>
      </c>
      <c r="C1955" t="s">
        <v>7634</v>
      </c>
      <c r="D1955" t="s">
        <v>7647</v>
      </c>
      <c r="E1955">
        <v>3381.55</v>
      </c>
      <c r="G1955" s="35"/>
      <c r="H1955" s="36">
        <f t="shared" si="90"/>
        <v>2130.3765000000003</v>
      </c>
      <c r="I1955" s="37">
        <f t="shared" si="91"/>
        <v>2130.3765000000003</v>
      </c>
      <c r="J1955" s="4"/>
      <c r="K1955" s="38">
        <f t="shared" si="92"/>
        <v>0</v>
      </c>
    </row>
    <row r="1956" spans="1:11">
      <c r="A1956" t="s">
        <v>2061</v>
      </c>
      <c r="B1956" t="s">
        <v>10177</v>
      </c>
      <c r="C1956" t="s">
        <v>7634</v>
      </c>
      <c r="D1956" t="s">
        <v>7648</v>
      </c>
      <c r="E1956">
        <v>25160.63</v>
      </c>
      <c r="G1956" s="35"/>
      <c r="H1956" s="36">
        <f t="shared" si="90"/>
        <v>15851.196900000001</v>
      </c>
      <c r="I1956" s="37">
        <f t="shared" si="91"/>
        <v>15851.196900000001</v>
      </c>
      <c r="J1956" s="4"/>
      <c r="K1956" s="38">
        <f t="shared" si="92"/>
        <v>0</v>
      </c>
    </row>
    <row r="1957" spans="1:11">
      <c r="A1957" t="s">
        <v>2062</v>
      </c>
      <c r="B1957" t="s">
        <v>10177</v>
      </c>
      <c r="C1957" t="s">
        <v>7634</v>
      </c>
      <c r="D1957" t="s">
        <v>7649</v>
      </c>
      <c r="E1957">
        <v>4217.8500000000004</v>
      </c>
      <c r="G1957" s="35"/>
      <c r="H1957" s="36">
        <f t="shared" si="90"/>
        <v>2657.2455000000004</v>
      </c>
      <c r="I1957" s="37">
        <f t="shared" si="91"/>
        <v>2657.2455000000004</v>
      </c>
      <c r="J1957" s="4"/>
      <c r="K1957" s="38">
        <f t="shared" si="92"/>
        <v>0</v>
      </c>
    </row>
    <row r="1958" spans="1:11">
      <c r="A1958" t="s">
        <v>2063</v>
      </c>
      <c r="B1958" t="s">
        <v>10177</v>
      </c>
      <c r="C1958" t="s">
        <v>7634</v>
      </c>
      <c r="D1958" t="s">
        <v>7650</v>
      </c>
      <c r="E1958">
        <v>6818.41</v>
      </c>
      <c r="G1958" s="35"/>
      <c r="H1958" s="36">
        <f t="shared" si="90"/>
        <v>4295.5982999999997</v>
      </c>
      <c r="I1958" s="37">
        <f t="shared" si="91"/>
        <v>4295.5982999999997</v>
      </c>
      <c r="J1958" s="4"/>
      <c r="K1958" s="38">
        <f t="shared" si="92"/>
        <v>0</v>
      </c>
    </row>
    <row r="1959" spans="1:11">
      <c r="A1959" t="s">
        <v>2144</v>
      </c>
      <c r="B1959" t="s">
        <v>10177</v>
      </c>
      <c r="C1959" t="s">
        <v>7701</v>
      </c>
      <c r="D1959" t="s">
        <v>7702</v>
      </c>
      <c r="E1959">
        <v>5829.01</v>
      </c>
      <c r="G1959" s="35"/>
      <c r="H1959" s="36">
        <f t="shared" si="90"/>
        <v>3672.2763</v>
      </c>
      <c r="I1959" s="37">
        <f t="shared" si="91"/>
        <v>3672.2763</v>
      </c>
      <c r="J1959" s="4"/>
      <c r="K1959" s="38">
        <f t="shared" si="92"/>
        <v>0</v>
      </c>
    </row>
    <row r="1960" spans="1:11">
      <c r="A1960" t="s">
        <v>2145</v>
      </c>
      <c r="B1960" t="s">
        <v>10177</v>
      </c>
      <c r="C1960" t="s">
        <v>7701</v>
      </c>
      <c r="D1960" t="s">
        <v>7703</v>
      </c>
      <c r="E1960">
        <v>34049.120000000003</v>
      </c>
      <c r="G1960" s="35"/>
      <c r="H1960" s="36">
        <f t="shared" si="90"/>
        <v>21450.945600000003</v>
      </c>
      <c r="I1960" s="37">
        <f t="shared" si="91"/>
        <v>21450.945600000003</v>
      </c>
      <c r="J1960" s="4"/>
      <c r="K1960" s="38">
        <f t="shared" si="92"/>
        <v>0</v>
      </c>
    </row>
    <row r="1961" spans="1:11">
      <c r="A1961" t="s">
        <v>2146</v>
      </c>
      <c r="B1961" t="s">
        <v>10177</v>
      </c>
      <c r="C1961" t="s">
        <v>7701</v>
      </c>
      <c r="D1961" t="s">
        <v>7704</v>
      </c>
      <c r="E1961">
        <v>2815.95</v>
      </c>
      <c r="G1961" s="35"/>
      <c r="H1961" s="36">
        <f t="shared" si="90"/>
        <v>1774.0484999999999</v>
      </c>
      <c r="I1961" s="37">
        <f t="shared" si="91"/>
        <v>1774.0484999999999</v>
      </c>
      <c r="J1961" s="4"/>
      <c r="K1961" s="38">
        <f t="shared" si="92"/>
        <v>0</v>
      </c>
    </row>
    <row r="1962" spans="1:11">
      <c r="A1962" t="s">
        <v>2147</v>
      </c>
      <c r="B1962" t="s">
        <v>10177</v>
      </c>
      <c r="C1962" t="s">
        <v>7701</v>
      </c>
      <c r="D1962" t="s">
        <v>7705</v>
      </c>
      <c r="E1962">
        <v>3052.36</v>
      </c>
      <c r="G1962" s="35"/>
      <c r="H1962" s="36">
        <f t="shared" si="90"/>
        <v>1922.9868000000001</v>
      </c>
      <c r="I1962" s="37">
        <f t="shared" si="91"/>
        <v>1922.9868000000001</v>
      </c>
      <c r="J1962" s="4"/>
      <c r="K1962" s="38">
        <f t="shared" si="92"/>
        <v>0</v>
      </c>
    </row>
    <row r="1963" spans="1:11">
      <c r="A1963" t="s">
        <v>2148</v>
      </c>
      <c r="B1963" t="s">
        <v>10177</v>
      </c>
      <c r="C1963" t="s">
        <v>7701</v>
      </c>
      <c r="D1963" t="s">
        <v>7706</v>
      </c>
      <c r="E1963">
        <v>3332.14</v>
      </c>
      <c r="G1963" s="35"/>
      <c r="H1963" s="36">
        <f t="shared" si="90"/>
        <v>2099.2482</v>
      </c>
      <c r="I1963" s="37">
        <f t="shared" si="91"/>
        <v>2099.2482</v>
      </c>
      <c r="J1963" s="4"/>
      <c r="K1963" s="38">
        <f t="shared" si="92"/>
        <v>0</v>
      </c>
    </row>
    <row r="1964" spans="1:11">
      <c r="A1964" t="s">
        <v>2149</v>
      </c>
      <c r="B1964" t="s">
        <v>10177</v>
      </c>
      <c r="C1964" t="s">
        <v>7701</v>
      </c>
      <c r="D1964" t="s">
        <v>7641</v>
      </c>
      <c r="E1964">
        <v>2033.15</v>
      </c>
      <c r="G1964" s="35"/>
      <c r="H1964" s="36">
        <f t="shared" si="90"/>
        <v>1280.8845000000001</v>
      </c>
      <c r="I1964" s="37">
        <f t="shared" si="91"/>
        <v>1280.8845000000001</v>
      </c>
      <c r="J1964" s="4"/>
      <c r="K1964" s="38">
        <f t="shared" si="92"/>
        <v>0</v>
      </c>
    </row>
    <row r="1965" spans="1:11">
      <c r="A1965" t="s">
        <v>2150</v>
      </c>
      <c r="B1965" t="s">
        <v>10177</v>
      </c>
      <c r="C1965" t="s">
        <v>7701</v>
      </c>
      <c r="D1965" t="s">
        <v>7642</v>
      </c>
      <c r="E1965">
        <v>2603.61</v>
      </c>
      <c r="G1965" s="35"/>
      <c r="H1965" s="36">
        <f t="shared" si="90"/>
        <v>1640.2743</v>
      </c>
      <c r="I1965" s="37">
        <f t="shared" si="91"/>
        <v>1640.2743</v>
      </c>
      <c r="J1965" s="4"/>
      <c r="K1965" s="38">
        <f t="shared" si="92"/>
        <v>0</v>
      </c>
    </row>
    <row r="1966" spans="1:11">
      <c r="A1966" t="s">
        <v>2151</v>
      </c>
      <c r="B1966" t="s">
        <v>10177</v>
      </c>
      <c r="C1966" t="s">
        <v>7701</v>
      </c>
      <c r="D1966" t="s">
        <v>7707</v>
      </c>
      <c r="E1966">
        <v>3071.67</v>
      </c>
      <c r="G1966" s="35"/>
      <c r="H1966" s="36">
        <f t="shared" si="90"/>
        <v>1935.1521</v>
      </c>
      <c r="I1966" s="37">
        <f t="shared" si="91"/>
        <v>1935.1521</v>
      </c>
      <c r="J1966" s="4"/>
      <c r="K1966" s="38">
        <f t="shared" si="92"/>
        <v>0</v>
      </c>
    </row>
    <row r="1967" spans="1:11">
      <c r="A1967" t="s">
        <v>2152</v>
      </c>
      <c r="B1967" t="s">
        <v>10177</v>
      </c>
      <c r="C1967" t="s">
        <v>7701</v>
      </c>
      <c r="D1967" t="s">
        <v>7708</v>
      </c>
      <c r="E1967">
        <v>3959.11</v>
      </c>
      <c r="G1967" s="35"/>
      <c r="H1967" s="36">
        <f t="shared" si="90"/>
        <v>2494.2393000000002</v>
      </c>
      <c r="I1967" s="37">
        <f t="shared" si="91"/>
        <v>2494.2393000000002</v>
      </c>
      <c r="J1967" s="4"/>
      <c r="K1967" s="38">
        <f t="shared" si="92"/>
        <v>0</v>
      </c>
    </row>
    <row r="1968" spans="1:11">
      <c r="A1968" t="s">
        <v>2153</v>
      </c>
      <c r="B1968" t="s">
        <v>10177</v>
      </c>
      <c r="C1968" t="s">
        <v>7701</v>
      </c>
      <c r="D1968" t="s">
        <v>7709</v>
      </c>
      <c r="E1968">
        <v>4656.37</v>
      </c>
      <c r="G1968" s="35"/>
      <c r="H1968" s="36">
        <f t="shared" si="90"/>
        <v>2933.5131000000001</v>
      </c>
      <c r="I1968" s="37">
        <f t="shared" si="91"/>
        <v>2933.5131000000001</v>
      </c>
      <c r="J1968" s="4"/>
      <c r="K1968" s="38">
        <f t="shared" si="92"/>
        <v>0</v>
      </c>
    </row>
    <row r="1969" spans="1:11">
      <c r="A1969" t="s">
        <v>2154</v>
      </c>
      <c r="B1969" t="s">
        <v>10177</v>
      </c>
      <c r="C1969" t="s">
        <v>7701</v>
      </c>
      <c r="D1969" t="s">
        <v>7710</v>
      </c>
      <c r="E1969">
        <v>4858.13</v>
      </c>
      <c r="G1969" s="35"/>
      <c r="H1969" s="36">
        <f t="shared" si="90"/>
        <v>3060.6219000000001</v>
      </c>
      <c r="I1969" s="37">
        <f t="shared" si="91"/>
        <v>3060.6219000000001</v>
      </c>
      <c r="J1969" s="4"/>
      <c r="K1969" s="38">
        <f t="shared" si="92"/>
        <v>0</v>
      </c>
    </row>
    <row r="1970" spans="1:11">
      <c r="A1970" t="s">
        <v>2155</v>
      </c>
      <c r="B1970" t="s">
        <v>10177</v>
      </c>
      <c r="C1970" t="s">
        <v>7701</v>
      </c>
      <c r="D1970" t="s">
        <v>7711</v>
      </c>
      <c r="E1970">
        <v>4656.37</v>
      </c>
      <c r="G1970" s="35"/>
      <c r="H1970" s="36">
        <f t="shared" si="90"/>
        <v>2933.5131000000001</v>
      </c>
      <c r="I1970" s="37">
        <f t="shared" si="91"/>
        <v>2933.5131000000001</v>
      </c>
      <c r="J1970" s="4"/>
      <c r="K1970" s="38">
        <f t="shared" si="92"/>
        <v>0</v>
      </c>
    </row>
    <row r="1971" spans="1:11">
      <c r="A1971" t="s">
        <v>2156</v>
      </c>
      <c r="B1971" t="s">
        <v>10177</v>
      </c>
      <c r="C1971" t="s">
        <v>7701</v>
      </c>
      <c r="D1971" t="s">
        <v>7712</v>
      </c>
      <c r="E1971">
        <v>22703.040000000001</v>
      </c>
      <c r="G1971" s="35"/>
      <c r="H1971" s="36">
        <f t="shared" si="90"/>
        <v>14302.915200000001</v>
      </c>
      <c r="I1971" s="37">
        <f t="shared" si="91"/>
        <v>14302.915200000001</v>
      </c>
      <c r="J1971" s="4"/>
      <c r="K1971" s="38">
        <f t="shared" si="92"/>
        <v>0</v>
      </c>
    </row>
    <row r="1972" spans="1:11">
      <c r="A1972" t="s">
        <v>2157</v>
      </c>
      <c r="B1972" t="s">
        <v>10177</v>
      </c>
      <c r="C1972" t="s">
        <v>7701</v>
      </c>
      <c r="D1972" t="s">
        <v>7713</v>
      </c>
      <c r="E1972">
        <v>9835.31</v>
      </c>
      <c r="G1972" s="35"/>
      <c r="H1972" s="36">
        <f t="shared" si="90"/>
        <v>6196.2452999999996</v>
      </c>
      <c r="I1972" s="37">
        <f t="shared" si="91"/>
        <v>6196.2452999999996</v>
      </c>
      <c r="J1972" s="4"/>
      <c r="K1972" s="38">
        <f t="shared" si="92"/>
        <v>0</v>
      </c>
    </row>
    <row r="1973" spans="1:11">
      <c r="A1973" t="s">
        <v>2158</v>
      </c>
      <c r="B1973" t="s">
        <v>10177</v>
      </c>
      <c r="C1973" t="s">
        <v>7701</v>
      </c>
      <c r="D1973" t="s">
        <v>7714</v>
      </c>
      <c r="E1973">
        <v>12638.87</v>
      </c>
      <c r="G1973" s="35"/>
      <c r="H1973" s="36">
        <f t="shared" si="90"/>
        <v>7962.4881000000005</v>
      </c>
      <c r="I1973" s="37">
        <f t="shared" si="91"/>
        <v>7962.4881000000005</v>
      </c>
      <c r="J1973" s="4"/>
      <c r="K1973" s="38">
        <f t="shared" si="92"/>
        <v>0</v>
      </c>
    </row>
    <row r="1974" spans="1:11">
      <c r="A1974" t="s">
        <v>2159</v>
      </c>
      <c r="B1974" t="s">
        <v>10177</v>
      </c>
      <c r="C1974" t="s">
        <v>7701</v>
      </c>
      <c r="D1974" t="s">
        <v>7715</v>
      </c>
      <c r="E1974">
        <v>34451.07</v>
      </c>
      <c r="G1974" s="35"/>
      <c r="H1974" s="36">
        <f t="shared" si="90"/>
        <v>21704.1741</v>
      </c>
      <c r="I1974" s="37">
        <f t="shared" si="91"/>
        <v>21704.1741</v>
      </c>
      <c r="J1974" s="4"/>
      <c r="K1974" s="38">
        <f t="shared" si="92"/>
        <v>0</v>
      </c>
    </row>
    <row r="1975" spans="1:11">
      <c r="A1975" t="s">
        <v>2160</v>
      </c>
      <c r="B1975" t="s">
        <v>10177</v>
      </c>
      <c r="C1975" t="s">
        <v>7701</v>
      </c>
      <c r="D1975" t="s">
        <v>7716</v>
      </c>
      <c r="E1975">
        <v>43140.28</v>
      </c>
      <c r="G1975" s="35"/>
      <c r="H1975" s="36">
        <f t="shared" si="90"/>
        <v>27178.376400000001</v>
      </c>
      <c r="I1975" s="37">
        <f t="shared" si="91"/>
        <v>27178.376400000001</v>
      </c>
      <c r="J1975" s="4"/>
      <c r="K1975" s="38">
        <f t="shared" si="92"/>
        <v>0</v>
      </c>
    </row>
    <row r="1976" spans="1:11">
      <c r="A1976" t="s">
        <v>4001</v>
      </c>
      <c r="B1976" t="s">
        <v>10177</v>
      </c>
      <c r="C1976" t="s">
        <v>9467</v>
      </c>
      <c r="D1976" t="s">
        <v>9468</v>
      </c>
      <c r="E1976">
        <v>61798.94</v>
      </c>
      <c r="G1976" s="35"/>
      <c r="H1976" s="36">
        <f t="shared" si="90"/>
        <v>38933.332200000004</v>
      </c>
      <c r="I1976" s="37">
        <f t="shared" si="91"/>
        <v>38933.332200000004</v>
      </c>
      <c r="J1976" s="4"/>
      <c r="K1976" s="38">
        <f t="shared" si="92"/>
        <v>0</v>
      </c>
    </row>
    <row r="1977" spans="1:11">
      <c r="A1977" t="s">
        <v>4002</v>
      </c>
      <c r="B1977" t="s">
        <v>10177</v>
      </c>
      <c r="C1977" t="s">
        <v>9467</v>
      </c>
      <c r="D1977" t="s">
        <v>9469</v>
      </c>
      <c r="E1977">
        <v>31955.21</v>
      </c>
      <c r="G1977" s="35"/>
      <c r="H1977" s="36">
        <f t="shared" si="90"/>
        <v>20131.782299999999</v>
      </c>
      <c r="I1977" s="37">
        <f t="shared" si="91"/>
        <v>20131.782299999999</v>
      </c>
      <c r="J1977" s="4"/>
      <c r="K1977" s="38">
        <f t="shared" si="92"/>
        <v>0</v>
      </c>
    </row>
    <row r="1978" spans="1:11">
      <c r="A1978" t="s">
        <v>4003</v>
      </c>
      <c r="B1978" t="s">
        <v>10177</v>
      </c>
      <c r="C1978" t="s">
        <v>9467</v>
      </c>
      <c r="D1978" t="s">
        <v>9470</v>
      </c>
      <c r="E1978">
        <v>25256.32</v>
      </c>
      <c r="G1978" s="35"/>
      <c r="H1978" s="36">
        <f t="shared" si="90"/>
        <v>15911.481599999999</v>
      </c>
      <c r="I1978" s="37">
        <f t="shared" si="91"/>
        <v>15911.481599999999</v>
      </c>
      <c r="J1978" s="4"/>
      <c r="K1978" s="38">
        <f t="shared" si="92"/>
        <v>0</v>
      </c>
    </row>
    <row r="1979" spans="1:11">
      <c r="A1979" t="s">
        <v>4004</v>
      </c>
      <c r="B1979" t="s">
        <v>10177</v>
      </c>
      <c r="C1979" t="s">
        <v>9467</v>
      </c>
      <c r="D1979" t="s">
        <v>9471</v>
      </c>
      <c r="E1979">
        <v>71018.509999999995</v>
      </c>
      <c r="G1979" s="35"/>
      <c r="H1979" s="36">
        <f t="shared" si="90"/>
        <v>44741.6613</v>
      </c>
      <c r="I1979" s="37">
        <f t="shared" si="91"/>
        <v>44741.6613</v>
      </c>
      <c r="J1979" s="4"/>
      <c r="K1979" s="38">
        <f t="shared" si="92"/>
        <v>0</v>
      </c>
    </row>
    <row r="1980" spans="1:11">
      <c r="A1980" t="s">
        <v>4005</v>
      </c>
      <c r="B1980" t="s">
        <v>10177</v>
      </c>
      <c r="C1980" t="s">
        <v>9467</v>
      </c>
      <c r="D1980" t="s">
        <v>9472</v>
      </c>
      <c r="E1980">
        <v>29089.279999999999</v>
      </c>
      <c r="G1980" s="35"/>
      <c r="H1980" s="36">
        <f t="shared" si="90"/>
        <v>18326.2464</v>
      </c>
      <c r="I1980" s="37">
        <f t="shared" si="91"/>
        <v>18326.2464</v>
      </c>
      <c r="J1980" s="4"/>
      <c r="K1980" s="38">
        <f t="shared" si="92"/>
        <v>0</v>
      </c>
    </row>
    <row r="1981" spans="1:11">
      <c r="A1981" t="s">
        <v>4006</v>
      </c>
      <c r="B1981" t="s">
        <v>10177</v>
      </c>
      <c r="C1981" t="s">
        <v>9467</v>
      </c>
      <c r="D1981" t="s">
        <v>9473</v>
      </c>
      <c r="E1981">
        <v>17428</v>
      </c>
      <c r="G1981" s="35"/>
      <c r="H1981" s="36">
        <f t="shared" si="90"/>
        <v>10979.64</v>
      </c>
      <c r="I1981" s="37">
        <f t="shared" si="91"/>
        <v>10979.64</v>
      </c>
      <c r="J1981" s="4"/>
      <c r="K1981" s="38">
        <f t="shared" si="92"/>
        <v>0</v>
      </c>
    </row>
    <row r="1982" spans="1:11">
      <c r="A1982" t="s">
        <v>4007</v>
      </c>
      <c r="B1982" t="s">
        <v>10177</v>
      </c>
      <c r="C1982" t="s">
        <v>9467</v>
      </c>
      <c r="D1982" t="s">
        <v>9474</v>
      </c>
      <c r="E1982">
        <v>31968</v>
      </c>
      <c r="G1982" s="35"/>
      <c r="H1982" s="36">
        <f t="shared" si="90"/>
        <v>20139.84</v>
      </c>
      <c r="I1982" s="37">
        <f t="shared" si="91"/>
        <v>20139.84</v>
      </c>
      <c r="J1982" s="4"/>
      <c r="K1982" s="38">
        <f t="shared" si="92"/>
        <v>0</v>
      </c>
    </row>
    <row r="1983" spans="1:11">
      <c r="A1983" t="s">
        <v>4008</v>
      </c>
      <c r="B1983" t="s">
        <v>10177</v>
      </c>
      <c r="C1983" t="s">
        <v>9467</v>
      </c>
      <c r="D1983" t="s">
        <v>9475</v>
      </c>
      <c r="E1983">
        <v>42402</v>
      </c>
      <c r="G1983" s="35"/>
      <c r="H1983" s="36">
        <f t="shared" si="90"/>
        <v>26713.26</v>
      </c>
      <c r="I1983" s="37">
        <f t="shared" si="91"/>
        <v>26713.26</v>
      </c>
      <c r="J1983" s="4"/>
      <c r="K1983" s="38">
        <f t="shared" si="92"/>
        <v>0</v>
      </c>
    </row>
    <row r="1984" spans="1:11">
      <c r="A1984" t="s">
        <v>4009</v>
      </c>
      <c r="B1984" t="s">
        <v>10177</v>
      </c>
      <c r="C1984" t="s">
        <v>9467</v>
      </c>
      <c r="D1984" t="s">
        <v>9476</v>
      </c>
      <c r="E1984">
        <v>11322</v>
      </c>
      <c r="G1984" s="35"/>
      <c r="H1984" s="36">
        <f t="shared" si="90"/>
        <v>7132.86</v>
      </c>
      <c r="I1984" s="37">
        <f t="shared" si="91"/>
        <v>7132.86</v>
      </c>
      <c r="J1984" s="4"/>
      <c r="K1984" s="38">
        <f t="shared" si="92"/>
        <v>0</v>
      </c>
    </row>
    <row r="1985" spans="1:11">
      <c r="A1985" t="s">
        <v>4015</v>
      </c>
      <c r="B1985" t="s">
        <v>10177</v>
      </c>
      <c r="C1985" t="s">
        <v>9483</v>
      </c>
      <c r="D1985" t="s">
        <v>9484</v>
      </c>
      <c r="E1985">
        <v>1493.84</v>
      </c>
      <c r="G1985" s="35"/>
      <c r="H1985" s="36">
        <f t="shared" si="90"/>
        <v>941.11919999999998</v>
      </c>
      <c r="I1985" s="37">
        <f t="shared" si="91"/>
        <v>941.11919999999998</v>
      </c>
      <c r="J1985" s="4"/>
      <c r="K1985" s="38">
        <f t="shared" si="92"/>
        <v>0</v>
      </c>
    </row>
    <row r="1986" spans="1:11">
      <c r="A1986" t="s">
        <v>4016</v>
      </c>
      <c r="B1986" t="s">
        <v>10177</v>
      </c>
      <c r="C1986" t="s">
        <v>9483</v>
      </c>
      <c r="D1986" t="s">
        <v>9485</v>
      </c>
      <c r="E1986">
        <v>2066.83</v>
      </c>
      <c r="G1986" s="35"/>
      <c r="H1986" s="36">
        <f t="shared" si="90"/>
        <v>1302.1028999999999</v>
      </c>
      <c r="I1986" s="37">
        <f t="shared" si="91"/>
        <v>1302.1028999999999</v>
      </c>
      <c r="J1986" s="4"/>
      <c r="K1986" s="38">
        <f t="shared" si="92"/>
        <v>0</v>
      </c>
    </row>
    <row r="1987" spans="1:11">
      <c r="A1987" t="s">
        <v>4017</v>
      </c>
      <c r="B1987" t="s">
        <v>10177</v>
      </c>
      <c r="C1987" t="s">
        <v>9483</v>
      </c>
      <c r="D1987" t="s">
        <v>9486</v>
      </c>
      <c r="E1987">
        <v>2467.04</v>
      </c>
      <c r="G1987" s="35"/>
      <c r="H1987" s="36">
        <f t="shared" si="90"/>
        <v>1554.2352000000001</v>
      </c>
      <c r="I1987" s="37">
        <f t="shared" si="91"/>
        <v>1554.2352000000001</v>
      </c>
      <c r="J1987" s="4"/>
      <c r="K1987" s="38">
        <f t="shared" si="92"/>
        <v>0</v>
      </c>
    </row>
    <row r="1988" spans="1:11">
      <c r="A1988" t="s">
        <v>4018</v>
      </c>
      <c r="B1988" t="s">
        <v>10177</v>
      </c>
      <c r="C1988" t="s">
        <v>9483</v>
      </c>
      <c r="D1988" t="s">
        <v>9487</v>
      </c>
      <c r="E1988">
        <v>3804.33</v>
      </c>
      <c r="G1988" s="35"/>
      <c r="H1988" s="36">
        <f t="shared" si="90"/>
        <v>2396.7278999999999</v>
      </c>
      <c r="I1988" s="37">
        <f t="shared" si="91"/>
        <v>2396.7278999999999</v>
      </c>
      <c r="J1988" s="4"/>
      <c r="K1988" s="38">
        <f t="shared" si="92"/>
        <v>0</v>
      </c>
    </row>
    <row r="1989" spans="1:11">
      <c r="A1989" t="s">
        <v>4019</v>
      </c>
      <c r="B1989" t="s">
        <v>10177</v>
      </c>
      <c r="C1989" t="s">
        <v>9483</v>
      </c>
      <c r="D1989" t="s">
        <v>9488</v>
      </c>
      <c r="E1989">
        <v>5529.4</v>
      </c>
      <c r="G1989" s="35"/>
      <c r="H1989" s="36">
        <f t="shared" si="90"/>
        <v>3483.5219999999999</v>
      </c>
      <c r="I1989" s="37">
        <f t="shared" si="91"/>
        <v>3483.5219999999999</v>
      </c>
      <c r="J1989" s="4"/>
      <c r="K1989" s="38">
        <f t="shared" si="92"/>
        <v>0</v>
      </c>
    </row>
    <row r="1990" spans="1:11">
      <c r="A1990" t="s">
        <v>4020</v>
      </c>
      <c r="B1990" t="s">
        <v>10177</v>
      </c>
      <c r="C1990" t="s">
        <v>9483</v>
      </c>
      <c r="D1990" t="s">
        <v>9489</v>
      </c>
      <c r="E1990">
        <v>1665.6</v>
      </c>
      <c r="G1990" s="35"/>
      <c r="H1990" s="36">
        <f t="shared" si="90"/>
        <v>1049.328</v>
      </c>
      <c r="I1990" s="37">
        <f t="shared" si="91"/>
        <v>1049.328</v>
      </c>
      <c r="J1990" s="4"/>
      <c r="K1990" s="38">
        <f t="shared" si="92"/>
        <v>0</v>
      </c>
    </row>
    <row r="1991" spans="1:11">
      <c r="A1991" t="s">
        <v>4021</v>
      </c>
      <c r="B1991" t="s">
        <v>10177</v>
      </c>
      <c r="C1991" t="s">
        <v>9483</v>
      </c>
      <c r="D1991" t="s">
        <v>9490</v>
      </c>
      <c r="E1991">
        <v>2413.67</v>
      </c>
      <c r="G1991" s="35"/>
      <c r="H1991" s="36">
        <f t="shared" ref="H1991:H2054" si="93">+E1991*$H$1*(1-G1991)</f>
        <v>1520.6121000000001</v>
      </c>
      <c r="I1991" s="37">
        <f t="shared" ref="I1991:I2054" si="94">H1991*$H$4</f>
        <v>1520.6121000000001</v>
      </c>
      <c r="J1991" s="4"/>
      <c r="K1991" s="38">
        <f t="shared" ref="K1991:K2054" si="95">J1991*I1991</f>
        <v>0</v>
      </c>
    </row>
    <row r="1992" spans="1:11">
      <c r="A1992" t="s">
        <v>4022</v>
      </c>
      <c r="B1992" t="s">
        <v>10177</v>
      </c>
      <c r="C1992" t="s">
        <v>9483</v>
      </c>
      <c r="D1992" t="s">
        <v>9491</v>
      </c>
      <c r="E1992">
        <v>2935.04</v>
      </c>
      <c r="G1992" s="35"/>
      <c r="H1992" s="36">
        <f t="shared" si="93"/>
        <v>1849.0752</v>
      </c>
      <c r="I1992" s="37">
        <f t="shared" si="94"/>
        <v>1849.0752</v>
      </c>
      <c r="J1992" s="4"/>
      <c r="K1992" s="38">
        <f t="shared" si="95"/>
        <v>0</v>
      </c>
    </row>
    <row r="1993" spans="1:11">
      <c r="A1993" t="s">
        <v>4023</v>
      </c>
      <c r="B1993" t="s">
        <v>10177</v>
      </c>
      <c r="C1993" t="s">
        <v>9483</v>
      </c>
      <c r="D1993" t="s">
        <v>9492</v>
      </c>
      <c r="E1993">
        <v>4775.79</v>
      </c>
      <c r="G1993" s="35"/>
      <c r="H1993" s="36">
        <f t="shared" si="93"/>
        <v>3008.7476999999999</v>
      </c>
      <c r="I1993" s="37">
        <f t="shared" si="94"/>
        <v>3008.7476999999999</v>
      </c>
      <c r="J1993" s="4"/>
      <c r="K1993" s="38">
        <f t="shared" si="95"/>
        <v>0</v>
      </c>
    </row>
    <row r="1994" spans="1:11">
      <c r="A1994" t="s">
        <v>4024</v>
      </c>
      <c r="B1994" t="s">
        <v>10177</v>
      </c>
      <c r="C1994" t="s">
        <v>9483</v>
      </c>
      <c r="D1994" t="s">
        <v>9493</v>
      </c>
      <c r="E1994">
        <v>6798.56</v>
      </c>
      <c r="G1994" s="35"/>
      <c r="H1994" s="36">
        <f t="shared" si="93"/>
        <v>4283.0928000000004</v>
      </c>
      <c r="I1994" s="37">
        <f t="shared" si="94"/>
        <v>4283.0928000000004</v>
      </c>
      <c r="J1994" s="4"/>
      <c r="K1994" s="38">
        <f t="shared" si="95"/>
        <v>0</v>
      </c>
    </row>
    <row r="1995" spans="1:11">
      <c r="A1995" t="s">
        <v>2252</v>
      </c>
      <c r="B1995" t="s">
        <v>10177</v>
      </c>
      <c r="C1995" t="s">
        <v>5687</v>
      </c>
      <c r="D1995" t="s">
        <v>7810</v>
      </c>
      <c r="E1995">
        <v>47062.5</v>
      </c>
      <c r="G1995" s="35"/>
      <c r="H1995" s="36">
        <f t="shared" si="93"/>
        <v>29649.375</v>
      </c>
      <c r="I1995" s="37">
        <f t="shared" si="94"/>
        <v>29649.375</v>
      </c>
      <c r="J1995" s="4"/>
      <c r="K1995" s="38">
        <f t="shared" si="95"/>
        <v>0</v>
      </c>
    </row>
    <row r="1996" spans="1:11">
      <c r="A1996" t="s">
        <v>2253</v>
      </c>
      <c r="B1996" t="s">
        <v>10177</v>
      </c>
      <c r="C1996" t="s">
        <v>5687</v>
      </c>
      <c r="D1996" t="s">
        <v>7811</v>
      </c>
      <c r="E1996">
        <v>39218.080000000002</v>
      </c>
      <c r="G1996" s="35"/>
      <c r="H1996" s="36">
        <f t="shared" si="93"/>
        <v>24707.3904</v>
      </c>
      <c r="I1996" s="37">
        <f t="shared" si="94"/>
        <v>24707.3904</v>
      </c>
      <c r="J1996" s="4"/>
      <c r="K1996" s="38">
        <f t="shared" si="95"/>
        <v>0</v>
      </c>
    </row>
    <row r="1997" spans="1:11">
      <c r="A1997" t="s">
        <v>3907</v>
      </c>
      <c r="B1997" t="s">
        <v>10177</v>
      </c>
      <c r="C1997" t="s">
        <v>9378</v>
      </c>
      <c r="D1997" t="s">
        <v>9379</v>
      </c>
      <c r="E1997">
        <v>4371.16</v>
      </c>
      <c r="G1997" s="35"/>
      <c r="H1997" s="36">
        <f t="shared" si="93"/>
        <v>2753.8307999999997</v>
      </c>
      <c r="I1997" s="37">
        <f t="shared" si="94"/>
        <v>2753.8307999999997</v>
      </c>
      <c r="J1997" s="4"/>
      <c r="K1997" s="38">
        <f t="shared" si="95"/>
        <v>0</v>
      </c>
    </row>
    <row r="1998" spans="1:11">
      <c r="A1998" t="s">
        <v>3908</v>
      </c>
      <c r="B1998" t="s">
        <v>10177</v>
      </c>
      <c r="C1998" t="s">
        <v>9378</v>
      </c>
      <c r="D1998" t="s">
        <v>7645</v>
      </c>
      <c r="E1998">
        <v>11633.41</v>
      </c>
      <c r="G1998" s="35"/>
      <c r="H1998" s="36">
        <f t="shared" si="93"/>
        <v>7329.0483000000004</v>
      </c>
      <c r="I1998" s="37">
        <f t="shared" si="94"/>
        <v>7329.0483000000004</v>
      </c>
      <c r="J1998" s="4"/>
      <c r="K1998" s="38">
        <f t="shared" si="95"/>
        <v>0</v>
      </c>
    </row>
    <row r="1999" spans="1:11">
      <c r="A1999" t="s">
        <v>3909</v>
      </c>
      <c r="B1999" t="s">
        <v>10177</v>
      </c>
      <c r="C1999" t="s">
        <v>9378</v>
      </c>
      <c r="D1999" t="s">
        <v>7705</v>
      </c>
      <c r="E1999">
        <v>4879.2</v>
      </c>
      <c r="G1999" s="35"/>
      <c r="H1999" s="36">
        <f t="shared" si="93"/>
        <v>3073.8959999999997</v>
      </c>
      <c r="I1999" s="37">
        <f t="shared" si="94"/>
        <v>3073.8959999999997</v>
      </c>
      <c r="J1999" s="4"/>
      <c r="K1999" s="38">
        <f t="shared" si="95"/>
        <v>0</v>
      </c>
    </row>
    <row r="2000" spans="1:11">
      <c r="A2000" t="s">
        <v>2257</v>
      </c>
      <c r="B2000" t="s">
        <v>10177</v>
      </c>
      <c r="C2000" t="s">
        <v>7817</v>
      </c>
      <c r="D2000" t="s">
        <v>7818</v>
      </c>
      <c r="E2000">
        <v>15461.32</v>
      </c>
      <c r="G2000" s="35"/>
      <c r="H2000" s="36">
        <f t="shared" si="93"/>
        <v>9740.6316000000006</v>
      </c>
      <c r="I2000" s="37">
        <f t="shared" si="94"/>
        <v>9740.6316000000006</v>
      </c>
      <c r="J2000" s="4"/>
      <c r="K2000" s="38">
        <f t="shared" si="95"/>
        <v>0</v>
      </c>
    </row>
    <row r="2001" spans="1:11">
      <c r="A2001" t="s">
        <v>2258</v>
      </c>
      <c r="B2001" t="s">
        <v>10177</v>
      </c>
      <c r="C2001" t="s">
        <v>7817</v>
      </c>
      <c r="D2001" t="s">
        <v>7819</v>
      </c>
      <c r="E2001">
        <v>20652.93</v>
      </c>
      <c r="G2001" s="35"/>
      <c r="H2001" s="36">
        <f t="shared" si="93"/>
        <v>13011.3459</v>
      </c>
      <c r="I2001" s="37">
        <f t="shared" si="94"/>
        <v>13011.3459</v>
      </c>
      <c r="J2001" s="4"/>
      <c r="K2001" s="38">
        <f t="shared" si="95"/>
        <v>0</v>
      </c>
    </row>
    <row r="2002" spans="1:11">
      <c r="A2002" t="s">
        <v>12342</v>
      </c>
      <c r="B2002" t="s">
        <v>10177</v>
      </c>
      <c r="C2002" t="s">
        <v>7820</v>
      </c>
      <c r="D2002" t="s">
        <v>12343</v>
      </c>
      <c r="E2002">
        <v>4300</v>
      </c>
      <c r="G2002" s="35"/>
      <c r="H2002" s="36">
        <f t="shared" si="93"/>
        <v>2709</v>
      </c>
      <c r="I2002" s="37">
        <f t="shared" si="94"/>
        <v>2709</v>
      </c>
      <c r="J2002" s="4"/>
      <c r="K2002" s="38">
        <f t="shared" si="95"/>
        <v>0</v>
      </c>
    </row>
    <row r="2003" spans="1:11">
      <c r="A2003" t="s">
        <v>2259</v>
      </c>
      <c r="B2003" t="s">
        <v>10177</v>
      </c>
      <c r="C2003" t="s">
        <v>7820</v>
      </c>
      <c r="D2003" t="s">
        <v>5999</v>
      </c>
      <c r="E2003">
        <v>1856.56</v>
      </c>
      <c r="G2003" s="35"/>
      <c r="H2003" s="36">
        <f t="shared" si="93"/>
        <v>1169.6327999999999</v>
      </c>
      <c r="I2003" s="37">
        <f t="shared" si="94"/>
        <v>1169.6327999999999</v>
      </c>
      <c r="J2003" s="4"/>
      <c r="K2003" s="38">
        <f t="shared" si="95"/>
        <v>0</v>
      </c>
    </row>
    <row r="2004" spans="1:11">
      <c r="A2004" t="s">
        <v>2260</v>
      </c>
      <c r="B2004" t="s">
        <v>10177</v>
      </c>
      <c r="C2004" t="s">
        <v>7820</v>
      </c>
      <c r="D2004" t="s">
        <v>7821</v>
      </c>
      <c r="E2004">
        <v>2438.88</v>
      </c>
      <c r="G2004" s="35"/>
      <c r="H2004" s="36">
        <f t="shared" si="93"/>
        <v>1536.4944</v>
      </c>
      <c r="I2004" s="37">
        <f t="shared" si="94"/>
        <v>1536.4944</v>
      </c>
      <c r="J2004" s="4"/>
      <c r="K2004" s="38">
        <f t="shared" si="95"/>
        <v>0</v>
      </c>
    </row>
    <row r="2005" spans="1:11">
      <c r="A2005" t="s">
        <v>2261</v>
      </c>
      <c r="B2005" t="s">
        <v>10177</v>
      </c>
      <c r="C2005" t="s">
        <v>7820</v>
      </c>
      <c r="D2005" t="s">
        <v>6000</v>
      </c>
      <c r="E2005">
        <v>2651.83</v>
      </c>
      <c r="G2005" s="35"/>
      <c r="H2005" s="36">
        <f t="shared" si="93"/>
        <v>1670.6529</v>
      </c>
      <c r="I2005" s="37">
        <f t="shared" si="94"/>
        <v>1670.6529</v>
      </c>
      <c r="J2005" s="4"/>
      <c r="K2005" s="38">
        <f t="shared" si="95"/>
        <v>0</v>
      </c>
    </row>
    <row r="2006" spans="1:11">
      <c r="A2006" t="s">
        <v>2262</v>
      </c>
      <c r="B2006" t="s">
        <v>10177</v>
      </c>
      <c r="C2006" t="s">
        <v>7820</v>
      </c>
      <c r="D2006" t="s">
        <v>6004</v>
      </c>
      <c r="E2006">
        <v>1910.98</v>
      </c>
      <c r="G2006" s="35"/>
      <c r="H2006" s="36">
        <f t="shared" si="93"/>
        <v>1203.9174</v>
      </c>
      <c r="I2006" s="37">
        <f t="shared" si="94"/>
        <v>1203.9174</v>
      </c>
      <c r="J2006" s="4"/>
      <c r="K2006" s="38">
        <f t="shared" si="95"/>
        <v>0</v>
      </c>
    </row>
    <row r="2007" spans="1:11">
      <c r="A2007" t="s">
        <v>2263</v>
      </c>
      <c r="B2007" t="s">
        <v>10177</v>
      </c>
      <c r="C2007" t="s">
        <v>7820</v>
      </c>
      <c r="D2007" t="s">
        <v>7822</v>
      </c>
      <c r="E2007">
        <v>2884.57</v>
      </c>
      <c r="G2007" s="35"/>
      <c r="H2007" s="36">
        <f t="shared" si="93"/>
        <v>1817.2791000000002</v>
      </c>
      <c r="I2007" s="37">
        <f t="shared" si="94"/>
        <v>1817.2791000000002</v>
      </c>
      <c r="J2007" s="4"/>
      <c r="K2007" s="38">
        <f t="shared" si="95"/>
        <v>0</v>
      </c>
    </row>
    <row r="2008" spans="1:11">
      <c r="A2008" t="s">
        <v>2264</v>
      </c>
      <c r="B2008" t="s">
        <v>10177</v>
      </c>
      <c r="C2008" t="s">
        <v>7820</v>
      </c>
      <c r="D2008" t="s">
        <v>6005</v>
      </c>
      <c r="E2008">
        <v>4346.87</v>
      </c>
      <c r="G2008" s="35"/>
      <c r="H2008" s="36">
        <f t="shared" si="93"/>
        <v>2738.5281</v>
      </c>
      <c r="I2008" s="37">
        <f t="shared" si="94"/>
        <v>2738.5281</v>
      </c>
      <c r="J2008" s="4"/>
      <c r="K2008" s="38">
        <f t="shared" si="95"/>
        <v>0</v>
      </c>
    </row>
    <row r="2009" spans="1:11">
      <c r="A2009" t="s">
        <v>4014</v>
      </c>
      <c r="B2009" t="s">
        <v>10177</v>
      </c>
      <c r="C2009" t="s">
        <v>9481</v>
      </c>
      <c r="D2009" t="s">
        <v>9482</v>
      </c>
      <c r="E2009">
        <v>11948.09</v>
      </c>
      <c r="G2009" s="35"/>
      <c r="H2009" s="36">
        <f t="shared" si="93"/>
        <v>7527.2966999999999</v>
      </c>
      <c r="I2009" s="37">
        <f t="shared" si="94"/>
        <v>7527.2966999999999</v>
      </c>
      <c r="J2009" s="4"/>
      <c r="K2009" s="38">
        <f t="shared" si="95"/>
        <v>0</v>
      </c>
    </row>
    <row r="2010" spans="1:11">
      <c r="A2010" t="s">
        <v>2306</v>
      </c>
      <c r="B2010" t="s">
        <v>10177</v>
      </c>
      <c r="C2010" t="s">
        <v>7859</v>
      </c>
      <c r="D2010" t="s">
        <v>7860</v>
      </c>
      <c r="E2010">
        <v>7367.7</v>
      </c>
      <c r="G2010" s="35"/>
      <c r="H2010" s="36">
        <f t="shared" si="93"/>
        <v>4641.6509999999998</v>
      </c>
      <c r="I2010" s="37">
        <f t="shared" si="94"/>
        <v>4641.6509999999998</v>
      </c>
      <c r="J2010" s="4"/>
      <c r="K2010" s="38">
        <f t="shared" si="95"/>
        <v>0</v>
      </c>
    </row>
    <row r="2011" spans="1:11">
      <c r="A2011" t="s">
        <v>2307</v>
      </c>
      <c r="B2011" t="s">
        <v>10177</v>
      </c>
      <c r="C2011" t="s">
        <v>7859</v>
      </c>
      <c r="D2011" t="s">
        <v>7861</v>
      </c>
      <c r="E2011">
        <v>3263.34</v>
      </c>
      <c r="G2011" s="35"/>
      <c r="H2011" s="36">
        <f t="shared" si="93"/>
        <v>2055.9041999999999</v>
      </c>
      <c r="I2011" s="37">
        <f t="shared" si="94"/>
        <v>2055.9041999999999</v>
      </c>
      <c r="J2011" s="4"/>
      <c r="K2011" s="38">
        <f t="shared" si="95"/>
        <v>0</v>
      </c>
    </row>
    <row r="2012" spans="1:11">
      <c r="A2012" t="s">
        <v>2340</v>
      </c>
      <c r="B2012" t="s">
        <v>10177</v>
      </c>
      <c r="C2012" t="s">
        <v>7882</v>
      </c>
      <c r="D2012" t="s">
        <v>7883</v>
      </c>
      <c r="E2012">
        <v>6785.21</v>
      </c>
      <c r="G2012" s="35"/>
      <c r="H2012" s="36">
        <f t="shared" si="93"/>
        <v>4274.6823000000004</v>
      </c>
      <c r="I2012" s="37">
        <f t="shared" si="94"/>
        <v>4274.6823000000004</v>
      </c>
      <c r="J2012" s="4"/>
      <c r="K2012" s="38">
        <f t="shared" si="95"/>
        <v>0</v>
      </c>
    </row>
    <row r="2013" spans="1:11">
      <c r="A2013" t="s">
        <v>2341</v>
      </c>
      <c r="B2013" t="s">
        <v>10177</v>
      </c>
      <c r="C2013" t="s">
        <v>7882</v>
      </c>
      <c r="D2013" t="s">
        <v>7884</v>
      </c>
      <c r="E2013">
        <v>7630.76</v>
      </c>
      <c r="G2013" s="35"/>
      <c r="H2013" s="36">
        <f t="shared" si="93"/>
        <v>4807.3788000000004</v>
      </c>
      <c r="I2013" s="37">
        <f t="shared" si="94"/>
        <v>4807.3788000000004</v>
      </c>
      <c r="J2013" s="4"/>
      <c r="K2013" s="38">
        <f t="shared" si="95"/>
        <v>0</v>
      </c>
    </row>
    <row r="2014" spans="1:11">
      <c r="A2014" t="s">
        <v>2342</v>
      </c>
      <c r="B2014" t="s">
        <v>10177</v>
      </c>
      <c r="C2014" t="s">
        <v>7882</v>
      </c>
      <c r="D2014" t="s">
        <v>7885</v>
      </c>
      <c r="E2014">
        <v>1253.8800000000001</v>
      </c>
      <c r="G2014" s="35"/>
      <c r="H2014" s="36">
        <f t="shared" si="93"/>
        <v>789.94440000000009</v>
      </c>
      <c r="I2014" s="37">
        <f t="shared" si="94"/>
        <v>789.94440000000009</v>
      </c>
      <c r="J2014" s="4"/>
      <c r="K2014" s="38">
        <f t="shared" si="95"/>
        <v>0</v>
      </c>
    </row>
    <row r="2015" spans="1:11">
      <c r="A2015" t="s">
        <v>2343</v>
      </c>
      <c r="B2015" t="s">
        <v>10177</v>
      </c>
      <c r="C2015" t="s">
        <v>7882</v>
      </c>
      <c r="D2015" t="s">
        <v>7886</v>
      </c>
      <c r="E2015">
        <v>6785.21</v>
      </c>
      <c r="G2015" s="35"/>
      <c r="H2015" s="36">
        <f t="shared" si="93"/>
        <v>4274.6823000000004</v>
      </c>
      <c r="I2015" s="37">
        <f t="shared" si="94"/>
        <v>4274.6823000000004</v>
      </c>
      <c r="J2015" s="4"/>
      <c r="K2015" s="38">
        <f t="shared" si="95"/>
        <v>0</v>
      </c>
    </row>
    <row r="2016" spans="1:11">
      <c r="A2016" t="s">
        <v>2344</v>
      </c>
      <c r="B2016" t="s">
        <v>10177</v>
      </c>
      <c r="C2016" t="s">
        <v>7882</v>
      </c>
      <c r="D2016" t="s">
        <v>6742</v>
      </c>
      <c r="E2016">
        <v>8989.4</v>
      </c>
      <c r="G2016" s="35"/>
      <c r="H2016" s="36">
        <f t="shared" si="93"/>
        <v>5663.3220000000001</v>
      </c>
      <c r="I2016" s="37">
        <f t="shared" si="94"/>
        <v>5663.3220000000001</v>
      </c>
      <c r="J2016" s="4"/>
      <c r="K2016" s="38">
        <f t="shared" si="95"/>
        <v>0</v>
      </c>
    </row>
    <row r="2017" spans="1:11">
      <c r="A2017" t="s">
        <v>2345</v>
      </c>
      <c r="B2017" t="s">
        <v>10177</v>
      </c>
      <c r="C2017" t="s">
        <v>7882</v>
      </c>
      <c r="D2017" t="s">
        <v>7887</v>
      </c>
      <c r="E2017">
        <v>14360.03</v>
      </c>
      <c r="G2017" s="35"/>
      <c r="H2017" s="36">
        <f t="shared" si="93"/>
        <v>9046.8189000000002</v>
      </c>
      <c r="I2017" s="37">
        <f t="shared" si="94"/>
        <v>9046.8189000000002</v>
      </c>
      <c r="J2017" s="4"/>
      <c r="K2017" s="38">
        <f t="shared" si="95"/>
        <v>0</v>
      </c>
    </row>
    <row r="2018" spans="1:11">
      <c r="A2018" t="s">
        <v>4025</v>
      </c>
      <c r="B2018" t="s">
        <v>10177</v>
      </c>
      <c r="C2018" t="s">
        <v>9494</v>
      </c>
      <c r="D2018" t="s">
        <v>9495</v>
      </c>
      <c r="E2018">
        <v>730.94</v>
      </c>
      <c r="G2018" s="35"/>
      <c r="H2018" s="36">
        <f t="shared" si="93"/>
        <v>460.49220000000003</v>
      </c>
      <c r="I2018" s="37">
        <f t="shared" si="94"/>
        <v>460.49220000000003</v>
      </c>
      <c r="J2018" s="4"/>
      <c r="K2018" s="38">
        <f t="shared" si="95"/>
        <v>0</v>
      </c>
    </row>
    <row r="2019" spans="1:11">
      <c r="A2019" t="s">
        <v>4026</v>
      </c>
      <c r="B2019" t="s">
        <v>10177</v>
      </c>
      <c r="C2019" t="s">
        <v>9494</v>
      </c>
      <c r="D2019" t="s">
        <v>9496</v>
      </c>
      <c r="E2019">
        <v>995.59</v>
      </c>
      <c r="G2019" s="35"/>
      <c r="H2019" s="36">
        <f t="shared" si="93"/>
        <v>627.22170000000006</v>
      </c>
      <c r="I2019" s="37">
        <f t="shared" si="94"/>
        <v>627.22170000000006</v>
      </c>
      <c r="J2019" s="4"/>
      <c r="K2019" s="38">
        <f t="shared" si="95"/>
        <v>0</v>
      </c>
    </row>
    <row r="2020" spans="1:11">
      <c r="A2020" t="s">
        <v>4027</v>
      </c>
      <c r="B2020" t="s">
        <v>10177</v>
      </c>
      <c r="C2020" t="s">
        <v>9494</v>
      </c>
      <c r="D2020" t="s">
        <v>9497</v>
      </c>
      <c r="E2020">
        <v>2467.04</v>
      </c>
      <c r="G2020" s="35"/>
      <c r="H2020" s="36">
        <f t="shared" si="93"/>
        <v>1554.2352000000001</v>
      </c>
      <c r="I2020" s="37">
        <f t="shared" si="94"/>
        <v>1554.2352000000001</v>
      </c>
      <c r="J2020" s="4"/>
      <c r="K2020" s="38">
        <f t="shared" si="95"/>
        <v>0</v>
      </c>
    </row>
    <row r="2021" spans="1:11">
      <c r="A2021" t="s">
        <v>4028</v>
      </c>
      <c r="B2021" t="s">
        <v>10177</v>
      </c>
      <c r="C2021" t="s">
        <v>9494</v>
      </c>
      <c r="D2021" t="s">
        <v>9498</v>
      </c>
      <c r="E2021">
        <v>619.42999999999995</v>
      </c>
      <c r="G2021" s="35"/>
      <c r="H2021" s="36">
        <f t="shared" si="93"/>
        <v>390.24089999999995</v>
      </c>
      <c r="I2021" s="37">
        <f t="shared" si="94"/>
        <v>390.24089999999995</v>
      </c>
      <c r="J2021" s="4"/>
      <c r="K2021" s="38">
        <f t="shared" si="95"/>
        <v>0</v>
      </c>
    </row>
    <row r="2022" spans="1:11">
      <c r="A2022" t="s">
        <v>4029</v>
      </c>
      <c r="B2022" t="s">
        <v>10177</v>
      </c>
      <c r="C2022" t="s">
        <v>9494</v>
      </c>
      <c r="D2022" t="s">
        <v>9499</v>
      </c>
      <c r="E2022">
        <v>995.59</v>
      </c>
      <c r="G2022" s="35"/>
      <c r="H2022" s="36">
        <f t="shared" si="93"/>
        <v>627.22170000000006</v>
      </c>
      <c r="I2022" s="37">
        <f t="shared" si="94"/>
        <v>627.22170000000006</v>
      </c>
      <c r="J2022" s="4"/>
      <c r="K2022" s="38">
        <f t="shared" si="95"/>
        <v>0</v>
      </c>
    </row>
    <row r="2023" spans="1:11">
      <c r="A2023" t="s">
        <v>4030</v>
      </c>
      <c r="B2023" t="s">
        <v>10177</v>
      </c>
      <c r="C2023" t="s">
        <v>9494</v>
      </c>
      <c r="D2023" t="s">
        <v>9500</v>
      </c>
      <c r="E2023">
        <v>2467.04</v>
      </c>
      <c r="G2023" s="35"/>
      <c r="H2023" s="36">
        <f t="shared" si="93"/>
        <v>1554.2352000000001</v>
      </c>
      <c r="I2023" s="37">
        <f t="shared" si="94"/>
        <v>1554.2352000000001</v>
      </c>
      <c r="J2023" s="4"/>
      <c r="K2023" s="38">
        <f t="shared" si="95"/>
        <v>0</v>
      </c>
    </row>
    <row r="2024" spans="1:11">
      <c r="A2024" t="s">
        <v>2359</v>
      </c>
      <c r="B2024" t="s">
        <v>10177</v>
      </c>
      <c r="C2024" t="s">
        <v>7904</v>
      </c>
      <c r="D2024" t="s">
        <v>7645</v>
      </c>
      <c r="E2024">
        <v>2630.86</v>
      </c>
      <c r="G2024" s="35"/>
      <c r="H2024" s="36">
        <f t="shared" si="93"/>
        <v>1657.4418000000001</v>
      </c>
      <c r="I2024" s="37">
        <f t="shared" si="94"/>
        <v>1657.4418000000001</v>
      </c>
      <c r="J2024" s="4"/>
      <c r="K2024" s="38">
        <f t="shared" si="95"/>
        <v>0</v>
      </c>
    </row>
    <row r="2025" spans="1:11">
      <c r="A2025" t="s">
        <v>2360</v>
      </c>
      <c r="B2025" t="s">
        <v>10177</v>
      </c>
      <c r="C2025" t="s">
        <v>7904</v>
      </c>
      <c r="D2025" t="s">
        <v>7646</v>
      </c>
      <c r="E2025">
        <v>2705.65</v>
      </c>
      <c r="G2025" s="35"/>
      <c r="H2025" s="36">
        <f t="shared" si="93"/>
        <v>1704.5595000000001</v>
      </c>
      <c r="I2025" s="37">
        <f t="shared" si="94"/>
        <v>1704.5595000000001</v>
      </c>
      <c r="J2025" s="4"/>
      <c r="K2025" s="38">
        <f t="shared" si="95"/>
        <v>0</v>
      </c>
    </row>
    <row r="2026" spans="1:11">
      <c r="A2026" t="s">
        <v>9746</v>
      </c>
      <c r="B2026" t="s">
        <v>10177</v>
      </c>
      <c r="C2026" t="s">
        <v>7904</v>
      </c>
      <c r="D2026" t="s">
        <v>9747</v>
      </c>
      <c r="E2026">
        <v>17511.63</v>
      </c>
      <c r="G2026" s="35"/>
      <c r="H2026" s="36">
        <f t="shared" si="93"/>
        <v>11032.3269</v>
      </c>
      <c r="I2026" s="37">
        <f t="shared" si="94"/>
        <v>11032.3269</v>
      </c>
      <c r="J2026" s="4"/>
      <c r="K2026" s="38">
        <f t="shared" si="95"/>
        <v>0</v>
      </c>
    </row>
    <row r="2027" spans="1:11">
      <c r="A2027" t="s">
        <v>2361</v>
      </c>
      <c r="B2027" t="s">
        <v>10177</v>
      </c>
      <c r="C2027" t="s">
        <v>7904</v>
      </c>
      <c r="D2027" t="s">
        <v>7647</v>
      </c>
      <c r="E2027">
        <v>957.8</v>
      </c>
      <c r="G2027" s="35"/>
      <c r="H2027" s="36">
        <f t="shared" si="93"/>
        <v>603.41399999999999</v>
      </c>
      <c r="I2027" s="37">
        <f t="shared" si="94"/>
        <v>603.41399999999999</v>
      </c>
      <c r="J2027" s="4"/>
      <c r="K2027" s="38">
        <f t="shared" si="95"/>
        <v>0</v>
      </c>
    </row>
    <row r="2028" spans="1:11">
      <c r="A2028" t="s">
        <v>2362</v>
      </c>
      <c r="B2028" t="s">
        <v>10177</v>
      </c>
      <c r="C2028" t="s">
        <v>7904</v>
      </c>
      <c r="D2028" t="s">
        <v>7905</v>
      </c>
      <c r="E2028">
        <v>1098.9100000000001</v>
      </c>
      <c r="G2028" s="35"/>
      <c r="H2028" s="36">
        <f t="shared" si="93"/>
        <v>692.31330000000003</v>
      </c>
      <c r="I2028" s="37">
        <f t="shared" si="94"/>
        <v>692.31330000000003</v>
      </c>
      <c r="J2028" s="4"/>
      <c r="K2028" s="38">
        <f t="shared" si="95"/>
        <v>0</v>
      </c>
    </row>
    <row r="2029" spans="1:11">
      <c r="A2029" t="s">
        <v>2395</v>
      </c>
      <c r="B2029" t="s">
        <v>10177</v>
      </c>
      <c r="C2029" t="s">
        <v>7917</v>
      </c>
      <c r="D2029" t="s">
        <v>7918</v>
      </c>
      <c r="E2029">
        <v>7552.44</v>
      </c>
      <c r="G2029" s="35"/>
      <c r="H2029" s="36">
        <f t="shared" si="93"/>
        <v>4758.0371999999998</v>
      </c>
      <c r="I2029" s="37">
        <f t="shared" si="94"/>
        <v>4758.0371999999998</v>
      </c>
      <c r="J2029" s="4"/>
      <c r="K2029" s="38">
        <f t="shared" si="95"/>
        <v>0</v>
      </c>
    </row>
    <row r="2030" spans="1:11">
      <c r="A2030" t="s">
        <v>2396</v>
      </c>
      <c r="B2030" t="s">
        <v>10177</v>
      </c>
      <c r="C2030" t="s">
        <v>7917</v>
      </c>
      <c r="D2030" t="s">
        <v>7919</v>
      </c>
      <c r="E2030">
        <v>8800.7900000000009</v>
      </c>
      <c r="G2030" s="35"/>
      <c r="H2030" s="36">
        <f t="shared" si="93"/>
        <v>5544.4977000000008</v>
      </c>
      <c r="I2030" s="37">
        <f t="shared" si="94"/>
        <v>5544.4977000000008</v>
      </c>
      <c r="J2030" s="4"/>
      <c r="K2030" s="38">
        <f t="shared" si="95"/>
        <v>0</v>
      </c>
    </row>
    <row r="2031" spans="1:11">
      <c r="A2031" t="s">
        <v>2397</v>
      </c>
      <c r="B2031" t="s">
        <v>10177</v>
      </c>
      <c r="C2031" t="s">
        <v>7917</v>
      </c>
      <c r="D2031" t="s">
        <v>7920</v>
      </c>
      <c r="E2031">
        <v>809.94</v>
      </c>
      <c r="G2031" s="35"/>
      <c r="H2031" s="36">
        <f t="shared" si="93"/>
        <v>510.26220000000006</v>
      </c>
      <c r="I2031" s="37">
        <f t="shared" si="94"/>
        <v>510.26220000000006</v>
      </c>
      <c r="J2031" s="4"/>
      <c r="K2031" s="38">
        <f t="shared" si="95"/>
        <v>0</v>
      </c>
    </row>
    <row r="2032" spans="1:11">
      <c r="A2032" t="s">
        <v>2398</v>
      </c>
      <c r="B2032" t="s">
        <v>10177</v>
      </c>
      <c r="C2032" t="s">
        <v>7917</v>
      </c>
      <c r="D2032" t="s">
        <v>6734</v>
      </c>
      <c r="E2032">
        <v>466.74</v>
      </c>
      <c r="G2032" s="35"/>
      <c r="H2032" s="36">
        <f t="shared" si="93"/>
        <v>294.0462</v>
      </c>
      <c r="I2032" s="37">
        <f t="shared" si="94"/>
        <v>294.0462</v>
      </c>
      <c r="J2032" s="4"/>
      <c r="K2032" s="38">
        <f t="shared" si="95"/>
        <v>0</v>
      </c>
    </row>
    <row r="2033" spans="1:11">
      <c r="A2033" t="s">
        <v>2399</v>
      </c>
      <c r="B2033" t="s">
        <v>10177</v>
      </c>
      <c r="C2033" t="s">
        <v>7917</v>
      </c>
      <c r="D2033" t="s">
        <v>7921</v>
      </c>
      <c r="E2033">
        <v>586.87</v>
      </c>
      <c r="G2033" s="35"/>
      <c r="H2033" s="36">
        <f t="shared" si="93"/>
        <v>369.72809999999998</v>
      </c>
      <c r="I2033" s="37">
        <f t="shared" si="94"/>
        <v>369.72809999999998</v>
      </c>
      <c r="J2033" s="4"/>
      <c r="K2033" s="38">
        <f t="shared" si="95"/>
        <v>0</v>
      </c>
    </row>
    <row r="2034" spans="1:11">
      <c r="A2034" t="s">
        <v>2400</v>
      </c>
      <c r="B2034" t="s">
        <v>10177</v>
      </c>
      <c r="C2034" t="s">
        <v>7917</v>
      </c>
      <c r="D2034" t="s">
        <v>7922</v>
      </c>
      <c r="E2034">
        <v>1554</v>
      </c>
      <c r="G2034" s="35"/>
      <c r="H2034" s="36">
        <f t="shared" si="93"/>
        <v>979.02</v>
      </c>
      <c r="I2034" s="37">
        <f t="shared" si="94"/>
        <v>979.02</v>
      </c>
      <c r="J2034" s="4"/>
      <c r="K2034" s="38">
        <f t="shared" si="95"/>
        <v>0</v>
      </c>
    </row>
    <row r="2035" spans="1:11">
      <c r="A2035" t="s">
        <v>2401</v>
      </c>
      <c r="B2035" t="s">
        <v>10177</v>
      </c>
      <c r="C2035" t="s">
        <v>7917</v>
      </c>
      <c r="D2035" t="s">
        <v>7923</v>
      </c>
      <c r="E2035">
        <v>1468.88</v>
      </c>
      <c r="G2035" s="35"/>
      <c r="H2035" s="36">
        <f t="shared" si="93"/>
        <v>925.39440000000002</v>
      </c>
      <c r="I2035" s="37">
        <f t="shared" si="94"/>
        <v>925.39440000000002</v>
      </c>
      <c r="J2035" s="4"/>
      <c r="K2035" s="38">
        <f t="shared" si="95"/>
        <v>0</v>
      </c>
    </row>
    <row r="2036" spans="1:11">
      <c r="A2036" t="s">
        <v>2402</v>
      </c>
      <c r="B2036" t="s">
        <v>10177</v>
      </c>
      <c r="C2036" t="s">
        <v>7917</v>
      </c>
      <c r="D2036" t="s">
        <v>7924</v>
      </c>
      <c r="E2036">
        <v>9890.9</v>
      </c>
      <c r="G2036" s="35"/>
      <c r="H2036" s="36">
        <f t="shared" si="93"/>
        <v>6231.2669999999998</v>
      </c>
      <c r="I2036" s="37">
        <f t="shared" si="94"/>
        <v>6231.2669999999998</v>
      </c>
      <c r="J2036" s="4"/>
      <c r="K2036" s="38">
        <f t="shared" si="95"/>
        <v>0</v>
      </c>
    </row>
    <row r="2037" spans="1:11">
      <c r="A2037" t="s">
        <v>2403</v>
      </c>
      <c r="B2037" t="s">
        <v>10177</v>
      </c>
      <c r="C2037" t="s">
        <v>7917</v>
      </c>
      <c r="D2037" t="s">
        <v>7925</v>
      </c>
      <c r="E2037">
        <v>5257.14</v>
      </c>
      <c r="G2037" s="35"/>
      <c r="H2037" s="36">
        <f t="shared" si="93"/>
        <v>3311.9982000000005</v>
      </c>
      <c r="I2037" s="37">
        <f t="shared" si="94"/>
        <v>3311.9982000000005</v>
      </c>
      <c r="J2037" s="4"/>
      <c r="K2037" s="38">
        <f t="shared" si="95"/>
        <v>0</v>
      </c>
    </row>
    <row r="2038" spans="1:11">
      <c r="A2038" t="s">
        <v>2352</v>
      </c>
      <c r="B2038" t="s">
        <v>10177</v>
      </c>
      <c r="C2038" t="s">
        <v>7895</v>
      </c>
      <c r="D2038" t="s">
        <v>7896</v>
      </c>
      <c r="E2038">
        <v>899</v>
      </c>
      <c r="G2038" s="35"/>
      <c r="H2038" s="36">
        <f t="shared" si="93"/>
        <v>566.37</v>
      </c>
      <c r="I2038" s="37">
        <f t="shared" si="94"/>
        <v>566.37</v>
      </c>
      <c r="J2038" s="4"/>
      <c r="K2038" s="38">
        <f t="shared" si="95"/>
        <v>0</v>
      </c>
    </row>
    <row r="2039" spans="1:11">
      <c r="A2039" t="s">
        <v>2353</v>
      </c>
      <c r="B2039" t="s">
        <v>10177</v>
      </c>
      <c r="C2039" t="s">
        <v>7895</v>
      </c>
      <c r="D2039" t="s">
        <v>7897</v>
      </c>
      <c r="E2039">
        <v>1081.03</v>
      </c>
      <c r="G2039" s="35"/>
      <c r="H2039" s="36">
        <f t="shared" si="93"/>
        <v>681.0489</v>
      </c>
      <c r="I2039" s="37">
        <f t="shared" si="94"/>
        <v>681.0489</v>
      </c>
      <c r="J2039" s="4"/>
      <c r="K2039" s="38">
        <f t="shared" si="95"/>
        <v>0</v>
      </c>
    </row>
    <row r="2040" spans="1:11">
      <c r="A2040" t="s">
        <v>2354</v>
      </c>
      <c r="B2040" t="s">
        <v>10177</v>
      </c>
      <c r="C2040" t="s">
        <v>7895</v>
      </c>
      <c r="D2040" t="s">
        <v>7898</v>
      </c>
      <c r="E2040">
        <v>905.64</v>
      </c>
      <c r="G2040" s="35"/>
      <c r="H2040" s="36">
        <f t="shared" si="93"/>
        <v>570.55319999999995</v>
      </c>
      <c r="I2040" s="37">
        <f t="shared" si="94"/>
        <v>570.55319999999995</v>
      </c>
      <c r="J2040" s="4"/>
      <c r="K2040" s="38">
        <f t="shared" si="95"/>
        <v>0</v>
      </c>
    </row>
    <row r="2041" spans="1:11">
      <c r="A2041" t="s">
        <v>2355</v>
      </c>
      <c r="B2041" t="s">
        <v>10177</v>
      </c>
      <c r="C2041" t="s">
        <v>7895</v>
      </c>
      <c r="D2041" t="s">
        <v>7900</v>
      </c>
      <c r="E2041">
        <v>2381.77</v>
      </c>
      <c r="G2041" s="35"/>
      <c r="H2041" s="36">
        <f t="shared" si="93"/>
        <v>1500.5151000000001</v>
      </c>
      <c r="I2041" s="37">
        <f t="shared" si="94"/>
        <v>1500.5151000000001</v>
      </c>
      <c r="J2041" s="4"/>
      <c r="K2041" s="38">
        <f t="shared" si="95"/>
        <v>0</v>
      </c>
    </row>
    <row r="2042" spans="1:11">
      <c r="A2042" t="s">
        <v>2356</v>
      </c>
      <c r="B2042" t="s">
        <v>10177</v>
      </c>
      <c r="C2042" t="s">
        <v>7895</v>
      </c>
      <c r="D2042" t="s">
        <v>7901</v>
      </c>
      <c r="E2042">
        <v>2434.25</v>
      </c>
      <c r="G2042" s="35"/>
      <c r="H2042" s="36">
        <f t="shared" si="93"/>
        <v>1533.5775000000001</v>
      </c>
      <c r="I2042" s="37">
        <f t="shared" si="94"/>
        <v>1533.5775000000001</v>
      </c>
      <c r="J2042" s="4"/>
      <c r="K2042" s="38">
        <f t="shared" si="95"/>
        <v>0</v>
      </c>
    </row>
    <row r="2043" spans="1:11">
      <c r="A2043" t="s">
        <v>2357</v>
      </c>
      <c r="B2043" t="s">
        <v>10177</v>
      </c>
      <c r="C2043" t="s">
        <v>7895</v>
      </c>
      <c r="D2043" t="s">
        <v>7902</v>
      </c>
      <c r="E2043">
        <v>2434.25</v>
      </c>
      <c r="G2043" s="35"/>
      <c r="H2043" s="36">
        <f t="shared" si="93"/>
        <v>1533.5775000000001</v>
      </c>
      <c r="I2043" s="37">
        <f t="shared" si="94"/>
        <v>1533.5775000000001</v>
      </c>
      <c r="J2043" s="4"/>
      <c r="K2043" s="38">
        <f t="shared" si="95"/>
        <v>0</v>
      </c>
    </row>
    <row r="2044" spans="1:11">
      <c r="A2044" t="s">
        <v>2358</v>
      </c>
      <c r="B2044" t="s">
        <v>10177</v>
      </c>
      <c r="C2044" t="s">
        <v>7895</v>
      </c>
      <c r="D2044" t="s">
        <v>7903</v>
      </c>
      <c r="E2044">
        <v>13148.33</v>
      </c>
      <c r="G2044" s="35"/>
      <c r="H2044" s="36">
        <f t="shared" si="93"/>
        <v>8283.4478999999992</v>
      </c>
      <c r="I2044" s="37">
        <f t="shared" si="94"/>
        <v>8283.4478999999992</v>
      </c>
      <c r="J2044" s="4"/>
      <c r="K2044" s="38">
        <f t="shared" si="95"/>
        <v>0</v>
      </c>
    </row>
    <row r="2045" spans="1:11">
      <c r="A2045" t="s">
        <v>4091</v>
      </c>
      <c r="B2045" t="s">
        <v>10177</v>
      </c>
      <c r="C2045" t="s">
        <v>9527</v>
      </c>
      <c r="D2045" t="s">
        <v>9549</v>
      </c>
      <c r="E2045">
        <v>2225.41</v>
      </c>
      <c r="G2045" s="35"/>
      <c r="H2045" s="36">
        <f t="shared" si="93"/>
        <v>1402.0083</v>
      </c>
      <c r="I2045" s="37">
        <f t="shared" si="94"/>
        <v>1402.0083</v>
      </c>
      <c r="J2045" s="4"/>
      <c r="K2045" s="38">
        <f t="shared" si="95"/>
        <v>0</v>
      </c>
    </row>
    <row r="2046" spans="1:11">
      <c r="A2046" t="s">
        <v>2413</v>
      </c>
      <c r="B2046" t="s">
        <v>10177</v>
      </c>
      <c r="C2046" t="s">
        <v>7933</v>
      </c>
      <c r="D2046" t="s">
        <v>7934</v>
      </c>
      <c r="E2046">
        <v>4524.58</v>
      </c>
      <c r="G2046" s="35"/>
      <c r="H2046" s="36">
        <f t="shared" si="93"/>
        <v>2850.4854</v>
      </c>
      <c r="I2046" s="37">
        <f t="shared" si="94"/>
        <v>2850.4854</v>
      </c>
      <c r="J2046" s="4"/>
      <c r="K2046" s="38">
        <f t="shared" si="95"/>
        <v>0</v>
      </c>
    </row>
    <row r="2047" spans="1:11">
      <c r="A2047" t="s">
        <v>2414</v>
      </c>
      <c r="B2047" t="s">
        <v>10177</v>
      </c>
      <c r="C2047" t="s">
        <v>7933</v>
      </c>
      <c r="D2047" t="s">
        <v>7935</v>
      </c>
      <c r="E2047">
        <v>5652.59</v>
      </c>
      <c r="G2047" s="35"/>
      <c r="H2047" s="36">
        <f t="shared" si="93"/>
        <v>3561.1316999999999</v>
      </c>
      <c r="I2047" s="37">
        <f t="shared" si="94"/>
        <v>3561.1316999999999</v>
      </c>
      <c r="J2047" s="4"/>
      <c r="K2047" s="38">
        <f t="shared" si="95"/>
        <v>0</v>
      </c>
    </row>
    <row r="2048" spans="1:11">
      <c r="A2048" t="s">
        <v>2415</v>
      </c>
      <c r="B2048" t="s">
        <v>10177</v>
      </c>
      <c r="C2048" t="s">
        <v>7933</v>
      </c>
      <c r="D2048" t="s">
        <v>7936</v>
      </c>
      <c r="E2048">
        <v>696.53</v>
      </c>
      <c r="G2048" s="35"/>
      <c r="H2048" s="36">
        <f t="shared" si="93"/>
        <v>438.81389999999999</v>
      </c>
      <c r="I2048" s="37">
        <f t="shared" si="94"/>
        <v>438.81389999999999</v>
      </c>
      <c r="J2048" s="4"/>
      <c r="K2048" s="38">
        <f t="shared" si="95"/>
        <v>0</v>
      </c>
    </row>
    <row r="2049" spans="1:11">
      <c r="A2049" t="s">
        <v>2416</v>
      </c>
      <c r="B2049" t="s">
        <v>10177</v>
      </c>
      <c r="C2049" t="s">
        <v>7933</v>
      </c>
      <c r="D2049" t="s">
        <v>7937</v>
      </c>
      <c r="E2049">
        <v>696.53</v>
      </c>
      <c r="G2049" s="35"/>
      <c r="H2049" s="36">
        <f t="shared" si="93"/>
        <v>438.81389999999999</v>
      </c>
      <c r="I2049" s="37">
        <f t="shared" si="94"/>
        <v>438.81389999999999</v>
      </c>
      <c r="J2049" s="4"/>
      <c r="K2049" s="38">
        <f t="shared" si="95"/>
        <v>0</v>
      </c>
    </row>
    <row r="2050" spans="1:11">
      <c r="A2050" t="s">
        <v>2417</v>
      </c>
      <c r="B2050" t="s">
        <v>10177</v>
      </c>
      <c r="C2050" t="s">
        <v>7933</v>
      </c>
      <c r="D2050" t="s">
        <v>7938</v>
      </c>
      <c r="E2050">
        <v>1392.32</v>
      </c>
      <c r="G2050" s="35"/>
      <c r="H2050" s="36">
        <f t="shared" si="93"/>
        <v>877.16160000000002</v>
      </c>
      <c r="I2050" s="37">
        <f t="shared" si="94"/>
        <v>877.16160000000002</v>
      </c>
      <c r="J2050" s="4"/>
      <c r="K2050" s="38">
        <f t="shared" si="95"/>
        <v>0</v>
      </c>
    </row>
    <row r="2051" spans="1:11">
      <c r="A2051" t="s">
        <v>2418</v>
      </c>
      <c r="B2051" t="s">
        <v>10177</v>
      </c>
      <c r="C2051" t="s">
        <v>7933</v>
      </c>
      <c r="D2051" t="s">
        <v>7939</v>
      </c>
      <c r="E2051">
        <v>2925.94</v>
      </c>
      <c r="G2051" s="35"/>
      <c r="H2051" s="36">
        <f t="shared" si="93"/>
        <v>1843.3422</v>
      </c>
      <c r="I2051" s="37">
        <f t="shared" si="94"/>
        <v>1843.3422</v>
      </c>
      <c r="J2051" s="4"/>
      <c r="K2051" s="38">
        <f t="shared" si="95"/>
        <v>0</v>
      </c>
    </row>
    <row r="2052" spans="1:11">
      <c r="A2052" t="s">
        <v>2419</v>
      </c>
      <c r="B2052" t="s">
        <v>10177</v>
      </c>
      <c r="C2052" t="s">
        <v>7933</v>
      </c>
      <c r="D2052" t="s">
        <v>7940</v>
      </c>
      <c r="E2052">
        <v>3260.66</v>
      </c>
      <c r="G2052" s="35"/>
      <c r="H2052" s="36">
        <f t="shared" si="93"/>
        <v>2054.2157999999999</v>
      </c>
      <c r="I2052" s="37">
        <f t="shared" si="94"/>
        <v>2054.2157999999999</v>
      </c>
      <c r="J2052" s="4"/>
      <c r="K2052" s="38">
        <f t="shared" si="95"/>
        <v>0</v>
      </c>
    </row>
    <row r="2053" spans="1:11">
      <c r="A2053" t="s">
        <v>3910</v>
      </c>
      <c r="B2053" t="s">
        <v>10177</v>
      </c>
      <c r="C2053" t="s">
        <v>9380</v>
      </c>
      <c r="D2053" t="s">
        <v>9381</v>
      </c>
      <c r="E2053">
        <v>2933.11</v>
      </c>
      <c r="G2053" s="35"/>
      <c r="H2053" s="36">
        <f t="shared" si="93"/>
        <v>1847.8593000000001</v>
      </c>
      <c r="I2053" s="37">
        <f t="shared" si="94"/>
        <v>1847.8593000000001</v>
      </c>
      <c r="J2053" s="4"/>
      <c r="K2053" s="38">
        <f t="shared" si="95"/>
        <v>0</v>
      </c>
    </row>
    <row r="2054" spans="1:11">
      <c r="A2054" t="s">
        <v>3911</v>
      </c>
      <c r="B2054" t="s">
        <v>10177</v>
      </c>
      <c r="C2054" t="s">
        <v>9380</v>
      </c>
      <c r="D2054" t="s">
        <v>9382</v>
      </c>
      <c r="E2054">
        <v>3241.14</v>
      </c>
      <c r="G2054" s="35"/>
      <c r="H2054" s="36">
        <f t="shared" si="93"/>
        <v>2041.9181999999998</v>
      </c>
      <c r="I2054" s="37">
        <f t="shared" si="94"/>
        <v>2041.9181999999998</v>
      </c>
      <c r="J2054" s="4"/>
      <c r="K2054" s="38">
        <f t="shared" si="95"/>
        <v>0</v>
      </c>
    </row>
    <row r="2055" spans="1:11">
      <c r="A2055" t="s">
        <v>3912</v>
      </c>
      <c r="B2055" t="s">
        <v>10177</v>
      </c>
      <c r="C2055" t="s">
        <v>9380</v>
      </c>
      <c r="D2055" t="s">
        <v>9383</v>
      </c>
      <c r="E2055">
        <v>3277.53</v>
      </c>
      <c r="G2055" s="35"/>
      <c r="H2055" s="36">
        <f t="shared" ref="H2055:H2118" si="96">+E2055*$H$1*(1-G2055)</f>
        <v>2064.8439000000003</v>
      </c>
      <c r="I2055" s="37">
        <f t="shared" ref="I2055:I2117" si="97">H2055*$H$4</f>
        <v>2064.8439000000003</v>
      </c>
      <c r="J2055" s="4"/>
      <c r="K2055" s="38">
        <f t="shared" ref="K2055:K2117" si="98">J2055*I2055</f>
        <v>0</v>
      </c>
    </row>
    <row r="2056" spans="1:11">
      <c r="A2056" t="s">
        <v>3780</v>
      </c>
      <c r="B2056" t="s">
        <v>10177</v>
      </c>
      <c r="C2056" t="s">
        <v>9262</v>
      </c>
      <c r="D2056" t="s">
        <v>9263</v>
      </c>
      <c r="E2056">
        <v>5752.14</v>
      </c>
      <c r="G2056" s="35"/>
      <c r="H2056" s="36">
        <f t="shared" si="96"/>
        <v>3623.8482000000004</v>
      </c>
      <c r="I2056" s="37">
        <f t="shared" si="97"/>
        <v>3623.8482000000004</v>
      </c>
      <c r="J2056" s="4"/>
      <c r="K2056" s="38">
        <f t="shared" si="98"/>
        <v>0</v>
      </c>
    </row>
    <row r="2057" spans="1:11">
      <c r="A2057" t="s">
        <v>3913</v>
      </c>
      <c r="B2057" t="s">
        <v>10177</v>
      </c>
      <c r="C2057" t="s">
        <v>9384</v>
      </c>
      <c r="D2057" t="s">
        <v>9385</v>
      </c>
      <c r="E2057">
        <v>9554.02</v>
      </c>
      <c r="G2057" s="35"/>
      <c r="H2057" s="36">
        <f t="shared" si="96"/>
        <v>6019.0326000000005</v>
      </c>
      <c r="I2057" s="37">
        <f t="shared" si="97"/>
        <v>6019.0326000000005</v>
      </c>
      <c r="J2057" s="4"/>
      <c r="K2057" s="38">
        <f t="shared" si="98"/>
        <v>0</v>
      </c>
    </row>
    <row r="2058" spans="1:11">
      <c r="A2058" t="s">
        <v>273</v>
      </c>
      <c r="B2058" t="s">
        <v>10177</v>
      </c>
      <c r="C2058" t="s">
        <v>5844</v>
      </c>
      <c r="D2058" t="s">
        <v>5845</v>
      </c>
      <c r="E2058">
        <v>13454.97</v>
      </c>
      <c r="G2058" s="35"/>
      <c r="H2058" s="36">
        <f t="shared" si="96"/>
        <v>8476.6311000000005</v>
      </c>
      <c r="I2058" s="37">
        <f t="shared" si="97"/>
        <v>8476.6311000000005</v>
      </c>
      <c r="J2058" s="4"/>
      <c r="K2058" s="38">
        <f t="shared" si="98"/>
        <v>0</v>
      </c>
    </row>
    <row r="2059" spans="1:11">
      <c r="A2059" t="s">
        <v>274</v>
      </c>
      <c r="B2059" t="s">
        <v>10177</v>
      </c>
      <c r="C2059" t="s">
        <v>5844</v>
      </c>
      <c r="D2059" t="s">
        <v>5846</v>
      </c>
      <c r="E2059">
        <v>43142.29</v>
      </c>
      <c r="G2059" s="35"/>
      <c r="H2059" s="36">
        <f t="shared" si="96"/>
        <v>27179.6427</v>
      </c>
      <c r="I2059" s="37">
        <f t="shared" si="97"/>
        <v>27179.6427</v>
      </c>
      <c r="J2059" s="4"/>
      <c r="K2059" s="38">
        <f t="shared" si="98"/>
        <v>0</v>
      </c>
    </row>
    <row r="2060" spans="1:11">
      <c r="A2060" t="s">
        <v>2583</v>
      </c>
      <c r="B2060" t="s">
        <v>10177</v>
      </c>
      <c r="C2060" t="s">
        <v>8112</v>
      </c>
      <c r="D2060" t="s">
        <v>8113</v>
      </c>
      <c r="E2060">
        <v>1639.03</v>
      </c>
      <c r="G2060" s="35"/>
      <c r="H2060" s="36">
        <f t="shared" si="96"/>
        <v>1032.5889</v>
      </c>
      <c r="I2060" s="37">
        <f t="shared" si="97"/>
        <v>1032.5889</v>
      </c>
      <c r="J2060" s="4"/>
      <c r="K2060" s="38">
        <f t="shared" si="98"/>
        <v>0</v>
      </c>
    </row>
    <row r="2061" spans="1:11">
      <c r="A2061" t="s">
        <v>2584</v>
      </c>
      <c r="B2061" t="s">
        <v>10177</v>
      </c>
      <c r="C2061" t="s">
        <v>8112</v>
      </c>
      <c r="D2061" t="s">
        <v>8114</v>
      </c>
      <c r="E2061">
        <v>2404.23</v>
      </c>
      <c r="G2061" s="35"/>
      <c r="H2061" s="36">
        <f t="shared" si="96"/>
        <v>1514.6649</v>
      </c>
      <c r="I2061" s="37">
        <f t="shared" si="97"/>
        <v>1514.6649</v>
      </c>
      <c r="J2061" s="4"/>
      <c r="K2061" s="38">
        <f t="shared" si="98"/>
        <v>0</v>
      </c>
    </row>
    <row r="2062" spans="1:11">
      <c r="A2062" t="s">
        <v>4046</v>
      </c>
      <c r="B2062" t="s">
        <v>10177</v>
      </c>
      <c r="C2062" t="s">
        <v>9512</v>
      </c>
      <c r="D2062" t="s">
        <v>9513</v>
      </c>
      <c r="E2062">
        <v>29111.66</v>
      </c>
      <c r="G2062" s="35"/>
      <c r="H2062" s="36">
        <f t="shared" si="96"/>
        <v>18340.345799999999</v>
      </c>
      <c r="I2062" s="37">
        <f t="shared" si="97"/>
        <v>18340.345799999999</v>
      </c>
      <c r="J2062" s="4"/>
      <c r="K2062" s="38">
        <f t="shared" si="98"/>
        <v>0</v>
      </c>
    </row>
    <row r="2063" spans="1:11">
      <c r="A2063" t="s">
        <v>4047</v>
      </c>
      <c r="B2063" t="s">
        <v>10177</v>
      </c>
      <c r="C2063" t="s">
        <v>9512</v>
      </c>
      <c r="D2063" t="s">
        <v>9514</v>
      </c>
      <c r="E2063">
        <v>44828.73</v>
      </c>
      <c r="G2063" s="35"/>
      <c r="H2063" s="36">
        <f t="shared" si="96"/>
        <v>28242.099900000001</v>
      </c>
      <c r="I2063" s="37">
        <f t="shared" si="97"/>
        <v>28242.099900000001</v>
      </c>
      <c r="J2063" s="4"/>
      <c r="K2063" s="38">
        <f t="shared" si="98"/>
        <v>0</v>
      </c>
    </row>
    <row r="2064" spans="1:11">
      <c r="A2064" t="s">
        <v>4044</v>
      </c>
      <c r="B2064" t="s">
        <v>10177</v>
      </c>
      <c r="C2064" t="s">
        <v>9510</v>
      </c>
      <c r="D2064" t="s">
        <v>9511</v>
      </c>
      <c r="E2064">
        <v>2048.5700000000002</v>
      </c>
      <c r="G2064" s="35"/>
      <c r="H2064" s="36">
        <f t="shared" si="96"/>
        <v>1290.5991000000001</v>
      </c>
      <c r="I2064" s="37">
        <f t="shared" si="97"/>
        <v>1290.5991000000001</v>
      </c>
      <c r="J2064" s="4"/>
      <c r="K2064" s="38">
        <f t="shared" si="98"/>
        <v>0</v>
      </c>
    </row>
    <row r="2065" spans="1:11">
      <c r="A2065" t="s">
        <v>4045</v>
      </c>
      <c r="B2065" t="s">
        <v>10177</v>
      </c>
      <c r="C2065" t="s">
        <v>9510</v>
      </c>
      <c r="D2065" t="s">
        <v>6880</v>
      </c>
      <c r="E2065">
        <v>3458.46</v>
      </c>
      <c r="G2065" s="35"/>
      <c r="H2065" s="36">
        <f t="shared" si="96"/>
        <v>2178.8298</v>
      </c>
      <c r="I2065" s="37">
        <f t="shared" si="97"/>
        <v>2178.8298</v>
      </c>
      <c r="J2065" s="4"/>
      <c r="K2065" s="38">
        <f t="shared" si="98"/>
        <v>0</v>
      </c>
    </row>
    <row r="2066" spans="1:11">
      <c r="A2066" t="s">
        <v>2644</v>
      </c>
      <c r="B2066" t="s">
        <v>10177</v>
      </c>
      <c r="C2066" t="s">
        <v>8167</v>
      </c>
      <c r="D2066" t="s">
        <v>7967</v>
      </c>
      <c r="E2066">
        <v>2943.39</v>
      </c>
      <c r="G2066" s="35"/>
      <c r="H2066" s="36">
        <f t="shared" si="96"/>
        <v>1854.3356999999999</v>
      </c>
      <c r="I2066" s="37">
        <f t="shared" si="97"/>
        <v>1854.3356999999999</v>
      </c>
      <c r="J2066" s="4"/>
      <c r="K2066" s="38">
        <f t="shared" si="98"/>
        <v>0</v>
      </c>
    </row>
    <row r="2067" spans="1:11">
      <c r="A2067" t="s">
        <v>2645</v>
      </c>
      <c r="B2067" t="s">
        <v>10177</v>
      </c>
      <c r="C2067" t="s">
        <v>8167</v>
      </c>
      <c r="D2067" t="s">
        <v>6674</v>
      </c>
      <c r="E2067">
        <v>17598.38</v>
      </c>
      <c r="G2067" s="35"/>
      <c r="H2067" s="36">
        <f t="shared" si="96"/>
        <v>11086.9794</v>
      </c>
      <c r="I2067" s="37">
        <f t="shared" si="97"/>
        <v>11086.9794</v>
      </c>
      <c r="J2067" s="4"/>
      <c r="K2067" s="38">
        <f t="shared" si="98"/>
        <v>0</v>
      </c>
    </row>
    <row r="2068" spans="1:11">
      <c r="A2068" t="s">
        <v>2646</v>
      </c>
      <c r="B2068" t="s">
        <v>10177</v>
      </c>
      <c r="C2068" t="s">
        <v>8167</v>
      </c>
      <c r="D2068" t="s">
        <v>8168</v>
      </c>
      <c r="E2068">
        <v>46984.97</v>
      </c>
      <c r="G2068" s="35"/>
      <c r="H2068" s="36">
        <f t="shared" si="96"/>
        <v>29600.5311</v>
      </c>
      <c r="I2068" s="37">
        <f t="shared" si="97"/>
        <v>29600.5311</v>
      </c>
      <c r="J2068" s="4"/>
      <c r="K2068" s="38">
        <f t="shared" si="98"/>
        <v>0</v>
      </c>
    </row>
    <row r="2069" spans="1:11">
      <c r="A2069" t="s">
        <v>2650</v>
      </c>
      <c r="B2069" t="s">
        <v>10177</v>
      </c>
      <c r="C2069" t="s">
        <v>8173</v>
      </c>
      <c r="D2069" t="s">
        <v>6679</v>
      </c>
      <c r="E2069">
        <v>558.22</v>
      </c>
      <c r="G2069" s="35"/>
      <c r="H2069" s="36">
        <f t="shared" si="96"/>
        <v>351.67860000000002</v>
      </c>
      <c r="I2069" s="37">
        <f t="shared" si="97"/>
        <v>351.67860000000002</v>
      </c>
      <c r="J2069" s="4"/>
      <c r="K2069" s="38">
        <f t="shared" si="98"/>
        <v>0</v>
      </c>
    </row>
    <row r="2070" spans="1:11">
      <c r="A2070" t="s">
        <v>2651</v>
      </c>
      <c r="B2070" t="s">
        <v>10177</v>
      </c>
      <c r="C2070" t="s">
        <v>8173</v>
      </c>
      <c r="D2070" t="s">
        <v>8174</v>
      </c>
      <c r="E2070">
        <v>899</v>
      </c>
      <c r="G2070" s="35"/>
      <c r="H2070" s="36">
        <f t="shared" si="96"/>
        <v>566.37</v>
      </c>
      <c r="I2070" s="37">
        <f t="shared" si="97"/>
        <v>566.37</v>
      </c>
      <c r="J2070" s="4"/>
      <c r="K2070" s="38">
        <f t="shared" si="98"/>
        <v>0</v>
      </c>
    </row>
    <row r="2071" spans="1:11">
      <c r="A2071" t="s">
        <v>2652</v>
      </c>
      <c r="B2071" t="s">
        <v>10177</v>
      </c>
      <c r="C2071" t="s">
        <v>8173</v>
      </c>
      <c r="D2071" t="s">
        <v>6681</v>
      </c>
      <c r="E2071">
        <v>1463.67</v>
      </c>
      <c r="G2071" s="35"/>
      <c r="H2071" s="36">
        <f t="shared" si="96"/>
        <v>922.11210000000005</v>
      </c>
      <c r="I2071" s="37">
        <f t="shared" si="97"/>
        <v>922.11210000000005</v>
      </c>
      <c r="J2071" s="4"/>
      <c r="K2071" s="38">
        <f t="shared" si="98"/>
        <v>0</v>
      </c>
    </row>
    <row r="2072" spans="1:11">
      <c r="A2072" t="s">
        <v>2653</v>
      </c>
      <c r="B2072" t="s">
        <v>10177</v>
      </c>
      <c r="C2072" t="s">
        <v>8173</v>
      </c>
      <c r="D2072" t="s">
        <v>6677</v>
      </c>
      <c r="E2072">
        <v>2771.76</v>
      </c>
      <c r="G2072" s="35"/>
      <c r="H2072" s="36">
        <f t="shared" si="96"/>
        <v>1746.2088000000001</v>
      </c>
      <c r="I2072" s="37">
        <f t="shared" si="97"/>
        <v>1746.2088000000001</v>
      </c>
      <c r="J2072" s="4"/>
      <c r="K2072" s="38">
        <f t="shared" si="98"/>
        <v>0</v>
      </c>
    </row>
    <row r="2073" spans="1:11">
      <c r="A2073" t="s">
        <v>2654</v>
      </c>
      <c r="B2073" t="s">
        <v>10177</v>
      </c>
      <c r="C2073" t="s">
        <v>8173</v>
      </c>
      <c r="D2073" t="s">
        <v>6678</v>
      </c>
      <c r="E2073">
        <v>15529.93</v>
      </c>
      <c r="G2073" s="35"/>
      <c r="H2073" s="36">
        <f t="shared" si="96"/>
        <v>9783.8559000000005</v>
      </c>
      <c r="I2073" s="37">
        <f t="shared" si="97"/>
        <v>9783.8559000000005</v>
      </c>
      <c r="J2073" s="4"/>
      <c r="K2073" s="38">
        <f t="shared" si="98"/>
        <v>0</v>
      </c>
    </row>
    <row r="2074" spans="1:11">
      <c r="A2074" t="s">
        <v>2703</v>
      </c>
      <c r="B2074" t="s">
        <v>10177</v>
      </c>
      <c r="C2074" t="s">
        <v>8220</v>
      </c>
      <c r="D2074" t="s">
        <v>8221</v>
      </c>
      <c r="E2074">
        <v>485.67</v>
      </c>
      <c r="G2074" s="35"/>
      <c r="H2074" s="36">
        <f t="shared" si="96"/>
        <v>305.97210000000001</v>
      </c>
      <c r="I2074" s="37">
        <f t="shared" si="97"/>
        <v>305.97210000000001</v>
      </c>
      <c r="J2074" s="4"/>
      <c r="K2074" s="38">
        <f t="shared" si="98"/>
        <v>0</v>
      </c>
    </row>
    <row r="2075" spans="1:11">
      <c r="A2075" t="s">
        <v>2704</v>
      </c>
      <c r="B2075" t="s">
        <v>10177</v>
      </c>
      <c r="C2075" t="s">
        <v>8220</v>
      </c>
      <c r="D2075" t="s">
        <v>8222</v>
      </c>
      <c r="E2075">
        <v>806.52</v>
      </c>
      <c r="G2075" s="35"/>
      <c r="H2075" s="36">
        <f t="shared" si="96"/>
        <v>508.10759999999999</v>
      </c>
      <c r="I2075" s="37">
        <f t="shared" si="97"/>
        <v>508.10759999999999</v>
      </c>
      <c r="J2075" s="4"/>
      <c r="K2075" s="38">
        <f t="shared" si="98"/>
        <v>0</v>
      </c>
    </row>
    <row r="2076" spans="1:11">
      <c r="A2076" t="s">
        <v>2705</v>
      </c>
      <c r="B2076" t="s">
        <v>10177</v>
      </c>
      <c r="C2076" t="s">
        <v>8223</v>
      </c>
      <c r="D2076" t="s">
        <v>6715</v>
      </c>
      <c r="E2076">
        <v>328.31</v>
      </c>
      <c r="G2076" s="35"/>
      <c r="H2076" s="36">
        <f t="shared" si="96"/>
        <v>206.83529999999999</v>
      </c>
      <c r="I2076" s="37">
        <f t="shared" si="97"/>
        <v>206.83529999999999</v>
      </c>
      <c r="J2076" s="4"/>
      <c r="K2076" s="38">
        <f t="shared" si="98"/>
        <v>0</v>
      </c>
    </row>
    <row r="2077" spans="1:11">
      <c r="A2077" t="s">
        <v>2706</v>
      </c>
      <c r="B2077" t="s">
        <v>10177</v>
      </c>
      <c r="C2077" t="s">
        <v>8223</v>
      </c>
      <c r="D2077" t="s">
        <v>6716</v>
      </c>
      <c r="E2077">
        <v>450.81</v>
      </c>
      <c r="G2077" s="35"/>
      <c r="H2077" s="36">
        <f t="shared" si="96"/>
        <v>284.01030000000003</v>
      </c>
      <c r="I2077" s="37">
        <f t="shared" si="97"/>
        <v>284.01030000000003</v>
      </c>
      <c r="J2077" s="4"/>
      <c r="K2077" s="38">
        <f t="shared" si="98"/>
        <v>0</v>
      </c>
    </row>
    <row r="2078" spans="1:11">
      <c r="A2078" t="s">
        <v>2707</v>
      </c>
      <c r="B2078" t="s">
        <v>10177</v>
      </c>
      <c r="C2078" t="s">
        <v>8223</v>
      </c>
      <c r="D2078" t="s">
        <v>6718</v>
      </c>
      <c r="E2078">
        <v>593.96</v>
      </c>
      <c r="G2078" s="35"/>
      <c r="H2078" s="36">
        <f t="shared" si="96"/>
        <v>374.19480000000004</v>
      </c>
      <c r="I2078" s="37">
        <f t="shared" si="97"/>
        <v>374.19480000000004</v>
      </c>
      <c r="J2078" s="4"/>
      <c r="K2078" s="38">
        <f t="shared" si="98"/>
        <v>0</v>
      </c>
    </row>
    <row r="2079" spans="1:11">
      <c r="A2079" t="s">
        <v>2708</v>
      </c>
      <c r="B2079" t="s">
        <v>10177</v>
      </c>
      <c r="C2079" t="s">
        <v>8223</v>
      </c>
      <c r="D2079" t="s">
        <v>6717</v>
      </c>
      <c r="E2079">
        <v>818.69</v>
      </c>
      <c r="G2079" s="35"/>
      <c r="H2079" s="36">
        <f t="shared" si="96"/>
        <v>515.77470000000005</v>
      </c>
      <c r="I2079" s="37">
        <f t="shared" si="97"/>
        <v>515.77470000000005</v>
      </c>
      <c r="J2079" s="4"/>
      <c r="K2079" s="38">
        <f t="shared" si="98"/>
        <v>0</v>
      </c>
    </row>
    <row r="2080" spans="1:11">
      <c r="A2080" t="s">
        <v>2709</v>
      </c>
      <c r="B2080" t="s">
        <v>10177</v>
      </c>
      <c r="C2080" t="s">
        <v>8224</v>
      </c>
      <c r="D2080" t="s">
        <v>6679</v>
      </c>
      <c r="E2080">
        <v>378.89</v>
      </c>
      <c r="G2080" s="35"/>
      <c r="H2080" s="36">
        <f t="shared" si="96"/>
        <v>238.70069999999998</v>
      </c>
      <c r="I2080" s="37">
        <f t="shared" si="97"/>
        <v>238.70069999999998</v>
      </c>
      <c r="J2080" s="4"/>
      <c r="K2080" s="38">
        <f t="shared" si="98"/>
        <v>0</v>
      </c>
    </row>
    <row r="2081" spans="1:11">
      <c r="A2081" t="s">
        <v>2710</v>
      </c>
      <c r="B2081" t="s">
        <v>10177</v>
      </c>
      <c r="C2081" t="s">
        <v>8224</v>
      </c>
      <c r="D2081" t="s">
        <v>6680</v>
      </c>
      <c r="E2081">
        <v>547.13</v>
      </c>
      <c r="G2081" s="35"/>
      <c r="H2081" s="36">
        <f t="shared" si="96"/>
        <v>344.69189999999998</v>
      </c>
      <c r="I2081" s="37">
        <f t="shared" si="97"/>
        <v>344.69189999999998</v>
      </c>
      <c r="J2081" s="4"/>
      <c r="K2081" s="38">
        <f t="shared" si="98"/>
        <v>0</v>
      </c>
    </row>
    <row r="2082" spans="1:11">
      <c r="A2082" t="s">
        <v>2711</v>
      </c>
      <c r="B2082" t="s">
        <v>10177</v>
      </c>
      <c r="C2082" t="s">
        <v>8224</v>
      </c>
      <c r="D2082" t="s">
        <v>6681</v>
      </c>
      <c r="E2082">
        <v>897.19</v>
      </c>
      <c r="G2082" s="35"/>
      <c r="H2082" s="36">
        <f t="shared" si="96"/>
        <v>565.22970000000009</v>
      </c>
      <c r="I2082" s="37">
        <f t="shared" si="97"/>
        <v>565.22970000000009</v>
      </c>
      <c r="J2082" s="4"/>
      <c r="K2082" s="38">
        <f t="shared" si="98"/>
        <v>0</v>
      </c>
    </row>
    <row r="2083" spans="1:11">
      <c r="A2083" t="s">
        <v>2712</v>
      </c>
      <c r="B2083" t="s">
        <v>10177</v>
      </c>
      <c r="C2083" t="s">
        <v>8224</v>
      </c>
      <c r="D2083" t="s">
        <v>6677</v>
      </c>
      <c r="E2083">
        <v>1924.79</v>
      </c>
      <c r="G2083" s="35"/>
      <c r="H2083" s="36">
        <f t="shared" si="96"/>
        <v>1212.6177</v>
      </c>
      <c r="I2083" s="37">
        <f t="shared" si="97"/>
        <v>1212.6177</v>
      </c>
      <c r="J2083" s="4"/>
      <c r="K2083" s="38">
        <f t="shared" si="98"/>
        <v>0</v>
      </c>
    </row>
    <row r="2084" spans="1:11">
      <c r="A2084" t="s">
        <v>2713</v>
      </c>
      <c r="B2084" t="s">
        <v>10177</v>
      </c>
      <c r="C2084" t="s">
        <v>8224</v>
      </c>
      <c r="D2084" t="s">
        <v>6678</v>
      </c>
      <c r="E2084">
        <v>10842.03</v>
      </c>
      <c r="G2084" s="35"/>
      <c r="H2084" s="36">
        <f t="shared" si="96"/>
        <v>6830.4789000000001</v>
      </c>
      <c r="I2084" s="37">
        <f t="shared" si="97"/>
        <v>6830.4789000000001</v>
      </c>
      <c r="J2084" s="4"/>
      <c r="K2084" s="38">
        <f t="shared" si="98"/>
        <v>0</v>
      </c>
    </row>
    <row r="2085" spans="1:11">
      <c r="A2085" t="s">
        <v>3265</v>
      </c>
      <c r="B2085" t="s">
        <v>10177</v>
      </c>
      <c r="C2085" t="s">
        <v>8777</v>
      </c>
      <c r="D2085" t="s">
        <v>8778</v>
      </c>
      <c r="E2085">
        <v>10495.36</v>
      </c>
      <c r="G2085" s="35"/>
      <c r="H2085" s="36">
        <f t="shared" si="96"/>
        <v>6612.0768000000007</v>
      </c>
      <c r="I2085" s="37">
        <f t="shared" si="97"/>
        <v>6612.0768000000007</v>
      </c>
      <c r="J2085" s="4"/>
      <c r="K2085" s="38">
        <f t="shared" si="98"/>
        <v>0</v>
      </c>
    </row>
    <row r="2086" spans="1:11">
      <c r="A2086" t="s">
        <v>3266</v>
      </c>
      <c r="B2086" t="s">
        <v>10177</v>
      </c>
      <c r="C2086" t="s">
        <v>8777</v>
      </c>
      <c r="D2086" t="s">
        <v>8779</v>
      </c>
      <c r="E2086">
        <v>20963.39</v>
      </c>
      <c r="G2086" s="35"/>
      <c r="H2086" s="36">
        <f t="shared" si="96"/>
        <v>13206.9357</v>
      </c>
      <c r="I2086" s="37">
        <f t="shared" si="97"/>
        <v>13206.9357</v>
      </c>
      <c r="J2086" s="4"/>
      <c r="K2086" s="38">
        <f t="shared" si="98"/>
        <v>0</v>
      </c>
    </row>
    <row r="2087" spans="1:11">
      <c r="A2087" t="s">
        <v>3338</v>
      </c>
      <c r="B2087" t="s">
        <v>10177</v>
      </c>
      <c r="C2087" t="s">
        <v>8831</v>
      </c>
      <c r="D2087" t="s">
        <v>8832</v>
      </c>
      <c r="E2087">
        <v>14363.92</v>
      </c>
      <c r="G2087" s="35"/>
      <c r="H2087" s="36">
        <f t="shared" si="96"/>
        <v>9049.2695999999996</v>
      </c>
      <c r="I2087" s="37">
        <f t="shared" si="97"/>
        <v>9049.2695999999996</v>
      </c>
      <c r="J2087" s="4"/>
      <c r="K2087" s="38">
        <f t="shared" si="98"/>
        <v>0</v>
      </c>
    </row>
    <row r="2088" spans="1:11">
      <c r="A2088" t="s">
        <v>3339</v>
      </c>
      <c r="B2088" t="s">
        <v>10177</v>
      </c>
      <c r="C2088" t="s">
        <v>8831</v>
      </c>
      <c r="D2088" t="s">
        <v>8833</v>
      </c>
      <c r="E2088">
        <v>4825.47</v>
      </c>
      <c r="G2088" s="35"/>
      <c r="H2088" s="36">
        <f t="shared" si="96"/>
        <v>3040.0461</v>
      </c>
      <c r="I2088" s="37">
        <f t="shared" si="97"/>
        <v>3040.0461</v>
      </c>
      <c r="J2088" s="4"/>
      <c r="K2088" s="38">
        <f t="shared" si="98"/>
        <v>0</v>
      </c>
    </row>
    <row r="2089" spans="1:11">
      <c r="A2089" t="s">
        <v>3340</v>
      </c>
      <c r="B2089" t="s">
        <v>10177</v>
      </c>
      <c r="C2089" t="s">
        <v>8831</v>
      </c>
      <c r="D2089" t="s">
        <v>8834</v>
      </c>
      <c r="E2089">
        <v>6197.89</v>
      </c>
      <c r="G2089" s="35"/>
      <c r="H2089" s="36">
        <f t="shared" si="96"/>
        <v>3904.6707000000001</v>
      </c>
      <c r="I2089" s="37">
        <f t="shared" si="97"/>
        <v>3904.6707000000001</v>
      </c>
      <c r="J2089" s="4"/>
      <c r="K2089" s="38">
        <f t="shared" si="98"/>
        <v>0</v>
      </c>
    </row>
    <row r="2090" spans="1:11">
      <c r="A2090" t="s">
        <v>3341</v>
      </c>
      <c r="B2090" t="s">
        <v>10177</v>
      </c>
      <c r="C2090" t="s">
        <v>8831</v>
      </c>
      <c r="D2090" t="s">
        <v>8835</v>
      </c>
      <c r="E2090">
        <v>7761.48</v>
      </c>
      <c r="G2090" s="35"/>
      <c r="H2090" s="36">
        <f t="shared" si="96"/>
        <v>4889.7323999999999</v>
      </c>
      <c r="I2090" s="37">
        <f t="shared" si="97"/>
        <v>4889.7323999999999</v>
      </c>
      <c r="J2090" s="4"/>
      <c r="K2090" s="38">
        <f t="shared" si="98"/>
        <v>0</v>
      </c>
    </row>
    <row r="2091" spans="1:11">
      <c r="A2091" t="s">
        <v>3342</v>
      </c>
      <c r="B2091" t="s">
        <v>10177</v>
      </c>
      <c r="C2091" t="s">
        <v>8831</v>
      </c>
      <c r="D2091" t="s">
        <v>8836</v>
      </c>
      <c r="E2091">
        <v>8912.43</v>
      </c>
      <c r="G2091" s="35"/>
      <c r="H2091" s="36">
        <f t="shared" si="96"/>
        <v>5614.8308999999999</v>
      </c>
      <c r="I2091" s="37">
        <f t="shared" si="97"/>
        <v>5614.8308999999999</v>
      </c>
      <c r="J2091" s="4"/>
      <c r="K2091" s="38">
        <f t="shared" si="98"/>
        <v>0</v>
      </c>
    </row>
    <row r="2092" spans="1:11">
      <c r="A2092" t="s">
        <v>3343</v>
      </c>
      <c r="B2092" t="s">
        <v>10177</v>
      </c>
      <c r="C2092" t="s">
        <v>8831</v>
      </c>
      <c r="D2092" t="s">
        <v>8837</v>
      </c>
      <c r="E2092">
        <v>2852.01</v>
      </c>
      <c r="G2092" s="35"/>
      <c r="H2092" s="36">
        <f t="shared" si="96"/>
        <v>1796.7663000000002</v>
      </c>
      <c r="I2092" s="37">
        <f t="shared" si="97"/>
        <v>1796.7663000000002</v>
      </c>
      <c r="J2092" s="4"/>
      <c r="K2092" s="38">
        <f t="shared" si="98"/>
        <v>0</v>
      </c>
    </row>
    <row r="2093" spans="1:11">
      <c r="A2093" t="s">
        <v>3344</v>
      </c>
      <c r="B2093" t="s">
        <v>10177</v>
      </c>
      <c r="C2093" t="s">
        <v>8831</v>
      </c>
      <c r="D2093" t="s">
        <v>8838</v>
      </c>
      <c r="E2093">
        <v>3862.24</v>
      </c>
      <c r="G2093" s="35"/>
      <c r="H2093" s="36">
        <f t="shared" si="96"/>
        <v>2433.2111999999997</v>
      </c>
      <c r="I2093" s="37">
        <f t="shared" si="97"/>
        <v>2433.2111999999997</v>
      </c>
      <c r="J2093" s="4"/>
      <c r="K2093" s="38">
        <f t="shared" si="98"/>
        <v>0</v>
      </c>
    </row>
    <row r="2094" spans="1:11">
      <c r="A2094" t="s">
        <v>3345</v>
      </c>
      <c r="B2094" t="s">
        <v>10177</v>
      </c>
      <c r="C2094" t="s">
        <v>8831</v>
      </c>
      <c r="D2094" t="s">
        <v>8839</v>
      </c>
      <c r="E2094">
        <v>4975.1400000000003</v>
      </c>
      <c r="G2094" s="35"/>
      <c r="H2094" s="36">
        <f t="shared" si="96"/>
        <v>3134.3382000000001</v>
      </c>
      <c r="I2094" s="37">
        <f t="shared" si="97"/>
        <v>3134.3382000000001</v>
      </c>
      <c r="J2094" s="4"/>
      <c r="K2094" s="38">
        <f t="shared" si="98"/>
        <v>0</v>
      </c>
    </row>
    <row r="2095" spans="1:11">
      <c r="A2095" t="s">
        <v>3346</v>
      </c>
      <c r="B2095" t="s">
        <v>10177</v>
      </c>
      <c r="C2095" t="s">
        <v>8831</v>
      </c>
      <c r="D2095" t="s">
        <v>8840</v>
      </c>
      <c r="E2095">
        <v>6718.13</v>
      </c>
      <c r="G2095" s="35"/>
      <c r="H2095" s="36">
        <f t="shared" si="96"/>
        <v>4232.4219000000003</v>
      </c>
      <c r="I2095" s="37">
        <f t="shared" si="97"/>
        <v>4232.4219000000003</v>
      </c>
      <c r="J2095" s="4"/>
      <c r="K2095" s="38">
        <f t="shared" si="98"/>
        <v>0</v>
      </c>
    </row>
    <row r="2096" spans="1:11">
      <c r="A2096" t="s">
        <v>3347</v>
      </c>
      <c r="B2096" t="s">
        <v>10177</v>
      </c>
      <c r="C2096" t="s">
        <v>8831</v>
      </c>
      <c r="D2096" t="s">
        <v>8841</v>
      </c>
      <c r="E2096">
        <v>8627.16</v>
      </c>
      <c r="G2096" s="35"/>
      <c r="H2096" s="36">
        <f t="shared" si="96"/>
        <v>5435.1108000000004</v>
      </c>
      <c r="I2096" s="37">
        <f t="shared" si="97"/>
        <v>5435.1108000000004</v>
      </c>
      <c r="J2096" s="4"/>
      <c r="K2096" s="38">
        <f t="shared" si="98"/>
        <v>0</v>
      </c>
    </row>
    <row r="2097" spans="1:11">
      <c r="A2097" t="s">
        <v>3348</v>
      </c>
      <c r="B2097" t="s">
        <v>10177</v>
      </c>
      <c r="C2097" t="s">
        <v>8831</v>
      </c>
      <c r="D2097" t="s">
        <v>8842</v>
      </c>
      <c r="E2097">
        <v>10340.209999999999</v>
      </c>
      <c r="G2097" s="35"/>
      <c r="H2097" s="36">
        <f t="shared" si="96"/>
        <v>6514.3322999999991</v>
      </c>
      <c r="I2097" s="37">
        <f t="shared" si="97"/>
        <v>6514.3322999999991</v>
      </c>
      <c r="J2097" s="4"/>
      <c r="K2097" s="38">
        <f t="shared" si="98"/>
        <v>0</v>
      </c>
    </row>
    <row r="2098" spans="1:11">
      <c r="A2098" t="s">
        <v>3349</v>
      </c>
      <c r="B2098" t="s">
        <v>10177</v>
      </c>
      <c r="C2098" t="s">
        <v>8831</v>
      </c>
      <c r="D2098" t="s">
        <v>8843</v>
      </c>
      <c r="E2098">
        <v>19638.830000000002</v>
      </c>
      <c r="G2098" s="35"/>
      <c r="H2098" s="36">
        <f t="shared" si="96"/>
        <v>12372.4629</v>
      </c>
      <c r="I2098" s="37">
        <f t="shared" si="97"/>
        <v>12372.4629</v>
      </c>
      <c r="J2098" s="4"/>
      <c r="K2098" s="38">
        <f t="shared" si="98"/>
        <v>0</v>
      </c>
    </row>
    <row r="2099" spans="1:11">
      <c r="A2099" t="s">
        <v>3350</v>
      </c>
      <c r="B2099" t="s">
        <v>10177</v>
      </c>
      <c r="C2099" t="s">
        <v>8831</v>
      </c>
      <c r="D2099" t="s">
        <v>8844</v>
      </c>
      <c r="E2099">
        <v>44380.34</v>
      </c>
      <c r="G2099" s="35"/>
      <c r="H2099" s="36">
        <f t="shared" si="96"/>
        <v>27959.614199999996</v>
      </c>
      <c r="I2099" s="37">
        <f t="shared" si="97"/>
        <v>27959.614199999996</v>
      </c>
      <c r="J2099" s="4"/>
      <c r="K2099" s="38">
        <f t="shared" si="98"/>
        <v>0</v>
      </c>
    </row>
    <row r="2100" spans="1:11">
      <c r="A2100" t="s">
        <v>3351</v>
      </c>
      <c r="B2100" t="s">
        <v>10177</v>
      </c>
      <c r="C2100" t="s">
        <v>8831</v>
      </c>
      <c r="D2100" t="s">
        <v>8845</v>
      </c>
      <c r="E2100">
        <v>9094.57</v>
      </c>
      <c r="G2100" s="35"/>
      <c r="H2100" s="36">
        <f t="shared" si="96"/>
        <v>5729.5790999999999</v>
      </c>
      <c r="I2100" s="37">
        <f t="shared" si="97"/>
        <v>5729.5790999999999</v>
      </c>
      <c r="J2100" s="4"/>
      <c r="K2100" s="38">
        <f t="shared" si="98"/>
        <v>0</v>
      </c>
    </row>
    <row r="2101" spans="1:11">
      <c r="A2101" t="s">
        <v>3352</v>
      </c>
      <c r="B2101" t="s">
        <v>10177</v>
      </c>
      <c r="C2101" t="s">
        <v>8831</v>
      </c>
      <c r="D2101" t="s">
        <v>8846</v>
      </c>
      <c r="E2101">
        <v>11076.03</v>
      </c>
      <c r="G2101" s="35"/>
      <c r="H2101" s="36">
        <f t="shared" si="96"/>
        <v>6977.8989000000001</v>
      </c>
      <c r="I2101" s="37">
        <f t="shared" si="97"/>
        <v>6977.8989000000001</v>
      </c>
      <c r="J2101" s="4"/>
      <c r="K2101" s="38">
        <f t="shared" si="98"/>
        <v>0</v>
      </c>
    </row>
    <row r="2102" spans="1:11">
      <c r="A2102" t="s">
        <v>3353</v>
      </c>
      <c r="B2102" t="s">
        <v>10177</v>
      </c>
      <c r="C2102" t="s">
        <v>8831</v>
      </c>
      <c r="D2102" t="s">
        <v>8847</v>
      </c>
      <c r="E2102">
        <v>13880.18</v>
      </c>
      <c r="G2102" s="35"/>
      <c r="H2102" s="36">
        <f t="shared" si="96"/>
        <v>8744.5133999999998</v>
      </c>
      <c r="I2102" s="37">
        <f t="shared" si="97"/>
        <v>8744.5133999999998</v>
      </c>
      <c r="J2102" s="4"/>
      <c r="K2102" s="38">
        <f t="shared" si="98"/>
        <v>0</v>
      </c>
    </row>
    <row r="2103" spans="1:11">
      <c r="A2103" t="s">
        <v>3354</v>
      </c>
      <c r="B2103" t="s">
        <v>10177</v>
      </c>
      <c r="C2103" t="s">
        <v>8831</v>
      </c>
      <c r="D2103" t="s">
        <v>8848</v>
      </c>
      <c r="E2103">
        <v>11084.91</v>
      </c>
      <c r="G2103" s="35"/>
      <c r="H2103" s="36">
        <f t="shared" si="96"/>
        <v>6983.4933000000001</v>
      </c>
      <c r="I2103" s="37">
        <f t="shared" si="97"/>
        <v>6983.4933000000001</v>
      </c>
      <c r="J2103" s="4"/>
      <c r="K2103" s="38">
        <f t="shared" si="98"/>
        <v>0</v>
      </c>
    </row>
    <row r="2104" spans="1:11">
      <c r="A2104" t="s">
        <v>3355</v>
      </c>
      <c r="B2104" t="s">
        <v>10177</v>
      </c>
      <c r="C2104" t="s">
        <v>8831</v>
      </c>
      <c r="D2104" t="s">
        <v>8849</v>
      </c>
      <c r="E2104">
        <v>16550.009999999998</v>
      </c>
      <c r="G2104" s="35"/>
      <c r="H2104" s="36">
        <f t="shared" si="96"/>
        <v>10426.506299999999</v>
      </c>
      <c r="I2104" s="37">
        <f t="shared" si="97"/>
        <v>10426.506299999999</v>
      </c>
      <c r="J2104" s="4"/>
      <c r="K2104" s="38">
        <f t="shared" si="98"/>
        <v>0</v>
      </c>
    </row>
    <row r="2105" spans="1:11">
      <c r="A2105" t="s">
        <v>3356</v>
      </c>
      <c r="B2105" t="s">
        <v>10177</v>
      </c>
      <c r="C2105" t="s">
        <v>8831</v>
      </c>
      <c r="D2105" t="s">
        <v>8850</v>
      </c>
      <c r="E2105">
        <v>22416.23</v>
      </c>
      <c r="G2105" s="35"/>
      <c r="H2105" s="36">
        <f t="shared" si="96"/>
        <v>14122.224899999999</v>
      </c>
      <c r="I2105" s="37">
        <f t="shared" si="97"/>
        <v>14122.224899999999</v>
      </c>
      <c r="J2105" s="4"/>
      <c r="K2105" s="38">
        <f t="shared" si="98"/>
        <v>0</v>
      </c>
    </row>
    <row r="2106" spans="1:11">
      <c r="A2106" t="s">
        <v>3357</v>
      </c>
      <c r="B2106" t="s">
        <v>10177</v>
      </c>
      <c r="C2106" t="s">
        <v>8831</v>
      </c>
      <c r="D2106" t="s">
        <v>8851</v>
      </c>
      <c r="E2106">
        <v>29405.599999999999</v>
      </c>
      <c r="G2106" s="35"/>
      <c r="H2106" s="36">
        <f t="shared" si="96"/>
        <v>18525.527999999998</v>
      </c>
      <c r="I2106" s="37">
        <f t="shared" si="97"/>
        <v>18525.527999999998</v>
      </c>
      <c r="J2106" s="4"/>
      <c r="K2106" s="38">
        <f t="shared" si="98"/>
        <v>0</v>
      </c>
    </row>
    <row r="2107" spans="1:11">
      <c r="A2107" t="s">
        <v>3358</v>
      </c>
      <c r="B2107" t="s">
        <v>10177</v>
      </c>
      <c r="C2107" t="s">
        <v>8831</v>
      </c>
      <c r="D2107" t="s">
        <v>8852</v>
      </c>
      <c r="E2107">
        <v>46986.92</v>
      </c>
      <c r="G2107" s="35"/>
      <c r="H2107" s="36">
        <f t="shared" si="96"/>
        <v>29601.759599999998</v>
      </c>
      <c r="I2107" s="37">
        <f t="shared" si="97"/>
        <v>29601.759599999998</v>
      </c>
      <c r="J2107" s="4"/>
      <c r="K2107" s="38">
        <f t="shared" si="98"/>
        <v>0</v>
      </c>
    </row>
    <row r="2108" spans="1:11">
      <c r="A2108" t="s">
        <v>3359</v>
      </c>
      <c r="B2108" t="s">
        <v>10177</v>
      </c>
      <c r="C2108" t="s">
        <v>8831</v>
      </c>
      <c r="D2108" t="s">
        <v>8853</v>
      </c>
      <c r="E2108">
        <v>24539.9</v>
      </c>
      <c r="G2108" s="35"/>
      <c r="H2108" s="36">
        <f t="shared" si="96"/>
        <v>15460.137000000001</v>
      </c>
      <c r="I2108" s="37">
        <f t="shared" si="97"/>
        <v>15460.137000000001</v>
      </c>
      <c r="J2108" s="4"/>
      <c r="K2108" s="38">
        <f t="shared" si="98"/>
        <v>0</v>
      </c>
    </row>
    <row r="2109" spans="1:11">
      <c r="A2109" t="s">
        <v>3360</v>
      </c>
      <c r="B2109" t="s">
        <v>10177</v>
      </c>
      <c r="C2109" t="s">
        <v>8831</v>
      </c>
      <c r="D2109" t="s">
        <v>8854</v>
      </c>
      <c r="E2109">
        <v>59063.46</v>
      </c>
      <c r="G2109" s="35"/>
      <c r="H2109" s="36">
        <f t="shared" si="96"/>
        <v>37209.979800000001</v>
      </c>
      <c r="I2109" s="37">
        <f t="shared" si="97"/>
        <v>37209.979800000001</v>
      </c>
      <c r="J2109" s="4"/>
      <c r="K2109" s="38">
        <f t="shared" si="98"/>
        <v>0</v>
      </c>
    </row>
    <row r="2110" spans="1:11">
      <c r="A2110" t="s">
        <v>3361</v>
      </c>
      <c r="B2110" t="s">
        <v>10177</v>
      </c>
      <c r="C2110" t="s">
        <v>8831</v>
      </c>
      <c r="D2110" t="s">
        <v>8855</v>
      </c>
      <c r="E2110">
        <v>38491.06</v>
      </c>
      <c r="G2110" s="35"/>
      <c r="H2110" s="36">
        <f t="shared" si="96"/>
        <v>24249.3678</v>
      </c>
      <c r="I2110" s="37">
        <f t="shared" si="97"/>
        <v>24249.3678</v>
      </c>
      <c r="J2110" s="4"/>
      <c r="K2110" s="38">
        <f t="shared" si="98"/>
        <v>0</v>
      </c>
    </row>
    <row r="2111" spans="1:11">
      <c r="A2111" t="s">
        <v>3362</v>
      </c>
      <c r="B2111" t="s">
        <v>10177</v>
      </c>
      <c r="C2111" t="s">
        <v>8831</v>
      </c>
      <c r="D2111" t="s">
        <v>8856</v>
      </c>
      <c r="E2111">
        <v>88764.3</v>
      </c>
      <c r="G2111" s="35"/>
      <c r="H2111" s="36">
        <f t="shared" si="96"/>
        <v>55921.509000000005</v>
      </c>
      <c r="I2111" s="37">
        <f t="shared" si="97"/>
        <v>55921.509000000005</v>
      </c>
      <c r="J2111" s="4"/>
      <c r="K2111" s="38">
        <f t="shared" si="98"/>
        <v>0</v>
      </c>
    </row>
    <row r="2112" spans="1:11">
      <c r="A2112" t="s">
        <v>10077</v>
      </c>
      <c r="B2112" t="s">
        <v>10177</v>
      </c>
      <c r="C2112" t="s">
        <v>8967</v>
      </c>
      <c r="D2112" t="s">
        <v>10078</v>
      </c>
      <c r="E2112">
        <v>53044.26</v>
      </c>
      <c r="G2112" s="35"/>
      <c r="H2112" s="36">
        <f t="shared" si="96"/>
        <v>33417.883800000003</v>
      </c>
      <c r="I2112" s="37">
        <f t="shared" si="97"/>
        <v>33417.883800000003</v>
      </c>
      <c r="J2112" s="4"/>
      <c r="K2112" s="38">
        <f t="shared" si="98"/>
        <v>0</v>
      </c>
    </row>
    <row r="2113" spans="1:11">
      <c r="A2113" t="s">
        <v>3475</v>
      </c>
      <c r="B2113" t="s">
        <v>10177</v>
      </c>
      <c r="C2113" t="s">
        <v>8967</v>
      </c>
      <c r="D2113" t="s">
        <v>8968</v>
      </c>
      <c r="E2113">
        <v>79791.570000000007</v>
      </c>
      <c r="G2113" s="35"/>
      <c r="H2113" s="36">
        <f t="shared" si="96"/>
        <v>50268.689100000003</v>
      </c>
      <c r="I2113" s="37">
        <f t="shared" si="97"/>
        <v>50268.689100000003</v>
      </c>
      <c r="J2113" s="4"/>
      <c r="K2113" s="38">
        <f t="shared" si="98"/>
        <v>0</v>
      </c>
    </row>
    <row r="2114" spans="1:11">
      <c r="A2114" t="s">
        <v>3476</v>
      </c>
      <c r="B2114" t="s">
        <v>10177</v>
      </c>
      <c r="C2114" t="s">
        <v>8967</v>
      </c>
      <c r="D2114" t="s">
        <v>8969</v>
      </c>
      <c r="E2114">
        <v>151552.29999999999</v>
      </c>
      <c r="G2114" s="35"/>
      <c r="H2114" s="36">
        <f t="shared" si="96"/>
        <v>95477.948999999993</v>
      </c>
      <c r="I2114" s="37">
        <f t="shared" si="97"/>
        <v>95477.948999999993</v>
      </c>
      <c r="J2114" s="4"/>
      <c r="K2114" s="38">
        <f t="shared" si="98"/>
        <v>0</v>
      </c>
    </row>
    <row r="2115" spans="1:11">
      <c r="A2115" t="s">
        <v>3477</v>
      </c>
      <c r="B2115" t="s">
        <v>10177</v>
      </c>
      <c r="C2115" t="s">
        <v>8967</v>
      </c>
      <c r="D2115" t="s">
        <v>8970</v>
      </c>
      <c r="E2115">
        <v>70724.87</v>
      </c>
      <c r="G2115" s="35"/>
      <c r="H2115" s="36">
        <f t="shared" si="96"/>
        <v>44556.668099999995</v>
      </c>
      <c r="I2115" s="37">
        <f t="shared" si="97"/>
        <v>44556.668099999995</v>
      </c>
      <c r="J2115" s="4"/>
      <c r="K2115" s="38">
        <f t="shared" si="98"/>
        <v>0</v>
      </c>
    </row>
    <row r="2116" spans="1:11">
      <c r="A2116" t="s">
        <v>3478</v>
      </c>
      <c r="B2116" t="s">
        <v>10177</v>
      </c>
      <c r="C2116" t="s">
        <v>8967</v>
      </c>
      <c r="D2116" t="s">
        <v>8971</v>
      </c>
      <c r="E2116">
        <v>106389.55</v>
      </c>
      <c r="G2116" s="35"/>
      <c r="H2116" s="36">
        <f t="shared" si="96"/>
        <v>67025.416500000007</v>
      </c>
      <c r="I2116" s="37">
        <f t="shared" si="97"/>
        <v>67025.416500000007</v>
      </c>
      <c r="J2116" s="4"/>
      <c r="K2116" s="38">
        <f t="shared" si="98"/>
        <v>0</v>
      </c>
    </row>
    <row r="2117" spans="1:11">
      <c r="A2117" t="s">
        <v>3479</v>
      </c>
      <c r="B2117" t="s">
        <v>10177</v>
      </c>
      <c r="C2117" t="s">
        <v>8967</v>
      </c>
      <c r="D2117" t="s">
        <v>8972</v>
      </c>
      <c r="E2117">
        <v>51527.22</v>
      </c>
      <c r="G2117" s="35"/>
      <c r="H2117" s="36">
        <f t="shared" si="96"/>
        <v>32462.1486</v>
      </c>
      <c r="I2117" s="37">
        <f t="shared" si="97"/>
        <v>32462.1486</v>
      </c>
      <c r="J2117" s="4"/>
      <c r="K2117" s="38">
        <f t="shared" si="98"/>
        <v>0</v>
      </c>
    </row>
    <row r="2118" spans="1:11">
      <c r="A2118" t="s">
        <v>3480</v>
      </c>
      <c r="B2118" t="s">
        <v>10177</v>
      </c>
      <c r="C2118" t="s">
        <v>8967</v>
      </c>
      <c r="D2118" t="s">
        <v>8973</v>
      </c>
      <c r="E2118">
        <v>202069.73</v>
      </c>
      <c r="G2118" s="35"/>
      <c r="H2118" s="36">
        <f t="shared" si="96"/>
        <v>127303.9299</v>
      </c>
      <c r="I2118" s="37">
        <f t="shared" ref="I2118:I2181" si="99">H2118*$H$4</f>
        <v>127303.9299</v>
      </c>
      <c r="J2118" s="4"/>
      <c r="K2118" s="38">
        <f t="shared" ref="K2118:K2181" si="100">J2118*I2118</f>
        <v>0</v>
      </c>
    </row>
    <row r="2119" spans="1:11">
      <c r="A2119" t="s">
        <v>3483</v>
      </c>
      <c r="B2119" t="s">
        <v>10177</v>
      </c>
      <c r="C2119" t="s">
        <v>8976</v>
      </c>
      <c r="D2119" t="s">
        <v>8977</v>
      </c>
      <c r="E2119">
        <v>88880.3</v>
      </c>
      <c r="G2119" s="35"/>
      <c r="H2119" s="36">
        <f t="shared" ref="H2119:H2182" si="101">+E2119*$H$1*(1-G2119)</f>
        <v>55994.589</v>
      </c>
      <c r="I2119" s="37">
        <f t="shared" si="99"/>
        <v>55994.589</v>
      </c>
      <c r="J2119" s="4"/>
      <c r="K2119" s="38">
        <f t="shared" si="100"/>
        <v>0</v>
      </c>
    </row>
    <row r="2120" spans="1:11">
      <c r="A2120" t="s">
        <v>3484</v>
      </c>
      <c r="B2120" t="s">
        <v>10177</v>
      </c>
      <c r="C2120" t="s">
        <v>8976</v>
      </c>
      <c r="D2120" t="s">
        <v>8978</v>
      </c>
      <c r="E2120">
        <v>14447.27</v>
      </c>
      <c r="G2120" s="35"/>
      <c r="H2120" s="36">
        <f t="shared" si="101"/>
        <v>9101.7800999999999</v>
      </c>
      <c r="I2120" s="37">
        <f t="shared" si="99"/>
        <v>9101.7800999999999</v>
      </c>
      <c r="J2120" s="4"/>
      <c r="K2120" s="38">
        <f t="shared" si="100"/>
        <v>0</v>
      </c>
    </row>
    <row r="2121" spans="1:11">
      <c r="A2121" t="s">
        <v>3485</v>
      </c>
      <c r="B2121" t="s">
        <v>10177</v>
      </c>
      <c r="C2121" t="s">
        <v>8976</v>
      </c>
      <c r="D2121" t="s">
        <v>8979</v>
      </c>
      <c r="E2121">
        <v>18750.02</v>
      </c>
      <c r="G2121" s="35"/>
      <c r="H2121" s="36">
        <f t="shared" si="101"/>
        <v>11812.5126</v>
      </c>
      <c r="I2121" s="37">
        <f t="shared" si="99"/>
        <v>11812.5126</v>
      </c>
      <c r="J2121" s="4"/>
      <c r="K2121" s="38">
        <f t="shared" si="100"/>
        <v>0</v>
      </c>
    </row>
    <row r="2122" spans="1:11">
      <c r="A2122" t="s">
        <v>3486</v>
      </c>
      <c r="B2122" t="s">
        <v>10177</v>
      </c>
      <c r="C2122" t="s">
        <v>8976</v>
      </c>
      <c r="D2122" t="s">
        <v>8980</v>
      </c>
      <c r="E2122">
        <v>23971.18</v>
      </c>
      <c r="G2122" s="35"/>
      <c r="H2122" s="36">
        <f t="shared" si="101"/>
        <v>15101.8434</v>
      </c>
      <c r="I2122" s="37">
        <f t="shared" si="99"/>
        <v>15101.8434</v>
      </c>
      <c r="J2122" s="4"/>
      <c r="K2122" s="38">
        <f t="shared" si="100"/>
        <v>0</v>
      </c>
    </row>
    <row r="2123" spans="1:11">
      <c r="A2123" t="s">
        <v>3487</v>
      </c>
      <c r="B2123" t="s">
        <v>10177</v>
      </c>
      <c r="C2123" t="s">
        <v>8976</v>
      </c>
      <c r="D2123" t="s">
        <v>8981</v>
      </c>
      <c r="E2123">
        <v>36705.01</v>
      </c>
      <c r="G2123" s="35"/>
      <c r="H2123" s="36">
        <f t="shared" si="101"/>
        <v>23124.156300000002</v>
      </c>
      <c r="I2123" s="37">
        <f t="shared" si="99"/>
        <v>23124.156300000002</v>
      </c>
      <c r="J2123" s="4"/>
      <c r="K2123" s="38">
        <f t="shared" si="100"/>
        <v>0</v>
      </c>
    </row>
    <row r="2124" spans="1:11">
      <c r="A2124" t="s">
        <v>3488</v>
      </c>
      <c r="B2124" t="s">
        <v>10177</v>
      </c>
      <c r="C2124" t="s">
        <v>8976</v>
      </c>
      <c r="D2124" t="s">
        <v>8982</v>
      </c>
      <c r="E2124">
        <v>57051</v>
      </c>
      <c r="G2124" s="35"/>
      <c r="H2124" s="36">
        <f t="shared" si="101"/>
        <v>35942.129999999997</v>
      </c>
      <c r="I2124" s="37">
        <f t="shared" si="99"/>
        <v>35942.129999999997</v>
      </c>
      <c r="J2124" s="4"/>
      <c r="K2124" s="38">
        <f t="shared" si="100"/>
        <v>0</v>
      </c>
    </row>
    <row r="2125" spans="1:11">
      <c r="A2125" t="s">
        <v>3489</v>
      </c>
      <c r="B2125" t="s">
        <v>10177</v>
      </c>
      <c r="C2125" t="s">
        <v>8983</v>
      </c>
      <c r="D2125" t="s">
        <v>8984</v>
      </c>
      <c r="E2125">
        <v>8702.09</v>
      </c>
      <c r="G2125" s="35"/>
      <c r="H2125" s="36">
        <f t="shared" si="101"/>
        <v>5482.3167000000003</v>
      </c>
      <c r="I2125" s="37">
        <f t="shared" si="99"/>
        <v>5482.3167000000003</v>
      </c>
      <c r="J2125" s="4"/>
      <c r="K2125" s="38">
        <f t="shared" si="100"/>
        <v>0</v>
      </c>
    </row>
    <row r="2126" spans="1:11">
      <c r="A2126" t="s">
        <v>3490</v>
      </c>
      <c r="B2126" t="s">
        <v>10177</v>
      </c>
      <c r="C2126" t="s">
        <v>8983</v>
      </c>
      <c r="D2126" t="s">
        <v>8985</v>
      </c>
      <c r="E2126">
        <v>11199.8</v>
      </c>
      <c r="G2126" s="35"/>
      <c r="H2126" s="36">
        <f t="shared" si="101"/>
        <v>7055.8739999999998</v>
      </c>
      <c r="I2126" s="37">
        <f t="shared" si="99"/>
        <v>7055.8739999999998</v>
      </c>
      <c r="J2126" s="4"/>
      <c r="K2126" s="38">
        <f t="shared" si="100"/>
        <v>0</v>
      </c>
    </row>
    <row r="2127" spans="1:11">
      <c r="A2127" t="s">
        <v>3491</v>
      </c>
      <c r="B2127" t="s">
        <v>10177</v>
      </c>
      <c r="C2127" t="s">
        <v>8983</v>
      </c>
      <c r="D2127" t="s">
        <v>8986</v>
      </c>
      <c r="E2127">
        <v>14225.55</v>
      </c>
      <c r="G2127" s="35"/>
      <c r="H2127" s="36">
        <f t="shared" si="101"/>
        <v>8962.0964999999997</v>
      </c>
      <c r="I2127" s="37">
        <f t="shared" si="99"/>
        <v>8962.0964999999997</v>
      </c>
      <c r="J2127" s="4"/>
      <c r="K2127" s="38">
        <f t="shared" si="100"/>
        <v>0</v>
      </c>
    </row>
    <row r="2128" spans="1:11">
      <c r="A2128" t="s">
        <v>3492</v>
      </c>
      <c r="B2128" t="s">
        <v>10177</v>
      </c>
      <c r="C2128" t="s">
        <v>8983</v>
      </c>
      <c r="D2128" t="s">
        <v>8987</v>
      </c>
      <c r="E2128">
        <v>23667.68</v>
      </c>
      <c r="G2128" s="35"/>
      <c r="H2128" s="36">
        <f t="shared" si="101"/>
        <v>14910.6384</v>
      </c>
      <c r="I2128" s="37">
        <f t="shared" si="99"/>
        <v>14910.6384</v>
      </c>
      <c r="J2128" s="4"/>
      <c r="K2128" s="38">
        <f t="shared" si="100"/>
        <v>0</v>
      </c>
    </row>
    <row r="2129" spans="1:11">
      <c r="A2129" t="s">
        <v>3506</v>
      </c>
      <c r="B2129" t="s">
        <v>10177</v>
      </c>
      <c r="C2129" t="s">
        <v>11701</v>
      </c>
      <c r="D2129" t="s">
        <v>11702</v>
      </c>
      <c r="E2129">
        <v>11926.25</v>
      </c>
      <c r="G2129" s="35"/>
      <c r="H2129" s="36">
        <f t="shared" si="101"/>
        <v>7513.5375000000004</v>
      </c>
      <c r="I2129" s="37">
        <f t="shared" si="99"/>
        <v>7513.5375000000004</v>
      </c>
      <c r="J2129" s="4"/>
      <c r="K2129" s="38">
        <f t="shared" si="100"/>
        <v>0</v>
      </c>
    </row>
    <row r="2130" spans="1:11">
      <c r="A2130" t="s">
        <v>3507</v>
      </c>
      <c r="B2130" t="s">
        <v>10177</v>
      </c>
      <c r="C2130" t="s">
        <v>11701</v>
      </c>
      <c r="D2130" t="s">
        <v>11703</v>
      </c>
      <c r="E2130">
        <v>15415.6</v>
      </c>
      <c r="G2130" s="35"/>
      <c r="H2130" s="36">
        <f t="shared" si="101"/>
        <v>9711.8279999999995</v>
      </c>
      <c r="I2130" s="37">
        <f t="shared" si="99"/>
        <v>9711.8279999999995</v>
      </c>
      <c r="J2130" s="4"/>
      <c r="K2130" s="38">
        <f t="shared" si="100"/>
        <v>0</v>
      </c>
    </row>
    <row r="2131" spans="1:11">
      <c r="A2131" t="s">
        <v>3508</v>
      </c>
      <c r="B2131" t="s">
        <v>10177</v>
      </c>
      <c r="C2131" t="s">
        <v>11701</v>
      </c>
      <c r="D2131" t="s">
        <v>11704</v>
      </c>
      <c r="E2131">
        <v>19656.82</v>
      </c>
      <c r="G2131" s="35"/>
      <c r="H2131" s="36">
        <f t="shared" si="101"/>
        <v>12383.7966</v>
      </c>
      <c r="I2131" s="37">
        <f t="shared" si="99"/>
        <v>12383.7966</v>
      </c>
      <c r="J2131" s="4"/>
      <c r="K2131" s="38">
        <f t="shared" si="100"/>
        <v>0</v>
      </c>
    </row>
    <row r="2132" spans="1:11">
      <c r="A2132" t="s">
        <v>3509</v>
      </c>
      <c r="B2132" t="s">
        <v>10177</v>
      </c>
      <c r="C2132" t="s">
        <v>11701</v>
      </c>
      <c r="D2132" t="s">
        <v>11705</v>
      </c>
      <c r="E2132">
        <v>47281.55</v>
      </c>
      <c r="G2132" s="35"/>
      <c r="H2132" s="36">
        <f t="shared" si="101"/>
        <v>29787.376500000002</v>
      </c>
      <c r="I2132" s="37">
        <f t="shared" si="99"/>
        <v>29787.376500000002</v>
      </c>
      <c r="J2132" s="4"/>
      <c r="K2132" s="38">
        <f t="shared" si="100"/>
        <v>0</v>
      </c>
    </row>
    <row r="2133" spans="1:11">
      <c r="A2133" t="s">
        <v>3510</v>
      </c>
      <c r="B2133" t="s">
        <v>10177</v>
      </c>
      <c r="C2133" t="s">
        <v>11701</v>
      </c>
      <c r="D2133" t="s">
        <v>11706</v>
      </c>
      <c r="E2133">
        <v>29954.06</v>
      </c>
      <c r="G2133" s="35"/>
      <c r="H2133" s="36">
        <f t="shared" si="101"/>
        <v>18871.057800000002</v>
      </c>
      <c r="I2133" s="37">
        <f t="shared" si="99"/>
        <v>18871.057800000002</v>
      </c>
      <c r="J2133" s="4"/>
      <c r="K2133" s="38">
        <f t="shared" si="100"/>
        <v>0</v>
      </c>
    </row>
    <row r="2134" spans="1:11">
      <c r="A2134" t="s">
        <v>3900</v>
      </c>
      <c r="B2134" t="s">
        <v>10177</v>
      </c>
      <c r="C2134" t="s">
        <v>9226</v>
      </c>
      <c r="D2134" t="s">
        <v>9370</v>
      </c>
      <c r="E2134">
        <v>49197.59</v>
      </c>
      <c r="G2134" s="35"/>
      <c r="H2134" s="36">
        <f t="shared" si="101"/>
        <v>30994.481699999997</v>
      </c>
      <c r="I2134" s="37">
        <f t="shared" si="99"/>
        <v>30994.481699999997</v>
      </c>
      <c r="J2134" s="4"/>
      <c r="K2134" s="38">
        <f t="shared" si="100"/>
        <v>0</v>
      </c>
    </row>
    <row r="2135" spans="1:11">
      <c r="A2135" t="s">
        <v>12051</v>
      </c>
      <c r="B2135" t="s">
        <v>12251</v>
      </c>
      <c r="C2135" t="s">
        <v>12052</v>
      </c>
      <c r="D2135" t="s">
        <v>12053</v>
      </c>
      <c r="E2135">
        <v>12716.38</v>
      </c>
      <c r="G2135" s="35"/>
      <c r="H2135" s="36">
        <f t="shared" si="101"/>
        <v>8011.3193999999994</v>
      </c>
      <c r="I2135" s="37">
        <f t="shared" si="99"/>
        <v>8011.3193999999994</v>
      </c>
      <c r="J2135" s="4"/>
      <c r="K2135" s="38">
        <f t="shared" si="100"/>
        <v>0</v>
      </c>
    </row>
    <row r="2136" spans="1:11">
      <c r="A2136" t="s">
        <v>3576</v>
      </c>
      <c r="B2136" t="s">
        <v>12251</v>
      </c>
      <c r="C2136" t="s">
        <v>9069</v>
      </c>
      <c r="D2136" t="s">
        <v>9070</v>
      </c>
      <c r="E2136">
        <v>21780.48</v>
      </c>
      <c r="G2136" s="35"/>
      <c r="H2136" s="36">
        <f t="shared" si="101"/>
        <v>13721.7024</v>
      </c>
      <c r="I2136" s="37">
        <f t="shared" si="99"/>
        <v>13721.7024</v>
      </c>
      <c r="J2136" s="4"/>
      <c r="K2136" s="38">
        <f t="shared" si="100"/>
        <v>0</v>
      </c>
    </row>
    <row r="2137" spans="1:11">
      <c r="A2137" t="s">
        <v>11780</v>
      </c>
      <c r="B2137" t="s">
        <v>12251</v>
      </c>
      <c r="C2137" t="s">
        <v>9052</v>
      </c>
      <c r="D2137" t="s">
        <v>11781</v>
      </c>
      <c r="E2137">
        <v>18587.73</v>
      </c>
      <c r="G2137" s="35"/>
      <c r="H2137" s="36">
        <f t="shared" si="101"/>
        <v>11710.269899999999</v>
      </c>
      <c r="I2137" s="37">
        <f t="shared" si="99"/>
        <v>11710.269899999999</v>
      </c>
      <c r="J2137" s="4"/>
      <c r="K2137" s="38">
        <f t="shared" si="100"/>
        <v>0</v>
      </c>
    </row>
    <row r="2138" spans="1:11">
      <c r="A2138" t="s">
        <v>3556</v>
      </c>
      <c r="B2138" t="s">
        <v>12251</v>
      </c>
      <c r="C2138" t="s">
        <v>9052</v>
      </c>
      <c r="D2138" t="s">
        <v>9053</v>
      </c>
      <c r="E2138">
        <v>69898.649999999994</v>
      </c>
      <c r="G2138" s="35"/>
      <c r="H2138" s="36">
        <f t="shared" si="101"/>
        <v>44036.1495</v>
      </c>
      <c r="I2138" s="37">
        <f t="shared" si="99"/>
        <v>44036.1495</v>
      </c>
      <c r="J2138" s="4"/>
      <c r="K2138" s="38">
        <f t="shared" si="100"/>
        <v>0</v>
      </c>
    </row>
    <row r="2139" spans="1:11">
      <c r="A2139" t="s">
        <v>3557</v>
      </c>
      <c r="B2139" t="s">
        <v>12251</v>
      </c>
      <c r="C2139" t="s">
        <v>9052</v>
      </c>
      <c r="D2139" t="s">
        <v>9054</v>
      </c>
      <c r="E2139">
        <v>36326.400000000001</v>
      </c>
      <c r="G2139" s="35"/>
      <c r="H2139" s="36">
        <f t="shared" si="101"/>
        <v>22885.632000000001</v>
      </c>
      <c r="I2139" s="37">
        <f t="shared" si="99"/>
        <v>22885.632000000001</v>
      </c>
      <c r="J2139" s="4"/>
      <c r="K2139" s="38">
        <f t="shared" si="100"/>
        <v>0</v>
      </c>
    </row>
    <row r="2140" spans="1:11">
      <c r="A2140" t="s">
        <v>12812</v>
      </c>
      <c r="B2140" t="s">
        <v>12251</v>
      </c>
      <c r="C2140" t="s">
        <v>9052</v>
      </c>
      <c r="D2140" t="s">
        <v>12813</v>
      </c>
      <c r="E2140">
        <v>144585.48000000001</v>
      </c>
      <c r="G2140" s="35"/>
      <c r="H2140" s="36">
        <f t="shared" si="101"/>
        <v>91088.852400000003</v>
      </c>
      <c r="I2140" s="37">
        <f t="shared" si="99"/>
        <v>91088.852400000003</v>
      </c>
      <c r="J2140" s="4"/>
      <c r="K2140" s="38">
        <f t="shared" si="100"/>
        <v>0</v>
      </c>
    </row>
    <row r="2141" spans="1:11">
      <c r="A2141" t="s">
        <v>3558</v>
      </c>
      <c r="B2141" t="s">
        <v>12251</v>
      </c>
      <c r="C2141" t="s">
        <v>9052</v>
      </c>
      <c r="D2141" t="s">
        <v>9055</v>
      </c>
      <c r="E2141">
        <v>778455.36</v>
      </c>
      <c r="G2141" s="35"/>
      <c r="H2141" s="36">
        <f t="shared" si="101"/>
        <v>490426.87679999997</v>
      </c>
      <c r="I2141" s="37">
        <f t="shared" si="99"/>
        <v>490426.87679999997</v>
      </c>
      <c r="J2141" s="4"/>
      <c r="K2141" s="38">
        <f t="shared" si="100"/>
        <v>0</v>
      </c>
    </row>
    <row r="2142" spans="1:11">
      <c r="A2142" t="s">
        <v>3559</v>
      </c>
      <c r="B2142" t="s">
        <v>12251</v>
      </c>
      <c r="C2142" t="s">
        <v>9052</v>
      </c>
      <c r="D2142" t="s">
        <v>9056</v>
      </c>
      <c r="E2142">
        <v>457421.21</v>
      </c>
      <c r="G2142" s="35"/>
      <c r="H2142" s="36">
        <f t="shared" si="101"/>
        <v>288175.36230000004</v>
      </c>
      <c r="I2142" s="37">
        <f t="shared" si="99"/>
        <v>288175.36230000004</v>
      </c>
      <c r="J2142" s="4"/>
      <c r="K2142" s="38">
        <f t="shared" si="100"/>
        <v>0</v>
      </c>
    </row>
    <row r="2143" spans="1:11">
      <c r="A2143" t="s">
        <v>3560</v>
      </c>
      <c r="B2143" t="s">
        <v>12251</v>
      </c>
      <c r="C2143" t="s">
        <v>9052</v>
      </c>
      <c r="D2143" t="s">
        <v>9057</v>
      </c>
      <c r="E2143">
        <v>1525436.76</v>
      </c>
      <c r="G2143" s="35"/>
      <c r="H2143" s="36">
        <f t="shared" si="101"/>
        <v>961025.15879999998</v>
      </c>
      <c r="I2143" s="37">
        <f t="shared" si="99"/>
        <v>961025.15879999998</v>
      </c>
      <c r="J2143" s="4"/>
      <c r="K2143" s="38">
        <f t="shared" si="100"/>
        <v>0</v>
      </c>
    </row>
    <row r="2144" spans="1:11">
      <c r="A2144" t="s">
        <v>3561</v>
      </c>
      <c r="B2144" t="s">
        <v>12251</v>
      </c>
      <c r="C2144" t="s">
        <v>9052</v>
      </c>
      <c r="D2144" t="s">
        <v>9058</v>
      </c>
      <c r="E2144">
        <v>348311.57</v>
      </c>
      <c r="G2144" s="35"/>
      <c r="H2144" s="36">
        <f t="shared" si="101"/>
        <v>219436.28909999999</v>
      </c>
      <c r="I2144" s="37">
        <f t="shared" si="99"/>
        <v>219436.28909999999</v>
      </c>
      <c r="J2144" s="4"/>
      <c r="K2144" s="38">
        <f t="shared" si="100"/>
        <v>0</v>
      </c>
    </row>
    <row r="2145" spans="1:11">
      <c r="A2145" t="s">
        <v>3562</v>
      </c>
      <c r="B2145" t="s">
        <v>12251</v>
      </c>
      <c r="C2145" t="s">
        <v>9052</v>
      </c>
      <c r="D2145" t="s">
        <v>9059</v>
      </c>
      <c r="E2145">
        <v>2156703.5699999998</v>
      </c>
      <c r="G2145" s="35"/>
      <c r="H2145" s="36">
        <f t="shared" si="101"/>
        <v>1358723.2490999999</v>
      </c>
      <c r="I2145" s="37">
        <f t="shared" si="99"/>
        <v>1358723.2490999999</v>
      </c>
      <c r="J2145" s="4"/>
      <c r="K2145" s="38">
        <f t="shared" si="100"/>
        <v>0</v>
      </c>
    </row>
    <row r="2146" spans="1:11">
      <c r="A2146" t="s">
        <v>3563</v>
      </c>
      <c r="B2146" t="s">
        <v>12251</v>
      </c>
      <c r="C2146" t="s">
        <v>9052</v>
      </c>
      <c r="D2146" t="s">
        <v>9060</v>
      </c>
      <c r="E2146">
        <v>767964.05</v>
      </c>
      <c r="G2146" s="35"/>
      <c r="H2146" s="36">
        <f t="shared" si="101"/>
        <v>483817.35150000005</v>
      </c>
      <c r="I2146" s="37">
        <f t="shared" si="99"/>
        <v>483817.35150000005</v>
      </c>
      <c r="J2146" s="4"/>
      <c r="K2146" s="38">
        <f t="shared" si="100"/>
        <v>0</v>
      </c>
    </row>
    <row r="2147" spans="1:11">
      <c r="A2147" t="s">
        <v>3564</v>
      </c>
      <c r="B2147" t="s">
        <v>12251</v>
      </c>
      <c r="C2147" t="s">
        <v>9052</v>
      </c>
      <c r="D2147" t="s">
        <v>9061</v>
      </c>
      <c r="E2147">
        <v>1745754.31</v>
      </c>
      <c r="G2147" s="35"/>
      <c r="H2147" s="36">
        <f t="shared" si="101"/>
        <v>1099825.2153</v>
      </c>
      <c r="I2147" s="37">
        <f t="shared" si="99"/>
        <v>1099825.2153</v>
      </c>
      <c r="J2147" s="4"/>
      <c r="K2147" s="38">
        <f t="shared" si="100"/>
        <v>0</v>
      </c>
    </row>
    <row r="2148" spans="1:11">
      <c r="A2148" t="s">
        <v>9771</v>
      </c>
      <c r="B2148" t="s">
        <v>12251</v>
      </c>
      <c r="C2148" t="s">
        <v>8712</v>
      </c>
      <c r="D2148" t="s">
        <v>9772</v>
      </c>
      <c r="E2148">
        <v>5652465.1600000001</v>
      </c>
      <c r="G2148" s="35"/>
      <c r="H2148" s="36">
        <f t="shared" si="101"/>
        <v>3561053.0508000003</v>
      </c>
      <c r="I2148" s="37">
        <f t="shared" si="99"/>
        <v>3561053.0508000003</v>
      </c>
      <c r="J2148" s="4"/>
      <c r="K2148" s="38">
        <f t="shared" si="100"/>
        <v>0</v>
      </c>
    </row>
    <row r="2149" spans="1:11">
      <c r="A2149" t="s">
        <v>3204</v>
      </c>
      <c r="B2149" t="s">
        <v>12251</v>
      </c>
      <c r="C2149" t="s">
        <v>8712</v>
      </c>
      <c r="D2149" t="s">
        <v>8713</v>
      </c>
      <c r="E2149">
        <v>7266272.9299999997</v>
      </c>
      <c r="G2149" s="35"/>
      <c r="H2149" s="36">
        <f t="shared" si="101"/>
        <v>4577751.9458999997</v>
      </c>
      <c r="I2149" s="37">
        <f t="shared" si="99"/>
        <v>4577751.9458999997</v>
      </c>
      <c r="J2149" s="4"/>
      <c r="K2149" s="38">
        <f t="shared" si="100"/>
        <v>0</v>
      </c>
    </row>
    <row r="2150" spans="1:11">
      <c r="A2150" t="s">
        <v>3205</v>
      </c>
      <c r="B2150" t="s">
        <v>12251</v>
      </c>
      <c r="C2150" t="s">
        <v>8712</v>
      </c>
      <c r="D2150" t="s">
        <v>8714</v>
      </c>
      <c r="E2150">
        <v>8476628.75</v>
      </c>
      <c r="G2150" s="35"/>
      <c r="H2150" s="36">
        <f t="shared" si="101"/>
        <v>5340276.1124999998</v>
      </c>
      <c r="I2150" s="37">
        <f t="shared" si="99"/>
        <v>5340276.1124999998</v>
      </c>
      <c r="J2150" s="4"/>
      <c r="K2150" s="38">
        <f t="shared" si="100"/>
        <v>0</v>
      </c>
    </row>
    <row r="2151" spans="1:11">
      <c r="A2151" t="s">
        <v>3206</v>
      </c>
      <c r="B2151" t="s">
        <v>12251</v>
      </c>
      <c r="C2151" t="s">
        <v>8712</v>
      </c>
      <c r="D2151" t="s">
        <v>8715</v>
      </c>
      <c r="E2151">
        <v>5079356.51</v>
      </c>
      <c r="G2151" s="35"/>
      <c r="H2151" s="36">
        <f t="shared" si="101"/>
        <v>3199994.6012999997</v>
      </c>
      <c r="I2151" s="37">
        <f t="shared" si="99"/>
        <v>3199994.6012999997</v>
      </c>
      <c r="J2151" s="4"/>
      <c r="K2151" s="38">
        <f t="shared" si="100"/>
        <v>0</v>
      </c>
    </row>
    <row r="2152" spans="1:11">
      <c r="A2152" t="s">
        <v>3207</v>
      </c>
      <c r="B2152" t="s">
        <v>12251</v>
      </c>
      <c r="C2152" t="s">
        <v>8712</v>
      </c>
      <c r="D2152" t="s">
        <v>8716</v>
      </c>
      <c r="E2152">
        <v>6556611.2999999998</v>
      </c>
      <c r="G2152" s="35"/>
      <c r="H2152" s="36">
        <f t="shared" si="101"/>
        <v>4130665.1189999999</v>
      </c>
      <c r="I2152" s="37">
        <f t="shared" si="99"/>
        <v>4130665.1189999999</v>
      </c>
      <c r="J2152" s="4"/>
      <c r="K2152" s="38">
        <f t="shared" si="100"/>
        <v>0</v>
      </c>
    </row>
    <row r="2153" spans="1:11">
      <c r="A2153" t="s">
        <v>3208</v>
      </c>
      <c r="B2153" t="s">
        <v>12251</v>
      </c>
      <c r="C2153" t="s">
        <v>8712</v>
      </c>
      <c r="D2153" t="s">
        <v>8717</v>
      </c>
      <c r="E2153">
        <v>7396618.9400000004</v>
      </c>
      <c r="G2153" s="35"/>
      <c r="H2153" s="36">
        <f t="shared" si="101"/>
        <v>4659869.9322000006</v>
      </c>
      <c r="I2153" s="37">
        <f t="shared" si="99"/>
        <v>4659869.9322000006</v>
      </c>
      <c r="J2153" s="4"/>
      <c r="K2153" s="38">
        <f t="shared" si="100"/>
        <v>0</v>
      </c>
    </row>
    <row r="2154" spans="1:11">
      <c r="A2154" t="s">
        <v>3209</v>
      </c>
      <c r="B2154" t="s">
        <v>12251</v>
      </c>
      <c r="C2154" t="s">
        <v>8712</v>
      </c>
      <c r="D2154" t="s">
        <v>8718</v>
      </c>
      <c r="E2154">
        <v>4769008.8600000003</v>
      </c>
      <c r="G2154" s="35"/>
      <c r="H2154" s="36">
        <f t="shared" si="101"/>
        <v>3004475.5818000003</v>
      </c>
      <c r="I2154" s="37">
        <f t="shared" si="99"/>
        <v>3004475.5818000003</v>
      </c>
      <c r="J2154" s="4"/>
      <c r="K2154" s="38">
        <f t="shared" si="100"/>
        <v>0</v>
      </c>
    </row>
    <row r="2155" spans="1:11">
      <c r="A2155" t="s">
        <v>3210</v>
      </c>
      <c r="B2155" t="s">
        <v>12251</v>
      </c>
      <c r="C2155" t="s">
        <v>8712</v>
      </c>
      <c r="D2155" t="s">
        <v>8719</v>
      </c>
      <c r="E2155">
        <v>9076634.2100000009</v>
      </c>
      <c r="G2155" s="35"/>
      <c r="H2155" s="36">
        <f t="shared" si="101"/>
        <v>5718279.5523000006</v>
      </c>
      <c r="I2155" s="37">
        <f t="shared" si="99"/>
        <v>5718279.5523000006</v>
      </c>
      <c r="J2155" s="4"/>
      <c r="K2155" s="38">
        <f t="shared" si="100"/>
        <v>0</v>
      </c>
    </row>
    <row r="2156" spans="1:11">
      <c r="A2156" t="s">
        <v>3511</v>
      </c>
      <c r="B2156" t="s">
        <v>12251</v>
      </c>
      <c r="C2156" t="s">
        <v>9003</v>
      </c>
      <c r="D2156" t="s">
        <v>9004</v>
      </c>
      <c r="E2156">
        <v>12779.02</v>
      </c>
      <c r="G2156" s="35"/>
      <c r="H2156" s="36">
        <f t="shared" si="101"/>
        <v>8050.7826000000005</v>
      </c>
      <c r="I2156" s="37">
        <f t="shared" si="99"/>
        <v>8050.7826000000005</v>
      </c>
      <c r="J2156" s="4"/>
      <c r="K2156" s="38">
        <f t="shared" si="100"/>
        <v>0</v>
      </c>
    </row>
    <row r="2157" spans="1:11">
      <c r="A2157" t="s">
        <v>3512</v>
      </c>
      <c r="B2157" t="s">
        <v>12251</v>
      </c>
      <c r="C2157" t="s">
        <v>9003</v>
      </c>
      <c r="D2157" t="s">
        <v>9005</v>
      </c>
      <c r="E2157">
        <v>18255.740000000002</v>
      </c>
      <c r="G2157" s="35"/>
      <c r="H2157" s="36">
        <f t="shared" si="101"/>
        <v>11501.1162</v>
      </c>
      <c r="I2157" s="37">
        <f t="shared" si="99"/>
        <v>11501.1162</v>
      </c>
      <c r="J2157" s="4"/>
      <c r="K2157" s="38">
        <f t="shared" si="100"/>
        <v>0</v>
      </c>
    </row>
    <row r="2158" spans="1:11">
      <c r="A2158" t="s">
        <v>3513</v>
      </c>
      <c r="B2158" t="s">
        <v>12251</v>
      </c>
      <c r="C2158" t="s">
        <v>9003</v>
      </c>
      <c r="D2158" t="s">
        <v>9006</v>
      </c>
      <c r="E2158">
        <v>25558.04</v>
      </c>
      <c r="G2158" s="35"/>
      <c r="H2158" s="36">
        <f t="shared" si="101"/>
        <v>16101.565200000001</v>
      </c>
      <c r="I2158" s="37">
        <f t="shared" si="99"/>
        <v>16101.565200000001</v>
      </c>
      <c r="J2158" s="4"/>
      <c r="K2158" s="38">
        <f t="shared" si="100"/>
        <v>0</v>
      </c>
    </row>
    <row r="2159" spans="1:11">
      <c r="A2159" t="s">
        <v>3514</v>
      </c>
      <c r="B2159" t="s">
        <v>12251</v>
      </c>
      <c r="C2159" t="s">
        <v>9003</v>
      </c>
      <c r="D2159" t="s">
        <v>9007</v>
      </c>
      <c r="E2159">
        <v>68276.490000000005</v>
      </c>
      <c r="G2159" s="35"/>
      <c r="H2159" s="36">
        <f t="shared" si="101"/>
        <v>43014.188700000006</v>
      </c>
      <c r="I2159" s="37">
        <f t="shared" si="99"/>
        <v>43014.188700000006</v>
      </c>
      <c r="J2159" s="4"/>
      <c r="K2159" s="38">
        <f t="shared" si="100"/>
        <v>0</v>
      </c>
    </row>
    <row r="2160" spans="1:11">
      <c r="A2160" t="s">
        <v>3515</v>
      </c>
      <c r="B2160" t="s">
        <v>12251</v>
      </c>
      <c r="C2160" t="s">
        <v>9003</v>
      </c>
      <c r="D2160" t="s">
        <v>9008</v>
      </c>
      <c r="E2160">
        <v>132748.53</v>
      </c>
      <c r="G2160" s="35"/>
      <c r="H2160" s="36">
        <f t="shared" si="101"/>
        <v>83631.573900000003</v>
      </c>
      <c r="I2160" s="37">
        <f t="shared" si="99"/>
        <v>83631.573900000003</v>
      </c>
      <c r="J2160" s="4"/>
      <c r="K2160" s="38">
        <f t="shared" si="100"/>
        <v>0</v>
      </c>
    </row>
    <row r="2161" spans="1:11">
      <c r="A2161" t="s">
        <v>3516</v>
      </c>
      <c r="B2161" t="s">
        <v>12251</v>
      </c>
      <c r="C2161" t="s">
        <v>9003</v>
      </c>
      <c r="D2161" t="s">
        <v>9009</v>
      </c>
      <c r="E2161">
        <v>256554.05</v>
      </c>
      <c r="G2161" s="35"/>
      <c r="H2161" s="36">
        <f t="shared" si="101"/>
        <v>161629.0515</v>
      </c>
      <c r="I2161" s="37">
        <f t="shared" si="99"/>
        <v>161629.0515</v>
      </c>
      <c r="J2161" s="4"/>
      <c r="K2161" s="38">
        <f t="shared" si="100"/>
        <v>0</v>
      </c>
    </row>
    <row r="2162" spans="1:11">
      <c r="A2162" t="s">
        <v>3517</v>
      </c>
      <c r="B2162" t="s">
        <v>12251</v>
      </c>
      <c r="C2162" t="s">
        <v>9003</v>
      </c>
      <c r="D2162" t="s">
        <v>9010</v>
      </c>
      <c r="E2162">
        <v>412996.95</v>
      </c>
      <c r="G2162" s="35"/>
      <c r="H2162" s="36">
        <f t="shared" si="101"/>
        <v>260188.0785</v>
      </c>
      <c r="I2162" s="37">
        <f t="shared" si="99"/>
        <v>260188.0785</v>
      </c>
      <c r="J2162" s="4"/>
      <c r="K2162" s="38">
        <f t="shared" si="100"/>
        <v>0</v>
      </c>
    </row>
    <row r="2163" spans="1:11">
      <c r="A2163" t="s">
        <v>3518</v>
      </c>
      <c r="B2163" t="s">
        <v>12251</v>
      </c>
      <c r="C2163" t="s">
        <v>9003</v>
      </c>
      <c r="D2163" t="s">
        <v>9011</v>
      </c>
      <c r="E2163">
        <v>34685.910000000003</v>
      </c>
      <c r="G2163" s="35"/>
      <c r="H2163" s="36">
        <f t="shared" si="101"/>
        <v>21852.123300000003</v>
      </c>
      <c r="I2163" s="37">
        <f t="shared" si="99"/>
        <v>21852.123300000003</v>
      </c>
      <c r="J2163" s="4"/>
      <c r="K2163" s="38">
        <f t="shared" si="100"/>
        <v>0</v>
      </c>
    </row>
    <row r="2164" spans="1:11">
      <c r="A2164" t="s">
        <v>3519</v>
      </c>
      <c r="B2164" t="s">
        <v>12251</v>
      </c>
      <c r="C2164" t="s">
        <v>9003</v>
      </c>
      <c r="D2164" t="s">
        <v>9012</v>
      </c>
      <c r="E2164">
        <v>47586.64</v>
      </c>
      <c r="G2164" s="35"/>
      <c r="H2164" s="36">
        <f t="shared" si="101"/>
        <v>29979.583200000001</v>
      </c>
      <c r="I2164" s="37">
        <f t="shared" si="99"/>
        <v>29979.583200000001</v>
      </c>
      <c r="J2164" s="4"/>
      <c r="K2164" s="38">
        <f t="shared" si="100"/>
        <v>0</v>
      </c>
    </row>
    <row r="2165" spans="1:11">
      <c r="A2165" t="s">
        <v>3520</v>
      </c>
      <c r="B2165" t="s">
        <v>12251</v>
      </c>
      <c r="C2165" t="s">
        <v>9003</v>
      </c>
      <c r="D2165" t="s">
        <v>9013</v>
      </c>
      <c r="E2165">
        <v>43448.68</v>
      </c>
      <c r="G2165" s="35"/>
      <c r="H2165" s="36">
        <f t="shared" si="101"/>
        <v>27372.668399999999</v>
      </c>
      <c r="I2165" s="37">
        <f t="shared" si="99"/>
        <v>27372.668399999999</v>
      </c>
      <c r="J2165" s="4"/>
      <c r="K2165" s="38">
        <f t="shared" si="100"/>
        <v>0</v>
      </c>
    </row>
    <row r="2166" spans="1:11">
      <c r="A2166" t="s">
        <v>3521</v>
      </c>
      <c r="B2166" t="s">
        <v>12251</v>
      </c>
      <c r="C2166" t="s">
        <v>9003</v>
      </c>
      <c r="D2166" t="s">
        <v>9014</v>
      </c>
      <c r="E2166">
        <v>95347.66</v>
      </c>
      <c r="G2166" s="35"/>
      <c r="H2166" s="36">
        <f t="shared" si="101"/>
        <v>60069.025800000003</v>
      </c>
      <c r="I2166" s="37">
        <f t="shared" si="99"/>
        <v>60069.025800000003</v>
      </c>
      <c r="J2166" s="4"/>
      <c r="K2166" s="38">
        <f t="shared" si="100"/>
        <v>0</v>
      </c>
    </row>
    <row r="2167" spans="1:11">
      <c r="A2167" t="s">
        <v>3522</v>
      </c>
      <c r="B2167" t="s">
        <v>12251</v>
      </c>
      <c r="C2167" t="s">
        <v>9003</v>
      </c>
      <c r="D2167" t="s">
        <v>9015</v>
      </c>
      <c r="E2167">
        <v>151314.01999999999</v>
      </c>
      <c r="G2167" s="35"/>
      <c r="H2167" s="36">
        <f t="shared" si="101"/>
        <v>95327.832599999994</v>
      </c>
      <c r="I2167" s="37">
        <f t="shared" si="99"/>
        <v>95327.832599999994</v>
      </c>
      <c r="J2167" s="4"/>
      <c r="K2167" s="38">
        <f t="shared" si="100"/>
        <v>0</v>
      </c>
    </row>
    <row r="2168" spans="1:11">
      <c r="A2168" t="s">
        <v>3523</v>
      </c>
      <c r="B2168" t="s">
        <v>12251</v>
      </c>
      <c r="C2168" t="s">
        <v>9003</v>
      </c>
      <c r="D2168" t="s">
        <v>9016</v>
      </c>
      <c r="E2168">
        <v>223472.44</v>
      </c>
      <c r="G2168" s="35"/>
      <c r="H2168" s="36">
        <f t="shared" si="101"/>
        <v>140787.6372</v>
      </c>
      <c r="I2168" s="37">
        <f t="shared" si="99"/>
        <v>140787.6372</v>
      </c>
      <c r="J2168" s="4"/>
      <c r="K2168" s="38">
        <f t="shared" si="100"/>
        <v>0</v>
      </c>
    </row>
    <row r="2169" spans="1:11">
      <c r="A2169" t="s">
        <v>3524</v>
      </c>
      <c r="B2169" t="s">
        <v>12251</v>
      </c>
      <c r="C2169" t="s">
        <v>9003</v>
      </c>
      <c r="D2169" t="s">
        <v>9017</v>
      </c>
      <c r="E2169">
        <v>51724.61</v>
      </c>
      <c r="G2169" s="35"/>
      <c r="H2169" s="36">
        <f t="shared" si="101"/>
        <v>32586.504300000001</v>
      </c>
      <c r="I2169" s="37">
        <f t="shared" si="99"/>
        <v>32586.504300000001</v>
      </c>
      <c r="J2169" s="4"/>
      <c r="K2169" s="38">
        <f t="shared" si="100"/>
        <v>0</v>
      </c>
    </row>
    <row r="2170" spans="1:11">
      <c r="A2170" t="s">
        <v>3525</v>
      </c>
      <c r="B2170" t="s">
        <v>12251</v>
      </c>
      <c r="C2170" t="s">
        <v>9003</v>
      </c>
      <c r="D2170" t="s">
        <v>9018</v>
      </c>
      <c r="E2170">
        <v>107587.18</v>
      </c>
      <c r="G2170" s="35"/>
      <c r="H2170" s="36">
        <f t="shared" si="101"/>
        <v>67779.9234</v>
      </c>
      <c r="I2170" s="37">
        <f t="shared" si="99"/>
        <v>67779.9234</v>
      </c>
      <c r="J2170" s="4"/>
      <c r="K2170" s="38">
        <f t="shared" si="100"/>
        <v>0</v>
      </c>
    </row>
    <row r="2171" spans="1:11">
      <c r="A2171" t="s">
        <v>3526</v>
      </c>
      <c r="B2171" t="s">
        <v>12251</v>
      </c>
      <c r="C2171" t="s">
        <v>9003</v>
      </c>
      <c r="D2171" t="s">
        <v>9019</v>
      </c>
      <c r="E2171">
        <v>258623.04</v>
      </c>
      <c r="G2171" s="35"/>
      <c r="H2171" s="36">
        <f t="shared" si="101"/>
        <v>162932.51519999999</v>
      </c>
      <c r="I2171" s="37">
        <f t="shared" si="99"/>
        <v>162932.51519999999</v>
      </c>
      <c r="J2171" s="4"/>
      <c r="K2171" s="38">
        <f t="shared" si="100"/>
        <v>0</v>
      </c>
    </row>
    <row r="2172" spans="1:11">
      <c r="A2172" t="s">
        <v>3527</v>
      </c>
      <c r="B2172" t="s">
        <v>12251</v>
      </c>
      <c r="C2172" t="s">
        <v>9003</v>
      </c>
      <c r="D2172" t="s">
        <v>9020</v>
      </c>
      <c r="E2172">
        <v>33103.760000000002</v>
      </c>
      <c r="G2172" s="35"/>
      <c r="H2172" s="36">
        <f t="shared" si="101"/>
        <v>20855.3688</v>
      </c>
      <c r="I2172" s="37">
        <f t="shared" si="99"/>
        <v>20855.3688</v>
      </c>
      <c r="J2172" s="4"/>
      <c r="K2172" s="38">
        <f t="shared" si="100"/>
        <v>0</v>
      </c>
    </row>
    <row r="2173" spans="1:11">
      <c r="A2173" t="s">
        <v>3093</v>
      </c>
      <c r="B2173" t="s">
        <v>12251</v>
      </c>
      <c r="C2173" t="s">
        <v>8598</v>
      </c>
      <c r="D2173" t="s">
        <v>8599</v>
      </c>
      <c r="E2173">
        <v>4007622.62</v>
      </c>
      <c r="G2173" s="35"/>
      <c r="H2173" s="36">
        <f t="shared" si="101"/>
        <v>2524802.2505999999</v>
      </c>
      <c r="I2173" s="37">
        <f t="shared" si="99"/>
        <v>2524802.2505999999</v>
      </c>
      <c r="J2173" s="4"/>
      <c r="K2173" s="38">
        <f t="shared" si="100"/>
        <v>0</v>
      </c>
    </row>
    <row r="2174" spans="1:11">
      <c r="A2174" t="s">
        <v>3094</v>
      </c>
      <c r="B2174" t="s">
        <v>12251</v>
      </c>
      <c r="C2174" t="s">
        <v>8598</v>
      </c>
      <c r="D2174" t="s">
        <v>8600</v>
      </c>
      <c r="E2174">
        <v>6084882.8899999997</v>
      </c>
      <c r="G2174" s="35"/>
      <c r="H2174" s="36">
        <f t="shared" si="101"/>
        <v>3833476.2206999999</v>
      </c>
      <c r="I2174" s="37">
        <f t="shared" si="99"/>
        <v>3833476.2206999999</v>
      </c>
      <c r="J2174" s="4"/>
      <c r="K2174" s="38">
        <f t="shared" si="100"/>
        <v>0</v>
      </c>
    </row>
    <row r="2175" spans="1:11">
      <c r="A2175" t="s">
        <v>3095</v>
      </c>
      <c r="B2175" t="s">
        <v>12251</v>
      </c>
      <c r="C2175" t="s">
        <v>8598</v>
      </c>
      <c r="D2175" t="s">
        <v>8601</v>
      </c>
      <c r="E2175">
        <v>6389023.5800000001</v>
      </c>
      <c r="G2175" s="35"/>
      <c r="H2175" s="36">
        <f t="shared" si="101"/>
        <v>4025084.8554000002</v>
      </c>
      <c r="I2175" s="37">
        <f t="shared" si="99"/>
        <v>4025084.8554000002</v>
      </c>
      <c r="J2175" s="4"/>
      <c r="K2175" s="38">
        <f t="shared" si="100"/>
        <v>0</v>
      </c>
    </row>
    <row r="2176" spans="1:11">
      <c r="A2176" t="s">
        <v>3096</v>
      </c>
      <c r="B2176" t="s">
        <v>12251</v>
      </c>
      <c r="C2176" t="s">
        <v>8598</v>
      </c>
      <c r="D2176" t="s">
        <v>8602</v>
      </c>
      <c r="E2176">
        <v>7075926.3700000001</v>
      </c>
      <c r="G2176" s="35"/>
      <c r="H2176" s="36">
        <f t="shared" si="101"/>
        <v>4457833.6130999997</v>
      </c>
      <c r="I2176" s="37">
        <f t="shared" si="99"/>
        <v>4457833.6130999997</v>
      </c>
      <c r="J2176" s="4"/>
      <c r="K2176" s="38">
        <f t="shared" si="100"/>
        <v>0</v>
      </c>
    </row>
    <row r="2177" spans="1:11">
      <c r="A2177" t="s">
        <v>3097</v>
      </c>
      <c r="B2177" t="s">
        <v>12251</v>
      </c>
      <c r="C2177" t="s">
        <v>8598</v>
      </c>
      <c r="D2177" t="s">
        <v>8603</v>
      </c>
      <c r="E2177">
        <v>6155228.3499999996</v>
      </c>
      <c r="G2177" s="35"/>
      <c r="H2177" s="36">
        <f t="shared" si="101"/>
        <v>3877793.8605</v>
      </c>
      <c r="I2177" s="37">
        <f t="shared" si="99"/>
        <v>3877793.8605</v>
      </c>
      <c r="J2177" s="4"/>
      <c r="K2177" s="38">
        <f t="shared" si="100"/>
        <v>0</v>
      </c>
    </row>
    <row r="2178" spans="1:11">
      <c r="A2178" t="s">
        <v>3098</v>
      </c>
      <c r="B2178" t="s">
        <v>12251</v>
      </c>
      <c r="C2178" t="s">
        <v>8598</v>
      </c>
      <c r="D2178" t="s">
        <v>8604</v>
      </c>
      <c r="E2178">
        <v>8418697.1899999995</v>
      </c>
      <c r="G2178" s="35"/>
      <c r="H2178" s="36">
        <f t="shared" si="101"/>
        <v>5303779.2297</v>
      </c>
      <c r="I2178" s="37">
        <f t="shared" si="99"/>
        <v>5303779.2297</v>
      </c>
      <c r="J2178" s="4"/>
      <c r="K2178" s="38">
        <f t="shared" si="100"/>
        <v>0</v>
      </c>
    </row>
    <row r="2179" spans="1:11">
      <c r="A2179" t="s">
        <v>3099</v>
      </c>
      <c r="B2179" t="s">
        <v>12251</v>
      </c>
      <c r="C2179" t="s">
        <v>8598</v>
      </c>
      <c r="D2179" t="s">
        <v>8605</v>
      </c>
      <c r="E2179">
        <v>8952495.1500000004</v>
      </c>
      <c r="G2179" s="35"/>
      <c r="H2179" s="36">
        <f t="shared" si="101"/>
        <v>5640071.9445000002</v>
      </c>
      <c r="I2179" s="37">
        <f t="shared" si="99"/>
        <v>5640071.9445000002</v>
      </c>
      <c r="J2179" s="4"/>
      <c r="K2179" s="38">
        <f t="shared" si="100"/>
        <v>0</v>
      </c>
    </row>
    <row r="2180" spans="1:11">
      <c r="A2180" t="s">
        <v>3100</v>
      </c>
      <c r="B2180" t="s">
        <v>12251</v>
      </c>
      <c r="C2180" t="s">
        <v>8598</v>
      </c>
      <c r="D2180" t="s">
        <v>8606</v>
      </c>
      <c r="E2180">
        <v>7334549.4100000001</v>
      </c>
      <c r="G2180" s="35"/>
      <c r="H2180" s="36">
        <f t="shared" si="101"/>
        <v>4620766.1283</v>
      </c>
      <c r="I2180" s="37">
        <f t="shared" si="99"/>
        <v>4620766.1283</v>
      </c>
      <c r="J2180" s="4"/>
      <c r="K2180" s="38">
        <f t="shared" si="100"/>
        <v>0</v>
      </c>
    </row>
    <row r="2181" spans="1:11">
      <c r="A2181" t="s">
        <v>10025</v>
      </c>
      <c r="B2181" t="s">
        <v>12251</v>
      </c>
      <c r="C2181" t="s">
        <v>8598</v>
      </c>
      <c r="D2181" t="s">
        <v>10026</v>
      </c>
      <c r="E2181">
        <v>13301500.18</v>
      </c>
      <c r="G2181" s="35"/>
      <c r="H2181" s="36">
        <f t="shared" si="101"/>
        <v>8379945.1134000001</v>
      </c>
      <c r="I2181" s="37">
        <f t="shared" si="99"/>
        <v>8379945.1134000001</v>
      </c>
      <c r="J2181" s="4"/>
      <c r="K2181" s="38">
        <f t="shared" si="100"/>
        <v>0</v>
      </c>
    </row>
    <row r="2182" spans="1:11">
      <c r="A2182" t="s">
        <v>3077</v>
      </c>
      <c r="B2182" t="s">
        <v>12251</v>
      </c>
      <c r="C2182" t="s">
        <v>8581</v>
      </c>
      <c r="D2182" t="s">
        <v>8582</v>
      </c>
      <c r="E2182">
        <v>1369667.62</v>
      </c>
      <c r="G2182" s="35"/>
      <c r="H2182" s="36">
        <f t="shared" si="101"/>
        <v>862890.60060000012</v>
      </c>
      <c r="I2182" s="37">
        <f t="shared" ref="I2182:I2245" si="102">H2182*$H$4</f>
        <v>862890.60060000012</v>
      </c>
      <c r="J2182" s="4"/>
      <c r="K2182" s="38">
        <f t="shared" ref="K2182:K2245" si="103">J2182*I2182</f>
        <v>0</v>
      </c>
    </row>
    <row r="2183" spans="1:11">
      <c r="A2183" t="s">
        <v>3078</v>
      </c>
      <c r="B2183" t="s">
        <v>12251</v>
      </c>
      <c r="C2183" t="s">
        <v>8581</v>
      </c>
      <c r="D2183" t="s">
        <v>8583</v>
      </c>
      <c r="E2183">
        <v>1479323.79</v>
      </c>
      <c r="G2183" s="35"/>
      <c r="H2183" s="36">
        <f t="shared" ref="H2183:H2246" si="104">+E2183*$H$1*(1-G2183)</f>
        <v>931973.98770000006</v>
      </c>
      <c r="I2183" s="37">
        <f t="shared" si="102"/>
        <v>931973.98770000006</v>
      </c>
      <c r="J2183" s="4"/>
      <c r="K2183" s="38">
        <f t="shared" si="103"/>
        <v>0</v>
      </c>
    </row>
    <row r="2184" spans="1:11">
      <c r="A2184" t="s">
        <v>3079</v>
      </c>
      <c r="B2184" t="s">
        <v>12251</v>
      </c>
      <c r="C2184" t="s">
        <v>8581</v>
      </c>
      <c r="D2184" t="s">
        <v>8584</v>
      </c>
      <c r="E2184">
        <v>2113396.16</v>
      </c>
      <c r="G2184" s="35"/>
      <c r="H2184" s="36">
        <f t="shared" si="104"/>
        <v>1331439.5808000001</v>
      </c>
      <c r="I2184" s="37">
        <f t="shared" si="102"/>
        <v>1331439.5808000001</v>
      </c>
      <c r="J2184" s="4"/>
      <c r="K2184" s="38">
        <f t="shared" si="103"/>
        <v>0</v>
      </c>
    </row>
    <row r="2185" spans="1:11">
      <c r="A2185" t="s">
        <v>3080</v>
      </c>
      <c r="B2185" t="s">
        <v>12251</v>
      </c>
      <c r="C2185" t="s">
        <v>8581</v>
      </c>
      <c r="D2185" t="s">
        <v>8585</v>
      </c>
      <c r="E2185">
        <v>1442082.07</v>
      </c>
      <c r="G2185" s="35"/>
      <c r="H2185" s="36">
        <f t="shared" si="104"/>
        <v>908511.70410000009</v>
      </c>
      <c r="I2185" s="37">
        <f t="shared" si="102"/>
        <v>908511.70410000009</v>
      </c>
      <c r="J2185" s="4"/>
      <c r="K2185" s="38">
        <f t="shared" si="103"/>
        <v>0</v>
      </c>
    </row>
    <row r="2186" spans="1:11">
      <c r="A2186" t="s">
        <v>3081</v>
      </c>
      <c r="B2186" t="s">
        <v>12251</v>
      </c>
      <c r="C2186" t="s">
        <v>8581</v>
      </c>
      <c r="D2186" t="s">
        <v>8586</v>
      </c>
      <c r="E2186">
        <v>1553807.23</v>
      </c>
      <c r="G2186" s="35"/>
      <c r="H2186" s="36">
        <f t="shared" si="104"/>
        <v>978898.55489999999</v>
      </c>
      <c r="I2186" s="37">
        <f t="shared" si="102"/>
        <v>978898.55489999999</v>
      </c>
      <c r="J2186" s="4"/>
      <c r="K2186" s="38">
        <f t="shared" si="103"/>
        <v>0</v>
      </c>
    </row>
    <row r="2187" spans="1:11">
      <c r="A2187" t="s">
        <v>3082</v>
      </c>
      <c r="B2187" t="s">
        <v>12251</v>
      </c>
      <c r="C2187" t="s">
        <v>8581</v>
      </c>
      <c r="D2187" t="s">
        <v>8587</v>
      </c>
      <c r="E2187">
        <v>1653118.46</v>
      </c>
      <c r="G2187" s="35"/>
      <c r="H2187" s="36">
        <f t="shared" si="104"/>
        <v>1041464.6298</v>
      </c>
      <c r="I2187" s="37">
        <f t="shared" si="102"/>
        <v>1041464.6298</v>
      </c>
      <c r="J2187" s="4"/>
      <c r="K2187" s="38">
        <f t="shared" si="103"/>
        <v>0</v>
      </c>
    </row>
    <row r="2188" spans="1:11">
      <c r="A2188" t="s">
        <v>3083</v>
      </c>
      <c r="B2188" t="s">
        <v>12251</v>
      </c>
      <c r="C2188" t="s">
        <v>8581</v>
      </c>
      <c r="D2188" t="s">
        <v>8588</v>
      </c>
      <c r="E2188">
        <v>1915063.95</v>
      </c>
      <c r="G2188" s="35"/>
      <c r="H2188" s="36">
        <f t="shared" si="104"/>
        <v>1206490.2885</v>
      </c>
      <c r="I2188" s="37">
        <f t="shared" si="102"/>
        <v>1206490.2885</v>
      </c>
      <c r="J2188" s="4"/>
      <c r="K2188" s="38">
        <f t="shared" si="103"/>
        <v>0</v>
      </c>
    </row>
    <row r="2189" spans="1:11">
      <c r="A2189" t="s">
        <v>3084</v>
      </c>
      <c r="B2189" t="s">
        <v>12251</v>
      </c>
      <c r="C2189" t="s">
        <v>8581</v>
      </c>
      <c r="D2189" t="s">
        <v>8589</v>
      </c>
      <c r="E2189">
        <v>1516565.51</v>
      </c>
      <c r="G2189" s="35"/>
      <c r="H2189" s="36">
        <f t="shared" si="104"/>
        <v>955436.27130000002</v>
      </c>
      <c r="I2189" s="37">
        <f t="shared" si="102"/>
        <v>955436.27130000002</v>
      </c>
      <c r="J2189" s="4"/>
      <c r="K2189" s="38">
        <f t="shared" si="103"/>
        <v>0</v>
      </c>
    </row>
    <row r="2190" spans="1:11">
      <c r="A2190" t="s">
        <v>9878</v>
      </c>
      <c r="B2190" t="s">
        <v>12251</v>
      </c>
      <c r="C2190" t="s">
        <v>8581</v>
      </c>
      <c r="D2190" t="s">
        <v>9879</v>
      </c>
      <c r="E2190">
        <v>1715187.99</v>
      </c>
      <c r="G2190" s="35"/>
      <c r="H2190" s="36">
        <f t="shared" si="104"/>
        <v>1080568.4336999999</v>
      </c>
      <c r="I2190" s="37">
        <f t="shared" si="102"/>
        <v>1080568.4336999999</v>
      </c>
      <c r="J2190" s="4"/>
      <c r="K2190" s="38">
        <f t="shared" si="103"/>
        <v>0</v>
      </c>
    </row>
    <row r="2191" spans="1:11">
      <c r="A2191" t="s">
        <v>3085</v>
      </c>
      <c r="B2191" t="s">
        <v>12251</v>
      </c>
      <c r="C2191" t="s">
        <v>8581</v>
      </c>
      <c r="D2191" t="s">
        <v>8590</v>
      </c>
      <c r="E2191">
        <v>2637955.0099999998</v>
      </c>
      <c r="G2191" s="35"/>
      <c r="H2191" s="36">
        <f t="shared" si="104"/>
        <v>1661911.6562999999</v>
      </c>
      <c r="I2191" s="37">
        <f t="shared" si="102"/>
        <v>1661911.6562999999</v>
      </c>
      <c r="J2191" s="4"/>
      <c r="K2191" s="38">
        <f t="shared" si="103"/>
        <v>0</v>
      </c>
    </row>
    <row r="2192" spans="1:11">
      <c r="A2192" t="s">
        <v>3086</v>
      </c>
      <c r="B2192" t="s">
        <v>12251</v>
      </c>
      <c r="C2192" t="s">
        <v>8581</v>
      </c>
      <c r="D2192" t="s">
        <v>8591</v>
      </c>
      <c r="E2192">
        <v>6087859.0099999998</v>
      </c>
      <c r="G2192" s="35"/>
      <c r="H2192" s="36">
        <f t="shared" si="104"/>
        <v>3835351.1762999999</v>
      </c>
      <c r="I2192" s="37">
        <f t="shared" si="102"/>
        <v>3835351.1762999999</v>
      </c>
      <c r="J2192" s="4"/>
      <c r="K2192" s="38">
        <f t="shared" si="103"/>
        <v>0</v>
      </c>
    </row>
    <row r="2193" spans="1:11">
      <c r="A2193" t="s">
        <v>3087</v>
      </c>
      <c r="B2193" t="s">
        <v>12251</v>
      </c>
      <c r="C2193" t="s">
        <v>8581</v>
      </c>
      <c r="D2193" t="s">
        <v>8592</v>
      </c>
      <c r="E2193">
        <v>1286908.24</v>
      </c>
      <c r="G2193" s="35"/>
      <c r="H2193" s="36">
        <f t="shared" si="104"/>
        <v>810752.1912</v>
      </c>
      <c r="I2193" s="37">
        <f t="shared" si="102"/>
        <v>810752.1912</v>
      </c>
      <c r="J2193" s="4"/>
      <c r="K2193" s="38">
        <f t="shared" si="103"/>
        <v>0</v>
      </c>
    </row>
    <row r="2194" spans="1:11">
      <c r="A2194" t="s">
        <v>3088</v>
      </c>
      <c r="B2194" t="s">
        <v>12251</v>
      </c>
      <c r="C2194" t="s">
        <v>8581</v>
      </c>
      <c r="D2194" t="s">
        <v>8593</v>
      </c>
      <c r="E2194">
        <v>1324149.96</v>
      </c>
      <c r="G2194" s="35"/>
      <c r="H2194" s="36">
        <f t="shared" si="104"/>
        <v>834214.47479999997</v>
      </c>
      <c r="I2194" s="37">
        <f t="shared" si="102"/>
        <v>834214.47479999997</v>
      </c>
      <c r="J2194" s="4"/>
      <c r="K2194" s="38">
        <f t="shared" si="103"/>
        <v>0</v>
      </c>
    </row>
    <row r="2195" spans="1:11">
      <c r="A2195" t="s">
        <v>3089</v>
      </c>
      <c r="B2195" t="s">
        <v>12251</v>
      </c>
      <c r="C2195" t="s">
        <v>8581</v>
      </c>
      <c r="D2195" t="s">
        <v>8594</v>
      </c>
      <c r="E2195">
        <v>1433806.14</v>
      </c>
      <c r="G2195" s="35"/>
      <c r="H2195" s="36">
        <f t="shared" si="104"/>
        <v>903297.86819999991</v>
      </c>
      <c r="I2195" s="37">
        <f t="shared" si="102"/>
        <v>903297.86819999991</v>
      </c>
      <c r="J2195" s="4"/>
      <c r="K2195" s="38">
        <f t="shared" si="103"/>
        <v>0</v>
      </c>
    </row>
    <row r="2196" spans="1:11">
      <c r="A2196" t="s">
        <v>3090</v>
      </c>
      <c r="B2196" t="s">
        <v>12251</v>
      </c>
      <c r="C2196" t="s">
        <v>8581</v>
      </c>
      <c r="D2196" t="s">
        <v>8595</v>
      </c>
      <c r="E2196">
        <v>1535186.36</v>
      </c>
      <c r="G2196" s="35"/>
      <c r="H2196" s="36">
        <f t="shared" si="104"/>
        <v>967167.40680000011</v>
      </c>
      <c r="I2196" s="37">
        <f t="shared" si="102"/>
        <v>967167.40680000011</v>
      </c>
      <c r="J2196" s="4"/>
      <c r="K2196" s="38">
        <f t="shared" si="103"/>
        <v>0</v>
      </c>
    </row>
    <row r="2197" spans="1:11">
      <c r="A2197" t="s">
        <v>3091</v>
      </c>
      <c r="B2197" t="s">
        <v>12251</v>
      </c>
      <c r="C2197" t="s">
        <v>8581</v>
      </c>
      <c r="D2197" t="s">
        <v>8596</v>
      </c>
      <c r="E2197">
        <v>2052432.44</v>
      </c>
      <c r="G2197" s="35"/>
      <c r="H2197" s="36">
        <f t="shared" si="104"/>
        <v>1293032.4372</v>
      </c>
      <c r="I2197" s="37">
        <f t="shared" si="102"/>
        <v>1293032.4372</v>
      </c>
      <c r="J2197" s="4"/>
      <c r="K2197" s="38">
        <f t="shared" si="103"/>
        <v>0</v>
      </c>
    </row>
    <row r="2198" spans="1:11">
      <c r="A2198" t="s">
        <v>12285</v>
      </c>
      <c r="B2198" t="s">
        <v>12251</v>
      </c>
      <c r="C2198" t="s">
        <v>8581</v>
      </c>
      <c r="D2198" t="s">
        <v>12286</v>
      </c>
      <c r="E2198">
        <v>2147605.73</v>
      </c>
      <c r="G2198" s="35"/>
      <c r="H2198" s="36">
        <f t="shared" si="104"/>
        <v>1352991.6099</v>
      </c>
      <c r="I2198" s="37">
        <f t="shared" si="102"/>
        <v>1352991.6099</v>
      </c>
      <c r="J2198" s="4"/>
      <c r="K2198" s="38">
        <f t="shared" si="103"/>
        <v>0</v>
      </c>
    </row>
    <row r="2199" spans="1:11">
      <c r="A2199" t="s">
        <v>3092</v>
      </c>
      <c r="B2199" t="s">
        <v>12251</v>
      </c>
      <c r="C2199" t="s">
        <v>8581</v>
      </c>
      <c r="D2199" t="s">
        <v>8597</v>
      </c>
      <c r="E2199">
        <v>3196580.77</v>
      </c>
      <c r="G2199" s="35"/>
      <c r="H2199" s="36">
        <f t="shared" si="104"/>
        <v>2013845.8851000001</v>
      </c>
      <c r="I2199" s="37">
        <f t="shared" si="102"/>
        <v>2013845.8851000001</v>
      </c>
      <c r="J2199" s="4"/>
      <c r="K2199" s="38">
        <f t="shared" si="103"/>
        <v>0</v>
      </c>
    </row>
    <row r="2200" spans="1:11">
      <c r="A2200" t="s">
        <v>3107</v>
      </c>
      <c r="B2200" t="s">
        <v>12251</v>
      </c>
      <c r="C2200" t="s">
        <v>8614</v>
      </c>
      <c r="D2200" t="s">
        <v>8615</v>
      </c>
      <c r="E2200">
        <v>182346.2</v>
      </c>
      <c r="G2200" s="35"/>
      <c r="H2200" s="36">
        <f t="shared" si="104"/>
        <v>114878.10600000001</v>
      </c>
      <c r="I2200" s="37">
        <f t="shared" si="102"/>
        <v>114878.10600000001</v>
      </c>
      <c r="J2200" s="4"/>
      <c r="K2200" s="38">
        <f t="shared" si="103"/>
        <v>0</v>
      </c>
    </row>
    <row r="2201" spans="1:11">
      <c r="A2201" t="s">
        <v>9793</v>
      </c>
      <c r="B2201" t="s">
        <v>12251</v>
      </c>
      <c r="C2201" t="s">
        <v>8614</v>
      </c>
      <c r="D2201" t="s">
        <v>9794</v>
      </c>
      <c r="E2201">
        <v>185268.55</v>
      </c>
      <c r="G2201" s="35"/>
      <c r="H2201" s="36">
        <f t="shared" si="104"/>
        <v>116719.1865</v>
      </c>
      <c r="I2201" s="37">
        <f t="shared" si="102"/>
        <v>116719.1865</v>
      </c>
      <c r="J2201" s="4"/>
      <c r="K2201" s="38">
        <f t="shared" si="103"/>
        <v>0</v>
      </c>
    </row>
    <row r="2202" spans="1:11">
      <c r="A2202" t="s">
        <v>3108</v>
      </c>
      <c r="B2202" t="s">
        <v>12251</v>
      </c>
      <c r="C2202" t="s">
        <v>8614</v>
      </c>
      <c r="D2202" t="s">
        <v>8616</v>
      </c>
      <c r="E2202">
        <v>201747.65</v>
      </c>
      <c r="G2202" s="35"/>
      <c r="H2202" s="36">
        <f t="shared" si="104"/>
        <v>127101.01949999999</v>
      </c>
      <c r="I2202" s="37">
        <f t="shared" si="102"/>
        <v>127101.01949999999</v>
      </c>
      <c r="J2202" s="4"/>
      <c r="K2202" s="38">
        <f t="shared" si="103"/>
        <v>0</v>
      </c>
    </row>
    <row r="2203" spans="1:11">
      <c r="A2203" t="s">
        <v>3109</v>
      </c>
      <c r="B2203" t="s">
        <v>12251</v>
      </c>
      <c r="C2203" t="s">
        <v>8614</v>
      </c>
      <c r="D2203" t="s">
        <v>8617</v>
      </c>
      <c r="E2203">
        <v>214966.8</v>
      </c>
      <c r="G2203" s="35"/>
      <c r="H2203" s="36">
        <f t="shared" si="104"/>
        <v>135429.084</v>
      </c>
      <c r="I2203" s="37">
        <f t="shared" si="102"/>
        <v>135429.084</v>
      </c>
      <c r="J2203" s="4"/>
      <c r="K2203" s="38">
        <f t="shared" si="103"/>
        <v>0</v>
      </c>
    </row>
    <row r="2204" spans="1:11">
      <c r="A2204" t="s">
        <v>3110</v>
      </c>
      <c r="B2204" t="s">
        <v>12251</v>
      </c>
      <c r="C2204" t="s">
        <v>8614</v>
      </c>
      <c r="D2204" t="s">
        <v>8618</v>
      </c>
      <c r="E2204">
        <v>208109.3</v>
      </c>
      <c r="G2204" s="35"/>
      <c r="H2204" s="36">
        <f t="shared" si="104"/>
        <v>131108.859</v>
      </c>
      <c r="I2204" s="37">
        <f t="shared" si="102"/>
        <v>131108.859</v>
      </c>
      <c r="J2204" s="4"/>
      <c r="K2204" s="38">
        <f t="shared" si="103"/>
        <v>0</v>
      </c>
    </row>
    <row r="2205" spans="1:11">
      <c r="A2205" t="s">
        <v>3111</v>
      </c>
      <c r="B2205" t="s">
        <v>12251</v>
      </c>
      <c r="C2205" t="s">
        <v>8614</v>
      </c>
      <c r="D2205" t="s">
        <v>8619</v>
      </c>
      <c r="E2205">
        <v>225126.45</v>
      </c>
      <c r="G2205" s="35"/>
      <c r="H2205" s="36">
        <f t="shared" si="104"/>
        <v>141829.6635</v>
      </c>
      <c r="I2205" s="37">
        <f t="shared" si="102"/>
        <v>141829.6635</v>
      </c>
      <c r="J2205" s="4"/>
      <c r="K2205" s="38">
        <f t="shared" si="103"/>
        <v>0</v>
      </c>
    </row>
    <row r="2206" spans="1:11">
      <c r="A2206" t="s">
        <v>3112</v>
      </c>
      <c r="B2206" t="s">
        <v>12251</v>
      </c>
      <c r="C2206" t="s">
        <v>8614</v>
      </c>
      <c r="D2206" t="s">
        <v>8620</v>
      </c>
      <c r="E2206">
        <v>236161.75</v>
      </c>
      <c r="G2206" s="35"/>
      <c r="H2206" s="36">
        <f t="shared" si="104"/>
        <v>148781.9025</v>
      </c>
      <c r="I2206" s="37">
        <f t="shared" si="102"/>
        <v>148781.9025</v>
      </c>
      <c r="J2206" s="4"/>
      <c r="K2206" s="38">
        <f t="shared" si="103"/>
        <v>0</v>
      </c>
    </row>
    <row r="2207" spans="1:11">
      <c r="A2207" t="s">
        <v>3113</v>
      </c>
      <c r="B2207" t="s">
        <v>12251</v>
      </c>
      <c r="C2207" t="s">
        <v>8614</v>
      </c>
      <c r="D2207" t="s">
        <v>8621</v>
      </c>
      <c r="E2207">
        <v>324380.84999999998</v>
      </c>
      <c r="G2207" s="35"/>
      <c r="H2207" s="36">
        <f t="shared" si="104"/>
        <v>204359.93549999999</v>
      </c>
      <c r="I2207" s="37">
        <f t="shared" si="102"/>
        <v>204359.93549999999</v>
      </c>
      <c r="J2207" s="4"/>
      <c r="K2207" s="38">
        <f t="shared" si="103"/>
        <v>0</v>
      </c>
    </row>
    <row r="2208" spans="1:11">
      <c r="A2208" t="s">
        <v>3114</v>
      </c>
      <c r="B2208" t="s">
        <v>12251</v>
      </c>
      <c r="C2208" t="s">
        <v>8614</v>
      </c>
      <c r="D2208" t="s">
        <v>8622</v>
      </c>
      <c r="E2208">
        <v>265163.7</v>
      </c>
      <c r="G2208" s="35"/>
      <c r="H2208" s="36">
        <f t="shared" si="104"/>
        <v>167053.13100000002</v>
      </c>
      <c r="I2208" s="37">
        <f t="shared" si="102"/>
        <v>167053.13100000002</v>
      </c>
      <c r="J2208" s="4"/>
      <c r="K2208" s="38">
        <f t="shared" si="103"/>
        <v>0</v>
      </c>
    </row>
    <row r="2209" spans="1:11">
      <c r="A2209" t="s">
        <v>3115</v>
      </c>
      <c r="B2209" t="s">
        <v>12251</v>
      </c>
      <c r="C2209" t="s">
        <v>8614</v>
      </c>
      <c r="D2209" t="s">
        <v>8623</v>
      </c>
      <c r="E2209">
        <v>350597.6</v>
      </c>
      <c r="G2209" s="35"/>
      <c r="H2209" s="36">
        <f t="shared" si="104"/>
        <v>220876.48799999998</v>
      </c>
      <c r="I2209" s="37">
        <f t="shared" si="102"/>
        <v>220876.48799999998</v>
      </c>
      <c r="J2209" s="4"/>
      <c r="K2209" s="38">
        <f t="shared" si="103"/>
        <v>0</v>
      </c>
    </row>
    <row r="2210" spans="1:11">
      <c r="A2210" t="s">
        <v>3116</v>
      </c>
      <c r="B2210" t="s">
        <v>12251</v>
      </c>
      <c r="C2210" t="s">
        <v>8614</v>
      </c>
      <c r="D2210" t="s">
        <v>8624</v>
      </c>
      <c r="E2210">
        <v>374060.79999999999</v>
      </c>
      <c r="G2210" s="35"/>
      <c r="H2210" s="36">
        <f t="shared" si="104"/>
        <v>235658.304</v>
      </c>
      <c r="I2210" s="37">
        <f t="shared" si="102"/>
        <v>235658.304</v>
      </c>
      <c r="J2210" s="4"/>
      <c r="K2210" s="38">
        <f t="shared" si="103"/>
        <v>0</v>
      </c>
    </row>
    <row r="2211" spans="1:11">
      <c r="A2211" t="s">
        <v>12013</v>
      </c>
      <c r="B2211" t="s">
        <v>12251</v>
      </c>
      <c r="C2211" t="s">
        <v>12014</v>
      </c>
      <c r="D2211" t="s">
        <v>12015</v>
      </c>
      <c r="E2211">
        <v>183325.28</v>
      </c>
      <c r="G2211" s="35"/>
      <c r="H2211" s="36">
        <f t="shared" si="104"/>
        <v>115494.9264</v>
      </c>
      <c r="I2211" s="37">
        <f t="shared" si="102"/>
        <v>115494.9264</v>
      </c>
      <c r="J2211" s="4"/>
      <c r="K2211" s="38">
        <f t="shared" si="103"/>
        <v>0</v>
      </c>
    </row>
    <row r="2212" spans="1:11">
      <c r="A2212" t="s">
        <v>12016</v>
      </c>
      <c r="B2212" t="s">
        <v>12251</v>
      </c>
      <c r="C2212" t="s">
        <v>12014</v>
      </c>
      <c r="D2212" t="s">
        <v>12017</v>
      </c>
      <c r="E2212">
        <v>204565.31</v>
      </c>
      <c r="G2212" s="35"/>
      <c r="H2212" s="36">
        <f t="shared" si="104"/>
        <v>128876.1453</v>
      </c>
      <c r="I2212" s="37">
        <f t="shared" si="102"/>
        <v>128876.1453</v>
      </c>
      <c r="J2212" s="4"/>
      <c r="K2212" s="38">
        <f t="shared" si="103"/>
        <v>0</v>
      </c>
    </row>
    <row r="2213" spans="1:11">
      <c r="A2213" t="s">
        <v>12018</v>
      </c>
      <c r="B2213" t="s">
        <v>12251</v>
      </c>
      <c r="C2213" t="s">
        <v>12014</v>
      </c>
      <c r="D2213" t="s">
        <v>12019</v>
      </c>
      <c r="E2213">
        <v>270821.40000000002</v>
      </c>
      <c r="G2213" s="35"/>
      <c r="H2213" s="36">
        <f t="shared" si="104"/>
        <v>170617.48200000002</v>
      </c>
      <c r="I2213" s="37">
        <f t="shared" si="102"/>
        <v>170617.48200000002</v>
      </c>
      <c r="J2213" s="4"/>
      <c r="K2213" s="38">
        <f t="shared" si="103"/>
        <v>0</v>
      </c>
    </row>
    <row r="2214" spans="1:11">
      <c r="A2214" t="s">
        <v>3013</v>
      </c>
      <c r="B2214" t="s">
        <v>12251</v>
      </c>
      <c r="C2214" t="s">
        <v>8514</v>
      </c>
      <c r="D2214" t="s">
        <v>8515</v>
      </c>
      <c r="E2214">
        <v>556921.9</v>
      </c>
      <c r="G2214" s="35"/>
      <c r="H2214" s="36">
        <f t="shared" si="104"/>
        <v>350860.79700000002</v>
      </c>
      <c r="I2214" s="37">
        <f t="shared" si="102"/>
        <v>350860.79700000002</v>
      </c>
      <c r="J2214" s="4"/>
      <c r="K2214" s="38">
        <f t="shared" si="103"/>
        <v>0</v>
      </c>
    </row>
    <row r="2215" spans="1:11">
      <c r="A2215" t="s">
        <v>3014</v>
      </c>
      <c r="B2215" t="s">
        <v>12251</v>
      </c>
      <c r="C2215" t="s">
        <v>8514</v>
      </c>
      <c r="D2215" t="s">
        <v>8516</v>
      </c>
      <c r="E2215">
        <v>688119.84</v>
      </c>
      <c r="G2215" s="35"/>
      <c r="H2215" s="36">
        <f t="shared" si="104"/>
        <v>433515.49919999996</v>
      </c>
      <c r="I2215" s="37">
        <f t="shared" si="102"/>
        <v>433515.49919999996</v>
      </c>
      <c r="J2215" s="4"/>
      <c r="K2215" s="38">
        <f t="shared" si="103"/>
        <v>0</v>
      </c>
    </row>
    <row r="2216" spans="1:11">
      <c r="A2216" t="s">
        <v>3015</v>
      </c>
      <c r="B2216" t="s">
        <v>12251</v>
      </c>
      <c r="C2216" t="s">
        <v>8514</v>
      </c>
      <c r="D2216" t="s">
        <v>8517</v>
      </c>
      <c r="E2216">
        <v>844754.13</v>
      </c>
      <c r="G2216" s="35"/>
      <c r="H2216" s="36">
        <f t="shared" si="104"/>
        <v>532195.10190000001</v>
      </c>
      <c r="I2216" s="37">
        <f t="shared" si="102"/>
        <v>532195.10190000001</v>
      </c>
      <c r="J2216" s="4"/>
      <c r="K2216" s="38">
        <f t="shared" si="103"/>
        <v>0</v>
      </c>
    </row>
    <row r="2217" spans="1:11">
      <c r="A2217" t="s">
        <v>3016</v>
      </c>
      <c r="B2217" t="s">
        <v>12251</v>
      </c>
      <c r="C2217" t="s">
        <v>8514</v>
      </c>
      <c r="D2217" t="s">
        <v>8518</v>
      </c>
      <c r="E2217">
        <v>1174087.76</v>
      </c>
      <c r="G2217" s="35"/>
      <c r="H2217" s="36">
        <f t="shared" si="104"/>
        <v>739675.28879999998</v>
      </c>
      <c r="I2217" s="37">
        <f t="shared" si="102"/>
        <v>739675.28879999998</v>
      </c>
      <c r="J2217" s="4"/>
      <c r="K2217" s="38">
        <f t="shared" si="103"/>
        <v>0</v>
      </c>
    </row>
    <row r="2218" spans="1:11">
      <c r="A2218" t="s">
        <v>3017</v>
      </c>
      <c r="B2218" t="s">
        <v>12251</v>
      </c>
      <c r="C2218" t="s">
        <v>8514</v>
      </c>
      <c r="D2218" t="s">
        <v>8519</v>
      </c>
      <c r="E2218">
        <v>1137941.3799999999</v>
      </c>
      <c r="G2218" s="35"/>
      <c r="H2218" s="36">
        <f t="shared" si="104"/>
        <v>716903.06939999992</v>
      </c>
      <c r="I2218" s="37">
        <f t="shared" si="102"/>
        <v>716903.06939999992</v>
      </c>
      <c r="J2218" s="4"/>
      <c r="K2218" s="38">
        <f t="shared" si="103"/>
        <v>0</v>
      </c>
    </row>
    <row r="2219" spans="1:11">
      <c r="A2219" t="s">
        <v>3018</v>
      </c>
      <c r="B2219" t="s">
        <v>12251</v>
      </c>
      <c r="C2219" t="s">
        <v>8514</v>
      </c>
      <c r="D2219" t="s">
        <v>8520</v>
      </c>
      <c r="E2219">
        <v>1337415.8</v>
      </c>
      <c r="G2219" s="35"/>
      <c r="H2219" s="36">
        <f t="shared" si="104"/>
        <v>842571.95400000003</v>
      </c>
      <c r="I2219" s="37">
        <f t="shared" si="102"/>
        <v>842571.95400000003</v>
      </c>
      <c r="J2219" s="4"/>
      <c r="K2219" s="38">
        <f t="shared" si="103"/>
        <v>0</v>
      </c>
    </row>
    <row r="2220" spans="1:11">
      <c r="A2220" t="s">
        <v>3019</v>
      </c>
      <c r="B2220" t="s">
        <v>12251</v>
      </c>
      <c r="C2220" t="s">
        <v>8514</v>
      </c>
      <c r="D2220" t="s">
        <v>8521</v>
      </c>
      <c r="E2220">
        <v>1170071.48</v>
      </c>
      <c r="G2220" s="35"/>
      <c r="H2220" s="36">
        <f t="shared" si="104"/>
        <v>737145.03240000003</v>
      </c>
      <c r="I2220" s="37">
        <f t="shared" si="102"/>
        <v>737145.03240000003</v>
      </c>
      <c r="J2220" s="4"/>
      <c r="K2220" s="38">
        <f t="shared" si="103"/>
        <v>0</v>
      </c>
    </row>
    <row r="2221" spans="1:11">
      <c r="A2221" t="s">
        <v>3020</v>
      </c>
      <c r="B2221" t="s">
        <v>12251</v>
      </c>
      <c r="C2221" t="s">
        <v>8514</v>
      </c>
      <c r="D2221" t="s">
        <v>8522</v>
      </c>
      <c r="E2221">
        <v>965242.04</v>
      </c>
      <c r="G2221" s="35"/>
      <c r="H2221" s="36">
        <f t="shared" si="104"/>
        <v>608102.4852</v>
      </c>
      <c r="I2221" s="37">
        <f t="shared" si="102"/>
        <v>608102.4852</v>
      </c>
      <c r="J2221" s="4"/>
      <c r="K2221" s="38">
        <f t="shared" si="103"/>
        <v>0</v>
      </c>
    </row>
    <row r="2222" spans="1:11">
      <c r="A2222" t="s">
        <v>3021</v>
      </c>
      <c r="B2222" t="s">
        <v>12251</v>
      </c>
      <c r="C2222" t="s">
        <v>8514</v>
      </c>
      <c r="D2222" t="s">
        <v>8523</v>
      </c>
      <c r="E2222">
        <v>2211622.54</v>
      </c>
      <c r="G2222" s="35"/>
      <c r="H2222" s="36">
        <f t="shared" si="104"/>
        <v>1393322.2002000001</v>
      </c>
      <c r="I2222" s="37">
        <f t="shared" si="102"/>
        <v>1393322.2002000001</v>
      </c>
      <c r="J2222" s="4"/>
      <c r="K2222" s="38">
        <f t="shared" si="103"/>
        <v>0</v>
      </c>
    </row>
    <row r="2223" spans="1:11">
      <c r="A2223" t="s">
        <v>3022</v>
      </c>
      <c r="B2223" t="s">
        <v>12251</v>
      </c>
      <c r="C2223" t="s">
        <v>8514</v>
      </c>
      <c r="D2223" t="s">
        <v>8524</v>
      </c>
      <c r="E2223">
        <v>2219655.0499999998</v>
      </c>
      <c r="G2223" s="35"/>
      <c r="H2223" s="36">
        <f t="shared" si="104"/>
        <v>1398382.6814999999</v>
      </c>
      <c r="I2223" s="37">
        <f t="shared" si="102"/>
        <v>1398382.6814999999</v>
      </c>
      <c r="J2223" s="4"/>
      <c r="K2223" s="38">
        <f t="shared" si="103"/>
        <v>0</v>
      </c>
    </row>
    <row r="2224" spans="1:11">
      <c r="A2224" t="s">
        <v>12884</v>
      </c>
      <c r="B2224" t="s">
        <v>12251</v>
      </c>
      <c r="C2224" t="s">
        <v>8514</v>
      </c>
      <c r="D2224" t="s">
        <v>12885</v>
      </c>
      <c r="E2224">
        <v>2674831.6</v>
      </c>
      <c r="G2224" s="35"/>
      <c r="H2224" s="36">
        <f t="shared" si="104"/>
        <v>1685143.9080000001</v>
      </c>
      <c r="I2224" s="37">
        <f t="shared" si="102"/>
        <v>1685143.9080000001</v>
      </c>
      <c r="J2224" s="4"/>
      <c r="K2224" s="38">
        <f t="shared" si="103"/>
        <v>0</v>
      </c>
    </row>
    <row r="2225" spans="1:11">
      <c r="A2225" t="s">
        <v>3023</v>
      </c>
      <c r="B2225" t="s">
        <v>12251</v>
      </c>
      <c r="C2225" t="s">
        <v>8514</v>
      </c>
      <c r="D2225" t="s">
        <v>8525</v>
      </c>
      <c r="E2225">
        <v>1854175.07</v>
      </c>
      <c r="G2225" s="35"/>
      <c r="H2225" s="36">
        <f t="shared" si="104"/>
        <v>1168130.2941000001</v>
      </c>
      <c r="I2225" s="37">
        <f t="shared" si="102"/>
        <v>1168130.2941000001</v>
      </c>
      <c r="J2225" s="4"/>
      <c r="K2225" s="38">
        <f t="shared" si="103"/>
        <v>0</v>
      </c>
    </row>
    <row r="2226" spans="1:11">
      <c r="A2226" t="s">
        <v>3024</v>
      </c>
      <c r="B2226" t="s">
        <v>12251</v>
      </c>
      <c r="C2226" t="s">
        <v>8514</v>
      </c>
      <c r="D2226" t="s">
        <v>8526</v>
      </c>
      <c r="E2226">
        <v>1603827.95</v>
      </c>
      <c r="G2226" s="35"/>
      <c r="H2226" s="36">
        <f t="shared" si="104"/>
        <v>1010411.6085</v>
      </c>
      <c r="I2226" s="37">
        <f t="shared" si="102"/>
        <v>1010411.6085</v>
      </c>
      <c r="J2226" s="4"/>
      <c r="K2226" s="38">
        <f t="shared" si="103"/>
        <v>0</v>
      </c>
    </row>
    <row r="2227" spans="1:11">
      <c r="A2227" t="s">
        <v>3025</v>
      </c>
      <c r="B2227" t="s">
        <v>12251</v>
      </c>
      <c r="C2227" t="s">
        <v>8514</v>
      </c>
      <c r="D2227" t="s">
        <v>8527</v>
      </c>
      <c r="E2227">
        <v>2440549.5499999998</v>
      </c>
      <c r="G2227" s="35"/>
      <c r="H2227" s="36">
        <f t="shared" si="104"/>
        <v>1537546.2164999999</v>
      </c>
      <c r="I2227" s="37">
        <f t="shared" si="102"/>
        <v>1537546.2164999999</v>
      </c>
      <c r="J2227" s="4"/>
      <c r="K2227" s="38">
        <f t="shared" si="103"/>
        <v>0</v>
      </c>
    </row>
    <row r="2228" spans="1:11">
      <c r="A2228" t="s">
        <v>3026</v>
      </c>
      <c r="B2228" t="s">
        <v>12251</v>
      </c>
      <c r="C2228" t="s">
        <v>8514</v>
      </c>
      <c r="D2228" t="s">
        <v>8528</v>
      </c>
      <c r="E2228">
        <v>2503471.0299999998</v>
      </c>
      <c r="G2228" s="35"/>
      <c r="H2228" s="36">
        <f t="shared" si="104"/>
        <v>1577186.7488999998</v>
      </c>
      <c r="I2228" s="37">
        <f t="shared" si="102"/>
        <v>1577186.7488999998</v>
      </c>
      <c r="J2228" s="4"/>
      <c r="K2228" s="38">
        <f t="shared" si="103"/>
        <v>0</v>
      </c>
    </row>
    <row r="2229" spans="1:11">
      <c r="A2229" t="s">
        <v>3027</v>
      </c>
      <c r="B2229" t="s">
        <v>12251</v>
      </c>
      <c r="C2229" t="s">
        <v>8514</v>
      </c>
      <c r="D2229" t="s">
        <v>8529</v>
      </c>
      <c r="E2229">
        <v>2800674.55</v>
      </c>
      <c r="G2229" s="35"/>
      <c r="H2229" s="36">
        <f t="shared" si="104"/>
        <v>1764424.9664999999</v>
      </c>
      <c r="I2229" s="37">
        <f t="shared" si="102"/>
        <v>1764424.9664999999</v>
      </c>
      <c r="J2229" s="4"/>
      <c r="K2229" s="38">
        <f t="shared" si="103"/>
        <v>0</v>
      </c>
    </row>
    <row r="2230" spans="1:11">
      <c r="A2230" t="s">
        <v>3028</v>
      </c>
      <c r="B2230" t="s">
        <v>12251</v>
      </c>
      <c r="C2230" t="s">
        <v>8514</v>
      </c>
      <c r="D2230" t="s">
        <v>8530</v>
      </c>
      <c r="E2230">
        <v>6075268.1799999997</v>
      </c>
      <c r="G2230" s="35"/>
      <c r="H2230" s="36">
        <f t="shared" si="104"/>
        <v>3827418.9534</v>
      </c>
      <c r="I2230" s="37">
        <f t="shared" si="102"/>
        <v>3827418.9534</v>
      </c>
      <c r="J2230" s="4"/>
      <c r="K2230" s="38">
        <f t="shared" si="103"/>
        <v>0</v>
      </c>
    </row>
    <row r="2231" spans="1:11">
      <c r="A2231" t="s">
        <v>3029</v>
      </c>
      <c r="B2231" t="s">
        <v>12251</v>
      </c>
      <c r="C2231" t="s">
        <v>8514</v>
      </c>
      <c r="D2231" t="s">
        <v>8531</v>
      </c>
      <c r="E2231">
        <v>6330970.3099999996</v>
      </c>
      <c r="G2231" s="35"/>
      <c r="H2231" s="36">
        <f t="shared" si="104"/>
        <v>3988511.2952999999</v>
      </c>
      <c r="I2231" s="37">
        <f t="shared" si="102"/>
        <v>3988511.2952999999</v>
      </c>
      <c r="J2231" s="4"/>
      <c r="K2231" s="38">
        <f t="shared" si="103"/>
        <v>0</v>
      </c>
    </row>
    <row r="2232" spans="1:11">
      <c r="A2232" t="s">
        <v>3030</v>
      </c>
      <c r="B2232" t="s">
        <v>12251</v>
      </c>
      <c r="C2232" t="s">
        <v>8514</v>
      </c>
      <c r="D2232" t="s">
        <v>8532</v>
      </c>
      <c r="E2232">
        <v>6446103.21</v>
      </c>
      <c r="G2232" s="35"/>
      <c r="H2232" s="36">
        <f t="shared" si="104"/>
        <v>4061045.0222999998</v>
      </c>
      <c r="I2232" s="37">
        <f t="shared" si="102"/>
        <v>4061045.0222999998</v>
      </c>
      <c r="J2232" s="4"/>
      <c r="K2232" s="38">
        <f t="shared" si="103"/>
        <v>0</v>
      </c>
    </row>
    <row r="2233" spans="1:11">
      <c r="A2233" t="s">
        <v>3031</v>
      </c>
      <c r="B2233" t="s">
        <v>12251</v>
      </c>
      <c r="C2233" t="s">
        <v>8514</v>
      </c>
      <c r="D2233" t="s">
        <v>8533</v>
      </c>
      <c r="E2233">
        <v>7862505.5199999996</v>
      </c>
      <c r="G2233" s="35"/>
      <c r="H2233" s="36">
        <f t="shared" si="104"/>
        <v>4953378.4775999999</v>
      </c>
      <c r="I2233" s="37">
        <f t="shared" si="102"/>
        <v>4953378.4775999999</v>
      </c>
      <c r="J2233" s="4"/>
      <c r="K2233" s="38">
        <f t="shared" si="103"/>
        <v>0</v>
      </c>
    </row>
    <row r="2234" spans="1:11">
      <c r="A2234" t="s">
        <v>3032</v>
      </c>
      <c r="B2234" t="s">
        <v>12251</v>
      </c>
      <c r="C2234" t="s">
        <v>8514</v>
      </c>
      <c r="D2234" t="s">
        <v>8534</v>
      </c>
      <c r="E2234">
        <v>8166402.8200000003</v>
      </c>
      <c r="G2234" s="35"/>
      <c r="H2234" s="36">
        <f t="shared" si="104"/>
        <v>5144833.7766000004</v>
      </c>
      <c r="I2234" s="37">
        <f t="shared" si="102"/>
        <v>5144833.7766000004</v>
      </c>
      <c r="J2234" s="4"/>
      <c r="K2234" s="38">
        <f t="shared" si="103"/>
        <v>0</v>
      </c>
    </row>
    <row r="2235" spans="1:11">
      <c r="A2235" t="s">
        <v>3033</v>
      </c>
      <c r="B2235" t="s">
        <v>12251</v>
      </c>
      <c r="C2235" t="s">
        <v>8514</v>
      </c>
      <c r="D2235" t="s">
        <v>8535</v>
      </c>
      <c r="E2235">
        <v>7654998.5700000003</v>
      </c>
      <c r="G2235" s="35"/>
      <c r="H2235" s="36">
        <f t="shared" si="104"/>
        <v>4822649.0991000002</v>
      </c>
      <c r="I2235" s="37">
        <f t="shared" si="102"/>
        <v>4822649.0991000002</v>
      </c>
      <c r="J2235" s="4"/>
      <c r="K2235" s="38">
        <f t="shared" si="103"/>
        <v>0</v>
      </c>
    </row>
    <row r="2236" spans="1:11">
      <c r="A2236" t="s">
        <v>3034</v>
      </c>
      <c r="B2236" t="s">
        <v>12251</v>
      </c>
      <c r="C2236" t="s">
        <v>8514</v>
      </c>
      <c r="D2236" t="s">
        <v>8536</v>
      </c>
      <c r="E2236">
        <v>8092771.3200000003</v>
      </c>
      <c r="G2236" s="35"/>
      <c r="H2236" s="36">
        <f t="shared" si="104"/>
        <v>5098445.9315999998</v>
      </c>
      <c r="I2236" s="37">
        <f t="shared" si="102"/>
        <v>5098445.9315999998</v>
      </c>
      <c r="J2236" s="4"/>
      <c r="K2236" s="38">
        <f t="shared" si="103"/>
        <v>0</v>
      </c>
    </row>
    <row r="2237" spans="1:11">
      <c r="A2237" t="s">
        <v>3035</v>
      </c>
      <c r="B2237" t="s">
        <v>12251</v>
      </c>
      <c r="C2237" t="s">
        <v>8514</v>
      </c>
      <c r="D2237" t="s">
        <v>8537</v>
      </c>
      <c r="E2237">
        <v>8410056.1500000004</v>
      </c>
      <c r="G2237" s="35"/>
      <c r="H2237" s="36">
        <f t="shared" si="104"/>
        <v>5298335.3744999999</v>
      </c>
      <c r="I2237" s="37">
        <f t="shared" si="102"/>
        <v>5298335.3744999999</v>
      </c>
      <c r="J2237" s="4"/>
      <c r="K2237" s="38">
        <f t="shared" si="103"/>
        <v>0</v>
      </c>
    </row>
    <row r="2238" spans="1:11">
      <c r="A2238" t="s">
        <v>3036</v>
      </c>
      <c r="B2238" t="s">
        <v>12251</v>
      </c>
      <c r="C2238" t="s">
        <v>8514</v>
      </c>
      <c r="D2238" t="s">
        <v>8538</v>
      </c>
      <c r="E2238">
        <v>1654700.64</v>
      </c>
      <c r="G2238" s="35"/>
      <c r="H2238" s="36">
        <f t="shared" si="104"/>
        <v>1042461.4031999999</v>
      </c>
      <c r="I2238" s="37">
        <f t="shared" si="102"/>
        <v>1042461.4031999999</v>
      </c>
      <c r="J2238" s="4"/>
      <c r="K2238" s="38">
        <f t="shared" si="103"/>
        <v>0</v>
      </c>
    </row>
    <row r="2239" spans="1:11">
      <c r="A2239" t="s">
        <v>3037</v>
      </c>
      <c r="B2239" t="s">
        <v>12251</v>
      </c>
      <c r="C2239" t="s">
        <v>8514</v>
      </c>
      <c r="D2239" t="s">
        <v>8539</v>
      </c>
      <c r="E2239">
        <v>1492711.33</v>
      </c>
      <c r="G2239" s="35"/>
      <c r="H2239" s="36">
        <f t="shared" si="104"/>
        <v>940408.13790000009</v>
      </c>
      <c r="I2239" s="37">
        <f t="shared" si="102"/>
        <v>940408.13790000009</v>
      </c>
      <c r="J2239" s="4"/>
      <c r="K2239" s="38">
        <f t="shared" si="103"/>
        <v>0</v>
      </c>
    </row>
    <row r="2240" spans="1:11">
      <c r="A2240" t="s">
        <v>3038</v>
      </c>
      <c r="B2240" t="s">
        <v>12251</v>
      </c>
      <c r="C2240" t="s">
        <v>8514</v>
      </c>
      <c r="D2240" t="s">
        <v>8540</v>
      </c>
      <c r="E2240">
        <v>1394982.26</v>
      </c>
      <c r="G2240" s="35"/>
      <c r="H2240" s="36">
        <f t="shared" si="104"/>
        <v>878838.82380000001</v>
      </c>
      <c r="I2240" s="37">
        <f t="shared" si="102"/>
        <v>878838.82380000001</v>
      </c>
      <c r="J2240" s="4"/>
      <c r="K2240" s="38">
        <f t="shared" si="103"/>
        <v>0</v>
      </c>
    </row>
    <row r="2241" spans="1:11">
      <c r="A2241" t="s">
        <v>3039</v>
      </c>
      <c r="B2241" t="s">
        <v>12251</v>
      </c>
      <c r="C2241" t="s">
        <v>8514</v>
      </c>
      <c r="D2241" t="s">
        <v>8541</v>
      </c>
      <c r="E2241">
        <v>1352142.11</v>
      </c>
      <c r="G2241" s="35"/>
      <c r="H2241" s="36">
        <f t="shared" si="104"/>
        <v>851849.52930000005</v>
      </c>
      <c r="I2241" s="37">
        <f t="shared" si="102"/>
        <v>851849.52930000005</v>
      </c>
      <c r="J2241" s="4"/>
      <c r="K2241" s="38">
        <f t="shared" si="103"/>
        <v>0</v>
      </c>
    </row>
    <row r="2242" spans="1:11">
      <c r="A2242" t="s">
        <v>3040</v>
      </c>
      <c r="B2242" t="s">
        <v>12251</v>
      </c>
      <c r="C2242" t="s">
        <v>8514</v>
      </c>
      <c r="D2242" t="s">
        <v>8542</v>
      </c>
      <c r="E2242">
        <v>2420468.2400000002</v>
      </c>
      <c r="G2242" s="35"/>
      <c r="H2242" s="36">
        <f t="shared" si="104"/>
        <v>1524894.9912</v>
      </c>
      <c r="I2242" s="37">
        <f t="shared" si="102"/>
        <v>1524894.9912</v>
      </c>
      <c r="J2242" s="4"/>
      <c r="K2242" s="38">
        <f t="shared" si="103"/>
        <v>0</v>
      </c>
    </row>
    <row r="2243" spans="1:11">
      <c r="A2243" t="s">
        <v>3041</v>
      </c>
      <c r="B2243" t="s">
        <v>12251</v>
      </c>
      <c r="C2243" t="s">
        <v>8514</v>
      </c>
      <c r="D2243" t="s">
        <v>8543</v>
      </c>
      <c r="E2243">
        <v>2736414.32</v>
      </c>
      <c r="G2243" s="35"/>
      <c r="H2243" s="36">
        <f t="shared" si="104"/>
        <v>1723941.0215999999</v>
      </c>
      <c r="I2243" s="37">
        <f t="shared" si="102"/>
        <v>1723941.0215999999</v>
      </c>
      <c r="J2243" s="4"/>
      <c r="K2243" s="38">
        <f t="shared" si="103"/>
        <v>0</v>
      </c>
    </row>
    <row r="2244" spans="1:11">
      <c r="A2244" t="s">
        <v>3042</v>
      </c>
      <c r="B2244" t="s">
        <v>12251</v>
      </c>
      <c r="C2244" t="s">
        <v>8514</v>
      </c>
      <c r="D2244" t="s">
        <v>8544</v>
      </c>
      <c r="E2244">
        <v>2839498.43</v>
      </c>
      <c r="G2244" s="35"/>
      <c r="H2244" s="36">
        <f t="shared" si="104"/>
        <v>1788884.0109000001</v>
      </c>
      <c r="I2244" s="37">
        <f t="shared" si="102"/>
        <v>1788884.0109000001</v>
      </c>
      <c r="J2244" s="4"/>
      <c r="K2244" s="38">
        <f t="shared" si="103"/>
        <v>0</v>
      </c>
    </row>
    <row r="2245" spans="1:11">
      <c r="A2245" t="s">
        <v>3043</v>
      </c>
      <c r="B2245" t="s">
        <v>12251</v>
      </c>
      <c r="C2245" t="s">
        <v>8514</v>
      </c>
      <c r="D2245" t="s">
        <v>8545</v>
      </c>
      <c r="E2245">
        <v>6375149.2199999997</v>
      </c>
      <c r="G2245" s="35"/>
      <c r="H2245" s="36">
        <f t="shared" si="104"/>
        <v>4016344.0085999998</v>
      </c>
      <c r="I2245" s="37">
        <f t="shared" si="102"/>
        <v>4016344.0085999998</v>
      </c>
      <c r="J2245" s="4"/>
      <c r="K2245" s="38">
        <f t="shared" si="103"/>
        <v>0</v>
      </c>
    </row>
    <row r="2246" spans="1:11">
      <c r="A2246" t="s">
        <v>3044</v>
      </c>
      <c r="B2246" t="s">
        <v>12251</v>
      </c>
      <c r="C2246" t="s">
        <v>8514</v>
      </c>
      <c r="D2246" t="s">
        <v>8546</v>
      </c>
      <c r="E2246">
        <v>6637545.0999999996</v>
      </c>
      <c r="G2246" s="35"/>
      <c r="H2246" s="36">
        <f t="shared" si="104"/>
        <v>4181653.4129999997</v>
      </c>
      <c r="I2246" s="37">
        <f t="shared" ref="I2246:I2309" si="105">H2246*$H$4</f>
        <v>4181653.4129999997</v>
      </c>
      <c r="J2246" s="4"/>
      <c r="K2246" s="38">
        <f t="shared" ref="K2246:K2309" si="106">J2246*I2246</f>
        <v>0</v>
      </c>
    </row>
    <row r="2247" spans="1:11">
      <c r="A2247" t="s">
        <v>3045</v>
      </c>
      <c r="B2247" t="s">
        <v>12251</v>
      </c>
      <c r="C2247" t="s">
        <v>8514</v>
      </c>
      <c r="D2247" t="s">
        <v>8547</v>
      </c>
      <c r="E2247">
        <v>751376</v>
      </c>
      <c r="G2247" s="35"/>
      <c r="H2247" s="36">
        <f t="shared" ref="H2247:H2310" si="107">+E2247*$H$1*(1-G2247)</f>
        <v>473366.88</v>
      </c>
      <c r="I2247" s="37">
        <f t="shared" si="105"/>
        <v>473366.88</v>
      </c>
      <c r="J2247" s="4"/>
      <c r="K2247" s="38">
        <f t="shared" si="106"/>
        <v>0</v>
      </c>
    </row>
    <row r="2248" spans="1:11">
      <c r="A2248" t="s">
        <v>3046</v>
      </c>
      <c r="B2248" t="s">
        <v>12251</v>
      </c>
      <c r="C2248" t="s">
        <v>8514</v>
      </c>
      <c r="D2248" t="s">
        <v>8548</v>
      </c>
      <c r="E2248">
        <v>773130.76</v>
      </c>
      <c r="G2248" s="35"/>
      <c r="H2248" s="36">
        <f t="shared" si="107"/>
        <v>487072.37880000001</v>
      </c>
      <c r="I2248" s="37">
        <f t="shared" si="105"/>
        <v>487072.37880000001</v>
      </c>
      <c r="J2248" s="4"/>
      <c r="K2248" s="38">
        <f t="shared" si="106"/>
        <v>0</v>
      </c>
    </row>
    <row r="2249" spans="1:11">
      <c r="A2249" t="s">
        <v>3047</v>
      </c>
      <c r="B2249" t="s">
        <v>12251</v>
      </c>
      <c r="C2249" t="s">
        <v>8514</v>
      </c>
      <c r="D2249" t="s">
        <v>8549</v>
      </c>
      <c r="E2249">
        <v>901985.88</v>
      </c>
      <c r="G2249" s="35"/>
      <c r="H2249" s="36">
        <f t="shared" si="107"/>
        <v>568251.10439999995</v>
      </c>
      <c r="I2249" s="37">
        <f t="shared" si="105"/>
        <v>568251.10439999995</v>
      </c>
      <c r="J2249" s="4"/>
      <c r="K2249" s="38">
        <f t="shared" si="106"/>
        <v>0</v>
      </c>
    </row>
    <row r="2250" spans="1:11">
      <c r="A2250" t="s">
        <v>3048</v>
      </c>
      <c r="B2250" t="s">
        <v>12251</v>
      </c>
      <c r="C2250" t="s">
        <v>8514</v>
      </c>
      <c r="D2250" t="s">
        <v>8550</v>
      </c>
      <c r="E2250">
        <v>952189.18</v>
      </c>
      <c r="G2250" s="35"/>
      <c r="H2250" s="36">
        <f t="shared" si="107"/>
        <v>599879.18339999998</v>
      </c>
      <c r="I2250" s="37">
        <f t="shared" si="105"/>
        <v>599879.18339999998</v>
      </c>
      <c r="J2250" s="4"/>
      <c r="K2250" s="38">
        <f t="shared" si="106"/>
        <v>0</v>
      </c>
    </row>
    <row r="2251" spans="1:11">
      <c r="A2251" t="s">
        <v>3049</v>
      </c>
      <c r="B2251" t="s">
        <v>12251</v>
      </c>
      <c r="C2251" t="s">
        <v>8514</v>
      </c>
      <c r="D2251" t="s">
        <v>8551</v>
      </c>
      <c r="E2251">
        <v>1094431.8500000001</v>
      </c>
      <c r="G2251" s="35"/>
      <c r="H2251" s="36">
        <f t="shared" si="107"/>
        <v>689492.06550000003</v>
      </c>
      <c r="I2251" s="37">
        <f t="shared" si="105"/>
        <v>689492.06550000003</v>
      </c>
      <c r="J2251" s="4"/>
      <c r="K2251" s="38">
        <f t="shared" si="106"/>
        <v>0</v>
      </c>
    </row>
    <row r="2252" spans="1:11">
      <c r="A2252" t="s">
        <v>3050</v>
      </c>
      <c r="B2252" t="s">
        <v>12251</v>
      </c>
      <c r="C2252" t="s">
        <v>8514</v>
      </c>
      <c r="D2252" t="s">
        <v>8552</v>
      </c>
      <c r="E2252">
        <v>1141288.26</v>
      </c>
      <c r="G2252" s="35"/>
      <c r="H2252" s="36">
        <f t="shared" si="107"/>
        <v>719011.60380000004</v>
      </c>
      <c r="I2252" s="37">
        <f t="shared" si="105"/>
        <v>719011.60380000004</v>
      </c>
      <c r="J2252" s="4"/>
      <c r="K2252" s="38">
        <f t="shared" si="106"/>
        <v>0</v>
      </c>
    </row>
    <row r="2253" spans="1:11">
      <c r="A2253" t="s">
        <v>3051</v>
      </c>
      <c r="B2253" t="s">
        <v>12251</v>
      </c>
      <c r="C2253" t="s">
        <v>8514</v>
      </c>
      <c r="D2253" t="s">
        <v>8553</v>
      </c>
      <c r="E2253">
        <v>808273.07</v>
      </c>
      <c r="G2253" s="35"/>
      <c r="H2253" s="36">
        <f t="shared" si="107"/>
        <v>509212.03409999999</v>
      </c>
      <c r="I2253" s="37">
        <f t="shared" si="105"/>
        <v>509212.03409999999</v>
      </c>
      <c r="J2253" s="4"/>
      <c r="K2253" s="38">
        <f t="shared" si="106"/>
        <v>0</v>
      </c>
    </row>
    <row r="2254" spans="1:11">
      <c r="A2254" t="s">
        <v>3052</v>
      </c>
      <c r="B2254" t="s">
        <v>12251</v>
      </c>
      <c r="C2254" t="s">
        <v>8514</v>
      </c>
      <c r="D2254" t="s">
        <v>8554</v>
      </c>
      <c r="E2254">
        <v>947168.85</v>
      </c>
      <c r="G2254" s="35"/>
      <c r="H2254" s="36">
        <f t="shared" si="107"/>
        <v>596716.37549999997</v>
      </c>
      <c r="I2254" s="37">
        <f t="shared" si="105"/>
        <v>596716.37549999997</v>
      </c>
      <c r="J2254" s="4"/>
      <c r="K2254" s="38">
        <f t="shared" si="106"/>
        <v>0</v>
      </c>
    </row>
    <row r="2255" spans="1:11">
      <c r="A2255" t="s">
        <v>3053</v>
      </c>
      <c r="B2255" t="s">
        <v>12251</v>
      </c>
      <c r="C2255" t="s">
        <v>8514</v>
      </c>
      <c r="D2255" t="s">
        <v>8555</v>
      </c>
      <c r="E2255">
        <v>888598.34</v>
      </c>
      <c r="G2255" s="35"/>
      <c r="H2255" s="36">
        <f t="shared" si="107"/>
        <v>559816.95420000004</v>
      </c>
      <c r="I2255" s="37">
        <f t="shared" si="105"/>
        <v>559816.95420000004</v>
      </c>
      <c r="J2255" s="4"/>
      <c r="K2255" s="38">
        <f t="shared" si="106"/>
        <v>0</v>
      </c>
    </row>
    <row r="2256" spans="1:11">
      <c r="A2256" t="s">
        <v>3054</v>
      </c>
      <c r="B2256" t="s">
        <v>12251</v>
      </c>
      <c r="C2256" t="s">
        <v>8514</v>
      </c>
      <c r="D2256" t="s">
        <v>8556</v>
      </c>
      <c r="E2256">
        <v>1000719.03</v>
      </c>
      <c r="G2256" s="35"/>
      <c r="H2256" s="36">
        <f t="shared" si="107"/>
        <v>630452.9889</v>
      </c>
      <c r="I2256" s="37">
        <f t="shared" si="105"/>
        <v>630452.9889</v>
      </c>
      <c r="J2256" s="4"/>
      <c r="K2256" s="38">
        <f t="shared" si="106"/>
        <v>0</v>
      </c>
    </row>
    <row r="2257" spans="1:11">
      <c r="A2257" t="s">
        <v>3055</v>
      </c>
      <c r="B2257" t="s">
        <v>12251</v>
      </c>
      <c r="C2257" t="s">
        <v>8514</v>
      </c>
      <c r="D2257" t="s">
        <v>8557</v>
      </c>
      <c r="E2257">
        <v>946963.8</v>
      </c>
      <c r="G2257" s="35"/>
      <c r="H2257" s="36">
        <f t="shared" si="107"/>
        <v>596587.19400000002</v>
      </c>
      <c r="I2257" s="37">
        <f t="shared" si="105"/>
        <v>596587.19400000002</v>
      </c>
      <c r="J2257" s="4"/>
      <c r="K2257" s="38">
        <f t="shared" si="106"/>
        <v>0</v>
      </c>
    </row>
    <row r="2258" spans="1:11">
      <c r="A2258" t="s">
        <v>3056</v>
      </c>
      <c r="B2258" t="s">
        <v>12251</v>
      </c>
      <c r="C2258" t="s">
        <v>8514</v>
      </c>
      <c r="D2258" t="s">
        <v>8558</v>
      </c>
      <c r="E2258">
        <v>8151676.5099999998</v>
      </c>
      <c r="G2258" s="35"/>
      <c r="H2258" s="36">
        <f t="shared" si="107"/>
        <v>5135556.2012999998</v>
      </c>
      <c r="I2258" s="37">
        <f t="shared" si="105"/>
        <v>5135556.2012999998</v>
      </c>
      <c r="J2258" s="4"/>
      <c r="K2258" s="38">
        <f t="shared" si="106"/>
        <v>0</v>
      </c>
    </row>
    <row r="2259" spans="1:11">
      <c r="A2259" t="s">
        <v>3057</v>
      </c>
      <c r="B2259" t="s">
        <v>12251</v>
      </c>
      <c r="C2259" t="s">
        <v>8514</v>
      </c>
      <c r="D2259" t="s">
        <v>8559</v>
      </c>
      <c r="E2259">
        <v>8470300.1099999994</v>
      </c>
      <c r="G2259" s="35"/>
      <c r="H2259" s="36">
        <f t="shared" si="107"/>
        <v>5336289.0692999996</v>
      </c>
      <c r="I2259" s="37">
        <f t="shared" si="105"/>
        <v>5336289.0692999996</v>
      </c>
      <c r="J2259" s="4"/>
      <c r="K2259" s="38">
        <f t="shared" si="106"/>
        <v>0</v>
      </c>
    </row>
    <row r="2260" spans="1:11">
      <c r="A2260" t="s">
        <v>3058</v>
      </c>
      <c r="B2260" t="s">
        <v>12251</v>
      </c>
      <c r="C2260" t="s">
        <v>8514</v>
      </c>
      <c r="D2260" t="s">
        <v>8560</v>
      </c>
      <c r="E2260">
        <v>1573006.19</v>
      </c>
      <c r="G2260" s="35"/>
      <c r="H2260" s="36">
        <f t="shared" si="107"/>
        <v>990993.89969999995</v>
      </c>
      <c r="I2260" s="37">
        <f t="shared" si="105"/>
        <v>990993.89969999995</v>
      </c>
      <c r="J2260" s="4"/>
      <c r="K2260" s="38">
        <f t="shared" si="106"/>
        <v>0</v>
      </c>
    </row>
    <row r="2261" spans="1:11">
      <c r="A2261" t="s">
        <v>3059</v>
      </c>
      <c r="B2261" t="s">
        <v>12251</v>
      </c>
      <c r="C2261" t="s">
        <v>8514</v>
      </c>
      <c r="D2261" t="s">
        <v>8561</v>
      </c>
      <c r="E2261">
        <v>1664517.15</v>
      </c>
      <c r="G2261" s="35"/>
      <c r="H2261" s="36">
        <f t="shared" si="107"/>
        <v>1048645.8044999999</v>
      </c>
      <c r="I2261" s="37">
        <f t="shared" si="105"/>
        <v>1048645.8044999999</v>
      </c>
      <c r="J2261" s="4"/>
      <c r="K2261" s="38">
        <f t="shared" si="106"/>
        <v>0</v>
      </c>
    </row>
    <row r="2262" spans="1:11">
      <c r="A2262" t="s">
        <v>3060</v>
      </c>
      <c r="B2262" t="s">
        <v>12251</v>
      </c>
      <c r="C2262" t="s">
        <v>8514</v>
      </c>
      <c r="D2262" t="s">
        <v>8562</v>
      </c>
      <c r="E2262">
        <v>1712938.91</v>
      </c>
      <c r="G2262" s="35"/>
      <c r="H2262" s="36">
        <f t="shared" si="107"/>
        <v>1079151.5133</v>
      </c>
      <c r="I2262" s="37">
        <f t="shared" si="105"/>
        <v>1079151.5133</v>
      </c>
      <c r="J2262" s="4"/>
      <c r="K2262" s="38">
        <f t="shared" si="106"/>
        <v>0</v>
      </c>
    </row>
    <row r="2263" spans="1:11">
      <c r="A2263" t="s">
        <v>3061</v>
      </c>
      <c r="B2263" t="s">
        <v>12251</v>
      </c>
      <c r="C2263" t="s">
        <v>8514</v>
      </c>
      <c r="D2263" t="s">
        <v>8563</v>
      </c>
      <c r="E2263">
        <v>21742956.210000001</v>
      </c>
      <c r="G2263" s="35"/>
      <c r="H2263" s="36">
        <f t="shared" si="107"/>
        <v>13698062.4123</v>
      </c>
      <c r="I2263" s="37">
        <f t="shared" si="105"/>
        <v>13698062.4123</v>
      </c>
      <c r="J2263" s="4"/>
      <c r="K2263" s="38">
        <f t="shared" si="106"/>
        <v>0</v>
      </c>
    </row>
    <row r="2264" spans="1:11">
      <c r="A2264" t="s">
        <v>3062</v>
      </c>
      <c r="B2264" t="s">
        <v>12251</v>
      </c>
      <c r="C2264" t="s">
        <v>8514</v>
      </c>
      <c r="D2264" t="s">
        <v>8564</v>
      </c>
      <c r="E2264">
        <v>12024936.859999999</v>
      </c>
      <c r="G2264" s="35"/>
      <c r="H2264" s="36">
        <f t="shared" si="107"/>
        <v>7575710.2217999995</v>
      </c>
      <c r="I2264" s="37">
        <f t="shared" si="105"/>
        <v>7575710.2217999995</v>
      </c>
      <c r="J2264" s="4"/>
      <c r="K2264" s="38">
        <f t="shared" si="106"/>
        <v>0</v>
      </c>
    </row>
    <row r="2265" spans="1:11">
      <c r="A2265" t="s">
        <v>3063</v>
      </c>
      <c r="B2265" t="s">
        <v>12251</v>
      </c>
      <c r="C2265" t="s">
        <v>8514</v>
      </c>
      <c r="D2265" t="s">
        <v>8565</v>
      </c>
      <c r="E2265">
        <v>1689204</v>
      </c>
      <c r="G2265" s="35"/>
      <c r="H2265" s="36">
        <f t="shared" si="107"/>
        <v>1064198.52</v>
      </c>
      <c r="I2265" s="37">
        <f t="shared" si="105"/>
        <v>1064198.52</v>
      </c>
      <c r="J2265" s="4"/>
      <c r="K2265" s="38">
        <f t="shared" si="106"/>
        <v>0</v>
      </c>
    </row>
    <row r="2266" spans="1:11">
      <c r="A2266" t="s">
        <v>5621</v>
      </c>
      <c r="B2266" t="s">
        <v>12251</v>
      </c>
      <c r="C2266" t="s">
        <v>8514</v>
      </c>
      <c r="D2266" t="s">
        <v>8566</v>
      </c>
      <c r="E2266">
        <v>24122288.18</v>
      </c>
      <c r="G2266" s="35"/>
      <c r="H2266" s="36">
        <f t="shared" si="107"/>
        <v>15197041.553400001</v>
      </c>
      <c r="I2266" s="37">
        <f t="shared" si="105"/>
        <v>15197041.553400001</v>
      </c>
      <c r="J2266" s="4"/>
      <c r="K2266" s="38">
        <f t="shared" si="106"/>
        <v>0</v>
      </c>
    </row>
    <row r="2267" spans="1:11">
      <c r="A2267" t="s">
        <v>11271</v>
      </c>
      <c r="B2267" t="s">
        <v>12251</v>
      </c>
      <c r="C2267" t="s">
        <v>10004</v>
      </c>
      <c r="D2267" t="s">
        <v>11272</v>
      </c>
      <c r="E2267">
        <v>299123.52</v>
      </c>
      <c r="G2267" s="35"/>
      <c r="H2267" s="36">
        <f t="shared" si="107"/>
        <v>188447.81760000001</v>
      </c>
      <c r="I2267" s="37">
        <f t="shared" si="105"/>
        <v>188447.81760000001</v>
      </c>
      <c r="J2267" s="4"/>
      <c r="K2267" s="38">
        <f t="shared" si="106"/>
        <v>0</v>
      </c>
    </row>
    <row r="2268" spans="1:11">
      <c r="A2268" t="s">
        <v>9966</v>
      </c>
      <c r="B2268" t="s">
        <v>12251</v>
      </c>
      <c r="C2268" t="s">
        <v>10004</v>
      </c>
      <c r="D2268" t="s">
        <v>9967</v>
      </c>
      <c r="E2268">
        <v>246821.22</v>
      </c>
      <c r="G2268" s="35"/>
      <c r="H2268" s="36">
        <f t="shared" si="107"/>
        <v>155497.36860000002</v>
      </c>
      <c r="I2268" s="37">
        <f t="shared" si="105"/>
        <v>155497.36860000002</v>
      </c>
      <c r="J2268" s="4"/>
      <c r="K2268" s="38">
        <f t="shared" si="106"/>
        <v>0</v>
      </c>
    </row>
    <row r="2269" spans="1:11">
      <c r="A2269" t="s">
        <v>9968</v>
      </c>
      <c r="B2269" t="s">
        <v>12251</v>
      </c>
      <c r="C2269" t="s">
        <v>10004</v>
      </c>
      <c r="D2269" t="s">
        <v>9969</v>
      </c>
      <c r="E2269">
        <v>284591.2</v>
      </c>
      <c r="G2269" s="35"/>
      <c r="H2269" s="36">
        <f t="shared" si="107"/>
        <v>179292.45600000001</v>
      </c>
      <c r="I2269" s="37">
        <f t="shared" si="105"/>
        <v>179292.45600000001</v>
      </c>
      <c r="J2269" s="4"/>
      <c r="K2269" s="38">
        <f t="shared" si="106"/>
        <v>0</v>
      </c>
    </row>
    <row r="2270" spans="1:11">
      <c r="A2270" t="s">
        <v>9970</v>
      </c>
      <c r="B2270" t="s">
        <v>12251</v>
      </c>
      <c r="C2270" t="s">
        <v>10004</v>
      </c>
      <c r="D2270" t="s">
        <v>9971</v>
      </c>
      <c r="E2270">
        <v>304775.67999999999</v>
      </c>
      <c r="G2270" s="35"/>
      <c r="H2270" s="36">
        <f t="shared" si="107"/>
        <v>192008.6784</v>
      </c>
      <c r="I2270" s="37">
        <f t="shared" si="105"/>
        <v>192008.6784</v>
      </c>
      <c r="J2270" s="4"/>
      <c r="K2270" s="38">
        <f t="shared" si="106"/>
        <v>0</v>
      </c>
    </row>
    <row r="2271" spans="1:11">
      <c r="A2271" t="s">
        <v>10578</v>
      </c>
      <c r="B2271" t="s">
        <v>12251</v>
      </c>
      <c r="C2271" t="s">
        <v>10004</v>
      </c>
      <c r="D2271" t="s">
        <v>10579</v>
      </c>
      <c r="E2271">
        <v>638815.92000000004</v>
      </c>
      <c r="G2271" s="35"/>
      <c r="H2271" s="36">
        <f t="shared" si="107"/>
        <v>402454.02960000001</v>
      </c>
      <c r="I2271" s="37">
        <f t="shared" si="105"/>
        <v>402454.02960000001</v>
      </c>
      <c r="J2271" s="4"/>
      <c r="K2271" s="38">
        <f t="shared" si="106"/>
        <v>0</v>
      </c>
    </row>
    <row r="2272" spans="1:11">
      <c r="A2272" t="s">
        <v>11273</v>
      </c>
      <c r="B2272" t="s">
        <v>12251</v>
      </c>
      <c r="C2272" t="s">
        <v>10004</v>
      </c>
      <c r="D2272" t="s">
        <v>11274</v>
      </c>
      <c r="E2272">
        <v>884988.88</v>
      </c>
      <c r="G2272" s="35"/>
      <c r="H2272" s="36">
        <f t="shared" si="107"/>
        <v>557542.99439999997</v>
      </c>
      <c r="I2272" s="37">
        <f t="shared" si="105"/>
        <v>557542.99439999997</v>
      </c>
      <c r="J2272" s="4"/>
      <c r="K2272" s="38">
        <f t="shared" si="106"/>
        <v>0</v>
      </c>
    </row>
    <row r="2273" spans="1:11">
      <c r="A2273" t="s">
        <v>9972</v>
      </c>
      <c r="B2273" t="s">
        <v>12251</v>
      </c>
      <c r="C2273" t="s">
        <v>10004</v>
      </c>
      <c r="D2273" t="s">
        <v>9973</v>
      </c>
      <c r="E2273">
        <v>389381.83</v>
      </c>
      <c r="G2273" s="35"/>
      <c r="H2273" s="36">
        <f t="shared" si="107"/>
        <v>245310.55290000001</v>
      </c>
      <c r="I2273" s="37">
        <f t="shared" si="105"/>
        <v>245310.55290000001</v>
      </c>
      <c r="J2273" s="4"/>
      <c r="K2273" s="38">
        <f t="shared" si="106"/>
        <v>0</v>
      </c>
    </row>
    <row r="2274" spans="1:11">
      <c r="A2274" t="s">
        <v>10580</v>
      </c>
      <c r="B2274" t="s">
        <v>12251</v>
      </c>
      <c r="C2274" t="s">
        <v>10004</v>
      </c>
      <c r="D2274" t="s">
        <v>10581</v>
      </c>
      <c r="E2274">
        <v>638815.92000000004</v>
      </c>
      <c r="G2274" s="35"/>
      <c r="H2274" s="36">
        <f t="shared" si="107"/>
        <v>402454.02960000001</v>
      </c>
      <c r="I2274" s="37">
        <f t="shared" si="105"/>
        <v>402454.02960000001</v>
      </c>
      <c r="J2274" s="4"/>
      <c r="K2274" s="38">
        <f t="shared" si="106"/>
        <v>0</v>
      </c>
    </row>
    <row r="2275" spans="1:11">
      <c r="A2275" t="s">
        <v>11275</v>
      </c>
      <c r="B2275" t="s">
        <v>12251</v>
      </c>
      <c r="C2275" t="s">
        <v>10004</v>
      </c>
      <c r="D2275" t="s">
        <v>11276</v>
      </c>
      <c r="E2275">
        <v>878731.23</v>
      </c>
      <c r="G2275" s="35"/>
      <c r="H2275" s="36">
        <f t="shared" si="107"/>
        <v>553600.67489999998</v>
      </c>
      <c r="I2275" s="37">
        <f t="shared" si="105"/>
        <v>553600.67489999998</v>
      </c>
      <c r="J2275" s="4"/>
      <c r="K2275" s="38">
        <f t="shared" si="106"/>
        <v>0</v>
      </c>
    </row>
    <row r="2276" spans="1:11">
      <c r="A2276" t="s">
        <v>11277</v>
      </c>
      <c r="B2276" t="s">
        <v>12251</v>
      </c>
      <c r="C2276" t="s">
        <v>10004</v>
      </c>
      <c r="D2276" t="s">
        <v>11278</v>
      </c>
      <c r="E2276">
        <v>956172.6</v>
      </c>
      <c r="G2276" s="35"/>
      <c r="H2276" s="36">
        <f t="shared" si="107"/>
        <v>602388.73800000001</v>
      </c>
      <c r="I2276" s="37">
        <f t="shared" si="105"/>
        <v>602388.73800000001</v>
      </c>
      <c r="J2276" s="4"/>
      <c r="K2276" s="38">
        <f t="shared" si="106"/>
        <v>0</v>
      </c>
    </row>
    <row r="2277" spans="1:11">
      <c r="A2277" t="s">
        <v>9974</v>
      </c>
      <c r="B2277" t="s">
        <v>12251</v>
      </c>
      <c r="C2277" t="s">
        <v>10004</v>
      </c>
      <c r="D2277" t="s">
        <v>10603</v>
      </c>
      <c r="E2277">
        <v>139942.44</v>
      </c>
      <c r="G2277" s="35"/>
      <c r="H2277" s="36">
        <f t="shared" si="107"/>
        <v>88163.737200000003</v>
      </c>
      <c r="I2277" s="37">
        <f t="shared" si="105"/>
        <v>88163.737200000003</v>
      </c>
      <c r="J2277" s="4"/>
      <c r="K2277" s="38">
        <f t="shared" si="106"/>
        <v>0</v>
      </c>
    </row>
    <row r="2278" spans="1:11">
      <c r="A2278" t="s">
        <v>11230</v>
      </c>
      <c r="B2278" t="s">
        <v>12251</v>
      </c>
      <c r="C2278" t="s">
        <v>10004</v>
      </c>
      <c r="D2278" t="s">
        <v>11231</v>
      </c>
      <c r="E2278">
        <v>868132.91</v>
      </c>
      <c r="G2278" s="35"/>
      <c r="H2278" s="36">
        <f t="shared" si="107"/>
        <v>546923.73330000008</v>
      </c>
      <c r="I2278" s="37">
        <f t="shared" si="105"/>
        <v>546923.73330000008</v>
      </c>
      <c r="J2278" s="4"/>
      <c r="K2278" s="38">
        <f t="shared" si="106"/>
        <v>0</v>
      </c>
    </row>
    <row r="2279" spans="1:11">
      <c r="A2279" t="s">
        <v>11287</v>
      </c>
      <c r="B2279" t="s">
        <v>12251</v>
      </c>
      <c r="C2279" t="s">
        <v>10004</v>
      </c>
      <c r="D2279" t="s">
        <v>11288</v>
      </c>
      <c r="E2279">
        <v>868132.91</v>
      </c>
      <c r="G2279" s="35"/>
      <c r="H2279" s="36">
        <f t="shared" si="107"/>
        <v>546923.73330000008</v>
      </c>
      <c r="I2279" s="37">
        <f t="shared" si="105"/>
        <v>546923.73330000008</v>
      </c>
      <c r="J2279" s="4"/>
      <c r="K2279" s="38">
        <f t="shared" si="106"/>
        <v>0</v>
      </c>
    </row>
    <row r="2280" spans="1:11">
      <c r="A2280" t="s">
        <v>11232</v>
      </c>
      <c r="B2280" t="s">
        <v>12251</v>
      </c>
      <c r="C2280" t="s">
        <v>10004</v>
      </c>
      <c r="D2280" t="s">
        <v>11233</v>
      </c>
      <c r="E2280">
        <v>886561.89</v>
      </c>
      <c r="G2280" s="35"/>
      <c r="H2280" s="36">
        <f t="shared" si="107"/>
        <v>558533.99069999997</v>
      </c>
      <c r="I2280" s="37">
        <f t="shared" si="105"/>
        <v>558533.99069999997</v>
      </c>
      <c r="J2280" s="4"/>
      <c r="K2280" s="38">
        <f t="shared" si="106"/>
        <v>0</v>
      </c>
    </row>
    <row r="2281" spans="1:11">
      <c r="A2281" t="s">
        <v>11234</v>
      </c>
      <c r="B2281" t="s">
        <v>12251</v>
      </c>
      <c r="C2281" t="s">
        <v>10004</v>
      </c>
      <c r="D2281" t="s">
        <v>11235</v>
      </c>
      <c r="E2281">
        <v>1490569.14</v>
      </c>
      <c r="G2281" s="35"/>
      <c r="H2281" s="36">
        <f t="shared" si="107"/>
        <v>939058.55819999997</v>
      </c>
      <c r="I2281" s="37">
        <f t="shared" si="105"/>
        <v>939058.55819999997</v>
      </c>
      <c r="J2281" s="4"/>
      <c r="K2281" s="38">
        <f t="shared" si="106"/>
        <v>0</v>
      </c>
    </row>
    <row r="2282" spans="1:11">
      <c r="A2282" t="s">
        <v>11236</v>
      </c>
      <c r="B2282" t="s">
        <v>12251</v>
      </c>
      <c r="C2282" t="s">
        <v>10004</v>
      </c>
      <c r="D2282" t="s">
        <v>11237</v>
      </c>
      <c r="E2282">
        <v>1566323.73</v>
      </c>
      <c r="G2282" s="35"/>
      <c r="H2282" s="36">
        <f t="shared" si="107"/>
        <v>986783.94990000001</v>
      </c>
      <c r="I2282" s="37">
        <f t="shared" si="105"/>
        <v>986783.94990000001</v>
      </c>
      <c r="J2282" s="4"/>
      <c r="K2282" s="38">
        <f t="shared" si="106"/>
        <v>0</v>
      </c>
    </row>
    <row r="2283" spans="1:11">
      <c r="A2283" t="s">
        <v>9975</v>
      </c>
      <c r="B2283" t="s">
        <v>12251</v>
      </c>
      <c r="C2283" t="s">
        <v>10004</v>
      </c>
      <c r="D2283" t="s">
        <v>9976</v>
      </c>
      <c r="E2283">
        <v>976829.46</v>
      </c>
      <c r="G2283" s="35"/>
      <c r="H2283" s="36">
        <f t="shared" si="107"/>
        <v>615402.55979999993</v>
      </c>
      <c r="I2283" s="37">
        <f t="shared" si="105"/>
        <v>615402.55979999993</v>
      </c>
      <c r="J2283" s="4"/>
      <c r="K2283" s="38">
        <f t="shared" si="106"/>
        <v>0</v>
      </c>
    </row>
    <row r="2284" spans="1:11">
      <c r="A2284" t="s">
        <v>9977</v>
      </c>
      <c r="B2284" t="s">
        <v>12251</v>
      </c>
      <c r="C2284" t="s">
        <v>10004</v>
      </c>
      <c r="D2284" t="s">
        <v>9978</v>
      </c>
      <c r="E2284">
        <v>1006047.24</v>
      </c>
      <c r="G2284" s="35"/>
      <c r="H2284" s="36">
        <f t="shared" si="107"/>
        <v>633809.76119999995</v>
      </c>
      <c r="I2284" s="37">
        <f t="shared" si="105"/>
        <v>633809.76119999995</v>
      </c>
      <c r="J2284" s="4"/>
      <c r="K2284" s="38">
        <f t="shared" si="106"/>
        <v>0</v>
      </c>
    </row>
    <row r="2285" spans="1:11">
      <c r="A2285" t="s">
        <v>9979</v>
      </c>
      <c r="B2285" t="s">
        <v>12251</v>
      </c>
      <c r="C2285" t="s">
        <v>10004</v>
      </c>
      <c r="D2285" t="s">
        <v>9980</v>
      </c>
      <c r="E2285">
        <v>832806.98</v>
      </c>
      <c r="G2285" s="35"/>
      <c r="H2285" s="36">
        <f t="shared" si="107"/>
        <v>524668.39740000002</v>
      </c>
      <c r="I2285" s="37">
        <f t="shared" si="105"/>
        <v>524668.39740000002</v>
      </c>
      <c r="J2285" s="4"/>
      <c r="K2285" s="38">
        <f t="shared" si="106"/>
        <v>0</v>
      </c>
    </row>
    <row r="2286" spans="1:11">
      <c r="A2286" t="s">
        <v>9981</v>
      </c>
      <c r="B2286" t="s">
        <v>12251</v>
      </c>
      <c r="C2286" t="s">
        <v>10004</v>
      </c>
      <c r="D2286" t="s">
        <v>9982</v>
      </c>
      <c r="E2286">
        <v>830723.29</v>
      </c>
      <c r="G2286" s="35"/>
      <c r="H2286" s="36">
        <f t="shared" si="107"/>
        <v>523355.67270000005</v>
      </c>
      <c r="I2286" s="37">
        <f t="shared" si="105"/>
        <v>523355.67270000005</v>
      </c>
      <c r="J2286" s="4"/>
      <c r="K2286" s="38">
        <f t="shared" si="106"/>
        <v>0</v>
      </c>
    </row>
    <row r="2287" spans="1:11">
      <c r="A2287" t="s">
        <v>9983</v>
      </c>
      <c r="B2287" t="s">
        <v>12251</v>
      </c>
      <c r="C2287" t="s">
        <v>10004</v>
      </c>
      <c r="D2287" t="s">
        <v>9984</v>
      </c>
      <c r="E2287">
        <v>1159043.42</v>
      </c>
      <c r="G2287" s="35"/>
      <c r="H2287" s="36">
        <f t="shared" si="107"/>
        <v>730197.35459999996</v>
      </c>
      <c r="I2287" s="37">
        <f t="shared" si="105"/>
        <v>730197.35459999996</v>
      </c>
      <c r="J2287" s="4"/>
      <c r="K2287" s="38">
        <f t="shared" si="106"/>
        <v>0</v>
      </c>
    </row>
    <row r="2288" spans="1:11">
      <c r="A2288" t="s">
        <v>9985</v>
      </c>
      <c r="B2288" t="s">
        <v>12251</v>
      </c>
      <c r="C2288" t="s">
        <v>10004</v>
      </c>
      <c r="D2288" t="s">
        <v>9986</v>
      </c>
      <c r="E2288">
        <v>1604146.11</v>
      </c>
      <c r="G2288" s="35"/>
      <c r="H2288" s="36">
        <f t="shared" si="107"/>
        <v>1010612.0493000001</v>
      </c>
      <c r="I2288" s="37">
        <f t="shared" si="105"/>
        <v>1010612.0493000001</v>
      </c>
      <c r="J2288" s="4"/>
      <c r="K2288" s="38">
        <f t="shared" si="106"/>
        <v>0</v>
      </c>
    </row>
    <row r="2289" spans="1:11">
      <c r="A2289" t="s">
        <v>9987</v>
      </c>
      <c r="B2289" t="s">
        <v>12251</v>
      </c>
      <c r="C2289" t="s">
        <v>10004</v>
      </c>
      <c r="D2289" t="s">
        <v>9988</v>
      </c>
      <c r="E2289">
        <v>1867245.15</v>
      </c>
      <c r="G2289" s="35"/>
      <c r="H2289" s="36">
        <f t="shared" si="107"/>
        <v>1176364.4445</v>
      </c>
      <c r="I2289" s="37">
        <f t="shared" si="105"/>
        <v>1176364.4445</v>
      </c>
      <c r="J2289" s="4"/>
      <c r="K2289" s="38">
        <f t="shared" si="106"/>
        <v>0</v>
      </c>
    </row>
    <row r="2290" spans="1:11">
      <c r="A2290" t="s">
        <v>10582</v>
      </c>
      <c r="B2290" t="s">
        <v>12251</v>
      </c>
      <c r="C2290" t="s">
        <v>10004</v>
      </c>
      <c r="D2290" t="s">
        <v>10583</v>
      </c>
      <c r="E2290">
        <v>253080.07</v>
      </c>
      <c r="G2290" s="35"/>
      <c r="H2290" s="36">
        <f t="shared" si="107"/>
        <v>159440.44409999999</v>
      </c>
      <c r="I2290" s="37">
        <f t="shared" si="105"/>
        <v>159440.44409999999</v>
      </c>
      <c r="J2290" s="4"/>
      <c r="K2290" s="38">
        <f t="shared" si="106"/>
        <v>0</v>
      </c>
    </row>
    <row r="2291" spans="1:11">
      <c r="A2291" t="s">
        <v>10584</v>
      </c>
      <c r="B2291" t="s">
        <v>12251</v>
      </c>
      <c r="C2291" t="s">
        <v>10004</v>
      </c>
      <c r="D2291" t="s">
        <v>10585</v>
      </c>
      <c r="E2291">
        <v>345671.52</v>
      </c>
      <c r="G2291" s="35"/>
      <c r="H2291" s="36">
        <f t="shared" si="107"/>
        <v>217773.0576</v>
      </c>
      <c r="I2291" s="37">
        <f t="shared" si="105"/>
        <v>217773.0576</v>
      </c>
      <c r="J2291" s="4"/>
      <c r="K2291" s="38">
        <f t="shared" si="106"/>
        <v>0</v>
      </c>
    </row>
    <row r="2292" spans="1:11">
      <c r="A2292" t="s">
        <v>10592</v>
      </c>
      <c r="B2292" t="s">
        <v>12251</v>
      </c>
      <c r="C2292" t="s">
        <v>10004</v>
      </c>
      <c r="D2292" t="s">
        <v>10593</v>
      </c>
      <c r="E2292">
        <v>450845.68</v>
      </c>
      <c r="G2292" s="35"/>
      <c r="H2292" s="36">
        <f t="shared" si="107"/>
        <v>284032.77840000001</v>
      </c>
      <c r="I2292" s="37">
        <f t="shared" si="105"/>
        <v>284032.77840000001</v>
      </c>
      <c r="J2292" s="4"/>
      <c r="K2292" s="38">
        <f t="shared" si="106"/>
        <v>0</v>
      </c>
    </row>
    <row r="2293" spans="1:11">
      <c r="A2293" t="s">
        <v>11632</v>
      </c>
      <c r="B2293" t="s">
        <v>12251</v>
      </c>
      <c r="C2293" t="s">
        <v>10004</v>
      </c>
      <c r="D2293" t="s">
        <v>11633</v>
      </c>
      <c r="E2293">
        <v>362129.84</v>
      </c>
      <c r="G2293" s="35"/>
      <c r="H2293" s="36">
        <f t="shared" si="107"/>
        <v>228141.79920000001</v>
      </c>
      <c r="I2293" s="37">
        <f t="shared" si="105"/>
        <v>228141.79920000001</v>
      </c>
      <c r="J2293" s="4"/>
      <c r="K2293" s="38">
        <f t="shared" si="106"/>
        <v>0</v>
      </c>
    </row>
    <row r="2294" spans="1:11">
      <c r="A2294" t="s">
        <v>11634</v>
      </c>
      <c r="B2294" t="s">
        <v>12251</v>
      </c>
      <c r="C2294" t="s">
        <v>10004</v>
      </c>
      <c r="D2294" t="s">
        <v>11635</v>
      </c>
      <c r="E2294">
        <v>263368.73</v>
      </c>
      <c r="G2294" s="35"/>
      <c r="H2294" s="36">
        <f t="shared" si="107"/>
        <v>165922.29989999998</v>
      </c>
      <c r="I2294" s="37">
        <f t="shared" si="105"/>
        <v>165922.29989999998</v>
      </c>
      <c r="J2294" s="4"/>
      <c r="K2294" s="38">
        <f t="shared" si="106"/>
        <v>0</v>
      </c>
    </row>
    <row r="2295" spans="1:11">
      <c r="A2295" t="s">
        <v>13054</v>
      </c>
      <c r="B2295" t="s">
        <v>12251</v>
      </c>
      <c r="C2295" t="s">
        <v>10004</v>
      </c>
      <c r="D2295" t="s">
        <v>13055</v>
      </c>
      <c r="E2295">
        <v>496762.01</v>
      </c>
      <c r="G2295" s="35"/>
      <c r="H2295" s="36">
        <f t="shared" si="107"/>
        <v>312960.06630000001</v>
      </c>
      <c r="I2295" s="37">
        <f t="shared" si="105"/>
        <v>312960.06630000001</v>
      </c>
      <c r="J2295" s="4"/>
      <c r="K2295" s="38">
        <f t="shared" si="106"/>
        <v>0</v>
      </c>
    </row>
    <row r="2296" spans="1:11">
      <c r="A2296" t="s">
        <v>13056</v>
      </c>
      <c r="B2296" t="s">
        <v>12251</v>
      </c>
      <c r="C2296" t="s">
        <v>10004</v>
      </c>
      <c r="D2296" t="s">
        <v>13057</v>
      </c>
      <c r="E2296">
        <v>496762.01</v>
      </c>
      <c r="G2296" s="35"/>
      <c r="H2296" s="36">
        <f t="shared" si="107"/>
        <v>312960.06630000001</v>
      </c>
      <c r="I2296" s="37">
        <f t="shared" si="105"/>
        <v>312960.06630000001</v>
      </c>
      <c r="J2296" s="4"/>
      <c r="K2296" s="38">
        <f t="shared" si="106"/>
        <v>0</v>
      </c>
    </row>
    <row r="2297" spans="1:11">
      <c r="A2297" t="s">
        <v>11238</v>
      </c>
      <c r="B2297" t="s">
        <v>12251</v>
      </c>
      <c r="C2297" t="s">
        <v>10004</v>
      </c>
      <c r="D2297" t="s">
        <v>11239</v>
      </c>
      <c r="E2297">
        <v>450447.46</v>
      </c>
      <c r="G2297" s="35"/>
      <c r="H2297" s="36">
        <f t="shared" si="107"/>
        <v>283781.89980000001</v>
      </c>
      <c r="I2297" s="37">
        <f t="shared" si="105"/>
        <v>283781.89980000001</v>
      </c>
      <c r="J2297" s="4"/>
      <c r="K2297" s="38">
        <f t="shared" si="106"/>
        <v>0</v>
      </c>
    </row>
    <row r="2298" spans="1:11">
      <c r="A2298" t="s">
        <v>11240</v>
      </c>
      <c r="B2298" t="s">
        <v>12251</v>
      </c>
      <c r="C2298" t="s">
        <v>10004</v>
      </c>
      <c r="D2298" t="s">
        <v>11241</v>
      </c>
      <c r="E2298">
        <v>518012.87</v>
      </c>
      <c r="G2298" s="35"/>
      <c r="H2298" s="36">
        <f t="shared" si="107"/>
        <v>326348.10810000001</v>
      </c>
      <c r="I2298" s="37">
        <f t="shared" si="105"/>
        <v>326348.10810000001</v>
      </c>
      <c r="J2298" s="4"/>
      <c r="K2298" s="38">
        <f t="shared" si="106"/>
        <v>0</v>
      </c>
    </row>
    <row r="2299" spans="1:11">
      <c r="A2299" t="s">
        <v>11242</v>
      </c>
      <c r="B2299" t="s">
        <v>12251</v>
      </c>
      <c r="C2299" t="s">
        <v>10004</v>
      </c>
      <c r="D2299" t="s">
        <v>11243</v>
      </c>
      <c r="E2299">
        <v>612196.43000000005</v>
      </c>
      <c r="G2299" s="35"/>
      <c r="H2299" s="36">
        <f t="shared" si="107"/>
        <v>385683.75090000004</v>
      </c>
      <c r="I2299" s="37">
        <f t="shared" si="105"/>
        <v>385683.75090000004</v>
      </c>
      <c r="J2299" s="4"/>
      <c r="K2299" s="38">
        <f t="shared" si="106"/>
        <v>0</v>
      </c>
    </row>
    <row r="2300" spans="1:11">
      <c r="A2300" t="s">
        <v>12582</v>
      </c>
      <c r="B2300" t="s">
        <v>12251</v>
      </c>
      <c r="C2300" t="s">
        <v>12140</v>
      </c>
      <c r="D2300" t="s">
        <v>12583</v>
      </c>
      <c r="E2300">
        <v>255518.43</v>
      </c>
      <c r="G2300" s="35"/>
      <c r="H2300" s="36">
        <f t="shared" si="107"/>
        <v>160976.6109</v>
      </c>
      <c r="I2300" s="37">
        <f t="shared" si="105"/>
        <v>160976.6109</v>
      </c>
      <c r="J2300" s="4"/>
      <c r="K2300" s="38">
        <f t="shared" si="106"/>
        <v>0</v>
      </c>
    </row>
    <row r="2301" spans="1:11">
      <c r="A2301" t="s">
        <v>12193</v>
      </c>
      <c r="B2301" t="s">
        <v>12251</v>
      </c>
      <c r="C2301" t="s">
        <v>12140</v>
      </c>
      <c r="D2301" t="s">
        <v>12194</v>
      </c>
      <c r="E2301">
        <v>1047431.07</v>
      </c>
      <c r="G2301" s="35"/>
      <c r="H2301" s="36">
        <f t="shared" si="107"/>
        <v>659881.57409999997</v>
      </c>
      <c r="I2301" s="37">
        <f t="shared" si="105"/>
        <v>659881.57409999997</v>
      </c>
      <c r="J2301" s="4"/>
      <c r="K2301" s="38">
        <f t="shared" si="106"/>
        <v>0</v>
      </c>
    </row>
    <row r="2302" spans="1:11">
      <c r="A2302" t="s">
        <v>12953</v>
      </c>
      <c r="B2302" t="s">
        <v>12251</v>
      </c>
      <c r="C2302" t="s">
        <v>12140</v>
      </c>
      <c r="D2302" t="s">
        <v>12954</v>
      </c>
      <c r="E2302">
        <v>436118.39</v>
      </c>
      <c r="G2302" s="35"/>
      <c r="H2302" s="36">
        <f t="shared" si="107"/>
        <v>274754.5857</v>
      </c>
      <c r="I2302" s="37">
        <f t="shared" si="105"/>
        <v>274754.5857</v>
      </c>
      <c r="J2302" s="4"/>
      <c r="K2302" s="38">
        <f t="shared" si="106"/>
        <v>0</v>
      </c>
    </row>
    <row r="2303" spans="1:11">
      <c r="A2303" t="s">
        <v>12955</v>
      </c>
      <c r="B2303" t="s">
        <v>12251</v>
      </c>
      <c r="C2303" t="s">
        <v>12140</v>
      </c>
      <c r="D2303" t="s">
        <v>12956</v>
      </c>
      <c r="E2303">
        <v>663289.54</v>
      </c>
      <c r="G2303" s="35"/>
      <c r="H2303" s="36">
        <f t="shared" si="107"/>
        <v>417872.41020000004</v>
      </c>
      <c r="I2303" s="37">
        <f t="shared" si="105"/>
        <v>417872.41020000004</v>
      </c>
      <c r="J2303" s="4"/>
      <c r="K2303" s="38">
        <f t="shared" si="106"/>
        <v>0</v>
      </c>
    </row>
    <row r="2304" spans="1:11">
      <c r="A2304" t="s">
        <v>12957</v>
      </c>
      <c r="B2304" t="s">
        <v>12251</v>
      </c>
      <c r="C2304" t="s">
        <v>12140</v>
      </c>
      <c r="D2304" t="s">
        <v>12958</v>
      </c>
      <c r="E2304">
        <v>782739.17</v>
      </c>
      <c r="G2304" s="35"/>
      <c r="H2304" s="36">
        <f t="shared" si="107"/>
        <v>493125.67710000003</v>
      </c>
      <c r="I2304" s="37">
        <f t="shared" si="105"/>
        <v>493125.67710000003</v>
      </c>
      <c r="J2304" s="4"/>
      <c r="K2304" s="38">
        <f t="shared" si="106"/>
        <v>0</v>
      </c>
    </row>
    <row r="2305" spans="1:11">
      <c r="A2305" t="s">
        <v>12959</v>
      </c>
      <c r="B2305" t="s">
        <v>12251</v>
      </c>
      <c r="C2305" t="s">
        <v>12140</v>
      </c>
      <c r="D2305" t="s">
        <v>12960</v>
      </c>
      <c r="E2305">
        <v>835040.14</v>
      </c>
      <c r="G2305" s="35"/>
      <c r="H2305" s="36">
        <f t="shared" si="107"/>
        <v>526075.28820000007</v>
      </c>
      <c r="I2305" s="37">
        <f t="shared" si="105"/>
        <v>526075.28820000007</v>
      </c>
      <c r="J2305" s="4"/>
      <c r="K2305" s="38">
        <f t="shared" si="106"/>
        <v>0</v>
      </c>
    </row>
    <row r="2306" spans="1:11">
      <c r="A2306" t="s">
        <v>12366</v>
      </c>
      <c r="B2306" t="s">
        <v>12251</v>
      </c>
      <c r="C2306" t="s">
        <v>12140</v>
      </c>
      <c r="D2306" t="s">
        <v>12367</v>
      </c>
      <c r="E2306">
        <v>2082379.91</v>
      </c>
      <c r="G2306" s="35"/>
      <c r="H2306" s="36">
        <f t="shared" si="107"/>
        <v>1311899.3433000001</v>
      </c>
      <c r="I2306" s="37">
        <f t="shared" si="105"/>
        <v>1311899.3433000001</v>
      </c>
      <c r="J2306" s="4"/>
      <c r="K2306" s="38">
        <f t="shared" si="106"/>
        <v>0</v>
      </c>
    </row>
    <row r="2307" spans="1:11">
      <c r="A2307" t="s">
        <v>12195</v>
      </c>
      <c r="B2307" t="s">
        <v>12251</v>
      </c>
      <c r="C2307" t="s">
        <v>12140</v>
      </c>
      <c r="D2307" t="s">
        <v>12196</v>
      </c>
      <c r="E2307">
        <v>2594682.85</v>
      </c>
      <c r="G2307" s="35"/>
      <c r="H2307" s="36">
        <f t="shared" si="107"/>
        <v>1634650.1955000001</v>
      </c>
      <c r="I2307" s="37">
        <f t="shared" si="105"/>
        <v>1634650.1955000001</v>
      </c>
      <c r="J2307" s="4"/>
      <c r="K2307" s="38">
        <f t="shared" si="106"/>
        <v>0</v>
      </c>
    </row>
    <row r="2308" spans="1:11">
      <c r="A2308" t="s">
        <v>12675</v>
      </c>
      <c r="B2308" t="s">
        <v>12251</v>
      </c>
      <c r="C2308" t="s">
        <v>12140</v>
      </c>
      <c r="D2308" t="s">
        <v>12676</v>
      </c>
      <c r="E2308">
        <v>2107442.2599999998</v>
      </c>
      <c r="G2308" s="35"/>
      <c r="H2308" s="36">
        <f t="shared" si="107"/>
        <v>1327688.6237999999</v>
      </c>
      <c r="I2308" s="37">
        <f t="shared" si="105"/>
        <v>1327688.6237999999</v>
      </c>
      <c r="J2308" s="4"/>
      <c r="K2308" s="38">
        <f t="shared" si="106"/>
        <v>0</v>
      </c>
    </row>
    <row r="2309" spans="1:11">
      <c r="A2309" t="s">
        <v>12603</v>
      </c>
      <c r="B2309" t="s">
        <v>12251</v>
      </c>
      <c r="C2309" t="s">
        <v>12140</v>
      </c>
      <c r="D2309" t="s">
        <v>12604</v>
      </c>
      <c r="E2309">
        <v>93626.59</v>
      </c>
      <c r="G2309" s="35"/>
      <c r="H2309" s="36">
        <f t="shared" si="107"/>
        <v>58984.751700000001</v>
      </c>
      <c r="I2309" s="37">
        <f t="shared" si="105"/>
        <v>58984.751700000001</v>
      </c>
      <c r="J2309" s="4"/>
      <c r="K2309" s="38">
        <f t="shared" si="106"/>
        <v>0</v>
      </c>
    </row>
    <row r="2310" spans="1:11">
      <c r="A2310" t="s">
        <v>12480</v>
      </c>
      <c r="B2310" t="s">
        <v>12251</v>
      </c>
      <c r="C2310" t="s">
        <v>12140</v>
      </c>
      <c r="D2310" t="s">
        <v>12481</v>
      </c>
      <c r="E2310">
        <v>1642276.74</v>
      </c>
      <c r="G2310" s="35"/>
      <c r="H2310" s="36">
        <f t="shared" si="107"/>
        <v>1034634.3462</v>
      </c>
      <c r="I2310" s="37">
        <f t="shared" ref="I2310:I2373" si="108">H2310*$H$4</f>
        <v>1034634.3462</v>
      </c>
      <c r="J2310" s="4"/>
      <c r="K2310" s="38">
        <f t="shared" ref="K2310:K2373" si="109">J2310*I2310</f>
        <v>0</v>
      </c>
    </row>
    <row r="2311" spans="1:11">
      <c r="A2311" t="s">
        <v>12443</v>
      </c>
      <c r="B2311" t="s">
        <v>12251</v>
      </c>
      <c r="C2311" t="s">
        <v>12140</v>
      </c>
      <c r="D2311" t="s">
        <v>12444</v>
      </c>
      <c r="E2311">
        <v>357860.28</v>
      </c>
      <c r="G2311" s="35"/>
      <c r="H2311" s="36">
        <f t="shared" ref="H2311:H2374" si="110">+E2311*$H$1*(1-G2311)</f>
        <v>225451.97640000001</v>
      </c>
      <c r="I2311" s="37">
        <f t="shared" si="108"/>
        <v>225451.97640000001</v>
      </c>
      <c r="J2311" s="4"/>
      <c r="K2311" s="38">
        <f t="shared" si="109"/>
        <v>0</v>
      </c>
    </row>
    <row r="2312" spans="1:11">
      <c r="A2312" t="s">
        <v>12445</v>
      </c>
      <c r="B2312" t="s">
        <v>12251</v>
      </c>
      <c r="C2312" t="s">
        <v>12140</v>
      </c>
      <c r="D2312" t="s">
        <v>12446</v>
      </c>
      <c r="E2312">
        <v>299016.34999999998</v>
      </c>
      <c r="G2312" s="35"/>
      <c r="H2312" s="36">
        <f t="shared" si="110"/>
        <v>188380.30049999998</v>
      </c>
      <c r="I2312" s="37">
        <f t="shared" si="108"/>
        <v>188380.30049999998</v>
      </c>
      <c r="J2312" s="4"/>
      <c r="K2312" s="38">
        <f t="shared" si="109"/>
        <v>0</v>
      </c>
    </row>
    <row r="2313" spans="1:11">
      <c r="A2313" t="s">
        <v>12139</v>
      </c>
      <c r="B2313" t="s">
        <v>12251</v>
      </c>
      <c r="C2313" t="s">
        <v>12140</v>
      </c>
      <c r="D2313" t="s">
        <v>12141</v>
      </c>
      <c r="E2313">
        <v>407563.4</v>
      </c>
      <c r="G2313" s="35"/>
      <c r="H2313" s="36">
        <f t="shared" si="110"/>
        <v>256764.94200000001</v>
      </c>
      <c r="I2313" s="37">
        <f t="shared" si="108"/>
        <v>256764.94200000001</v>
      </c>
      <c r="J2313" s="4"/>
      <c r="K2313" s="38">
        <f t="shared" si="109"/>
        <v>0</v>
      </c>
    </row>
    <row r="2314" spans="1:11">
      <c r="A2314" t="s">
        <v>12985</v>
      </c>
      <c r="B2314" t="s">
        <v>12251</v>
      </c>
      <c r="C2314" t="s">
        <v>12986</v>
      </c>
      <c r="D2314" t="s">
        <v>12987</v>
      </c>
      <c r="E2314">
        <v>654888.67000000004</v>
      </c>
      <c r="G2314" s="35"/>
      <c r="H2314" s="36">
        <f t="shared" si="110"/>
        <v>412579.86210000003</v>
      </c>
      <c r="I2314" s="37">
        <f t="shared" si="108"/>
        <v>412579.86210000003</v>
      </c>
      <c r="J2314" s="4"/>
      <c r="K2314" s="38">
        <f t="shared" si="109"/>
        <v>0</v>
      </c>
    </row>
    <row r="2315" spans="1:11">
      <c r="A2315" t="s">
        <v>3395</v>
      </c>
      <c r="B2315" t="s">
        <v>12251</v>
      </c>
      <c r="C2315" t="s">
        <v>8889</v>
      </c>
      <c r="D2315" t="s">
        <v>8890</v>
      </c>
      <c r="E2315">
        <v>308704.63</v>
      </c>
      <c r="G2315" s="35"/>
      <c r="H2315" s="36">
        <f t="shared" si="110"/>
        <v>194483.91690000001</v>
      </c>
      <c r="I2315" s="37">
        <f t="shared" si="108"/>
        <v>194483.91690000001</v>
      </c>
      <c r="J2315" s="4"/>
      <c r="K2315" s="38">
        <f t="shared" si="109"/>
        <v>0</v>
      </c>
    </row>
    <row r="2316" spans="1:11">
      <c r="A2316" t="s">
        <v>3396</v>
      </c>
      <c r="B2316" t="s">
        <v>12251</v>
      </c>
      <c r="C2316" t="s">
        <v>8889</v>
      </c>
      <c r="D2316" t="s">
        <v>8891</v>
      </c>
      <c r="E2316">
        <v>365936.38</v>
      </c>
      <c r="G2316" s="35"/>
      <c r="H2316" s="36">
        <f t="shared" si="110"/>
        <v>230539.91940000001</v>
      </c>
      <c r="I2316" s="37">
        <f t="shared" si="108"/>
        <v>230539.91940000001</v>
      </c>
      <c r="J2316" s="4"/>
      <c r="K2316" s="38">
        <f t="shared" si="109"/>
        <v>0</v>
      </c>
    </row>
    <row r="2317" spans="1:11">
      <c r="A2317" t="s">
        <v>3397</v>
      </c>
      <c r="B2317" t="s">
        <v>12251</v>
      </c>
      <c r="C2317" t="s">
        <v>8889</v>
      </c>
      <c r="D2317" t="s">
        <v>8892</v>
      </c>
      <c r="E2317">
        <v>367670.69</v>
      </c>
      <c r="G2317" s="35"/>
      <c r="H2317" s="36">
        <f t="shared" si="110"/>
        <v>231632.53469999999</v>
      </c>
      <c r="I2317" s="37">
        <f t="shared" si="108"/>
        <v>231632.53469999999</v>
      </c>
      <c r="J2317" s="4"/>
      <c r="K2317" s="38">
        <f t="shared" si="109"/>
        <v>0</v>
      </c>
    </row>
    <row r="2318" spans="1:11">
      <c r="A2318" t="s">
        <v>3398</v>
      </c>
      <c r="B2318" t="s">
        <v>12251</v>
      </c>
      <c r="C2318" t="s">
        <v>8889</v>
      </c>
      <c r="D2318" t="s">
        <v>8893</v>
      </c>
      <c r="E2318">
        <v>719732.71</v>
      </c>
      <c r="G2318" s="35"/>
      <c r="H2318" s="36">
        <f t="shared" si="110"/>
        <v>453431.60729999997</v>
      </c>
      <c r="I2318" s="37">
        <f t="shared" si="108"/>
        <v>453431.60729999997</v>
      </c>
      <c r="J2318" s="4"/>
      <c r="K2318" s="38">
        <f t="shared" si="109"/>
        <v>0</v>
      </c>
    </row>
    <row r="2319" spans="1:11">
      <c r="A2319" t="s">
        <v>3399</v>
      </c>
      <c r="B2319" t="s">
        <v>12251</v>
      </c>
      <c r="C2319" t="s">
        <v>8889</v>
      </c>
      <c r="D2319" t="s">
        <v>8894</v>
      </c>
      <c r="E2319">
        <v>898365.16</v>
      </c>
      <c r="G2319" s="35"/>
      <c r="H2319" s="36">
        <f t="shared" si="110"/>
        <v>565970.05079999997</v>
      </c>
      <c r="I2319" s="37">
        <f t="shared" si="108"/>
        <v>565970.05079999997</v>
      </c>
      <c r="J2319" s="4"/>
      <c r="K2319" s="38">
        <f t="shared" si="109"/>
        <v>0</v>
      </c>
    </row>
    <row r="2320" spans="1:11">
      <c r="A2320" t="s">
        <v>3400</v>
      </c>
      <c r="B2320" t="s">
        <v>12251</v>
      </c>
      <c r="C2320" t="s">
        <v>8889</v>
      </c>
      <c r="D2320" t="s">
        <v>8895</v>
      </c>
      <c r="E2320">
        <v>1538320.27</v>
      </c>
      <c r="G2320" s="35"/>
      <c r="H2320" s="36">
        <f t="shared" si="110"/>
        <v>969141.77009999997</v>
      </c>
      <c r="I2320" s="37">
        <f t="shared" si="108"/>
        <v>969141.77009999997</v>
      </c>
      <c r="J2320" s="4"/>
      <c r="K2320" s="38">
        <f t="shared" si="109"/>
        <v>0</v>
      </c>
    </row>
    <row r="2321" spans="1:11">
      <c r="A2321" t="s">
        <v>3401</v>
      </c>
      <c r="B2321" t="s">
        <v>12251</v>
      </c>
      <c r="C2321" t="s">
        <v>8889</v>
      </c>
      <c r="D2321" t="s">
        <v>8896</v>
      </c>
      <c r="E2321">
        <v>792573.13</v>
      </c>
      <c r="G2321" s="35"/>
      <c r="H2321" s="36">
        <f t="shared" si="110"/>
        <v>499321.07189999998</v>
      </c>
      <c r="I2321" s="37">
        <f t="shared" si="108"/>
        <v>499321.07189999998</v>
      </c>
      <c r="J2321" s="4"/>
      <c r="K2321" s="38">
        <f t="shared" si="109"/>
        <v>0</v>
      </c>
    </row>
    <row r="2322" spans="1:11">
      <c r="A2322" t="s">
        <v>3402</v>
      </c>
      <c r="B2322" t="s">
        <v>12251</v>
      </c>
      <c r="C2322" t="s">
        <v>8889</v>
      </c>
      <c r="D2322" t="s">
        <v>8897</v>
      </c>
      <c r="E2322">
        <v>863679.24</v>
      </c>
      <c r="G2322" s="35"/>
      <c r="H2322" s="36">
        <f t="shared" si="110"/>
        <v>544117.92119999998</v>
      </c>
      <c r="I2322" s="37">
        <f t="shared" si="108"/>
        <v>544117.92119999998</v>
      </c>
      <c r="J2322" s="4"/>
      <c r="K2322" s="38">
        <f t="shared" si="109"/>
        <v>0</v>
      </c>
    </row>
    <row r="2323" spans="1:11">
      <c r="A2323" t="s">
        <v>3403</v>
      </c>
      <c r="B2323" t="s">
        <v>12251</v>
      </c>
      <c r="C2323" t="s">
        <v>8889</v>
      </c>
      <c r="D2323" t="s">
        <v>8898</v>
      </c>
      <c r="E2323">
        <v>979877.06</v>
      </c>
      <c r="G2323" s="35"/>
      <c r="H2323" s="36">
        <f t="shared" si="110"/>
        <v>617322.54780000006</v>
      </c>
      <c r="I2323" s="37">
        <f t="shared" si="108"/>
        <v>617322.54780000006</v>
      </c>
      <c r="J2323" s="4"/>
      <c r="K2323" s="38">
        <f t="shared" si="109"/>
        <v>0</v>
      </c>
    </row>
    <row r="2324" spans="1:11">
      <c r="A2324" t="s">
        <v>9774</v>
      </c>
      <c r="B2324" t="s">
        <v>12251</v>
      </c>
      <c r="C2324" t="s">
        <v>8889</v>
      </c>
      <c r="D2324" t="s">
        <v>9775</v>
      </c>
      <c r="E2324">
        <v>5173214.93</v>
      </c>
      <c r="G2324" s="35"/>
      <c r="H2324" s="36">
        <f t="shared" si="110"/>
        <v>3259125.4058999997</v>
      </c>
      <c r="I2324" s="37">
        <f t="shared" si="108"/>
        <v>3259125.4058999997</v>
      </c>
      <c r="J2324" s="4"/>
      <c r="K2324" s="38">
        <f t="shared" si="109"/>
        <v>0</v>
      </c>
    </row>
    <row r="2325" spans="1:11">
      <c r="A2325" t="s">
        <v>11859</v>
      </c>
      <c r="B2325" t="s">
        <v>12251</v>
      </c>
      <c r="C2325" t="s">
        <v>8889</v>
      </c>
      <c r="D2325" t="s">
        <v>11860</v>
      </c>
      <c r="E2325">
        <v>2747124.37</v>
      </c>
      <c r="G2325" s="35"/>
      <c r="H2325" s="36">
        <f t="shared" si="110"/>
        <v>1730688.3531000002</v>
      </c>
      <c r="I2325" s="37">
        <f t="shared" si="108"/>
        <v>1730688.3531000002</v>
      </c>
      <c r="J2325" s="4"/>
      <c r="K2325" s="38">
        <f t="shared" si="109"/>
        <v>0</v>
      </c>
    </row>
    <row r="2326" spans="1:11">
      <c r="A2326" t="s">
        <v>3404</v>
      </c>
      <c r="B2326" t="s">
        <v>12251</v>
      </c>
      <c r="C2326" t="s">
        <v>8889</v>
      </c>
      <c r="D2326" t="s">
        <v>8899</v>
      </c>
      <c r="E2326">
        <v>3537963.19</v>
      </c>
      <c r="G2326" s="35"/>
      <c r="H2326" s="36">
        <f t="shared" si="110"/>
        <v>2228916.8097000001</v>
      </c>
      <c r="I2326" s="37">
        <f t="shared" si="108"/>
        <v>2228916.8097000001</v>
      </c>
      <c r="J2326" s="4"/>
      <c r="K2326" s="38">
        <f t="shared" si="109"/>
        <v>0</v>
      </c>
    </row>
    <row r="2327" spans="1:11">
      <c r="A2327" t="s">
        <v>3405</v>
      </c>
      <c r="B2327" t="s">
        <v>12251</v>
      </c>
      <c r="C2327" t="s">
        <v>8889</v>
      </c>
      <c r="D2327" t="s">
        <v>8900</v>
      </c>
      <c r="E2327">
        <v>780433.06</v>
      </c>
      <c r="G2327" s="35"/>
      <c r="H2327" s="36">
        <f t="shared" si="110"/>
        <v>491672.82780000003</v>
      </c>
      <c r="I2327" s="37">
        <f t="shared" si="108"/>
        <v>491672.82780000003</v>
      </c>
      <c r="J2327" s="4"/>
      <c r="K2327" s="38">
        <f t="shared" si="109"/>
        <v>0</v>
      </c>
    </row>
    <row r="2328" spans="1:11">
      <c r="A2328" t="s">
        <v>3406</v>
      </c>
      <c r="B2328" t="s">
        <v>12251</v>
      </c>
      <c r="C2328" t="s">
        <v>8889</v>
      </c>
      <c r="D2328" t="s">
        <v>8901</v>
      </c>
      <c r="E2328">
        <v>834196.21</v>
      </c>
      <c r="G2328" s="35"/>
      <c r="H2328" s="36">
        <f t="shared" si="110"/>
        <v>525543.61230000004</v>
      </c>
      <c r="I2328" s="37">
        <f t="shared" si="108"/>
        <v>525543.61230000004</v>
      </c>
      <c r="J2328" s="4"/>
      <c r="K2328" s="38">
        <f t="shared" si="109"/>
        <v>0</v>
      </c>
    </row>
    <row r="2329" spans="1:11">
      <c r="A2329" t="s">
        <v>3407</v>
      </c>
      <c r="B2329" t="s">
        <v>12251</v>
      </c>
      <c r="C2329" t="s">
        <v>8889</v>
      </c>
      <c r="D2329" t="s">
        <v>8902</v>
      </c>
      <c r="E2329">
        <v>907036.64</v>
      </c>
      <c r="G2329" s="35"/>
      <c r="H2329" s="36">
        <f t="shared" si="110"/>
        <v>571433.08319999999</v>
      </c>
      <c r="I2329" s="37">
        <f t="shared" si="108"/>
        <v>571433.08319999999</v>
      </c>
      <c r="J2329" s="4"/>
      <c r="K2329" s="38">
        <f t="shared" si="109"/>
        <v>0</v>
      </c>
    </row>
    <row r="2330" spans="1:11">
      <c r="A2330" t="s">
        <v>12757</v>
      </c>
      <c r="B2330" t="s">
        <v>12251</v>
      </c>
      <c r="C2330" t="s">
        <v>12220</v>
      </c>
      <c r="D2330" t="s">
        <v>12758</v>
      </c>
      <c r="E2330">
        <v>254542.07</v>
      </c>
      <c r="G2330" s="35"/>
      <c r="H2330" s="36">
        <f t="shared" si="110"/>
        <v>160361.50409999999</v>
      </c>
      <c r="I2330" s="37">
        <f t="shared" si="108"/>
        <v>160361.50409999999</v>
      </c>
      <c r="J2330" s="4"/>
      <c r="K2330" s="38">
        <f t="shared" si="109"/>
        <v>0</v>
      </c>
    </row>
    <row r="2331" spans="1:11">
      <c r="A2331" t="s">
        <v>12219</v>
      </c>
      <c r="B2331" t="s">
        <v>12251</v>
      </c>
      <c r="C2331" t="s">
        <v>12220</v>
      </c>
      <c r="D2331" t="s">
        <v>12221</v>
      </c>
      <c r="E2331">
        <v>606428.28</v>
      </c>
      <c r="G2331" s="35"/>
      <c r="H2331" s="36">
        <f t="shared" si="110"/>
        <v>382049.81640000001</v>
      </c>
      <c r="I2331" s="37">
        <f t="shared" si="108"/>
        <v>382049.81640000001</v>
      </c>
      <c r="J2331" s="4"/>
      <c r="K2331" s="38">
        <f t="shared" si="109"/>
        <v>0</v>
      </c>
    </row>
    <row r="2332" spans="1:11">
      <c r="A2332" t="s">
        <v>12759</v>
      </c>
      <c r="B2332" t="s">
        <v>12251</v>
      </c>
      <c r="C2332" t="s">
        <v>12220</v>
      </c>
      <c r="D2332" t="s">
        <v>12760</v>
      </c>
      <c r="E2332">
        <v>349338.16</v>
      </c>
      <c r="G2332" s="35"/>
      <c r="H2332" s="36">
        <f t="shared" si="110"/>
        <v>220083.04079999999</v>
      </c>
      <c r="I2332" s="37">
        <f t="shared" si="108"/>
        <v>220083.04079999999</v>
      </c>
      <c r="J2332" s="4"/>
      <c r="K2332" s="38">
        <f t="shared" si="109"/>
        <v>0</v>
      </c>
    </row>
    <row r="2333" spans="1:11">
      <c r="A2333" t="s">
        <v>12677</v>
      </c>
      <c r="B2333" t="s">
        <v>12251</v>
      </c>
      <c r="C2333" t="s">
        <v>12220</v>
      </c>
      <c r="D2333" t="s">
        <v>12678</v>
      </c>
      <c r="E2333">
        <v>633723.79</v>
      </c>
      <c r="G2333" s="35"/>
      <c r="H2333" s="36">
        <f t="shared" si="110"/>
        <v>399245.9877</v>
      </c>
      <c r="I2333" s="37">
        <f t="shared" si="108"/>
        <v>399245.9877</v>
      </c>
      <c r="J2333" s="4"/>
      <c r="K2333" s="38">
        <f t="shared" si="109"/>
        <v>0</v>
      </c>
    </row>
    <row r="2334" spans="1:11">
      <c r="A2334" t="s">
        <v>12761</v>
      </c>
      <c r="B2334" t="s">
        <v>12251</v>
      </c>
      <c r="C2334" t="s">
        <v>12220</v>
      </c>
      <c r="D2334" t="s">
        <v>12762</v>
      </c>
      <c r="E2334">
        <v>1498004.23</v>
      </c>
      <c r="G2334" s="35"/>
      <c r="H2334" s="36">
        <f t="shared" si="110"/>
        <v>943742.66489999997</v>
      </c>
      <c r="I2334" s="37">
        <f t="shared" si="108"/>
        <v>943742.66489999997</v>
      </c>
      <c r="J2334" s="4"/>
      <c r="K2334" s="38">
        <f t="shared" si="109"/>
        <v>0</v>
      </c>
    </row>
    <row r="2335" spans="1:11">
      <c r="A2335" t="s">
        <v>12763</v>
      </c>
      <c r="B2335" t="s">
        <v>12251</v>
      </c>
      <c r="C2335" t="s">
        <v>12220</v>
      </c>
      <c r="D2335" t="s">
        <v>12764</v>
      </c>
      <c r="E2335">
        <v>1437536.56</v>
      </c>
      <c r="G2335" s="35"/>
      <c r="H2335" s="36">
        <f t="shared" si="110"/>
        <v>905648.03280000004</v>
      </c>
      <c r="I2335" s="37">
        <f t="shared" si="108"/>
        <v>905648.03280000004</v>
      </c>
      <c r="J2335" s="4"/>
      <c r="K2335" s="38">
        <f t="shared" si="109"/>
        <v>0</v>
      </c>
    </row>
    <row r="2336" spans="1:11">
      <c r="A2336" t="s">
        <v>12765</v>
      </c>
      <c r="B2336" t="s">
        <v>12251</v>
      </c>
      <c r="C2336" t="s">
        <v>12220</v>
      </c>
      <c r="D2336" t="s">
        <v>12766</v>
      </c>
      <c r="E2336">
        <v>1890055.79</v>
      </c>
      <c r="G2336" s="35"/>
      <c r="H2336" s="36">
        <f t="shared" si="110"/>
        <v>1190735.1477000001</v>
      </c>
      <c r="I2336" s="37">
        <f t="shared" si="108"/>
        <v>1190735.1477000001</v>
      </c>
      <c r="J2336" s="4"/>
      <c r="K2336" s="38">
        <f t="shared" si="109"/>
        <v>0</v>
      </c>
    </row>
    <row r="2337" spans="1:11">
      <c r="A2337" t="s">
        <v>12280</v>
      </c>
      <c r="B2337" t="s">
        <v>12251</v>
      </c>
      <c r="C2337" t="s">
        <v>12206</v>
      </c>
      <c r="D2337" t="s">
        <v>12281</v>
      </c>
      <c r="E2337">
        <v>611314.01</v>
      </c>
      <c r="G2337" s="35"/>
      <c r="H2337" s="36">
        <f t="shared" si="110"/>
        <v>385127.82630000002</v>
      </c>
      <c r="I2337" s="37">
        <f t="shared" si="108"/>
        <v>385127.82630000002</v>
      </c>
      <c r="J2337" s="4"/>
      <c r="K2337" s="38">
        <f t="shared" si="109"/>
        <v>0</v>
      </c>
    </row>
    <row r="2338" spans="1:11">
      <c r="A2338" t="s">
        <v>12205</v>
      </c>
      <c r="B2338" t="s">
        <v>12251</v>
      </c>
      <c r="C2338" t="s">
        <v>12206</v>
      </c>
      <c r="D2338" t="s">
        <v>12207</v>
      </c>
      <c r="E2338">
        <v>736480.2</v>
      </c>
      <c r="G2338" s="35"/>
      <c r="H2338" s="36">
        <f t="shared" si="110"/>
        <v>463982.52599999995</v>
      </c>
      <c r="I2338" s="37">
        <f t="shared" si="108"/>
        <v>463982.52599999995</v>
      </c>
      <c r="J2338" s="4"/>
      <c r="K2338" s="38">
        <f t="shared" si="109"/>
        <v>0</v>
      </c>
    </row>
    <row r="2339" spans="1:11">
      <c r="A2339" t="s">
        <v>12287</v>
      </c>
      <c r="B2339" t="s">
        <v>12251</v>
      </c>
      <c r="C2339" t="s">
        <v>12206</v>
      </c>
      <c r="D2339" t="s">
        <v>12288</v>
      </c>
      <c r="E2339">
        <v>261174.13</v>
      </c>
      <c r="G2339" s="35"/>
      <c r="H2339" s="36">
        <f t="shared" si="110"/>
        <v>164539.70190000001</v>
      </c>
      <c r="I2339" s="37">
        <f t="shared" si="108"/>
        <v>164539.70190000001</v>
      </c>
      <c r="J2339" s="4"/>
      <c r="K2339" s="38">
        <f t="shared" si="109"/>
        <v>0</v>
      </c>
    </row>
    <row r="2340" spans="1:11">
      <c r="A2340" t="s">
        <v>12289</v>
      </c>
      <c r="B2340" t="s">
        <v>12251</v>
      </c>
      <c r="C2340" t="s">
        <v>12206</v>
      </c>
      <c r="D2340" t="s">
        <v>12290</v>
      </c>
      <c r="E2340">
        <v>311400.68</v>
      </c>
      <c r="G2340" s="35"/>
      <c r="H2340" s="36">
        <f t="shared" si="110"/>
        <v>196182.4284</v>
      </c>
      <c r="I2340" s="37">
        <f t="shared" si="108"/>
        <v>196182.4284</v>
      </c>
      <c r="J2340" s="4"/>
      <c r="K2340" s="38">
        <f t="shared" si="109"/>
        <v>0</v>
      </c>
    </row>
    <row r="2341" spans="1:11">
      <c r="A2341" t="s">
        <v>12892</v>
      </c>
      <c r="B2341" t="s">
        <v>12251</v>
      </c>
      <c r="C2341" t="s">
        <v>12206</v>
      </c>
      <c r="D2341" t="s">
        <v>12971</v>
      </c>
      <c r="E2341">
        <v>749089.44</v>
      </c>
      <c r="G2341" s="35"/>
      <c r="H2341" s="36">
        <f t="shared" si="110"/>
        <v>471926.34719999996</v>
      </c>
      <c r="I2341" s="37">
        <f t="shared" si="108"/>
        <v>471926.34719999996</v>
      </c>
      <c r="J2341" s="4"/>
      <c r="K2341" s="38">
        <f t="shared" si="109"/>
        <v>0</v>
      </c>
    </row>
    <row r="2342" spans="1:11">
      <c r="A2342" t="s">
        <v>12266</v>
      </c>
      <c r="B2342" t="s">
        <v>12251</v>
      </c>
      <c r="C2342" t="s">
        <v>12206</v>
      </c>
      <c r="D2342" t="s">
        <v>12767</v>
      </c>
      <c r="E2342">
        <v>736480.2</v>
      </c>
      <c r="G2342" s="35"/>
      <c r="H2342" s="36">
        <f t="shared" si="110"/>
        <v>463982.52599999995</v>
      </c>
      <c r="I2342" s="37">
        <f t="shared" si="108"/>
        <v>463982.52599999995</v>
      </c>
      <c r="J2342" s="4"/>
      <c r="K2342" s="38">
        <f t="shared" si="109"/>
        <v>0</v>
      </c>
    </row>
    <row r="2343" spans="1:11">
      <c r="A2343" t="s">
        <v>12967</v>
      </c>
      <c r="B2343" t="s">
        <v>12251</v>
      </c>
      <c r="C2343" t="s">
        <v>12206</v>
      </c>
      <c r="D2343" t="s">
        <v>12968</v>
      </c>
      <c r="E2343">
        <v>1828909.45</v>
      </c>
      <c r="G2343" s="35"/>
      <c r="H2343" s="36">
        <f t="shared" si="110"/>
        <v>1152212.9535000001</v>
      </c>
      <c r="I2343" s="37">
        <f t="shared" si="108"/>
        <v>1152212.9535000001</v>
      </c>
      <c r="J2343" s="4"/>
      <c r="K2343" s="38">
        <f t="shared" si="109"/>
        <v>0</v>
      </c>
    </row>
    <row r="2344" spans="1:11">
      <c r="A2344" t="s">
        <v>12768</v>
      </c>
      <c r="B2344" t="s">
        <v>12251</v>
      </c>
      <c r="C2344" t="s">
        <v>12206</v>
      </c>
      <c r="D2344" t="s">
        <v>12769</v>
      </c>
      <c r="E2344">
        <v>578432.91</v>
      </c>
      <c r="G2344" s="35"/>
      <c r="H2344" s="36">
        <f t="shared" si="110"/>
        <v>364412.73330000002</v>
      </c>
      <c r="I2344" s="37">
        <f t="shared" si="108"/>
        <v>364412.73330000002</v>
      </c>
      <c r="J2344" s="4"/>
      <c r="K2344" s="38">
        <f t="shared" si="109"/>
        <v>0</v>
      </c>
    </row>
    <row r="2345" spans="1:11">
      <c r="A2345" t="s">
        <v>12770</v>
      </c>
      <c r="B2345" t="s">
        <v>12251</v>
      </c>
      <c r="C2345" t="s">
        <v>12206</v>
      </c>
      <c r="D2345" t="s">
        <v>12771</v>
      </c>
      <c r="E2345">
        <v>749089.44</v>
      </c>
      <c r="G2345" s="35"/>
      <c r="H2345" s="36">
        <f t="shared" si="110"/>
        <v>471926.34719999996</v>
      </c>
      <c r="I2345" s="37">
        <f t="shared" si="108"/>
        <v>471926.34719999996</v>
      </c>
      <c r="J2345" s="4"/>
      <c r="K2345" s="38">
        <f t="shared" si="109"/>
        <v>0</v>
      </c>
    </row>
    <row r="2346" spans="1:11">
      <c r="A2346" t="s">
        <v>12267</v>
      </c>
      <c r="B2346" t="s">
        <v>12251</v>
      </c>
      <c r="C2346" t="s">
        <v>12206</v>
      </c>
      <c r="D2346" t="s">
        <v>12772</v>
      </c>
      <c r="E2346">
        <v>736538.42</v>
      </c>
      <c r="G2346" s="35"/>
      <c r="H2346" s="36">
        <f t="shared" si="110"/>
        <v>464019.20460000006</v>
      </c>
      <c r="I2346" s="37">
        <f t="shared" si="108"/>
        <v>464019.20460000006</v>
      </c>
      <c r="J2346" s="4"/>
      <c r="K2346" s="38">
        <f t="shared" si="109"/>
        <v>0</v>
      </c>
    </row>
    <row r="2347" spans="1:11">
      <c r="A2347" t="s">
        <v>12334</v>
      </c>
      <c r="B2347" t="s">
        <v>12251</v>
      </c>
      <c r="C2347" t="s">
        <v>12206</v>
      </c>
      <c r="D2347" t="s">
        <v>12773</v>
      </c>
      <c r="E2347">
        <v>1196061.45</v>
      </c>
      <c r="G2347" s="35"/>
      <c r="H2347" s="36">
        <f t="shared" si="110"/>
        <v>753518.71349999995</v>
      </c>
      <c r="I2347" s="37">
        <f t="shared" si="108"/>
        <v>753518.71349999995</v>
      </c>
      <c r="J2347" s="4"/>
      <c r="K2347" s="38">
        <f t="shared" si="109"/>
        <v>0</v>
      </c>
    </row>
    <row r="2348" spans="1:11">
      <c r="A2348" t="s">
        <v>12774</v>
      </c>
      <c r="B2348" t="s">
        <v>12251</v>
      </c>
      <c r="C2348" t="s">
        <v>12206</v>
      </c>
      <c r="D2348" t="s">
        <v>12775</v>
      </c>
      <c r="E2348">
        <v>1242747.74</v>
      </c>
      <c r="G2348" s="35"/>
      <c r="H2348" s="36">
        <f t="shared" si="110"/>
        <v>782931.07620000001</v>
      </c>
      <c r="I2348" s="37">
        <f t="shared" si="108"/>
        <v>782931.07620000001</v>
      </c>
      <c r="J2348" s="4"/>
      <c r="K2348" s="38">
        <f t="shared" si="109"/>
        <v>0</v>
      </c>
    </row>
    <row r="2349" spans="1:11">
      <c r="A2349" t="s">
        <v>12972</v>
      </c>
      <c r="B2349" t="s">
        <v>12251</v>
      </c>
      <c r="C2349" t="s">
        <v>12206</v>
      </c>
      <c r="D2349" t="s">
        <v>12973</v>
      </c>
      <c r="E2349">
        <v>1630486.44</v>
      </c>
      <c r="G2349" s="35"/>
      <c r="H2349" s="36">
        <f t="shared" si="110"/>
        <v>1027206.4571999999</v>
      </c>
      <c r="I2349" s="37">
        <f t="shared" si="108"/>
        <v>1027206.4571999999</v>
      </c>
      <c r="J2349" s="4"/>
      <c r="K2349" s="38">
        <f t="shared" si="109"/>
        <v>0</v>
      </c>
    </row>
    <row r="2350" spans="1:11">
      <c r="A2350" t="s">
        <v>12272</v>
      </c>
      <c r="B2350" t="s">
        <v>12251</v>
      </c>
      <c r="C2350" t="s">
        <v>12206</v>
      </c>
      <c r="D2350" t="s">
        <v>12776</v>
      </c>
      <c r="E2350">
        <v>2069924.16</v>
      </c>
      <c r="G2350" s="35"/>
      <c r="H2350" s="36">
        <f t="shared" si="110"/>
        <v>1304052.2208</v>
      </c>
      <c r="I2350" s="37">
        <f t="shared" si="108"/>
        <v>1304052.2208</v>
      </c>
      <c r="J2350" s="4"/>
      <c r="K2350" s="38">
        <f t="shared" si="109"/>
        <v>0</v>
      </c>
    </row>
    <row r="2351" spans="1:11">
      <c r="A2351" t="s">
        <v>12777</v>
      </c>
      <c r="B2351" t="s">
        <v>12251</v>
      </c>
      <c r="C2351" t="s">
        <v>12206</v>
      </c>
      <c r="D2351" t="s">
        <v>12778</v>
      </c>
      <c r="E2351">
        <v>2576962.98</v>
      </c>
      <c r="G2351" s="35"/>
      <c r="H2351" s="36">
        <f t="shared" si="110"/>
        <v>1623486.6773999999</v>
      </c>
      <c r="I2351" s="37">
        <f t="shared" si="108"/>
        <v>1623486.6773999999</v>
      </c>
      <c r="J2351" s="4"/>
      <c r="K2351" s="38">
        <f t="shared" si="109"/>
        <v>0</v>
      </c>
    </row>
    <row r="2352" spans="1:11">
      <c r="A2352" t="s">
        <v>3125</v>
      </c>
      <c r="B2352" t="s">
        <v>12251</v>
      </c>
      <c r="C2352" t="s">
        <v>8633</v>
      </c>
      <c r="D2352" t="s">
        <v>8634</v>
      </c>
      <c r="E2352">
        <v>357328.5</v>
      </c>
      <c r="G2352" s="35"/>
      <c r="H2352" s="36">
        <f t="shared" si="110"/>
        <v>225116.95499999999</v>
      </c>
      <c r="I2352" s="37">
        <f t="shared" si="108"/>
        <v>225116.95499999999</v>
      </c>
      <c r="J2352" s="4"/>
      <c r="K2352" s="38">
        <f t="shared" si="109"/>
        <v>0</v>
      </c>
    </row>
    <row r="2353" spans="1:11">
      <c r="A2353" t="s">
        <v>3126</v>
      </c>
      <c r="B2353" t="s">
        <v>12251</v>
      </c>
      <c r="C2353" t="s">
        <v>8633</v>
      </c>
      <c r="D2353" t="s">
        <v>8635</v>
      </c>
      <c r="E2353">
        <v>364397</v>
      </c>
      <c r="G2353" s="35"/>
      <c r="H2353" s="36">
        <f t="shared" si="110"/>
        <v>229570.11000000002</v>
      </c>
      <c r="I2353" s="37">
        <f t="shared" si="108"/>
        <v>229570.11000000002</v>
      </c>
      <c r="J2353" s="4"/>
      <c r="K2353" s="38">
        <f t="shared" si="109"/>
        <v>0</v>
      </c>
    </row>
    <row r="2354" spans="1:11">
      <c r="A2354" t="s">
        <v>12197</v>
      </c>
      <c r="B2354" t="s">
        <v>12251</v>
      </c>
      <c r="C2354" t="s">
        <v>12198</v>
      </c>
      <c r="D2354" t="s">
        <v>12199</v>
      </c>
      <c r="E2354">
        <v>351882.23</v>
      </c>
      <c r="G2354" s="35"/>
      <c r="H2354" s="36">
        <f t="shared" si="110"/>
        <v>221685.80489999999</v>
      </c>
      <c r="I2354" s="37">
        <f t="shared" si="108"/>
        <v>221685.80489999999</v>
      </c>
      <c r="J2354" s="4"/>
      <c r="K2354" s="38">
        <f t="shared" si="109"/>
        <v>0</v>
      </c>
    </row>
    <row r="2355" spans="1:11">
      <c r="A2355" t="s">
        <v>12200</v>
      </c>
      <c r="B2355" t="s">
        <v>12251</v>
      </c>
      <c r="C2355" t="s">
        <v>12198</v>
      </c>
      <c r="D2355" t="s">
        <v>12201</v>
      </c>
      <c r="E2355">
        <v>422698.18</v>
      </c>
      <c r="G2355" s="35"/>
      <c r="H2355" s="36">
        <f t="shared" si="110"/>
        <v>266299.85340000002</v>
      </c>
      <c r="I2355" s="37">
        <f t="shared" si="108"/>
        <v>266299.85340000002</v>
      </c>
      <c r="J2355" s="4"/>
      <c r="K2355" s="38">
        <f t="shared" si="109"/>
        <v>0</v>
      </c>
    </row>
    <row r="2356" spans="1:11">
      <c r="A2356" t="s">
        <v>3366</v>
      </c>
      <c r="B2356" t="s">
        <v>12251</v>
      </c>
      <c r="C2356" t="s">
        <v>8860</v>
      </c>
      <c r="D2356" t="s">
        <v>8861</v>
      </c>
      <c r="E2356">
        <v>214735.76</v>
      </c>
      <c r="G2356" s="35"/>
      <c r="H2356" s="36">
        <f t="shared" si="110"/>
        <v>135283.5288</v>
      </c>
      <c r="I2356" s="37">
        <f t="shared" si="108"/>
        <v>135283.5288</v>
      </c>
      <c r="J2356" s="4"/>
      <c r="K2356" s="38">
        <f t="shared" si="109"/>
        <v>0</v>
      </c>
    </row>
    <row r="2357" spans="1:11">
      <c r="A2357" t="s">
        <v>3367</v>
      </c>
      <c r="B2357" t="s">
        <v>12251</v>
      </c>
      <c r="C2357" t="s">
        <v>8860</v>
      </c>
      <c r="D2357" t="s">
        <v>8862</v>
      </c>
      <c r="E2357">
        <v>261846.78</v>
      </c>
      <c r="G2357" s="35"/>
      <c r="H2357" s="36">
        <f t="shared" si="110"/>
        <v>164963.47140000001</v>
      </c>
      <c r="I2357" s="37">
        <f t="shared" si="108"/>
        <v>164963.47140000001</v>
      </c>
      <c r="J2357" s="4"/>
      <c r="K2357" s="38">
        <f t="shared" si="109"/>
        <v>0</v>
      </c>
    </row>
    <row r="2358" spans="1:11">
      <c r="A2358" t="s">
        <v>3368</v>
      </c>
      <c r="B2358" t="s">
        <v>12251</v>
      </c>
      <c r="C2358" t="s">
        <v>8860</v>
      </c>
      <c r="D2358" t="s">
        <v>8863</v>
      </c>
      <c r="E2358">
        <v>276247.53000000003</v>
      </c>
      <c r="G2358" s="35"/>
      <c r="H2358" s="36">
        <f t="shared" si="110"/>
        <v>174035.94390000001</v>
      </c>
      <c r="I2358" s="37">
        <f t="shared" si="108"/>
        <v>174035.94390000001</v>
      </c>
      <c r="J2358" s="4"/>
      <c r="K2358" s="38">
        <f t="shared" si="109"/>
        <v>0</v>
      </c>
    </row>
    <row r="2359" spans="1:11">
      <c r="A2359" t="s">
        <v>3369</v>
      </c>
      <c r="B2359" t="s">
        <v>12251</v>
      </c>
      <c r="C2359" t="s">
        <v>8860</v>
      </c>
      <c r="D2359" t="s">
        <v>8864</v>
      </c>
      <c r="E2359">
        <v>290881.44</v>
      </c>
      <c r="G2359" s="35"/>
      <c r="H2359" s="36">
        <f t="shared" si="110"/>
        <v>183255.30720000001</v>
      </c>
      <c r="I2359" s="37">
        <f t="shared" si="108"/>
        <v>183255.30720000001</v>
      </c>
      <c r="J2359" s="4"/>
      <c r="K2359" s="38">
        <f t="shared" si="109"/>
        <v>0</v>
      </c>
    </row>
    <row r="2360" spans="1:11">
      <c r="A2360" t="s">
        <v>3571</v>
      </c>
      <c r="B2360" t="s">
        <v>12251</v>
      </c>
      <c r="C2360" t="s">
        <v>9063</v>
      </c>
      <c r="D2360" t="s">
        <v>9064</v>
      </c>
      <c r="E2360">
        <v>31034.76</v>
      </c>
      <c r="G2360" s="35"/>
      <c r="H2360" s="36">
        <f t="shared" si="110"/>
        <v>19551.898799999999</v>
      </c>
      <c r="I2360" s="37">
        <f t="shared" si="108"/>
        <v>19551.898799999999</v>
      </c>
      <c r="J2360" s="4"/>
      <c r="K2360" s="38">
        <f t="shared" si="109"/>
        <v>0</v>
      </c>
    </row>
    <row r="2361" spans="1:11">
      <c r="A2361" t="s">
        <v>3572</v>
      </c>
      <c r="B2361" t="s">
        <v>12251</v>
      </c>
      <c r="C2361" t="s">
        <v>9063</v>
      </c>
      <c r="D2361" t="s">
        <v>9065</v>
      </c>
      <c r="E2361">
        <v>51116.08</v>
      </c>
      <c r="G2361" s="35"/>
      <c r="H2361" s="36">
        <f t="shared" si="110"/>
        <v>32203.130400000002</v>
      </c>
      <c r="I2361" s="37">
        <f t="shared" si="108"/>
        <v>32203.130400000002</v>
      </c>
      <c r="J2361" s="4"/>
      <c r="K2361" s="38">
        <f t="shared" si="109"/>
        <v>0</v>
      </c>
    </row>
    <row r="2362" spans="1:11">
      <c r="A2362" t="s">
        <v>3573</v>
      </c>
      <c r="B2362" t="s">
        <v>12251</v>
      </c>
      <c r="C2362" t="s">
        <v>9063</v>
      </c>
      <c r="D2362" t="s">
        <v>9066</v>
      </c>
      <c r="E2362">
        <v>49290.51</v>
      </c>
      <c r="G2362" s="35"/>
      <c r="H2362" s="36">
        <f t="shared" si="110"/>
        <v>31053.0213</v>
      </c>
      <c r="I2362" s="37">
        <f t="shared" si="108"/>
        <v>31053.0213</v>
      </c>
      <c r="J2362" s="4"/>
      <c r="K2362" s="38">
        <f t="shared" si="109"/>
        <v>0</v>
      </c>
    </row>
    <row r="2363" spans="1:11">
      <c r="A2363" t="s">
        <v>3574</v>
      </c>
      <c r="B2363" t="s">
        <v>12251</v>
      </c>
      <c r="C2363" t="s">
        <v>9063</v>
      </c>
      <c r="D2363" t="s">
        <v>9067</v>
      </c>
      <c r="E2363">
        <v>38337.06</v>
      </c>
      <c r="G2363" s="35"/>
      <c r="H2363" s="36">
        <f t="shared" si="110"/>
        <v>24152.3478</v>
      </c>
      <c r="I2363" s="37">
        <f t="shared" si="108"/>
        <v>24152.3478</v>
      </c>
      <c r="J2363" s="4"/>
      <c r="K2363" s="38">
        <f t="shared" si="109"/>
        <v>0</v>
      </c>
    </row>
    <row r="2364" spans="1:11">
      <c r="A2364" t="s">
        <v>3575</v>
      </c>
      <c r="B2364" t="s">
        <v>12251</v>
      </c>
      <c r="C2364" t="s">
        <v>9063</v>
      </c>
      <c r="D2364" t="s">
        <v>9068</v>
      </c>
      <c r="E2364">
        <v>113185.61</v>
      </c>
      <c r="G2364" s="35"/>
      <c r="H2364" s="36">
        <f t="shared" si="110"/>
        <v>71306.934300000008</v>
      </c>
      <c r="I2364" s="37">
        <f t="shared" si="108"/>
        <v>71306.934300000008</v>
      </c>
      <c r="J2364" s="4"/>
      <c r="K2364" s="38">
        <f t="shared" si="109"/>
        <v>0</v>
      </c>
    </row>
    <row r="2365" spans="1:11">
      <c r="A2365" t="s">
        <v>10086</v>
      </c>
      <c r="B2365" t="s">
        <v>12251</v>
      </c>
      <c r="C2365" t="s">
        <v>9063</v>
      </c>
      <c r="D2365" t="s">
        <v>10087</v>
      </c>
      <c r="E2365">
        <v>34685.910000000003</v>
      </c>
      <c r="G2365" s="35"/>
      <c r="H2365" s="36">
        <f t="shared" si="110"/>
        <v>21852.123300000003</v>
      </c>
      <c r="I2365" s="37">
        <f t="shared" si="108"/>
        <v>21852.123300000003</v>
      </c>
      <c r="J2365" s="4"/>
      <c r="K2365" s="38">
        <f t="shared" si="109"/>
        <v>0</v>
      </c>
    </row>
    <row r="2366" spans="1:11">
      <c r="A2366" t="s">
        <v>12988</v>
      </c>
      <c r="B2366" t="s">
        <v>12251</v>
      </c>
      <c r="C2366" t="s">
        <v>12989</v>
      </c>
      <c r="D2366" t="s">
        <v>12990</v>
      </c>
      <c r="E2366">
        <v>2816858.99</v>
      </c>
      <c r="G2366" s="35"/>
      <c r="H2366" s="36">
        <f t="shared" si="110"/>
        <v>1774621.1637000002</v>
      </c>
      <c r="I2366" s="37">
        <f t="shared" si="108"/>
        <v>1774621.1637000002</v>
      </c>
      <c r="J2366" s="4"/>
      <c r="K2366" s="38">
        <f t="shared" si="109"/>
        <v>0</v>
      </c>
    </row>
    <row r="2367" spans="1:11">
      <c r="A2367" t="s">
        <v>12991</v>
      </c>
      <c r="B2367" t="s">
        <v>12251</v>
      </c>
      <c r="C2367" t="s">
        <v>12989</v>
      </c>
      <c r="D2367" t="s">
        <v>12992</v>
      </c>
      <c r="E2367">
        <v>2797347.59</v>
      </c>
      <c r="G2367" s="35"/>
      <c r="H2367" s="36">
        <f t="shared" si="110"/>
        <v>1762328.9816999999</v>
      </c>
      <c r="I2367" s="37">
        <f t="shared" si="108"/>
        <v>1762328.9816999999</v>
      </c>
      <c r="J2367" s="4"/>
      <c r="K2367" s="38">
        <f t="shared" si="109"/>
        <v>0</v>
      </c>
    </row>
    <row r="2368" spans="1:11">
      <c r="A2368" t="s">
        <v>12993</v>
      </c>
      <c r="B2368" t="s">
        <v>12251</v>
      </c>
      <c r="C2368" t="s">
        <v>12989</v>
      </c>
      <c r="D2368" t="s">
        <v>12994</v>
      </c>
      <c r="E2368">
        <v>4079835.24</v>
      </c>
      <c r="G2368" s="35"/>
      <c r="H2368" s="36">
        <f t="shared" si="110"/>
        <v>2570296.2012</v>
      </c>
      <c r="I2368" s="37">
        <f t="shared" si="108"/>
        <v>2570296.2012</v>
      </c>
      <c r="J2368" s="4"/>
      <c r="K2368" s="38">
        <f t="shared" si="109"/>
        <v>0</v>
      </c>
    </row>
    <row r="2369" spans="1:11">
      <c r="A2369" t="s">
        <v>12995</v>
      </c>
      <c r="B2369" t="s">
        <v>12251</v>
      </c>
      <c r="C2369" t="s">
        <v>12989</v>
      </c>
      <c r="D2369" t="s">
        <v>12996</v>
      </c>
      <c r="E2369">
        <v>4079835.24</v>
      </c>
      <c r="G2369" s="35"/>
      <c r="H2369" s="36">
        <f t="shared" si="110"/>
        <v>2570296.2012</v>
      </c>
      <c r="I2369" s="37">
        <f t="shared" si="108"/>
        <v>2570296.2012</v>
      </c>
      <c r="J2369" s="4"/>
      <c r="K2369" s="38">
        <f t="shared" si="109"/>
        <v>0</v>
      </c>
    </row>
    <row r="2370" spans="1:11">
      <c r="A2370" t="s">
        <v>10123</v>
      </c>
      <c r="B2370" t="s">
        <v>12251</v>
      </c>
      <c r="C2370" t="s">
        <v>10124</v>
      </c>
      <c r="D2370" t="s">
        <v>10125</v>
      </c>
      <c r="E2370">
        <v>829230.99</v>
      </c>
      <c r="G2370" s="35"/>
      <c r="H2370" s="36">
        <f t="shared" si="110"/>
        <v>522415.52370000002</v>
      </c>
      <c r="I2370" s="37">
        <f t="shared" si="108"/>
        <v>522415.52370000002</v>
      </c>
      <c r="J2370" s="4"/>
      <c r="K2370" s="38">
        <f t="shared" si="109"/>
        <v>0</v>
      </c>
    </row>
    <row r="2371" spans="1:11">
      <c r="A2371" t="s">
        <v>10126</v>
      </c>
      <c r="B2371" t="s">
        <v>12251</v>
      </c>
      <c r="C2371" t="s">
        <v>10124</v>
      </c>
      <c r="D2371" t="s">
        <v>10127</v>
      </c>
      <c r="E2371">
        <v>876322.1</v>
      </c>
      <c r="G2371" s="35"/>
      <c r="H2371" s="36">
        <f t="shared" si="110"/>
        <v>552082.92299999995</v>
      </c>
      <c r="I2371" s="37">
        <f t="shared" si="108"/>
        <v>552082.92299999995</v>
      </c>
      <c r="J2371" s="4"/>
      <c r="K2371" s="38">
        <f t="shared" si="109"/>
        <v>0</v>
      </c>
    </row>
    <row r="2372" spans="1:11">
      <c r="A2372" t="s">
        <v>12779</v>
      </c>
      <c r="B2372" t="s">
        <v>12251</v>
      </c>
      <c r="C2372" t="s">
        <v>12218</v>
      </c>
      <c r="D2372" t="s">
        <v>12780</v>
      </c>
      <c r="E2372">
        <v>255325.28</v>
      </c>
      <c r="G2372" s="35"/>
      <c r="H2372" s="36">
        <f t="shared" si="110"/>
        <v>160854.9264</v>
      </c>
      <c r="I2372" s="37">
        <f t="shared" si="108"/>
        <v>160854.9264</v>
      </c>
      <c r="J2372" s="4"/>
      <c r="K2372" s="38">
        <f t="shared" si="109"/>
        <v>0</v>
      </c>
    </row>
    <row r="2373" spans="1:11">
      <c r="A2373" t="s">
        <v>12781</v>
      </c>
      <c r="B2373" t="s">
        <v>12251</v>
      </c>
      <c r="C2373" t="s">
        <v>12218</v>
      </c>
      <c r="D2373" t="s">
        <v>12782</v>
      </c>
      <c r="E2373">
        <v>329930.19</v>
      </c>
      <c r="G2373" s="35"/>
      <c r="H2373" s="36">
        <f t="shared" si="110"/>
        <v>207856.0197</v>
      </c>
      <c r="I2373" s="37">
        <f t="shared" si="108"/>
        <v>207856.0197</v>
      </c>
      <c r="J2373" s="4"/>
      <c r="K2373" s="38">
        <f t="shared" si="109"/>
        <v>0</v>
      </c>
    </row>
    <row r="2374" spans="1:11">
      <c r="A2374" t="s">
        <v>12783</v>
      </c>
      <c r="B2374" t="s">
        <v>12251</v>
      </c>
      <c r="C2374" t="s">
        <v>12218</v>
      </c>
      <c r="D2374" t="s">
        <v>12784</v>
      </c>
      <c r="E2374">
        <v>811419.83</v>
      </c>
      <c r="G2374" s="35"/>
      <c r="H2374" s="36">
        <f t="shared" si="110"/>
        <v>511194.49289999995</v>
      </c>
      <c r="I2374" s="37">
        <f t="shared" ref="I2374:I2437" si="111">H2374*$H$4</f>
        <v>511194.49289999995</v>
      </c>
      <c r="J2374" s="4"/>
      <c r="K2374" s="38">
        <f t="shared" ref="K2374:K2437" si="112">J2374*I2374</f>
        <v>0</v>
      </c>
    </row>
    <row r="2375" spans="1:11">
      <c r="A2375" t="s">
        <v>12217</v>
      </c>
      <c r="B2375" t="s">
        <v>12251</v>
      </c>
      <c r="C2375" t="s">
        <v>12218</v>
      </c>
      <c r="D2375" t="s">
        <v>12785</v>
      </c>
      <c r="E2375">
        <v>973703.28</v>
      </c>
      <c r="G2375" s="35"/>
      <c r="H2375" s="36">
        <f t="shared" ref="H2375:H2438" si="113">+E2375*$H$1*(1-G2375)</f>
        <v>613433.06640000001</v>
      </c>
      <c r="I2375" s="37">
        <f t="shared" si="111"/>
        <v>613433.06640000001</v>
      </c>
      <c r="J2375" s="4"/>
      <c r="K2375" s="38">
        <f t="shared" si="112"/>
        <v>0</v>
      </c>
    </row>
    <row r="2376" spans="1:11">
      <c r="A2376" t="s">
        <v>12786</v>
      </c>
      <c r="B2376" t="s">
        <v>12251</v>
      </c>
      <c r="C2376" t="s">
        <v>12218</v>
      </c>
      <c r="D2376" t="s">
        <v>12787</v>
      </c>
      <c r="E2376">
        <v>1995972.77</v>
      </c>
      <c r="G2376" s="35"/>
      <c r="H2376" s="36">
        <f t="shared" si="113"/>
        <v>1257462.8451</v>
      </c>
      <c r="I2376" s="37">
        <f t="shared" si="111"/>
        <v>1257462.8451</v>
      </c>
      <c r="J2376" s="4"/>
      <c r="K2376" s="38">
        <f t="shared" si="112"/>
        <v>0</v>
      </c>
    </row>
    <row r="2377" spans="1:11">
      <c r="A2377" t="s">
        <v>3134</v>
      </c>
      <c r="B2377" t="s">
        <v>12251</v>
      </c>
      <c r="C2377" t="s">
        <v>8644</v>
      </c>
      <c r="D2377" t="s">
        <v>8645</v>
      </c>
      <c r="E2377">
        <v>291848.49</v>
      </c>
      <c r="G2377" s="35"/>
      <c r="H2377" s="36">
        <f t="shared" si="113"/>
        <v>183864.54869999998</v>
      </c>
      <c r="I2377" s="37">
        <f t="shared" si="111"/>
        <v>183864.54869999998</v>
      </c>
      <c r="J2377" s="4"/>
      <c r="K2377" s="38">
        <f t="shared" si="112"/>
        <v>0</v>
      </c>
    </row>
    <row r="2378" spans="1:11">
      <c r="A2378" t="s">
        <v>3135</v>
      </c>
      <c r="B2378" t="s">
        <v>12251</v>
      </c>
      <c r="C2378" t="s">
        <v>8644</v>
      </c>
      <c r="D2378" t="s">
        <v>8646</v>
      </c>
      <c r="E2378">
        <v>291848.49</v>
      </c>
      <c r="G2378" s="35"/>
      <c r="H2378" s="36">
        <f t="shared" si="113"/>
        <v>183864.54869999998</v>
      </c>
      <c r="I2378" s="37">
        <f t="shared" si="111"/>
        <v>183864.54869999998</v>
      </c>
      <c r="J2378" s="4"/>
      <c r="K2378" s="38">
        <f t="shared" si="112"/>
        <v>0</v>
      </c>
    </row>
    <row r="2379" spans="1:11">
      <c r="A2379" t="s">
        <v>9795</v>
      </c>
      <c r="B2379" t="s">
        <v>12251</v>
      </c>
      <c r="C2379" t="s">
        <v>10001</v>
      </c>
      <c r="D2379" t="s">
        <v>9796</v>
      </c>
      <c r="E2379">
        <v>152358.34</v>
      </c>
      <c r="G2379" s="35"/>
      <c r="H2379" s="36">
        <f t="shared" si="113"/>
        <v>95985.754199999996</v>
      </c>
      <c r="I2379" s="37">
        <f t="shared" si="111"/>
        <v>95985.754199999996</v>
      </c>
      <c r="J2379" s="4"/>
      <c r="K2379" s="38">
        <f t="shared" si="112"/>
        <v>0</v>
      </c>
    </row>
    <row r="2380" spans="1:11">
      <c r="A2380" t="s">
        <v>10010</v>
      </c>
      <c r="B2380" t="s">
        <v>12251</v>
      </c>
      <c r="C2380" t="s">
        <v>10001</v>
      </c>
      <c r="D2380" t="s">
        <v>10011</v>
      </c>
      <c r="E2380">
        <v>246391.26</v>
      </c>
      <c r="G2380" s="35"/>
      <c r="H2380" s="36">
        <f t="shared" si="113"/>
        <v>155226.4938</v>
      </c>
      <c r="I2380" s="37">
        <f t="shared" si="111"/>
        <v>155226.4938</v>
      </c>
      <c r="J2380" s="4"/>
      <c r="K2380" s="38">
        <f t="shared" si="112"/>
        <v>0</v>
      </c>
    </row>
    <row r="2381" spans="1:11">
      <c r="A2381" t="s">
        <v>10012</v>
      </c>
      <c r="B2381" t="s">
        <v>12251</v>
      </c>
      <c r="C2381" t="s">
        <v>10001</v>
      </c>
      <c r="D2381" t="s">
        <v>10013</v>
      </c>
      <c r="E2381">
        <v>286211.33</v>
      </c>
      <c r="G2381" s="35"/>
      <c r="H2381" s="36">
        <f t="shared" si="113"/>
        <v>180313.1379</v>
      </c>
      <c r="I2381" s="37">
        <f t="shared" si="111"/>
        <v>180313.1379</v>
      </c>
      <c r="J2381" s="4"/>
      <c r="K2381" s="38">
        <f t="shared" si="112"/>
        <v>0</v>
      </c>
    </row>
    <row r="2382" spans="1:11">
      <c r="A2382" t="s">
        <v>10032</v>
      </c>
      <c r="B2382" t="s">
        <v>12251</v>
      </c>
      <c r="C2382" t="s">
        <v>10001</v>
      </c>
      <c r="D2382" t="s">
        <v>10033</v>
      </c>
      <c r="E2382">
        <v>568420.68999999994</v>
      </c>
      <c r="G2382" s="35"/>
      <c r="H2382" s="36">
        <f t="shared" si="113"/>
        <v>358105.03469999996</v>
      </c>
      <c r="I2382" s="37">
        <f t="shared" si="111"/>
        <v>358105.03469999996</v>
      </c>
      <c r="J2382" s="4"/>
      <c r="K2382" s="38">
        <f t="shared" si="112"/>
        <v>0</v>
      </c>
    </row>
    <row r="2383" spans="1:11">
      <c r="A2383" t="s">
        <v>11697</v>
      </c>
      <c r="B2383" t="s">
        <v>12251</v>
      </c>
      <c r="C2383" t="s">
        <v>10001</v>
      </c>
      <c r="D2383" t="s">
        <v>11698</v>
      </c>
      <c r="E2383">
        <v>624146.81999999995</v>
      </c>
      <c r="G2383" s="35"/>
      <c r="H2383" s="36">
        <f t="shared" si="113"/>
        <v>393212.49659999995</v>
      </c>
      <c r="I2383" s="37">
        <f t="shared" si="111"/>
        <v>393212.49659999995</v>
      </c>
      <c r="J2383" s="4"/>
      <c r="K2383" s="38">
        <f t="shared" si="112"/>
        <v>0</v>
      </c>
    </row>
    <row r="2384" spans="1:11">
      <c r="A2384" t="s">
        <v>12873</v>
      </c>
      <c r="B2384" t="s">
        <v>12251</v>
      </c>
      <c r="C2384" t="s">
        <v>10001</v>
      </c>
      <c r="D2384" t="s">
        <v>12874</v>
      </c>
      <c r="E2384">
        <v>286211.33</v>
      </c>
      <c r="G2384" s="35"/>
      <c r="H2384" s="36">
        <f t="shared" si="113"/>
        <v>180313.1379</v>
      </c>
      <c r="I2384" s="37">
        <f t="shared" si="111"/>
        <v>180313.1379</v>
      </c>
      <c r="J2384" s="4"/>
      <c r="K2384" s="38">
        <f t="shared" si="112"/>
        <v>0</v>
      </c>
    </row>
    <row r="2385" spans="1:11">
      <c r="A2385" t="s">
        <v>12020</v>
      </c>
      <c r="B2385" t="s">
        <v>12251</v>
      </c>
      <c r="C2385" t="s">
        <v>12021</v>
      </c>
      <c r="D2385" t="s">
        <v>12022</v>
      </c>
      <c r="E2385">
        <v>49949.96</v>
      </c>
      <c r="G2385" s="35"/>
      <c r="H2385" s="36">
        <f t="shared" si="113"/>
        <v>31468.4748</v>
      </c>
      <c r="I2385" s="37">
        <f t="shared" si="111"/>
        <v>31468.4748</v>
      </c>
      <c r="J2385" s="4"/>
      <c r="K2385" s="38">
        <f t="shared" si="112"/>
        <v>0</v>
      </c>
    </row>
    <row r="2386" spans="1:11">
      <c r="A2386" t="s">
        <v>3064</v>
      </c>
      <c r="B2386" t="s">
        <v>12251</v>
      </c>
      <c r="C2386" t="s">
        <v>8567</v>
      </c>
      <c r="D2386" t="s">
        <v>8568</v>
      </c>
      <c r="E2386">
        <v>1150963.82</v>
      </c>
      <c r="G2386" s="35"/>
      <c r="H2386" s="36">
        <f t="shared" si="113"/>
        <v>725107.20660000003</v>
      </c>
      <c r="I2386" s="37">
        <f t="shared" si="111"/>
        <v>725107.20660000003</v>
      </c>
      <c r="J2386" s="4"/>
      <c r="K2386" s="38">
        <f t="shared" si="112"/>
        <v>0</v>
      </c>
    </row>
    <row r="2387" spans="1:11">
      <c r="A2387" t="s">
        <v>3065</v>
      </c>
      <c r="B2387" t="s">
        <v>12251</v>
      </c>
      <c r="C2387" t="s">
        <v>8567</v>
      </c>
      <c r="D2387" t="s">
        <v>8569</v>
      </c>
      <c r="E2387">
        <v>1192708.6100000001</v>
      </c>
      <c r="G2387" s="35"/>
      <c r="H2387" s="36">
        <f t="shared" si="113"/>
        <v>751406.42430000007</v>
      </c>
      <c r="I2387" s="37">
        <f t="shared" si="111"/>
        <v>751406.42430000007</v>
      </c>
      <c r="J2387" s="4"/>
      <c r="K2387" s="38">
        <f t="shared" si="112"/>
        <v>0</v>
      </c>
    </row>
    <row r="2388" spans="1:11">
      <c r="A2388" t="s">
        <v>3066</v>
      </c>
      <c r="B2388" t="s">
        <v>12251</v>
      </c>
      <c r="C2388" t="s">
        <v>8567</v>
      </c>
      <c r="D2388" t="s">
        <v>8570</v>
      </c>
      <c r="E2388">
        <v>1612017.62</v>
      </c>
      <c r="G2388" s="35"/>
      <c r="H2388" s="36">
        <f t="shared" si="113"/>
        <v>1015571.1006000001</v>
      </c>
      <c r="I2388" s="37">
        <f t="shared" si="111"/>
        <v>1015571.1006000001</v>
      </c>
      <c r="J2388" s="4"/>
      <c r="K2388" s="38">
        <f t="shared" si="112"/>
        <v>0</v>
      </c>
    </row>
    <row r="2389" spans="1:11">
      <c r="A2389" t="s">
        <v>3067</v>
      </c>
      <c r="B2389" t="s">
        <v>12251</v>
      </c>
      <c r="C2389" t="s">
        <v>8567</v>
      </c>
      <c r="D2389" t="s">
        <v>8571</v>
      </c>
      <c r="E2389">
        <v>1215071.8899999999</v>
      </c>
      <c r="G2389" s="35"/>
      <c r="H2389" s="36">
        <f t="shared" si="113"/>
        <v>765495.2906999999</v>
      </c>
      <c r="I2389" s="37">
        <f t="shared" si="111"/>
        <v>765495.2906999999</v>
      </c>
      <c r="J2389" s="4"/>
      <c r="K2389" s="38">
        <f t="shared" si="112"/>
        <v>0</v>
      </c>
    </row>
    <row r="2390" spans="1:11">
      <c r="A2390" t="s">
        <v>3068</v>
      </c>
      <c r="B2390" t="s">
        <v>12251</v>
      </c>
      <c r="C2390" t="s">
        <v>8567</v>
      </c>
      <c r="D2390" t="s">
        <v>8572</v>
      </c>
      <c r="E2390">
        <v>1215071.8899999999</v>
      </c>
      <c r="G2390" s="35"/>
      <c r="H2390" s="36">
        <f t="shared" si="113"/>
        <v>765495.2906999999</v>
      </c>
      <c r="I2390" s="37">
        <f t="shared" si="111"/>
        <v>765495.2906999999</v>
      </c>
      <c r="J2390" s="4"/>
      <c r="K2390" s="38">
        <f t="shared" si="112"/>
        <v>0</v>
      </c>
    </row>
    <row r="2391" spans="1:11">
      <c r="A2391" t="s">
        <v>3069</v>
      </c>
      <c r="B2391" t="s">
        <v>12251</v>
      </c>
      <c r="C2391" t="s">
        <v>8567</v>
      </c>
      <c r="D2391" t="s">
        <v>8573</v>
      </c>
      <c r="E2391">
        <v>1619101.94</v>
      </c>
      <c r="G2391" s="35"/>
      <c r="H2391" s="36">
        <f t="shared" si="113"/>
        <v>1020034.2222</v>
      </c>
      <c r="I2391" s="37">
        <f t="shared" si="111"/>
        <v>1020034.2222</v>
      </c>
      <c r="J2391" s="4"/>
      <c r="K2391" s="38">
        <f t="shared" si="112"/>
        <v>0</v>
      </c>
    </row>
    <row r="2392" spans="1:11">
      <c r="A2392" t="s">
        <v>3070</v>
      </c>
      <c r="B2392" t="s">
        <v>12251</v>
      </c>
      <c r="C2392" t="s">
        <v>8567</v>
      </c>
      <c r="D2392" t="s">
        <v>8574</v>
      </c>
      <c r="E2392">
        <v>1619101.94</v>
      </c>
      <c r="G2392" s="35"/>
      <c r="H2392" s="36">
        <f t="shared" si="113"/>
        <v>1020034.2222</v>
      </c>
      <c r="I2392" s="37">
        <f t="shared" si="111"/>
        <v>1020034.2222</v>
      </c>
      <c r="J2392" s="4"/>
      <c r="K2392" s="38">
        <f t="shared" si="112"/>
        <v>0</v>
      </c>
    </row>
    <row r="2393" spans="1:11">
      <c r="A2393" t="s">
        <v>3071</v>
      </c>
      <c r="B2393" t="s">
        <v>12251</v>
      </c>
      <c r="C2393" t="s">
        <v>8567</v>
      </c>
      <c r="D2393" t="s">
        <v>8575</v>
      </c>
      <c r="E2393">
        <v>1766699.63</v>
      </c>
      <c r="G2393" s="35"/>
      <c r="H2393" s="36">
        <f t="shared" si="113"/>
        <v>1113020.7668999999</v>
      </c>
      <c r="I2393" s="37">
        <f t="shared" si="111"/>
        <v>1113020.7668999999</v>
      </c>
      <c r="J2393" s="4"/>
      <c r="K2393" s="38">
        <f t="shared" si="112"/>
        <v>0</v>
      </c>
    </row>
    <row r="2394" spans="1:11">
      <c r="A2394" t="s">
        <v>3072</v>
      </c>
      <c r="B2394" t="s">
        <v>12251</v>
      </c>
      <c r="C2394" t="s">
        <v>8567</v>
      </c>
      <c r="D2394" t="s">
        <v>8576</v>
      </c>
      <c r="E2394">
        <v>1766699.63</v>
      </c>
      <c r="G2394" s="35"/>
      <c r="H2394" s="36">
        <f t="shared" si="113"/>
        <v>1113020.7668999999</v>
      </c>
      <c r="I2394" s="37">
        <f t="shared" si="111"/>
        <v>1113020.7668999999</v>
      </c>
      <c r="J2394" s="4"/>
      <c r="K2394" s="38">
        <f t="shared" si="112"/>
        <v>0</v>
      </c>
    </row>
    <row r="2395" spans="1:11">
      <c r="A2395" t="s">
        <v>3073</v>
      </c>
      <c r="B2395" t="s">
        <v>12251</v>
      </c>
      <c r="C2395" t="s">
        <v>8567</v>
      </c>
      <c r="D2395" t="s">
        <v>8577</v>
      </c>
      <c r="E2395">
        <v>2154329.92</v>
      </c>
      <c r="G2395" s="35"/>
      <c r="H2395" s="36">
        <f t="shared" si="113"/>
        <v>1357227.8496000001</v>
      </c>
      <c r="I2395" s="37">
        <f t="shared" si="111"/>
        <v>1357227.8496000001</v>
      </c>
      <c r="J2395" s="4"/>
      <c r="K2395" s="38">
        <f t="shared" si="112"/>
        <v>0</v>
      </c>
    </row>
    <row r="2396" spans="1:11">
      <c r="A2396" t="s">
        <v>3075</v>
      </c>
      <c r="B2396" t="s">
        <v>12251</v>
      </c>
      <c r="C2396" t="s">
        <v>8567</v>
      </c>
      <c r="D2396" t="s">
        <v>8579</v>
      </c>
      <c r="E2396">
        <v>296771.5</v>
      </c>
      <c r="G2396" s="35"/>
      <c r="H2396" s="36">
        <f t="shared" si="113"/>
        <v>186966.04500000001</v>
      </c>
      <c r="I2396" s="37">
        <f t="shared" si="111"/>
        <v>186966.04500000001</v>
      </c>
      <c r="J2396" s="4"/>
      <c r="K2396" s="38">
        <f t="shared" si="112"/>
        <v>0</v>
      </c>
    </row>
    <row r="2397" spans="1:11">
      <c r="A2397" t="s">
        <v>3076</v>
      </c>
      <c r="B2397" t="s">
        <v>12251</v>
      </c>
      <c r="C2397" t="s">
        <v>8567</v>
      </c>
      <c r="D2397" t="s">
        <v>8580</v>
      </c>
      <c r="E2397">
        <v>309115</v>
      </c>
      <c r="G2397" s="35"/>
      <c r="H2397" s="36">
        <f t="shared" si="113"/>
        <v>194742.45</v>
      </c>
      <c r="I2397" s="37">
        <f t="shared" si="111"/>
        <v>194742.45</v>
      </c>
      <c r="J2397" s="4"/>
      <c r="K2397" s="38">
        <f t="shared" si="112"/>
        <v>0</v>
      </c>
    </row>
    <row r="2398" spans="1:11">
      <c r="A2398" t="s">
        <v>3074</v>
      </c>
      <c r="B2398" t="s">
        <v>12251</v>
      </c>
      <c r="C2398" t="s">
        <v>8567</v>
      </c>
      <c r="D2398" t="s">
        <v>8578</v>
      </c>
      <c r="E2398">
        <v>2154329.92</v>
      </c>
      <c r="G2398" s="35"/>
      <c r="H2398" s="36">
        <f t="shared" si="113"/>
        <v>1357227.8496000001</v>
      </c>
      <c r="I2398" s="37">
        <f t="shared" si="111"/>
        <v>1357227.8496000001</v>
      </c>
      <c r="J2398" s="4"/>
      <c r="K2398" s="38">
        <f t="shared" si="112"/>
        <v>0</v>
      </c>
    </row>
    <row r="2399" spans="1:11">
      <c r="A2399" t="s">
        <v>11224</v>
      </c>
      <c r="B2399" t="s">
        <v>12251</v>
      </c>
      <c r="C2399" t="s">
        <v>8567</v>
      </c>
      <c r="D2399" t="s">
        <v>11225</v>
      </c>
      <c r="E2399">
        <v>274361.49</v>
      </c>
      <c r="G2399" s="35"/>
      <c r="H2399" s="36">
        <f t="shared" si="113"/>
        <v>172847.73869999999</v>
      </c>
      <c r="I2399" s="37">
        <f t="shared" si="111"/>
        <v>172847.73869999999</v>
      </c>
      <c r="J2399" s="4"/>
      <c r="K2399" s="38">
        <f t="shared" si="112"/>
        <v>0</v>
      </c>
    </row>
    <row r="2400" spans="1:11">
      <c r="A2400" t="s">
        <v>11226</v>
      </c>
      <c r="B2400" t="s">
        <v>12251</v>
      </c>
      <c r="C2400" t="s">
        <v>8567</v>
      </c>
      <c r="D2400" t="s">
        <v>11227</v>
      </c>
      <c r="E2400">
        <v>300980.96999999997</v>
      </c>
      <c r="G2400" s="35"/>
      <c r="H2400" s="36">
        <f t="shared" si="113"/>
        <v>189618.01109999997</v>
      </c>
      <c r="I2400" s="37">
        <f t="shared" si="111"/>
        <v>189618.01109999997</v>
      </c>
      <c r="J2400" s="4"/>
      <c r="K2400" s="38">
        <f t="shared" si="112"/>
        <v>0</v>
      </c>
    </row>
    <row r="2401" spans="1:11">
      <c r="A2401" t="s">
        <v>11228</v>
      </c>
      <c r="B2401" t="s">
        <v>12251</v>
      </c>
      <c r="C2401" t="s">
        <v>8567</v>
      </c>
      <c r="D2401" t="s">
        <v>11229</v>
      </c>
      <c r="E2401">
        <v>310829.58</v>
      </c>
      <c r="G2401" s="35"/>
      <c r="H2401" s="36">
        <f t="shared" si="113"/>
        <v>195822.6354</v>
      </c>
      <c r="I2401" s="37">
        <f t="shared" si="111"/>
        <v>195822.6354</v>
      </c>
      <c r="J2401" s="4"/>
      <c r="K2401" s="38">
        <f t="shared" si="112"/>
        <v>0</v>
      </c>
    </row>
    <row r="2402" spans="1:11">
      <c r="A2402" t="s">
        <v>11750</v>
      </c>
      <c r="B2402" t="s">
        <v>12251</v>
      </c>
      <c r="C2402" t="s">
        <v>8567</v>
      </c>
      <c r="D2402" t="s">
        <v>11751</v>
      </c>
      <c r="E2402">
        <v>343121.9</v>
      </c>
      <c r="G2402" s="35"/>
      <c r="H2402" s="36">
        <f t="shared" si="113"/>
        <v>216166.79700000002</v>
      </c>
      <c r="I2402" s="37">
        <f t="shared" si="111"/>
        <v>216166.79700000002</v>
      </c>
      <c r="J2402" s="4"/>
      <c r="K2402" s="38">
        <f t="shared" si="112"/>
        <v>0</v>
      </c>
    </row>
    <row r="2403" spans="1:11">
      <c r="A2403" t="s">
        <v>11752</v>
      </c>
      <c r="B2403" t="s">
        <v>12251</v>
      </c>
      <c r="C2403" t="s">
        <v>8567</v>
      </c>
      <c r="D2403" t="s">
        <v>11753</v>
      </c>
      <c r="E2403">
        <v>371380.42</v>
      </c>
      <c r="G2403" s="35"/>
      <c r="H2403" s="36">
        <f t="shared" si="113"/>
        <v>233969.66459999999</v>
      </c>
      <c r="I2403" s="37">
        <f t="shared" si="111"/>
        <v>233969.66459999999</v>
      </c>
      <c r="J2403" s="4"/>
      <c r="K2403" s="38">
        <f t="shared" si="112"/>
        <v>0</v>
      </c>
    </row>
    <row r="2404" spans="1:11">
      <c r="A2404" t="s">
        <v>11754</v>
      </c>
      <c r="B2404" t="s">
        <v>12251</v>
      </c>
      <c r="C2404" t="s">
        <v>8567</v>
      </c>
      <c r="D2404" t="s">
        <v>11755</v>
      </c>
      <c r="E2404">
        <v>375595.05</v>
      </c>
      <c r="G2404" s="35"/>
      <c r="H2404" s="36">
        <f t="shared" si="113"/>
        <v>236624.88149999999</v>
      </c>
      <c r="I2404" s="37">
        <f t="shared" si="111"/>
        <v>236624.88149999999</v>
      </c>
      <c r="J2404" s="4"/>
      <c r="K2404" s="38">
        <f t="shared" si="112"/>
        <v>0</v>
      </c>
    </row>
    <row r="2405" spans="1:11">
      <c r="A2405" t="s">
        <v>2931</v>
      </c>
      <c r="B2405" t="s">
        <v>12251</v>
      </c>
      <c r="C2405" t="s">
        <v>8430</v>
      </c>
      <c r="D2405" t="s">
        <v>8431</v>
      </c>
      <c r="E2405">
        <v>294282.58</v>
      </c>
      <c r="G2405" s="35"/>
      <c r="H2405" s="36">
        <f t="shared" si="113"/>
        <v>185398.02540000001</v>
      </c>
      <c r="I2405" s="37">
        <f t="shared" si="111"/>
        <v>185398.02540000001</v>
      </c>
      <c r="J2405" s="4"/>
      <c r="K2405" s="38">
        <f t="shared" si="112"/>
        <v>0</v>
      </c>
    </row>
    <row r="2406" spans="1:11">
      <c r="A2406" t="s">
        <v>2932</v>
      </c>
      <c r="B2406" t="s">
        <v>12251</v>
      </c>
      <c r="C2406" t="s">
        <v>8430</v>
      </c>
      <c r="D2406" t="s">
        <v>8432</v>
      </c>
      <c r="E2406">
        <v>2129659.19</v>
      </c>
      <c r="G2406" s="35"/>
      <c r="H2406" s="36">
        <f t="shared" si="113"/>
        <v>1341685.2897000001</v>
      </c>
      <c r="I2406" s="37">
        <f t="shared" si="111"/>
        <v>1341685.2897000001</v>
      </c>
      <c r="J2406" s="4"/>
      <c r="K2406" s="38">
        <f t="shared" si="112"/>
        <v>0</v>
      </c>
    </row>
    <row r="2407" spans="1:11">
      <c r="A2407" t="s">
        <v>2933</v>
      </c>
      <c r="B2407" t="s">
        <v>12251</v>
      </c>
      <c r="C2407" t="s">
        <v>8430</v>
      </c>
      <c r="D2407" t="s">
        <v>8433</v>
      </c>
      <c r="E2407">
        <v>12121814.02</v>
      </c>
      <c r="G2407" s="35"/>
      <c r="H2407" s="36">
        <f t="shared" si="113"/>
        <v>7636742.8325999994</v>
      </c>
      <c r="I2407" s="37">
        <f t="shared" si="111"/>
        <v>7636742.8325999994</v>
      </c>
      <c r="J2407" s="4"/>
      <c r="K2407" s="38">
        <f t="shared" si="112"/>
        <v>0</v>
      </c>
    </row>
    <row r="2408" spans="1:11">
      <c r="A2408" t="s">
        <v>2934</v>
      </c>
      <c r="B2408" t="s">
        <v>12251</v>
      </c>
      <c r="C2408" t="s">
        <v>8430</v>
      </c>
      <c r="D2408" t="s">
        <v>8434</v>
      </c>
      <c r="E2408">
        <v>14159078.98</v>
      </c>
      <c r="G2408" s="35"/>
      <c r="H2408" s="36">
        <f t="shared" si="113"/>
        <v>8920219.7574000005</v>
      </c>
      <c r="I2408" s="37">
        <f t="shared" si="111"/>
        <v>8920219.7574000005</v>
      </c>
      <c r="J2408" s="4"/>
      <c r="K2408" s="38">
        <f t="shared" si="112"/>
        <v>0</v>
      </c>
    </row>
    <row r="2409" spans="1:11">
      <c r="A2409" t="s">
        <v>2935</v>
      </c>
      <c r="B2409" t="s">
        <v>12251</v>
      </c>
      <c r="C2409" t="s">
        <v>8430</v>
      </c>
      <c r="D2409" t="s">
        <v>8435</v>
      </c>
      <c r="E2409">
        <v>5391833.9900000002</v>
      </c>
      <c r="G2409" s="35"/>
      <c r="H2409" s="36">
        <f t="shared" si="113"/>
        <v>3396855.4137000004</v>
      </c>
      <c r="I2409" s="37">
        <f t="shared" si="111"/>
        <v>3396855.4137000004</v>
      </c>
      <c r="J2409" s="4"/>
      <c r="K2409" s="38">
        <f t="shared" si="112"/>
        <v>0</v>
      </c>
    </row>
    <row r="2410" spans="1:11">
      <c r="A2410" t="s">
        <v>2936</v>
      </c>
      <c r="B2410" t="s">
        <v>12251</v>
      </c>
      <c r="C2410" t="s">
        <v>8430</v>
      </c>
      <c r="D2410" t="s">
        <v>8436</v>
      </c>
      <c r="E2410">
        <v>13213507.51</v>
      </c>
      <c r="G2410" s="35"/>
      <c r="H2410" s="36">
        <f t="shared" si="113"/>
        <v>8324509.7313000001</v>
      </c>
      <c r="I2410" s="37">
        <f t="shared" si="111"/>
        <v>8324509.7313000001</v>
      </c>
      <c r="J2410" s="4"/>
      <c r="K2410" s="38">
        <f t="shared" si="112"/>
        <v>0</v>
      </c>
    </row>
    <row r="2411" spans="1:11">
      <c r="A2411" t="s">
        <v>2937</v>
      </c>
      <c r="B2411" t="s">
        <v>12251</v>
      </c>
      <c r="C2411" t="s">
        <v>8430</v>
      </c>
      <c r="D2411" t="s">
        <v>8437</v>
      </c>
      <c r="E2411">
        <v>1105811.27</v>
      </c>
      <c r="G2411" s="35"/>
      <c r="H2411" s="36">
        <f t="shared" si="113"/>
        <v>696661.10010000004</v>
      </c>
      <c r="I2411" s="37">
        <f t="shared" si="111"/>
        <v>696661.10010000004</v>
      </c>
      <c r="J2411" s="4"/>
      <c r="K2411" s="38">
        <f t="shared" si="112"/>
        <v>0</v>
      </c>
    </row>
    <row r="2412" spans="1:11">
      <c r="A2412" t="s">
        <v>2938</v>
      </c>
      <c r="B2412" t="s">
        <v>12251</v>
      </c>
      <c r="C2412" t="s">
        <v>8430</v>
      </c>
      <c r="D2412" t="s">
        <v>8438</v>
      </c>
      <c r="E2412">
        <v>1265123.06</v>
      </c>
      <c r="G2412" s="35"/>
      <c r="H2412" s="36">
        <f t="shared" si="113"/>
        <v>797027.52780000004</v>
      </c>
      <c r="I2412" s="37">
        <f t="shared" si="111"/>
        <v>797027.52780000004</v>
      </c>
      <c r="J2412" s="4"/>
      <c r="K2412" s="38">
        <f t="shared" si="112"/>
        <v>0</v>
      </c>
    </row>
    <row r="2413" spans="1:11">
      <c r="A2413" t="s">
        <v>2939</v>
      </c>
      <c r="B2413" t="s">
        <v>12251</v>
      </c>
      <c r="C2413" t="s">
        <v>8430</v>
      </c>
      <c r="D2413" t="s">
        <v>8439</v>
      </c>
      <c r="E2413">
        <v>4754860.66</v>
      </c>
      <c r="G2413" s="35"/>
      <c r="H2413" s="36">
        <f t="shared" si="113"/>
        <v>2995562.2157999999</v>
      </c>
      <c r="I2413" s="37">
        <f t="shared" si="111"/>
        <v>2995562.2157999999</v>
      </c>
      <c r="J2413" s="4"/>
      <c r="K2413" s="38">
        <f t="shared" si="112"/>
        <v>0</v>
      </c>
    </row>
    <row r="2414" spans="1:11">
      <c r="A2414" t="s">
        <v>2940</v>
      </c>
      <c r="B2414" t="s">
        <v>12251</v>
      </c>
      <c r="C2414" t="s">
        <v>8430</v>
      </c>
      <c r="D2414" t="s">
        <v>8440</v>
      </c>
      <c r="E2414">
        <v>6535152.8700000001</v>
      </c>
      <c r="G2414" s="35"/>
      <c r="H2414" s="36">
        <f t="shared" si="113"/>
        <v>4117146.3081</v>
      </c>
      <c r="I2414" s="37">
        <f t="shared" si="111"/>
        <v>4117146.3081</v>
      </c>
      <c r="J2414" s="4"/>
      <c r="K2414" s="38">
        <f t="shared" si="112"/>
        <v>0</v>
      </c>
    </row>
    <row r="2415" spans="1:11">
      <c r="A2415" t="s">
        <v>2941</v>
      </c>
      <c r="B2415" t="s">
        <v>12251</v>
      </c>
      <c r="C2415" t="s">
        <v>8430</v>
      </c>
      <c r="D2415" t="s">
        <v>8441</v>
      </c>
      <c r="E2415">
        <v>96755.44</v>
      </c>
      <c r="G2415" s="35"/>
      <c r="H2415" s="36">
        <f t="shared" si="113"/>
        <v>60955.927199999998</v>
      </c>
      <c r="I2415" s="37">
        <f t="shared" si="111"/>
        <v>60955.927199999998</v>
      </c>
      <c r="J2415" s="4"/>
      <c r="K2415" s="38">
        <f t="shared" si="112"/>
        <v>0</v>
      </c>
    </row>
    <row r="2416" spans="1:11">
      <c r="A2416" t="s">
        <v>2942</v>
      </c>
      <c r="B2416" t="s">
        <v>12251</v>
      </c>
      <c r="C2416" t="s">
        <v>8430</v>
      </c>
      <c r="D2416" t="s">
        <v>8442</v>
      </c>
      <c r="E2416">
        <v>44300848.859999999</v>
      </c>
      <c r="G2416" s="35"/>
      <c r="H2416" s="36">
        <f t="shared" si="113"/>
        <v>27909534.781799998</v>
      </c>
      <c r="I2416" s="37">
        <f t="shared" si="111"/>
        <v>27909534.781799998</v>
      </c>
      <c r="J2416" s="4"/>
      <c r="K2416" s="38">
        <f t="shared" si="112"/>
        <v>0</v>
      </c>
    </row>
    <row r="2417" spans="1:11">
      <c r="A2417" t="s">
        <v>2943</v>
      </c>
      <c r="B2417" t="s">
        <v>12251</v>
      </c>
      <c r="C2417" t="s">
        <v>8430</v>
      </c>
      <c r="D2417" t="s">
        <v>8443</v>
      </c>
      <c r="E2417">
        <v>880900.49</v>
      </c>
      <c r="G2417" s="35"/>
      <c r="H2417" s="36">
        <f t="shared" si="113"/>
        <v>554967.30870000005</v>
      </c>
      <c r="I2417" s="37">
        <f t="shared" si="111"/>
        <v>554967.30870000005</v>
      </c>
      <c r="J2417" s="4"/>
      <c r="K2417" s="38">
        <f t="shared" si="112"/>
        <v>0</v>
      </c>
    </row>
    <row r="2418" spans="1:11">
      <c r="A2418" t="s">
        <v>2944</v>
      </c>
      <c r="B2418" t="s">
        <v>12251</v>
      </c>
      <c r="C2418" t="s">
        <v>8430</v>
      </c>
      <c r="D2418" t="s">
        <v>8444</v>
      </c>
      <c r="E2418">
        <v>3045666.62</v>
      </c>
      <c r="G2418" s="35"/>
      <c r="H2418" s="36">
        <f t="shared" si="113"/>
        <v>1918769.9706000001</v>
      </c>
      <c r="I2418" s="37">
        <f t="shared" si="111"/>
        <v>1918769.9706000001</v>
      </c>
      <c r="J2418" s="4"/>
      <c r="K2418" s="38">
        <f t="shared" si="112"/>
        <v>0</v>
      </c>
    </row>
    <row r="2419" spans="1:11">
      <c r="A2419" t="s">
        <v>2945</v>
      </c>
      <c r="B2419" t="s">
        <v>12251</v>
      </c>
      <c r="C2419" t="s">
        <v>8430</v>
      </c>
      <c r="D2419" t="s">
        <v>8445</v>
      </c>
      <c r="E2419">
        <v>1050922.33</v>
      </c>
      <c r="G2419" s="35"/>
      <c r="H2419" s="36">
        <f t="shared" si="113"/>
        <v>662081.06790000002</v>
      </c>
      <c r="I2419" s="37">
        <f t="shared" si="111"/>
        <v>662081.06790000002</v>
      </c>
      <c r="J2419" s="4"/>
      <c r="K2419" s="38">
        <f t="shared" si="112"/>
        <v>0</v>
      </c>
    </row>
    <row r="2420" spans="1:11">
      <c r="A2420" t="s">
        <v>2946</v>
      </c>
      <c r="B2420" t="s">
        <v>12251</v>
      </c>
      <c r="C2420" t="s">
        <v>8430</v>
      </c>
      <c r="D2420" t="s">
        <v>9958</v>
      </c>
      <c r="E2420">
        <v>48528331.490000002</v>
      </c>
      <c r="G2420" s="35"/>
      <c r="H2420" s="36">
        <f t="shared" si="113"/>
        <v>30572848.8387</v>
      </c>
      <c r="I2420" s="37">
        <f t="shared" si="111"/>
        <v>30572848.8387</v>
      </c>
      <c r="J2420" s="4"/>
      <c r="K2420" s="38">
        <f t="shared" si="112"/>
        <v>0</v>
      </c>
    </row>
    <row r="2421" spans="1:11">
      <c r="A2421" t="s">
        <v>2947</v>
      </c>
      <c r="B2421" t="s">
        <v>12251</v>
      </c>
      <c r="C2421" t="s">
        <v>8430</v>
      </c>
      <c r="D2421" t="s">
        <v>8446</v>
      </c>
      <c r="E2421">
        <v>1430793.94</v>
      </c>
      <c r="G2421" s="35"/>
      <c r="H2421" s="36">
        <f t="shared" si="113"/>
        <v>901400.18219999992</v>
      </c>
      <c r="I2421" s="37">
        <f t="shared" si="111"/>
        <v>901400.18219999992</v>
      </c>
      <c r="J2421" s="4"/>
      <c r="K2421" s="38">
        <f t="shared" si="112"/>
        <v>0</v>
      </c>
    </row>
    <row r="2422" spans="1:11">
      <c r="A2422" t="s">
        <v>2948</v>
      </c>
      <c r="B2422" t="s">
        <v>12251</v>
      </c>
      <c r="C2422" t="s">
        <v>8430</v>
      </c>
      <c r="D2422" t="s">
        <v>8447</v>
      </c>
      <c r="E2422">
        <v>1452472.63</v>
      </c>
      <c r="G2422" s="35"/>
      <c r="H2422" s="36">
        <f t="shared" si="113"/>
        <v>915057.75689999992</v>
      </c>
      <c r="I2422" s="37">
        <f t="shared" si="111"/>
        <v>915057.75689999992</v>
      </c>
      <c r="J2422" s="4"/>
      <c r="K2422" s="38">
        <f t="shared" si="112"/>
        <v>0</v>
      </c>
    </row>
    <row r="2423" spans="1:11">
      <c r="A2423" t="s">
        <v>2949</v>
      </c>
      <c r="B2423" t="s">
        <v>12251</v>
      </c>
      <c r="C2423" t="s">
        <v>8430</v>
      </c>
      <c r="D2423" t="s">
        <v>8448</v>
      </c>
      <c r="E2423">
        <v>1913506.23</v>
      </c>
      <c r="G2423" s="35"/>
      <c r="H2423" s="36">
        <f t="shared" si="113"/>
        <v>1205508.9249</v>
      </c>
      <c r="I2423" s="37">
        <f t="shared" si="111"/>
        <v>1205508.9249</v>
      </c>
      <c r="J2423" s="4"/>
      <c r="K2423" s="38">
        <f t="shared" si="112"/>
        <v>0</v>
      </c>
    </row>
    <row r="2424" spans="1:11">
      <c r="A2424" t="s">
        <v>2950</v>
      </c>
      <c r="B2424" t="s">
        <v>12251</v>
      </c>
      <c r="C2424" t="s">
        <v>8430</v>
      </c>
      <c r="D2424" t="s">
        <v>8449</v>
      </c>
      <c r="E2424">
        <v>1861477.36</v>
      </c>
      <c r="G2424" s="35"/>
      <c r="H2424" s="36">
        <f t="shared" si="113"/>
        <v>1172730.7368000001</v>
      </c>
      <c r="I2424" s="37">
        <f t="shared" si="111"/>
        <v>1172730.7368000001</v>
      </c>
      <c r="J2424" s="4"/>
      <c r="K2424" s="38">
        <f t="shared" si="112"/>
        <v>0</v>
      </c>
    </row>
    <row r="2425" spans="1:11">
      <c r="A2425" t="s">
        <v>2951</v>
      </c>
      <c r="B2425" t="s">
        <v>12251</v>
      </c>
      <c r="C2425" t="s">
        <v>8430</v>
      </c>
      <c r="D2425" t="s">
        <v>8450</v>
      </c>
      <c r="E2425">
        <v>2177986.3199999998</v>
      </c>
      <c r="G2425" s="35"/>
      <c r="H2425" s="36">
        <f t="shared" si="113"/>
        <v>1372131.3816</v>
      </c>
      <c r="I2425" s="37">
        <f t="shared" si="111"/>
        <v>1372131.3816</v>
      </c>
      <c r="J2425" s="4"/>
      <c r="K2425" s="38">
        <f t="shared" si="112"/>
        <v>0</v>
      </c>
    </row>
    <row r="2426" spans="1:11">
      <c r="A2426" t="s">
        <v>12969</v>
      </c>
      <c r="B2426" t="s">
        <v>12251</v>
      </c>
      <c r="C2426" t="s">
        <v>8430</v>
      </c>
      <c r="D2426" t="s">
        <v>12970</v>
      </c>
      <c r="E2426">
        <v>1944467.64</v>
      </c>
      <c r="G2426" s="35"/>
      <c r="H2426" s="36">
        <f t="shared" si="113"/>
        <v>1225014.6132</v>
      </c>
      <c r="I2426" s="37">
        <f t="shared" si="111"/>
        <v>1225014.6132</v>
      </c>
      <c r="J2426" s="4"/>
      <c r="K2426" s="38">
        <f t="shared" si="112"/>
        <v>0</v>
      </c>
    </row>
    <row r="2427" spans="1:11">
      <c r="A2427" t="s">
        <v>9769</v>
      </c>
      <c r="B2427" t="s">
        <v>12251</v>
      </c>
      <c r="C2427" t="s">
        <v>8430</v>
      </c>
      <c r="D2427" t="s">
        <v>9770</v>
      </c>
      <c r="E2427">
        <v>36958875.439999998</v>
      </c>
      <c r="G2427" s="35"/>
      <c r="H2427" s="36">
        <f t="shared" si="113"/>
        <v>23284091.527199998</v>
      </c>
      <c r="I2427" s="37">
        <f t="shared" si="111"/>
        <v>23284091.527199998</v>
      </c>
      <c r="J2427" s="4"/>
      <c r="K2427" s="38">
        <f t="shared" si="112"/>
        <v>0</v>
      </c>
    </row>
    <row r="2428" spans="1:11">
      <c r="A2428" t="s">
        <v>5620</v>
      </c>
      <c r="B2428" t="s">
        <v>12251</v>
      </c>
      <c r="C2428" t="s">
        <v>8430</v>
      </c>
      <c r="D2428" t="s">
        <v>8451</v>
      </c>
      <c r="E2428">
        <v>44300848.859999999</v>
      </c>
      <c r="G2428" s="35"/>
      <c r="H2428" s="36">
        <f t="shared" si="113"/>
        <v>27909534.781799998</v>
      </c>
      <c r="I2428" s="37">
        <f t="shared" si="111"/>
        <v>27909534.781799998</v>
      </c>
      <c r="J2428" s="4"/>
      <c r="K2428" s="38">
        <f t="shared" si="112"/>
        <v>0</v>
      </c>
    </row>
    <row r="2429" spans="1:11">
      <c r="A2429" t="s">
        <v>11853</v>
      </c>
      <c r="B2429" t="s">
        <v>12251</v>
      </c>
      <c r="C2429" t="s">
        <v>8430</v>
      </c>
      <c r="D2429" t="s">
        <v>11854</v>
      </c>
      <c r="E2429">
        <v>66928539.280000001</v>
      </c>
      <c r="G2429" s="35"/>
      <c r="H2429" s="36">
        <f t="shared" si="113"/>
        <v>42164979.746399999</v>
      </c>
      <c r="I2429" s="37">
        <f t="shared" si="111"/>
        <v>42164979.746399999</v>
      </c>
      <c r="J2429" s="4"/>
      <c r="K2429" s="38">
        <f t="shared" si="112"/>
        <v>0</v>
      </c>
    </row>
    <row r="2430" spans="1:11">
      <c r="A2430" t="s">
        <v>12893</v>
      </c>
      <c r="B2430" t="s">
        <v>12251</v>
      </c>
      <c r="C2430" t="s">
        <v>8430</v>
      </c>
      <c r="D2430" t="s">
        <v>12894</v>
      </c>
      <c r="E2430">
        <v>47947528.630000003</v>
      </c>
      <c r="G2430" s="35"/>
      <c r="H2430" s="36">
        <f t="shared" si="113"/>
        <v>30206943.036900003</v>
      </c>
      <c r="I2430" s="37">
        <f t="shared" si="111"/>
        <v>30206943.036900003</v>
      </c>
      <c r="J2430" s="4"/>
      <c r="K2430" s="38">
        <f t="shared" si="112"/>
        <v>0</v>
      </c>
    </row>
    <row r="2431" spans="1:11">
      <c r="A2431" t="s">
        <v>2952</v>
      </c>
      <c r="B2431" t="s">
        <v>12251</v>
      </c>
      <c r="C2431" t="s">
        <v>8430</v>
      </c>
      <c r="D2431" t="s">
        <v>8452</v>
      </c>
      <c r="E2431">
        <v>299622.40000000002</v>
      </c>
      <c r="G2431" s="35"/>
      <c r="H2431" s="36">
        <f t="shared" si="113"/>
        <v>188762.11200000002</v>
      </c>
      <c r="I2431" s="37">
        <f t="shared" si="111"/>
        <v>188762.11200000002</v>
      </c>
      <c r="J2431" s="4"/>
      <c r="K2431" s="38">
        <f t="shared" si="112"/>
        <v>0</v>
      </c>
    </row>
    <row r="2432" spans="1:11">
      <c r="A2432" t="s">
        <v>2953</v>
      </c>
      <c r="B2432" t="s">
        <v>12251</v>
      </c>
      <c r="C2432" t="s">
        <v>8430</v>
      </c>
      <c r="D2432" t="s">
        <v>8453</v>
      </c>
      <c r="E2432">
        <v>538924.78</v>
      </c>
      <c r="G2432" s="35"/>
      <c r="H2432" s="36">
        <f t="shared" si="113"/>
        <v>339522.61139999999</v>
      </c>
      <c r="I2432" s="37">
        <f t="shared" si="111"/>
        <v>339522.61139999999</v>
      </c>
      <c r="J2432" s="4"/>
      <c r="K2432" s="38">
        <f t="shared" si="112"/>
        <v>0</v>
      </c>
    </row>
    <row r="2433" spans="1:11">
      <c r="A2433" t="s">
        <v>12291</v>
      </c>
      <c r="B2433" t="s">
        <v>12251</v>
      </c>
      <c r="C2433" t="s">
        <v>8430</v>
      </c>
      <c r="D2433" t="s">
        <v>12292</v>
      </c>
      <c r="E2433">
        <v>1425512.1</v>
      </c>
      <c r="G2433" s="35"/>
      <c r="H2433" s="36">
        <f t="shared" si="113"/>
        <v>898072.62300000002</v>
      </c>
      <c r="I2433" s="37">
        <f t="shared" si="111"/>
        <v>898072.62300000002</v>
      </c>
      <c r="J2433" s="4"/>
      <c r="K2433" s="38">
        <f t="shared" si="112"/>
        <v>0</v>
      </c>
    </row>
    <row r="2434" spans="1:11">
      <c r="A2434" t="s">
        <v>2954</v>
      </c>
      <c r="B2434" t="s">
        <v>12251</v>
      </c>
      <c r="C2434" t="s">
        <v>8430</v>
      </c>
      <c r="D2434" t="s">
        <v>8454</v>
      </c>
      <c r="E2434">
        <v>4220119.49</v>
      </c>
      <c r="G2434" s="35"/>
      <c r="H2434" s="36">
        <f t="shared" si="113"/>
        <v>2658675.2787000001</v>
      </c>
      <c r="I2434" s="37">
        <f t="shared" si="111"/>
        <v>2658675.2787000001</v>
      </c>
      <c r="J2434" s="4"/>
      <c r="K2434" s="38">
        <f t="shared" si="112"/>
        <v>0</v>
      </c>
    </row>
    <row r="2435" spans="1:11">
      <c r="A2435" t="s">
        <v>2955</v>
      </c>
      <c r="B2435" t="s">
        <v>12251</v>
      </c>
      <c r="C2435" t="s">
        <v>8430</v>
      </c>
      <c r="D2435" t="s">
        <v>8455</v>
      </c>
      <c r="E2435">
        <v>4272148.3600000003</v>
      </c>
      <c r="G2435" s="35"/>
      <c r="H2435" s="36">
        <f t="shared" si="113"/>
        <v>2691453.4668000001</v>
      </c>
      <c r="I2435" s="37">
        <f t="shared" si="111"/>
        <v>2691453.4668000001</v>
      </c>
      <c r="J2435" s="4"/>
      <c r="K2435" s="38">
        <f t="shared" si="112"/>
        <v>0</v>
      </c>
    </row>
    <row r="2436" spans="1:11">
      <c r="A2436" t="s">
        <v>2956</v>
      </c>
      <c r="B2436" t="s">
        <v>12251</v>
      </c>
      <c r="C2436" t="s">
        <v>8430</v>
      </c>
      <c r="D2436" t="s">
        <v>8456</v>
      </c>
      <c r="E2436">
        <v>5259251.6500000004</v>
      </c>
      <c r="G2436" s="35"/>
      <c r="H2436" s="36">
        <f t="shared" si="113"/>
        <v>3313328.5395000004</v>
      </c>
      <c r="I2436" s="37">
        <f t="shared" si="111"/>
        <v>3313328.5395000004</v>
      </c>
      <c r="J2436" s="4"/>
      <c r="K2436" s="38">
        <f t="shared" si="112"/>
        <v>0</v>
      </c>
    </row>
    <row r="2437" spans="1:11">
      <c r="A2437" t="s">
        <v>2957</v>
      </c>
      <c r="B2437" t="s">
        <v>12251</v>
      </c>
      <c r="C2437" t="s">
        <v>8430</v>
      </c>
      <c r="D2437" t="s">
        <v>8457</v>
      </c>
      <c r="E2437">
        <v>5146522.43</v>
      </c>
      <c r="G2437" s="35"/>
      <c r="H2437" s="36">
        <f t="shared" si="113"/>
        <v>3242309.1308999998</v>
      </c>
      <c r="I2437" s="37">
        <f t="shared" si="111"/>
        <v>3242309.1308999998</v>
      </c>
      <c r="J2437" s="4"/>
      <c r="K2437" s="38">
        <f t="shared" si="112"/>
        <v>0</v>
      </c>
    </row>
    <row r="2438" spans="1:11">
      <c r="A2438" t="s">
        <v>2958</v>
      </c>
      <c r="B2438" t="s">
        <v>12251</v>
      </c>
      <c r="C2438" t="s">
        <v>8430</v>
      </c>
      <c r="D2438" t="s">
        <v>8458</v>
      </c>
      <c r="E2438">
        <v>5656694.4100000001</v>
      </c>
      <c r="G2438" s="35"/>
      <c r="H2438" s="36">
        <f t="shared" si="113"/>
        <v>3563717.4783000001</v>
      </c>
      <c r="I2438" s="37">
        <f t="shared" ref="I2438:I2501" si="114">H2438*$H$4</f>
        <v>3563717.4783000001</v>
      </c>
      <c r="J2438" s="4"/>
      <c r="K2438" s="38">
        <f t="shared" ref="K2438:K2501" si="115">J2438*I2438</f>
        <v>0</v>
      </c>
    </row>
    <row r="2439" spans="1:11">
      <c r="A2439" t="s">
        <v>2959</v>
      </c>
      <c r="B2439" t="s">
        <v>12251</v>
      </c>
      <c r="C2439" t="s">
        <v>8430</v>
      </c>
      <c r="D2439" t="s">
        <v>8459</v>
      </c>
      <c r="E2439">
        <v>887381.29</v>
      </c>
      <c r="G2439" s="35"/>
      <c r="H2439" s="36">
        <f t="shared" ref="H2439:H2502" si="116">+E2439*$H$1*(1-G2439)</f>
        <v>559050.21270000003</v>
      </c>
      <c r="I2439" s="37">
        <f t="shared" si="114"/>
        <v>559050.21270000003</v>
      </c>
      <c r="J2439" s="4"/>
      <c r="K2439" s="38">
        <f t="shared" si="115"/>
        <v>0</v>
      </c>
    </row>
    <row r="2440" spans="1:11">
      <c r="A2440" t="s">
        <v>9869</v>
      </c>
      <c r="B2440" t="s">
        <v>12251</v>
      </c>
      <c r="C2440" t="s">
        <v>8430</v>
      </c>
      <c r="D2440" t="s">
        <v>9870</v>
      </c>
      <c r="E2440">
        <v>13526441.390000001</v>
      </c>
      <c r="G2440" s="35"/>
      <c r="H2440" s="36">
        <f t="shared" si="116"/>
        <v>8521658.0756999999</v>
      </c>
      <c r="I2440" s="37">
        <f t="shared" si="114"/>
        <v>8521658.0756999999</v>
      </c>
      <c r="J2440" s="4"/>
      <c r="K2440" s="38">
        <f t="shared" si="115"/>
        <v>0</v>
      </c>
    </row>
    <row r="2441" spans="1:11">
      <c r="A2441" t="s">
        <v>9871</v>
      </c>
      <c r="B2441" t="s">
        <v>12251</v>
      </c>
      <c r="C2441" t="s">
        <v>8430</v>
      </c>
      <c r="D2441" t="s">
        <v>9872</v>
      </c>
      <c r="E2441">
        <v>27899645.030000001</v>
      </c>
      <c r="G2441" s="35"/>
      <c r="H2441" s="36">
        <f t="shared" si="116"/>
        <v>17576776.368900001</v>
      </c>
      <c r="I2441" s="37">
        <f t="shared" si="114"/>
        <v>17576776.368900001</v>
      </c>
      <c r="J2441" s="4"/>
      <c r="K2441" s="38">
        <f t="shared" si="115"/>
        <v>0</v>
      </c>
    </row>
    <row r="2442" spans="1:11">
      <c r="A2442" t="s">
        <v>9959</v>
      </c>
      <c r="B2442" t="s">
        <v>12251</v>
      </c>
      <c r="C2442" t="s">
        <v>10000</v>
      </c>
      <c r="D2442" t="s">
        <v>10031</v>
      </c>
      <c r="E2442">
        <v>1646895.92</v>
      </c>
      <c r="G2442" s="35"/>
      <c r="H2442" s="36">
        <f t="shared" si="116"/>
        <v>1037544.4295999999</v>
      </c>
      <c r="I2442" s="37">
        <f t="shared" si="114"/>
        <v>1037544.4295999999</v>
      </c>
      <c r="J2442" s="4"/>
      <c r="K2442" s="38">
        <f t="shared" si="115"/>
        <v>0</v>
      </c>
    </row>
    <row r="2443" spans="1:11">
      <c r="A2443" t="s">
        <v>11855</v>
      </c>
      <c r="B2443" t="s">
        <v>12251</v>
      </c>
      <c r="C2443" t="s">
        <v>10000</v>
      </c>
      <c r="D2443" t="s">
        <v>11856</v>
      </c>
      <c r="E2443">
        <v>266170.65999999997</v>
      </c>
      <c r="G2443" s="35"/>
      <c r="H2443" s="36">
        <f t="shared" si="116"/>
        <v>167687.51579999999</v>
      </c>
      <c r="I2443" s="37">
        <f t="shared" si="114"/>
        <v>167687.51579999999</v>
      </c>
      <c r="J2443" s="4"/>
      <c r="K2443" s="38">
        <f t="shared" si="115"/>
        <v>0</v>
      </c>
    </row>
    <row r="2444" spans="1:11">
      <c r="A2444" t="s">
        <v>9791</v>
      </c>
      <c r="B2444" t="s">
        <v>12251</v>
      </c>
      <c r="C2444" t="s">
        <v>10000</v>
      </c>
      <c r="D2444" t="s">
        <v>12895</v>
      </c>
      <c r="E2444">
        <v>178733.25</v>
      </c>
      <c r="G2444" s="35"/>
      <c r="H2444" s="36">
        <f t="shared" si="116"/>
        <v>112601.94749999999</v>
      </c>
      <c r="I2444" s="37">
        <f t="shared" si="114"/>
        <v>112601.94749999999</v>
      </c>
      <c r="J2444" s="4"/>
      <c r="K2444" s="38">
        <f t="shared" si="115"/>
        <v>0</v>
      </c>
    </row>
    <row r="2445" spans="1:11">
      <c r="A2445" t="s">
        <v>9792</v>
      </c>
      <c r="B2445" t="s">
        <v>12251</v>
      </c>
      <c r="C2445" t="s">
        <v>10000</v>
      </c>
      <c r="D2445" t="s">
        <v>12896</v>
      </c>
      <c r="E2445">
        <v>353291.71</v>
      </c>
      <c r="G2445" s="35"/>
      <c r="H2445" s="36">
        <f t="shared" si="116"/>
        <v>222573.77730000002</v>
      </c>
      <c r="I2445" s="37">
        <f t="shared" si="114"/>
        <v>222573.77730000002</v>
      </c>
      <c r="J2445" s="4"/>
      <c r="K2445" s="38">
        <f t="shared" si="115"/>
        <v>0</v>
      </c>
    </row>
    <row r="2446" spans="1:11">
      <c r="A2446" t="s">
        <v>10188</v>
      </c>
      <c r="B2446" t="s">
        <v>12251</v>
      </c>
      <c r="C2446" t="s">
        <v>10000</v>
      </c>
      <c r="D2446" t="s">
        <v>10189</v>
      </c>
      <c r="E2446">
        <v>521302.45</v>
      </c>
      <c r="G2446" s="35"/>
      <c r="H2446" s="36">
        <f t="shared" si="116"/>
        <v>328420.54350000003</v>
      </c>
      <c r="I2446" s="37">
        <f t="shared" si="114"/>
        <v>328420.54350000003</v>
      </c>
      <c r="J2446" s="4"/>
      <c r="K2446" s="38">
        <f t="shared" si="115"/>
        <v>0</v>
      </c>
    </row>
    <row r="2447" spans="1:11">
      <c r="A2447" t="s">
        <v>12293</v>
      </c>
      <c r="B2447" t="s">
        <v>12251</v>
      </c>
      <c r="C2447" t="s">
        <v>10000</v>
      </c>
      <c r="D2447" t="s">
        <v>12294</v>
      </c>
      <c r="E2447">
        <v>393637.82</v>
      </c>
      <c r="G2447" s="35"/>
      <c r="H2447" s="36">
        <f t="shared" si="116"/>
        <v>247991.8266</v>
      </c>
      <c r="I2447" s="37">
        <f t="shared" si="114"/>
        <v>247991.8266</v>
      </c>
      <c r="J2447" s="4"/>
      <c r="K2447" s="38">
        <f t="shared" si="115"/>
        <v>0</v>
      </c>
    </row>
    <row r="2448" spans="1:11">
      <c r="A2448" t="s">
        <v>11222</v>
      </c>
      <c r="B2448" t="s">
        <v>12251</v>
      </c>
      <c r="C2448" t="s">
        <v>10000</v>
      </c>
      <c r="D2448" t="s">
        <v>11223</v>
      </c>
      <c r="E2448">
        <v>1325603.78</v>
      </c>
      <c r="G2448" s="35"/>
      <c r="H2448" s="36">
        <f t="shared" si="116"/>
        <v>835130.38140000007</v>
      </c>
      <c r="I2448" s="37">
        <f t="shared" si="114"/>
        <v>835130.38140000007</v>
      </c>
      <c r="J2448" s="4"/>
      <c r="K2448" s="38">
        <f t="shared" si="115"/>
        <v>0</v>
      </c>
    </row>
    <row r="2449" spans="1:11">
      <c r="A2449" t="s">
        <v>12368</v>
      </c>
      <c r="B2449" t="s">
        <v>12251</v>
      </c>
      <c r="C2449" t="s">
        <v>12271</v>
      </c>
      <c r="D2449" t="s">
        <v>12369</v>
      </c>
      <c r="E2449">
        <v>627184.93999999994</v>
      </c>
      <c r="G2449" s="35"/>
      <c r="H2449" s="36">
        <f t="shared" si="116"/>
        <v>395126.51219999994</v>
      </c>
      <c r="I2449" s="37">
        <f t="shared" si="114"/>
        <v>395126.51219999994</v>
      </c>
      <c r="J2449" s="4"/>
      <c r="K2449" s="38">
        <f t="shared" si="115"/>
        <v>0</v>
      </c>
    </row>
    <row r="2450" spans="1:11">
      <c r="A2450" t="s">
        <v>12370</v>
      </c>
      <c r="B2450" t="s">
        <v>12251</v>
      </c>
      <c r="C2450" t="s">
        <v>12271</v>
      </c>
      <c r="D2450" t="s">
        <v>12371</v>
      </c>
      <c r="E2450">
        <v>721938.58</v>
      </c>
      <c r="G2450" s="35"/>
      <c r="H2450" s="36">
        <f t="shared" si="116"/>
        <v>454821.30539999995</v>
      </c>
      <c r="I2450" s="37">
        <f t="shared" si="114"/>
        <v>454821.30539999995</v>
      </c>
      <c r="J2450" s="4"/>
      <c r="K2450" s="38">
        <f t="shared" si="115"/>
        <v>0</v>
      </c>
    </row>
    <row r="2451" spans="1:11">
      <c r="A2451" t="s">
        <v>12372</v>
      </c>
      <c r="B2451" t="s">
        <v>12251</v>
      </c>
      <c r="C2451" t="s">
        <v>12271</v>
      </c>
      <c r="D2451" t="s">
        <v>12373</v>
      </c>
      <c r="E2451">
        <v>1113932.82</v>
      </c>
      <c r="G2451" s="35"/>
      <c r="H2451" s="36">
        <f t="shared" si="116"/>
        <v>701777.67660000001</v>
      </c>
      <c r="I2451" s="37">
        <f t="shared" si="114"/>
        <v>701777.67660000001</v>
      </c>
      <c r="J2451" s="4"/>
      <c r="K2451" s="38">
        <f t="shared" si="115"/>
        <v>0</v>
      </c>
    </row>
    <row r="2452" spans="1:11">
      <c r="A2452" t="s">
        <v>12374</v>
      </c>
      <c r="B2452" t="s">
        <v>12251</v>
      </c>
      <c r="C2452" t="s">
        <v>12271</v>
      </c>
      <c r="D2452" t="s">
        <v>12375</v>
      </c>
      <c r="E2452">
        <v>1227908</v>
      </c>
      <c r="G2452" s="35"/>
      <c r="H2452" s="36">
        <f t="shared" si="116"/>
        <v>773582.04</v>
      </c>
      <c r="I2452" s="37">
        <f t="shared" si="114"/>
        <v>773582.04</v>
      </c>
      <c r="J2452" s="4"/>
      <c r="K2452" s="38">
        <f t="shared" si="115"/>
        <v>0</v>
      </c>
    </row>
    <row r="2453" spans="1:11">
      <c r="A2453" t="s">
        <v>12897</v>
      </c>
      <c r="B2453" t="s">
        <v>12251</v>
      </c>
      <c r="C2453" t="s">
        <v>12271</v>
      </c>
      <c r="D2453" t="s">
        <v>12898</v>
      </c>
      <c r="E2453">
        <v>176476.26</v>
      </c>
      <c r="G2453" s="35"/>
      <c r="H2453" s="36">
        <f t="shared" si="116"/>
        <v>111180.0438</v>
      </c>
      <c r="I2453" s="37">
        <f t="shared" si="114"/>
        <v>111180.0438</v>
      </c>
      <c r="J2453" s="4"/>
      <c r="K2453" s="38">
        <f t="shared" si="115"/>
        <v>0</v>
      </c>
    </row>
    <row r="2454" spans="1:11">
      <c r="A2454" t="s">
        <v>12376</v>
      </c>
      <c r="B2454" t="s">
        <v>12251</v>
      </c>
      <c r="C2454" t="s">
        <v>12271</v>
      </c>
      <c r="D2454" t="s">
        <v>12377</v>
      </c>
      <c r="E2454">
        <v>505358.07</v>
      </c>
      <c r="G2454" s="35"/>
      <c r="H2454" s="36">
        <f t="shared" si="116"/>
        <v>318375.58409999998</v>
      </c>
      <c r="I2454" s="37">
        <f t="shared" si="114"/>
        <v>318375.58409999998</v>
      </c>
      <c r="J2454" s="4"/>
      <c r="K2454" s="38">
        <f t="shared" si="115"/>
        <v>0</v>
      </c>
    </row>
    <row r="2455" spans="1:11">
      <c r="A2455" t="s">
        <v>12356</v>
      </c>
      <c r="B2455" t="s">
        <v>12251</v>
      </c>
      <c r="C2455" t="s">
        <v>12271</v>
      </c>
      <c r="D2455" t="s">
        <v>12357</v>
      </c>
      <c r="E2455">
        <v>600113.04</v>
      </c>
      <c r="G2455" s="35"/>
      <c r="H2455" s="36">
        <f t="shared" si="116"/>
        <v>378071.21520000004</v>
      </c>
      <c r="I2455" s="37">
        <f t="shared" si="114"/>
        <v>378071.21520000004</v>
      </c>
      <c r="J2455" s="4"/>
      <c r="K2455" s="38">
        <f t="shared" si="115"/>
        <v>0</v>
      </c>
    </row>
    <row r="2456" spans="1:11">
      <c r="A2456" t="s">
        <v>12270</v>
      </c>
      <c r="B2456" t="s">
        <v>12251</v>
      </c>
      <c r="C2456" t="s">
        <v>12271</v>
      </c>
      <c r="D2456" t="s">
        <v>12295</v>
      </c>
      <c r="E2456">
        <v>756803.66</v>
      </c>
      <c r="G2456" s="35"/>
      <c r="H2456" s="36">
        <f t="shared" si="116"/>
        <v>476786.30580000003</v>
      </c>
      <c r="I2456" s="37">
        <f t="shared" si="114"/>
        <v>476786.30580000003</v>
      </c>
      <c r="J2456" s="4"/>
      <c r="K2456" s="38">
        <f t="shared" si="115"/>
        <v>0</v>
      </c>
    </row>
    <row r="2457" spans="1:11">
      <c r="A2457" t="s">
        <v>12000</v>
      </c>
      <c r="B2457" t="s">
        <v>12251</v>
      </c>
      <c r="C2457" t="s">
        <v>12001</v>
      </c>
      <c r="D2457" t="s">
        <v>12002</v>
      </c>
      <c r="E2457">
        <v>481621.66</v>
      </c>
      <c r="G2457" s="35"/>
      <c r="H2457" s="36">
        <f t="shared" si="116"/>
        <v>303421.6458</v>
      </c>
      <c r="I2457" s="37">
        <f t="shared" si="114"/>
        <v>303421.6458</v>
      </c>
      <c r="J2457" s="4"/>
      <c r="K2457" s="38">
        <f t="shared" si="115"/>
        <v>0</v>
      </c>
    </row>
    <row r="2458" spans="1:11">
      <c r="A2458" t="s">
        <v>12003</v>
      </c>
      <c r="B2458" t="s">
        <v>12251</v>
      </c>
      <c r="C2458" t="s">
        <v>12001</v>
      </c>
      <c r="D2458" t="s">
        <v>12004</v>
      </c>
      <c r="E2458">
        <v>514154.48</v>
      </c>
      <c r="G2458" s="35"/>
      <c r="H2458" s="36">
        <f t="shared" si="116"/>
        <v>323917.3224</v>
      </c>
      <c r="I2458" s="37">
        <f t="shared" si="114"/>
        <v>323917.3224</v>
      </c>
      <c r="J2458" s="4"/>
      <c r="K2458" s="38">
        <f t="shared" si="115"/>
        <v>0</v>
      </c>
    </row>
    <row r="2459" spans="1:11">
      <c r="A2459" t="s">
        <v>12005</v>
      </c>
      <c r="B2459" t="s">
        <v>12251</v>
      </c>
      <c r="C2459" t="s">
        <v>12001</v>
      </c>
      <c r="D2459" t="s">
        <v>12006</v>
      </c>
      <c r="E2459">
        <v>66600.09</v>
      </c>
      <c r="G2459" s="35"/>
      <c r="H2459" s="36">
        <f t="shared" si="116"/>
        <v>41958.056700000001</v>
      </c>
      <c r="I2459" s="37">
        <f t="shared" si="114"/>
        <v>41958.056700000001</v>
      </c>
      <c r="J2459" s="4"/>
      <c r="K2459" s="38">
        <f t="shared" si="115"/>
        <v>0</v>
      </c>
    </row>
    <row r="2460" spans="1:11">
      <c r="A2460" t="s">
        <v>12007</v>
      </c>
      <c r="B2460" t="s">
        <v>12251</v>
      </c>
      <c r="C2460" t="s">
        <v>12001</v>
      </c>
      <c r="D2460" t="s">
        <v>12008</v>
      </c>
      <c r="E2460">
        <v>117660</v>
      </c>
      <c r="G2460" s="35"/>
      <c r="H2460" s="36">
        <f t="shared" si="116"/>
        <v>74125.8</v>
      </c>
      <c r="I2460" s="37">
        <f t="shared" si="114"/>
        <v>74125.8</v>
      </c>
      <c r="J2460" s="4"/>
      <c r="K2460" s="38">
        <f t="shared" si="115"/>
        <v>0</v>
      </c>
    </row>
    <row r="2461" spans="1:11">
      <c r="A2461" t="s">
        <v>12009</v>
      </c>
      <c r="B2461" t="s">
        <v>12251</v>
      </c>
      <c r="C2461" t="s">
        <v>12001</v>
      </c>
      <c r="D2461" t="s">
        <v>12010</v>
      </c>
      <c r="E2461">
        <v>348300.63</v>
      </c>
      <c r="G2461" s="35"/>
      <c r="H2461" s="36">
        <f t="shared" si="116"/>
        <v>219429.39689999999</v>
      </c>
      <c r="I2461" s="37">
        <f t="shared" si="114"/>
        <v>219429.39689999999</v>
      </c>
      <c r="J2461" s="4"/>
      <c r="K2461" s="38">
        <f t="shared" si="115"/>
        <v>0</v>
      </c>
    </row>
    <row r="2462" spans="1:11">
      <c r="A2462" t="s">
        <v>12011</v>
      </c>
      <c r="B2462" t="s">
        <v>12251</v>
      </c>
      <c r="C2462" t="s">
        <v>12001</v>
      </c>
      <c r="D2462" t="s">
        <v>12012</v>
      </c>
      <c r="E2462">
        <v>383111.82</v>
      </c>
      <c r="G2462" s="35"/>
      <c r="H2462" s="36">
        <f t="shared" si="116"/>
        <v>241360.4466</v>
      </c>
      <c r="I2462" s="37">
        <f t="shared" si="114"/>
        <v>241360.4466</v>
      </c>
      <c r="J2462" s="4"/>
      <c r="K2462" s="38">
        <f t="shared" si="115"/>
        <v>0</v>
      </c>
    </row>
    <row r="2463" spans="1:11">
      <c r="A2463" t="s">
        <v>12296</v>
      </c>
      <c r="B2463" t="s">
        <v>12251</v>
      </c>
      <c r="C2463" t="s">
        <v>12584</v>
      </c>
      <c r="D2463" t="s">
        <v>12297</v>
      </c>
      <c r="E2463">
        <v>833554.45</v>
      </c>
      <c r="G2463" s="35"/>
      <c r="H2463" s="36">
        <f t="shared" si="116"/>
        <v>525139.30349999992</v>
      </c>
      <c r="I2463" s="37">
        <f t="shared" si="114"/>
        <v>525139.30349999992</v>
      </c>
      <c r="J2463" s="4"/>
      <c r="K2463" s="38">
        <f t="shared" si="115"/>
        <v>0</v>
      </c>
    </row>
    <row r="2464" spans="1:11">
      <c r="A2464" t="s">
        <v>3117</v>
      </c>
      <c r="B2464" t="s">
        <v>12251</v>
      </c>
      <c r="C2464" t="s">
        <v>8625</v>
      </c>
      <c r="D2464" t="s">
        <v>8626</v>
      </c>
      <c r="E2464">
        <v>357307.4</v>
      </c>
      <c r="G2464" s="35"/>
      <c r="H2464" s="36">
        <f t="shared" si="116"/>
        <v>225103.66200000001</v>
      </c>
      <c r="I2464" s="37">
        <f t="shared" si="114"/>
        <v>225103.66200000001</v>
      </c>
      <c r="J2464" s="4"/>
      <c r="K2464" s="38">
        <f t="shared" si="115"/>
        <v>0</v>
      </c>
    </row>
    <row r="2465" spans="1:11">
      <c r="A2465" t="s">
        <v>3118</v>
      </c>
      <c r="B2465" t="s">
        <v>12251</v>
      </c>
      <c r="C2465" t="s">
        <v>8625</v>
      </c>
      <c r="D2465" t="s">
        <v>8627</v>
      </c>
      <c r="E2465">
        <v>376096.95</v>
      </c>
      <c r="G2465" s="35"/>
      <c r="H2465" s="36">
        <f t="shared" si="116"/>
        <v>236941.0785</v>
      </c>
      <c r="I2465" s="37">
        <f t="shared" si="114"/>
        <v>236941.0785</v>
      </c>
      <c r="J2465" s="4"/>
      <c r="K2465" s="38">
        <f t="shared" si="115"/>
        <v>0</v>
      </c>
    </row>
    <row r="2466" spans="1:11">
      <c r="A2466" t="s">
        <v>3119</v>
      </c>
      <c r="B2466" t="s">
        <v>12251</v>
      </c>
      <c r="C2466" t="s">
        <v>8625</v>
      </c>
      <c r="D2466" t="s">
        <v>8628</v>
      </c>
      <c r="E2466">
        <v>424648.05</v>
      </c>
      <c r="G2466" s="35"/>
      <c r="H2466" s="36">
        <f t="shared" si="116"/>
        <v>267528.27149999997</v>
      </c>
      <c r="I2466" s="37">
        <f t="shared" si="114"/>
        <v>267528.27149999997</v>
      </c>
      <c r="J2466" s="4"/>
      <c r="K2466" s="38">
        <f t="shared" si="115"/>
        <v>0</v>
      </c>
    </row>
    <row r="2467" spans="1:11">
      <c r="A2467" t="s">
        <v>3120</v>
      </c>
      <c r="B2467" t="s">
        <v>12251</v>
      </c>
      <c r="C2467" t="s">
        <v>8625</v>
      </c>
      <c r="D2467" t="s">
        <v>12358</v>
      </c>
      <c r="E2467">
        <v>505872.5</v>
      </c>
      <c r="G2467" s="35"/>
      <c r="H2467" s="36">
        <f t="shared" si="116"/>
        <v>318699.67499999999</v>
      </c>
      <c r="I2467" s="37">
        <f t="shared" si="114"/>
        <v>318699.67499999999</v>
      </c>
      <c r="J2467" s="4"/>
      <c r="K2467" s="38">
        <f t="shared" si="115"/>
        <v>0</v>
      </c>
    </row>
    <row r="2468" spans="1:11">
      <c r="A2468" t="s">
        <v>3121</v>
      </c>
      <c r="B2468" t="s">
        <v>12251</v>
      </c>
      <c r="C2468" t="s">
        <v>8625</v>
      </c>
      <c r="D2468" t="s">
        <v>8629</v>
      </c>
      <c r="E2468">
        <v>565374.5</v>
      </c>
      <c r="G2468" s="35"/>
      <c r="H2468" s="36">
        <f t="shared" si="116"/>
        <v>356185.935</v>
      </c>
      <c r="I2468" s="37">
        <f t="shared" si="114"/>
        <v>356185.935</v>
      </c>
      <c r="J2468" s="4"/>
      <c r="K2468" s="38">
        <f t="shared" si="115"/>
        <v>0</v>
      </c>
    </row>
    <row r="2469" spans="1:11">
      <c r="A2469" t="s">
        <v>3122</v>
      </c>
      <c r="B2469" t="s">
        <v>12251</v>
      </c>
      <c r="C2469" t="s">
        <v>8625</v>
      </c>
      <c r="D2469" t="s">
        <v>8630</v>
      </c>
      <c r="E2469">
        <v>595790.15</v>
      </c>
      <c r="G2469" s="35"/>
      <c r="H2469" s="36">
        <f t="shared" si="116"/>
        <v>375347.79450000002</v>
      </c>
      <c r="I2469" s="37">
        <f t="shared" si="114"/>
        <v>375347.79450000002</v>
      </c>
      <c r="J2469" s="4"/>
      <c r="K2469" s="38">
        <f t="shared" si="115"/>
        <v>0</v>
      </c>
    </row>
    <row r="2470" spans="1:11">
      <c r="A2470" t="s">
        <v>3123</v>
      </c>
      <c r="B2470" t="s">
        <v>12251</v>
      </c>
      <c r="C2470" t="s">
        <v>8625</v>
      </c>
      <c r="D2470" t="s">
        <v>8631</v>
      </c>
      <c r="E2470">
        <v>732855.75</v>
      </c>
      <c r="G2470" s="35"/>
      <c r="H2470" s="36">
        <f t="shared" si="116"/>
        <v>461699.1225</v>
      </c>
      <c r="I2470" s="37">
        <f t="shared" si="114"/>
        <v>461699.1225</v>
      </c>
      <c r="J2470" s="4"/>
      <c r="K2470" s="38">
        <f t="shared" si="115"/>
        <v>0</v>
      </c>
    </row>
    <row r="2471" spans="1:11">
      <c r="A2471" t="s">
        <v>3124</v>
      </c>
      <c r="B2471" t="s">
        <v>12251</v>
      </c>
      <c r="C2471" t="s">
        <v>8625</v>
      </c>
      <c r="D2471" t="s">
        <v>8632</v>
      </c>
      <c r="E2471">
        <v>750738</v>
      </c>
      <c r="G2471" s="35"/>
      <c r="H2471" s="36">
        <f t="shared" si="116"/>
        <v>472964.94</v>
      </c>
      <c r="I2471" s="37">
        <f t="shared" si="114"/>
        <v>472964.94</v>
      </c>
      <c r="J2471" s="4"/>
      <c r="K2471" s="38">
        <f t="shared" si="115"/>
        <v>0</v>
      </c>
    </row>
    <row r="2472" spans="1:11">
      <c r="A2472" t="s">
        <v>9882</v>
      </c>
      <c r="B2472" t="s">
        <v>12251</v>
      </c>
      <c r="C2472" t="s">
        <v>8625</v>
      </c>
      <c r="D2472" t="s">
        <v>9883</v>
      </c>
      <c r="E2472">
        <v>516528</v>
      </c>
      <c r="G2472" s="35"/>
      <c r="H2472" s="36">
        <f t="shared" si="116"/>
        <v>325412.64</v>
      </c>
      <c r="I2472" s="37">
        <f t="shared" si="114"/>
        <v>325412.64</v>
      </c>
      <c r="J2472" s="4"/>
      <c r="K2472" s="38">
        <f t="shared" si="115"/>
        <v>0</v>
      </c>
    </row>
    <row r="2473" spans="1:11">
      <c r="A2473" t="s">
        <v>9884</v>
      </c>
      <c r="B2473" t="s">
        <v>12251</v>
      </c>
      <c r="C2473" t="s">
        <v>8625</v>
      </c>
      <c r="D2473" t="s">
        <v>10128</v>
      </c>
      <c r="E2473">
        <v>547756</v>
      </c>
      <c r="G2473" s="35"/>
      <c r="H2473" s="36">
        <f t="shared" si="116"/>
        <v>345086.28</v>
      </c>
      <c r="I2473" s="37">
        <f t="shared" si="114"/>
        <v>345086.28</v>
      </c>
      <c r="J2473" s="4"/>
      <c r="K2473" s="38">
        <f t="shared" si="115"/>
        <v>0</v>
      </c>
    </row>
    <row r="2474" spans="1:11">
      <c r="A2474" t="s">
        <v>3155</v>
      </c>
      <c r="B2474" t="s">
        <v>12251</v>
      </c>
      <c r="C2474" t="s">
        <v>8663</v>
      </c>
      <c r="D2474" t="s">
        <v>8664</v>
      </c>
      <c r="E2474">
        <v>416504.8</v>
      </c>
      <c r="G2474" s="35"/>
      <c r="H2474" s="36">
        <f t="shared" si="116"/>
        <v>262398.02399999998</v>
      </c>
      <c r="I2474" s="37">
        <f t="shared" si="114"/>
        <v>262398.02399999998</v>
      </c>
      <c r="J2474" s="4"/>
      <c r="K2474" s="38">
        <f t="shared" si="115"/>
        <v>0</v>
      </c>
    </row>
    <row r="2475" spans="1:11">
      <c r="A2475" t="s">
        <v>3156</v>
      </c>
      <c r="B2475" t="s">
        <v>12251</v>
      </c>
      <c r="C2475" t="s">
        <v>8663</v>
      </c>
      <c r="D2475" t="s">
        <v>8665</v>
      </c>
      <c r="E2475">
        <v>520927.65</v>
      </c>
      <c r="G2475" s="35"/>
      <c r="H2475" s="36">
        <f t="shared" si="116"/>
        <v>328184.41950000002</v>
      </c>
      <c r="I2475" s="37">
        <f t="shared" si="114"/>
        <v>328184.41950000002</v>
      </c>
      <c r="J2475" s="4"/>
      <c r="K2475" s="38">
        <f t="shared" si="115"/>
        <v>0</v>
      </c>
    </row>
    <row r="2476" spans="1:11">
      <c r="A2476" t="s">
        <v>3157</v>
      </c>
      <c r="B2476" t="s">
        <v>12251</v>
      </c>
      <c r="C2476" t="s">
        <v>8663</v>
      </c>
      <c r="D2476" t="s">
        <v>8666</v>
      </c>
      <c r="E2476">
        <v>798597.51</v>
      </c>
      <c r="G2476" s="35"/>
      <c r="H2476" s="36">
        <f t="shared" si="116"/>
        <v>503116.4313</v>
      </c>
      <c r="I2476" s="37">
        <f t="shared" si="114"/>
        <v>503116.4313</v>
      </c>
      <c r="J2476" s="4"/>
      <c r="K2476" s="38">
        <f t="shared" si="115"/>
        <v>0</v>
      </c>
    </row>
    <row r="2477" spans="1:11">
      <c r="A2477" t="s">
        <v>3158</v>
      </c>
      <c r="B2477" t="s">
        <v>12251</v>
      </c>
      <c r="C2477" t="s">
        <v>8663</v>
      </c>
      <c r="D2477" t="s">
        <v>8667</v>
      </c>
      <c r="E2477">
        <v>558899.61</v>
      </c>
      <c r="G2477" s="35"/>
      <c r="H2477" s="36">
        <f t="shared" si="116"/>
        <v>352106.75429999997</v>
      </c>
      <c r="I2477" s="37">
        <f t="shared" si="114"/>
        <v>352106.75429999997</v>
      </c>
      <c r="J2477" s="4"/>
      <c r="K2477" s="38">
        <f t="shared" si="115"/>
        <v>0</v>
      </c>
    </row>
    <row r="2478" spans="1:11">
      <c r="A2478" t="s">
        <v>3159</v>
      </c>
      <c r="B2478" t="s">
        <v>12251</v>
      </c>
      <c r="C2478" t="s">
        <v>8663</v>
      </c>
      <c r="D2478" t="s">
        <v>8668</v>
      </c>
      <c r="E2478">
        <v>729773.37</v>
      </c>
      <c r="G2478" s="35"/>
      <c r="H2478" s="36">
        <f t="shared" si="116"/>
        <v>459757.2231</v>
      </c>
      <c r="I2478" s="37">
        <f t="shared" si="114"/>
        <v>459757.2231</v>
      </c>
      <c r="J2478" s="4"/>
      <c r="K2478" s="38">
        <f t="shared" si="115"/>
        <v>0</v>
      </c>
    </row>
    <row r="2479" spans="1:11">
      <c r="A2479" t="s">
        <v>3161</v>
      </c>
      <c r="B2479" t="s">
        <v>12251</v>
      </c>
      <c r="C2479" t="s">
        <v>8663</v>
      </c>
      <c r="D2479" t="s">
        <v>8669</v>
      </c>
      <c r="E2479">
        <v>511256.97</v>
      </c>
      <c r="G2479" s="35"/>
      <c r="H2479" s="36">
        <f t="shared" si="116"/>
        <v>322091.89110000001</v>
      </c>
      <c r="I2479" s="37">
        <f t="shared" si="114"/>
        <v>322091.89110000001</v>
      </c>
      <c r="J2479" s="4"/>
      <c r="K2479" s="38">
        <f t="shared" si="115"/>
        <v>0</v>
      </c>
    </row>
    <row r="2480" spans="1:11">
      <c r="A2480" t="s">
        <v>3162</v>
      </c>
      <c r="B2480" t="s">
        <v>12251</v>
      </c>
      <c r="C2480" t="s">
        <v>8663</v>
      </c>
      <c r="D2480" t="s">
        <v>8670</v>
      </c>
      <c r="E2480">
        <v>1469039.71</v>
      </c>
      <c r="G2480" s="35"/>
      <c r="H2480" s="36">
        <f t="shared" si="116"/>
        <v>925495.01729999995</v>
      </c>
      <c r="I2480" s="37">
        <f t="shared" si="114"/>
        <v>925495.01729999995</v>
      </c>
      <c r="J2480" s="4"/>
      <c r="K2480" s="38">
        <f t="shared" si="115"/>
        <v>0</v>
      </c>
    </row>
    <row r="2481" spans="1:11">
      <c r="A2481" t="s">
        <v>3163</v>
      </c>
      <c r="B2481" t="s">
        <v>12251</v>
      </c>
      <c r="C2481" t="s">
        <v>8663</v>
      </c>
      <c r="D2481" t="s">
        <v>8671</v>
      </c>
      <c r="E2481">
        <v>1727723.62</v>
      </c>
      <c r="G2481" s="35"/>
      <c r="H2481" s="36">
        <f t="shared" si="116"/>
        <v>1088465.8806</v>
      </c>
      <c r="I2481" s="37">
        <f t="shared" si="114"/>
        <v>1088465.8806</v>
      </c>
      <c r="J2481" s="4"/>
      <c r="K2481" s="38">
        <f t="shared" si="115"/>
        <v>0</v>
      </c>
    </row>
    <row r="2482" spans="1:11">
      <c r="A2482" t="s">
        <v>3164</v>
      </c>
      <c r="B2482" t="s">
        <v>12251</v>
      </c>
      <c r="C2482" t="s">
        <v>8663</v>
      </c>
      <c r="D2482" t="s">
        <v>8672</v>
      </c>
      <c r="E2482">
        <v>2064724.65</v>
      </c>
      <c r="G2482" s="35"/>
      <c r="H2482" s="36">
        <f t="shared" si="116"/>
        <v>1300776.5294999999</v>
      </c>
      <c r="I2482" s="37">
        <f t="shared" si="114"/>
        <v>1300776.5294999999</v>
      </c>
      <c r="J2482" s="4"/>
      <c r="K2482" s="38">
        <f t="shared" si="115"/>
        <v>0</v>
      </c>
    </row>
    <row r="2483" spans="1:11">
      <c r="A2483" t="s">
        <v>3165</v>
      </c>
      <c r="B2483" t="s">
        <v>12251</v>
      </c>
      <c r="C2483" t="s">
        <v>8663</v>
      </c>
      <c r="D2483" t="s">
        <v>8673</v>
      </c>
      <c r="E2483">
        <v>2064724.65</v>
      </c>
      <c r="G2483" s="35"/>
      <c r="H2483" s="36">
        <f t="shared" si="116"/>
        <v>1300776.5294999999</v>
      </c>
      <c r="I2483" s="37">
        <f t="shared" si="114"/>
        <v>1300776.5294999999</v>
      </c>
      <c r="J2483" s="4"/>
      <c r="K2483" s="38">
        <f t="shared" si="115"/>
        <v>0</v>
      </c>
    </row>
    <row r="2484" spans="1:11">
      <c r="A2484" t="s">
        <v>3166</v>
      </c>
      <c r="B2484" t="s">
        <v>12251</v>
      </c>
      <c r="C2484" t="s">
        <v>8663</v>
      </c>
      <c r="D2484" t="s">
        <v>8674</v>
      </c>
      <c r="E2484">
        <v>2318662.04</v>
      </c>
      <c r="G2484" s="35"/>
      <c r="H2484" s="36">
        <f t="shared" si="116"/>
        <v>1460757.0852000001</v>
      </c>
      <c r="I2484" s="37">
        <f t="shared" si="114"/>
        <v>1460757.0852000001</v>
      </c>
      <c r="J2484" s="4"/>
      <c r="K2484" s="38">
        <f t="shared" si="115"/>
        <v>0</v>
      </c>
    </row>
    <row r="2485" spans="1:11">
      <c r="A2485" t="s">
        <v>3167</v>
      </c>
      <c r="B2485" t="s">
        <v>12251</v>
      </c>
      <c r="C2485" t="s">
        <v>8663</v>
      </c>
      <c r="D2485" t="s">
        <v>8675</v>
      </c>
      <c r="E2485">
        <v>2317344.46</v>
      </c>
      <c r="G2485" s="35"/>
      <c r="H2485" s="36">
        <f t="shared" si="116"/>
        <v>1459927.0097999999</v>
      </c>
      <c r="I2485" s="37">
        <f t="shared" si="114"/>
        <v>1459927.0097999999</v>
      </c>
      <c r="J2485" s="4"/>
      <c r="K2485" s="38">
        <f t="shared" si="115"/>
        <v>0</v>
      </c>
    </row>
    <row r="2486" spans="1:11">
      <c r="A2486" t="s">
        <v>9945</v>
      </c>
      <c r="B2486" t="s">
        <v>12251</v>
      </c>
      <c r="C2486" t="s">
        <v>8663</v>
      </c>
      <c r="D2486" t="s">
        <v>9946</v>
      </c>
      <c r="E2486">
        <v>1266035.8500000001</v>
      </c>
      <c r="G2486" s="35"/>
      <c r="H2486" s="36">
        <f t="shared" si="116"/>
        <v>797602.58550000004</v>
      </c>
      <c r="I2486" s="37">
        <f t="shared" si="114"/>
        <v>797602.58550000004</v>
      </c>
      <c r="J2486" s="4"/>
      <c r="K2486" s="38">
        <f t="shared" si="115"/>
        <v>0</v>
      </c>
    </row>
    <row r="2487" spans="1:11">
      <c r="A2487" t="s">
        <v>3168</v>
      </c>
      <c r="B2487" t="s">
        <v>12251</v>
      </c>
      <c r="C2487" t="s">
        <v>8663</v>
      </c>
      <c r="D2487" t="s">
        <v>8676</v>
      </c>
      <c r="E2487">
        <v>1729092.8</v>
      </c>
      <c r="G2487" s="35"/>
      <c r="H2487" s="36">
        <f t="shared" si="116"/>
        <v>1089328.4640000002</v>
      </c>
      <c r="I2487" s="37">
        <f t="shared" si="114"/>
        <v>1089328.4640000002</v>
      </c>
      <c r="J2487" s="4"/>
      <c r="K2487" s="38">
        <f t="shared" si="115"/>
        <v>0</v>
      </c>
    </row>
    <row r="2488" spans="1:11">
      <c r="A2488" t="s">
        <v>9947</v>
      </c>
      <c r="B2488" t="s">
        <v>12251</v>
      </c>
      <c r="C2488" t="s">
        <v>8663</v>
      </c>
      <c r="D2488" t="s">
        <v>8676</v>
      </c>
      <c r="E2488">
        <v>1729092.8</v>
      </c>
      <c r="G2488" s="35"/>
      <c r="H2488" s="36">
        <f t="shared" si="116"/>
        <v>1089328.4640000002</v>
      </c>
      <c r="I2488" s="37">
        <f t="shared" si="114"/>
        <v>1089328.4640000002</v>
      </c>
      <c r="J2488" s="4"/>
      <c r="K2488" s="38">
        <f t="shared" si="115"/>
        <v>0</v>
      </c>
    </row>
    <row r="2489" spans="1:11">
      <c r="A2489" t="s">
        <v>3169</v>
      </c>
      <c r="B2489" t="s">
        <v>12251</v>
      </c>
      <c r="C2489" t="s">
        <v>8663</v>
      </c>
      <c r="D2489" t="s">
        <v>8677</v>
      </c>
      <c r="E2489">
        <v>1592083.43</v>
      </c>
      <c r="G2489" s="35"/>
      <c r="H2489" s="36">
        <f t="shared" si="116"/>
        <v>1003012.5608999999</v>
      </c>
      <c r="I2489" s="37">
        <f t="shared" si="114"/>
        <v>1003012.5608999999</v>
      </c>
      <c r="J2489" s="4"/>
      <c r="K2489" s="38">
        <f t="shared" si="115"/>
        <v>0</v>
      </c>
    </row>
    <row r="2490" spans="1:11">
      <c r="A2490" t="s">
        <v>3170</v>
      </c>
      <c r="B2490" t="s">
        <v>12251</v>
      </c>
      <c r="C2490" t="s">
        <v>8663</v>
      </c>
      <c r="D2490" t="s">
        <v>8678</v>
      </c>
      <c r="E2490">
        <v>1540054.56</v>
      </c>
      <c r="G2490" s="35"/>
      <c r="H2490" s="36">
        <f t="shared" si="116"/>
        <v>970234.37280000001</v>
      </c>
      <c r="I2490" s="37">
        <f t="shared" si="114"/>
        <v>970234.37280000001</v>
      </c>
      <c r="J2490" s="4"/>
      <c r="K2490" s="38">
        <f t="shared" si="115"/>
        <v>0</v>
      </c>
    </row>
    <row r="2491" spans="1:11">
      <c r="A2491" t="s">
        <v>3171</v>
      </c>
      <c r="B2491" t="s">
        <v>12251</v>
      </c>
      <c r="C2491" t="s">
        <v>8663</v>
      </c>
      <c r="D2491" t="s">
        <v>8679</v>
      </c>
      <c r="E2491">
        <v>1838353.42</v>
      </c>
      <c r="G2491" s="35"/>
      <c r="H2491" s="36">
        <f t="shared" si="116"/>
        <v>1158162.6546</v>
      </c>
      <c r="I2491" s="37">
        <f t="shared" si="114"/>
        <v>1158162.6546</v>
      </c>
      <c r="J2491" s="4"/>
      <c r="K2491" s="38">
        <f t="shared" si="115"/>
        <v>0</v>
      </c>
    </row>
    <row r="2492" spans="1:11">
      <c r="A2492" t="s">
        <v>3172</v>
      </c>
      <c r="B2492" t="s">
        <v>12251</v>
      </c>
      <c r="C2492" t="s">
        <v>8663</v>
      </c>
      <c r="D2492" t="s">
        <v>8680</v>
      </c>
      <c r="E2492">
        <v>1885179.41</v>
      </c>
      <c r="G2492" s="35"/>
      <c r="H2492" s="36">
        <f t="shared" si="116"/>
        <v>1187663.0282999999</v>
      </c>
      <c r="I2492" s="37">
        <f t="shared" si="114"/>
        <v>1187663.0282999999</v>
      </c>
      <c r="J2492" s="4"/>
      <c r="K2492" s="38">
        <f t="shared" si="115"/>
        <v>0</v>
      </c>
    </row>
    <row r="2493" spans="1:11">
      <c r="A2493" t="s">
        <v>3173</v>
      </c>
      <c r="B2493" t="s">
        <v>12251</v>
      </c>
      <c r="C2493" t="s">
        <v>8663</v>
      </c>
      <c r="D2493" t="s">
        <v>8681</v>
      </c>
      <c r="E2493">
        <v>1822744.75</v>
      </c>
      <c r="G2493" s="35"/>
      <c r="H2493" s="36">
        <f t="shared" si="116"/>
        <v>1148329.1925000001</v>
      </c>
      <c r="I2493" s="37">
        <f t="shared" si="114"/>
        <v>1148329.1925000001</v>
      </c>
      <c r="J2493" s="4"/>
      <c r="K2493" s="38">
        <f t="shared" si="115"/>
        <v>0</v>
      </c>
    </row>
    <row r="2494" spans="1:11">
      <c r="A2494" t="s">
        <v>3174</v>
      </c>
      <c r="B2494" t="s">
        <v>12251</v>
      </c>
      <c r="C2494" t="s">
        <v>8663</v>
      </c>
      <c r="D2494" t="s">
        <v>8682</v>
      </c>
      <c r="E2494">
        <v>2873727.95</v>
      </c>
      <c r="G2494" s="35"/>
      <c r="H2494" s="36">
        <f t="shared" si="116"/>
        <v>1810448.6085000001</v>
      </c>
      <c r="I2494" s="37">
        <f t="shared" si="114"/>
        <v>1810448.6085000001</v>
      </c>
      <c r="J2494" s="4"/>
      <c r="K2494" s="38">
        <f t="shared" si="115"/>
        <v>0</v>
      </c>
    </row>
    <row r="2495" spans="1:11">
      <c r="A2495" t="s">
        <v>3175</v>
      </c>
      <c r="B2495" t="s">
        <v>12251</v>
      </c>
      <c r="C2495" t="s">
        <v>8663</v>
      </c>
      <c r="D2495" t="s">
        <v>8683</v>
      </c>
      <c r="E2495">
        <v>2571960.4900000002</v>
      </c>
      <c r="G2495" s="35"/>
      <c r="H2495" s="36">
        <f t="shared" si="116"/>
        <v>1620335.1087000002</v>
      </c>
      <c r="I2495" s="37">
        <f t="shared" si="114"/>
        <v>1620335.1087000002</v>
      </c>
      <c r="J2495" s="4"/>
      <c r="K2495" s="38">
        <f t="shared" si="115"/>
        <v>0</v>
      </c>
    </row>
    <row r="2496" spans="1:11">
      <c r="A2496" t="s">
        <v>11857</v>
      </c>
      <c r="B2496" t="s">
        <v>12251</v>
      </c>
      <c r="C2496" t="s">
        <v>8663</v>
      </c>
      <c r="D2496" t="s">
        <v>11858</v>
      </c>
      <c r="E2496">
        <v>1841822.02</v>
      </c>
      <c r="G2496" s="35"/>
      <c r="H2496" s="36">
        <f t="shared" si="116"/>
        <v>1160347.8726000001</v>
      </c>
      <c r="I2496" s="37">
        <f t="shared" si="114"/>
        <v>1160347.8726000001</v>
      </c>
      <c r="J2496" s="4"/>
      <c r="K2496" s="38">
        <f t="shared" si="115"/>
        <v>0</v>
      </c>
    </row>
    <row r="2497" spans="1:11">
      <c r="A2497" t="s">
        <v>9817</v>
      </c>
      <c r="B2497" t="s">
        <v>12251</v>
      </c>
      <c r="C2497" t="s">
        <v>8663</v>
      </c>
      <c r="D2497" t="s">
        <v>9818</v>
      </c>
      <c r="E2497">
        <v>2795684.64</v>
      </c>
      <c r="G2497" s="35"/>
      <c r="H2497" s="36">
        <f t="shared" si="116"/>
        <v>1761281.3232</v>
      </c>
      <c r="I2497" s="37">
        <f t="shared" si="114"/>
        <v>1761281.3232</v>
      </c>
      <c r="J2497" s="4"/>
      <c r="K2497" s="38">
        <f t="shared" si="115"/>
        <v>0</v>
      </c>
    </row>
    <row r="2498" spans="1:11">
      <c r="A2498" t="s">
        <v>3176</v>
      </c>
      <c r="B2498" t="s">
        <v>12251</v>
      </c>
      <c r="C2498" t="s">
        <v>8663</v>
      </c>
      <c r="D2498" t="s">
        <v>8684</v>
      </c>
      <c r="E2498">
        <v>2641332.3199999998</v>
      </c>
      <c r="G2498" s="35"/>
      <c r="H2498" s="36">
        <f t="shared" si="116"/>
        <v>1664039.3615999999</v>
      </c>
      <c r="I2498" s="37">
        <f t="shared" si="114"/>
        <v>1664039.3615999999</v>
      </c>
      <c r="J2498" s="4"/>
      <c r="K2498" s="38">
        <f t="shared" si="115"/>
        <v>0</v>
      </c>
    </row>
    <row r="2499" spans="1:11">
      <c r="A2499" t="s">
        <v>9948</v>
      </c>
      <c r="B2499" t="s">
        <v>12251</v>
      </c>
      <c r="C2499" t="s">
        <v>8663</v>
      </c>
      <c r="D2499" t="s">
        <v>9949</v>
      </c>
      <c r="E2499">
        <v>1673595.33</v>
      </c>
      <c r="G2499" s="35"/>
      <c r="H2499" s="36">
        <f t="shared" si="116"/>
        <v>1054365.0579000001</v>
      </c>
      <c r="I2499" s="37">
        <f t="shared" si="114"/>
        <v>1054365.0579000001</v>
      </c>
      <c r="J2499" s="4"/>
      <c r="K2499" s="38">
        <f t="shared" si="115"/>
        <v>0</v>
      </c>
    </row>
    <row r="2500" spans="1:11">
      <c r="A2500" t="s">
        <v>3177</v>
      </c>
      <c r="B2500" t="s">
        <v>12251</v>
      </c>
      <c r="C2500" t="s">
        <v>8663</v>
      </c>
      <c r="D2500" t="s">
        <v>8685</v>
      </c>
      <c r="E2500">
        <v>3398133.01</v>
      </c>
      <c r="G2500" s="35"/>
      <c r="H2500" s="36">
        <f t="shared" si="116"/>
        <v>2140823.7963</v>
      </c>
      <c r="I2500" s="37">
        <f t="shared" si="114"/>
        <v>2140823.7963</v>
      </c>
      <c r="J2500" s="4"/>
      <c r="K2500" s="38">
        <f t="shared" si="115"/>
        <v>0</v>
      </c>
    </row>
    <row r="2501" spans="1:11">
      <c r="A2501" t="s">
        <v>3178</v>
      </c>
      <c r="B2501" t="s">
        <v>12251</v>
      </c>
      <c r="C2501" t="s">
        <v>8663</v>
      </c>
      <c r="D2501" t="s">
        <v>8686</v>
      </c>
      <c r="E2501">
        <v>2322221.92</v>
      </c>
      <c r="G2501" s="35"/>
      <c r="H2501" s="36">
        <f t="shared" si="116"/>
        <v>1462999.8096</v>
      </c>
      <c r="I2501" s="37">
        <f t="shared" si="114"/>
        <v>1462999.8096</v>
      </c>
      <c r="J2501" s="4"/>
      <c r="K2501" s="38">
        <f t="shared" si="115"/>
        <v>0</v>
      </c>
    </row>
    <row r="2502" spans="1:11">
      <c r="A2502" t="s">
        <v>3179</v>
      </c>
      <c r="B2502" t="s">
        <v>12251</v>
      </c>
      <c r="C2502" t="s">
        <v>8663</v>
      </c>
      <c r="D2502" t="s">
        <v>8687</v>
      </c>
      <c r="E2502">
        <v>2715907.03</v>
      </c>
      <c r="G2502" s="35"/>
      <c r="H2502" s="36">
        <f t="shared" si="116"/>
        <v>1711021.4288999999</v>
      </c>
      <c r="I2502" s="37">
        <f t="shared" ref="I2502:I2565" si="117">H2502*$H$4</f>
        <v>1711021.4288999999</v>
      </c>
      <c r="J2502" s="4"/>
      <c r="K2502" s="38">
        <f t="shared" ref="K2502:K2565" si="118">J2502*I2502</f>
        <v>0</v>
      </c>
    </row>
    <row r="2503" spans="1:11">
      <c r="A2503" t="s">
        <v>3180</v>
      </c>
      <c r="B2503" t="s">
        <v>12251</v>
      </c>
      <c r="C2503" t="s">
        <v>8663</v>
      </c>
      <c r="D2503" t="s">
        <v>8688</v>
      </c>
      <c r="E2503">
        <v>863679.24</v>
      </c>
      <c r="G2503" s="35"/>
      <c r="H2503" s="36">
        <f t="shared" ref="H2503:H2566" si="119">+E2503*$H$1*(1-G2503)</f>
        <v>544117.92119999998</v>
      </c>
      <c r="I2503" s="37">
        <f t="shared" si="117"/>
        <v>544117.92119999998</v>
      </c>
      <c r="J2503" s="4"/>
      <c r="K2503" s="38">
        <f t="shared" si="118"/>
        <v>0</v>
      </c>
    </row>
    <row r="2504" spans="1:11">
      <c r="A2504" t="s">
        <v>3181</v>
      </c>
      <c r="B2504" t="s">
        <v>12251</v>
      </c>
      <c r="C2504" t="s">
        <v>8663</v>
      </c>
      <c r="D2504" t="s">
        <v>8689</v>
      </c>
      <c r="E2504">
        <v>816853.26</v>
      </c>
      <c r="G2504" s="35"/>
      <c r="H2504" s="36">
        <f t="shared" si="119"/>
        <v>514617.55379999999</v>
      </c>
      <c r="I2504" s="37">
        <f t="shared" si="117"/>
        <v>514617.55379999999</v>
      </c>
      <c r="J2504" s="4"/>
      <c r="K2504" s="38">
        <f t="shared" si="118"/>
        <v>0</v>
      </c>
    </row>
    <row r="2505" spans="1:11">
      <c r="A2505" t="s">
        <v>3182</v>
      </c>
      <c r="B2505" t="s">
        <v>12251</v>
      </c>
      <c r="C2505" t="s">
        <v>8663</v>
      </c>
      <c r="D2505" t="s">
        <v>8690</v>
      </c>
      <c r="E2505">
        <v>1035374.53</v>
      </c>
      <c r="G2505" s="35"/>
      <c r="H2505" s="36">
        <f t="shared" si="119"/>
        <v>652285.95389999996</v>
      </c>
      <c r="I2505" s="37">
        <f t="shared" si="117"/>
        <v>652285.95389999996</v>
      </c>
      <c r="J2505" s="4"/>
      <c r="K2505" s="38">
        <f t="shared" si="118"/>
        <v>0</v>
      </c>
    </row>
    <row r="2506" spans="1:11">
      <c r="A2506" t="s">
        <v>3183</v>
      </c>
      <c r="B2506" t="s">
        <v>12251</v>
      </c>
      <c r="C2506" t="s">
        <v>8663</v>
      </c>
      <c r="D2506" t="s">
        <v>8691</v>
      </c>
      <c r="E2506">
        <v>976408.46</v>
      </c>
      <c r="G2506" s="35"/>
      <c r="H2506" s="36">
        <f t="shared" si="119"/>
        <v>615137.32979999995</v>
      </c>
      <c r="I2506" s="37">
        <f t="shared" si="117"/>
        <v>615137.32979999995</v>
      </c>
      <c r="J2506" s="4"/>
      <c r="K2506" s="38">
        <f t="shared" si="118"/>
        <v>0</v>
      </c>
    </row>
    <row r="2507" spans="1:11">
      <c r="A2507" t="s">
        <v>3184</v>
      </c>
      <c r="B2507" t="s">
        <v>12251</v>
      </c>
      <c r="C2507" t="s">
        <v>8663</v>
      </c>
      <c r="D2507" t="s">
        <v>8692</v>
      </c>
      <c r="E2507">
        <v>1283378.8</v>
      </c>
      <c r="G2507" s="35"/>
      <c r="H2507" s="36">
        <f t="shared" si="119"/>
        <v>808528.64400000009</v>
      </c>
      <c r="I2507" s="37">
        <f t="shared" si="117"/>
        <v>808528.64400000009</v>
      </c>
      <c r="J2507" s="4"/>
      <c r="K2507" s="38">
        <f t="shared" si="118"/>
        <v>0</v>
      </c>
    </row>
    <row r="2508" spans="1:11">
      <c r="A2508" t="s">
        <v>3185</v>
      </c>
      <c r="B2508" t="s">
        <v>12251</v>
      </c>
      <c r="C2508" t="s">
        <v>8663</v>
      </c>
      <c r="D2508" t="s">
        <v>8693</v>
      </c>
      <c r="E2508">
        <v>1266035.8500000001</v>
      </c>
      <c r="G2508" s="35"/>
      <c r="H2508" s="36">
        <f t="shared" si="119"/>
        <v>797602.58550000004</v>
      </c>
      <c r="I2508" s="37">
        <f t="shared" si="117"/>
        <v>797602.58550000004</v>
      </c>
      <c r="J2508" s="4"/>
      <c r="K2508" s="38">
        <f t="shared" si="118"/>
        <v>0</v>
      </c>
    </row>
    <row r="2509" spans="1:11">
      <c r="A2509" t="s">
        <v>3186</v>
      </c>
      <c r="B2509" t="s">
        <v>12251</v>
      </c>
      <c r="C2509" t="s">
        <v>8663</v>
      </c>
      <c r="D2509" t="s">
        <v>8694</v>
      </c>
      <c r="E2509">
        <v>3782590.16</v>
      </c>
      <c r="G2509" s="35"/>
      <c r="H2509" s="36">
        <f t="shared" si="119"/>
        <v>2383031.8008000003</v>
      </c>
      <c r="I2509" s="37">
        <f t="shared" si="117"/>
        <v>2383031.8008000003</v>
      </c>
      <c r="J2509" s="4"/>
      <c r="K2509" s="38">
        <f t="shared" si="118"/>
        <v>0</v>
      </c>
    </row>
    <row r="2510" spans="1:11">
      <c r="A2510" t="s">
        <v>3187</v>
      </c>
      <c r="B2510" t="s">
        <v>12251</v>
      </c>
      <c r="C2510" t="s">
        <v>8663</v>
      </c>
      <c r="D2510" t="s">
        <v>8695</v>
      </c>
      <c r="E2510">
        <v>12895072.380000001</v>
      </c>
      <c r="G2510" s="35"/>
      <c r="H2510" s="36">
        <f t="shared" si="119"/>
        <v>8123895.5994000006</v>
      </c>
      <c r="I2510" s="37">
        <f t="shared" si="117"/>
        <v>8123895.5994000006</v>
      </c>
      <c r="J2510" s="4"/>
      <c r="K2510" s="38">
        <f t="shared" si="118"/>
        <v>0</v>
      </c>
    </row>
    <row r="2511" spans="1:11">
      <c r="A2511" t="s">
        <v>3188</v>
      </c>
      <c r="B2511" t="s">
        <v>12251</v>
      </c>
      <c r="C2511" t="s">
        <v>8663</v>
      </c>
      <c r="D2511" t="s">
        <v>8696</v>
      </c>
      <c r="E2511">
        <v>5697617.7000000002</v>
      </c>
      <c r="G2511" s="35"/>
      <c r="H2511" s="36">
        <f t="shared" si="119"/>
        <v>3589499.1510000001</v>
      </c>
      <c r="I2511" s="37">
        <f t="shared" si="117"/>
        <v>3589499.1510000001</v>
      </c>
      <c r="J2511" s="4"/>
      <c r="K2511" s="38">
        <f t="shared" si="118"/>
        <v>0</v>
      </c>
    </row>
    <row r="2512" spans="1:11">
      <c r="A2512" t="s">
        <v>3189</v>
      </c>
      <c r="B2512" t="s">
        <v>12251</v>
      </c>
      <c r="C2512" t="s">
        <v>8663</v>
      </c>
      <c r="D2512" t="s">
        <v>8697</v>
      </c>
      <c r="E2512">
        <v>5697617.7000000002</v>
      </c>
      <c r="G2512" s="35"/>
      <c r="H2512" s="36">
        <f t="shared" si="119"/>
        <v>3589499.1510000001</v>
      </c>
      <c r="I2512" s="37">
        <f t="shared" si="117"/>
        <v>3589499.1510000001</v>
      </c>
      <c r="J2512" s="4"/>
      <c r="K2512" s="38">
        <f t="shared" si="118"/>
        <v>0</v>
      </c>
    </row>
    <row r="2513" spans="1:11">
      <c r="A2513" t="s">
        <v>3190</v>
      </c>
      <c r="B2513" t="s">
        <v>12251</v>
      </c>
      <c r="C2513" t="s">
        <v>8663</v>
      </c>
      <c r="D2513" t="s">
        <v>8698</v>
      </c>
      <c r="E2513">
        <v>5692140.9800000004</v>
      </c>
      <c r="G2513" s="35"/>
      <c r="H2513" s="36">
        <f t="shared" si="119"/>
        <v>3586048.8174000005</v>
      </c>
      <c r="I2513" s="37">
        <f t="shared" si="117"/>
        <v>3586048.8174000005</v>
      </c>
      <c r="J2513" s="4"/>
      <c r="K2513" s="38">
        <f t="shared" si="118"/>
        <v>0</v>
      </c>
    </row>
    <row r="2514" spans="1:11">
      <c r="A2514" t="s">
        <v>3191</v>
      </c>
      <c r="B2514" t="s">
        <v>12251</v>
      </c>
      <c r="C2514" t="s">
        <v>8663</v>
      </c>
      <c r="D2514" t="s">
        <v>8699</v>
      </c>
      <c r="E2514">
        <v>5976930.5899999999</v>
      </c>
      <c r="G2514" s="35"/>
      <c r="H2514" s="36">
        <f t="shared" si="119"/>
        <v>3765466.2716999999</v>
      </c>
      <c r="I2514" s="37">
        <f t="shared" si="117"/>
        <v>3765466.2716999999</v>
      </c>
      <c r="J2514" s="4"/>
      <c r="K2514" s="38">
        <f t="shared" si="118"/>
        <v>0</v>
      </c>
    </row>
    <row r="2515" spans="1:11">
      <c r="A2515" t="s">
        <v>3192</v>
      </c>
      <c r="B2515" t="s">
        <v>12251</v>
      </c>
      <c r="C2515" t="s">
        <v>8663</v>
      </c>
      <c r="D2515" t="s">
        <v>8700</v>
      </c>
      <c r="E2515">
        <v>5485851.0700000003</v>
      </c>
      <c r="G2515" s="35"/>
      <c r="H2515" s="36">
        <f t="shared" si="119"/>
        <v>3456086.1741000004</v>
      </c>
      <c r="I2515" s="37">
        <f t="shared" si="117"/>
        <v>3456086.1741000004</v>
      </c>
      <c r="J2515" s="4"/>
      <c r="K2515" s="38">
        <f t="shared" si="118"/>
        <v>0</v>
      </c>
    </row>
    <row r="2516" spans="1:11">
      <c r="A2516" t="s">
        <v>3193</v>
      </c>
      <c r="B2516" t="s">
        <v>12251</v>
      </c>
      <c r="C2516" t="s">
        <v>8663</v>
      </c>
      <c r="D2516" t="s">
        <v>8701</v>
      </c>
      <c r="E2516">
        <v>5485851.0700000003</v>
      </c>
      <c r="G2516" s="35"/>
      <c r="H2516" s="36">
        <f t="shared" si="119"/>
        <v>3456086.1741000004</v>
      </c>
      <c r="I2516" s="37">
        <f t="shared" si="117"/>
        <v>3456086.1741000004</v>
      </c>
      <c r="J2516" s="4"/>
      <c r="K2516" s="38">
        <f t="shared" si="118"/>
        <v>0</v>
      </c>
    </row>
    <row r="2517" spans="1:11">
      <c r="A2517" t="s">
        <v>3194</v>
      </c>
      <c r="B2517" t="s">
        <v>12251</v>
      </c>
      <c r="C2517" t="s">
        <v>8663</v>
      </c>
      <c r="D2517" t="s">
        <v>8702</v>
      </c>
      <c r="E2517">
        <v>5485851.0700000003</v>
      </c>
      <c r="G2517" s="35"/>
      <c r="H2517" s="36">
        <f t="shared" si="119"/>
        <v>3456086.1741000004</v>
      </c>
      <c r="I2517" s="37">
        <f t="shared" si="117"/>
        <v>3456086.1741000004</v>
      </c>
      <c r="J2517" s="4"/>
      <c r="K2517" s="38">
        <f t="shared" si="118"/>
        <v>0</v>
      </c>
    </row>
    <row r="2518" spans="1:11">
      <c r="A2518" t="s">
        <v>3195</v>
      </c>
      <c r="B2518" t="s">
        <v>12251</v>
      </c>
      <c r="C2518" t="s">
        <v>8663</v>
      </c>
      <c r="D2518" t="s">
        <v>8703</v>
      </c>
      <c r="E2518">
        <v>5478548.7699999996</v>
      </c>
      <c r="G2518" s="35"/>
      <c r="H2518" s="36">
        <f t="shared" si="119"/>
        <v>3451485.7250999999</v>
      </c>
      <c r="I2518" s="37">
        <f t="shared" si="117"/>
        <v>3451485.7250999999</v>
      </c>
      <c r="J2518" s="4"/>
      <c r="K2518" s="38">
        <f t="shared" si="118"/>
        <v>0</v>
      </c>
    </row>
    <row r="2519" spans="1:11">
      <c r="A2519" t="s">
        <v>3196</v>
      </c>
      <c r="B2519" t="s">
        <v>12251</v>
      </c>
      <c r="C2519" t="s">
        <v>8663</v>
      </c>
      <c r="D2519" t="s">
        <v>8704</v>
      </c>
      <c r="E2519">
        <v>5478548.7699999996</v>
      </c>
      <c r="G2519" s="35"/>
      <c r="H2519" s="36">
        <f t="shared" si="119"/>
        <v>3451485.7250999999</v>
      </c>
      <c r="I2519" s="37">
        <f t="shared" si="117"/>
        <v>3451485.7250999999</v>
      </c>
      <c r="J2519" s="4"/>
      <c r="K2519" s="38">
        <f t="shared" si="118"/>
        <v>0</v>
      </c>
    </row>
    <row r="2520" spans="1:11">
      <c r="A2520" t="s">
        <v>3197</v>
      </c>
      <c r="B2520" t="s">
        <v>12251</v>
      </c>
      <c r="C2520" t="s">
        <v>8663</v>
      </c>
      <c r="D2520" t="s">
        <v>8705</v>
      </c>
      <c r="E2520">
        <v>5478548.7699999996</v>
      </c>
      <c r="G2520" s="35"/>
      <c r="H2520" s="36">
        <f t="shared" si="119"/>
        <v>3451485.7250999999</v>
      </c>
      <c r="I2520" s="37">
        <f t="shared" si="117"/>
        <v>3451485.7250999999</v>
      </c>
      <c r="J2520" s="4"/>
      <c r="K2520" s="38">
        <f t="shared" si="118"/>
        <v>0</v>
      </c>
    </row>
    <row r="2521" spans="1:11">
      <c r="A2521" t="s">
        <v>3198</v>
      </c>
      <c r="B2521" t="s">
        <v>12251</v>
      </c>
      <c r="C2521" t="s">
        <v>8663</v>
      </c>
      <c r="D2521" t="s">
        <v>8706</v>
      </c>
      <c r="E2521">
        <v>12409524.539999999</v>
      </c>
      <c r="G2521" s="35"/>
      <c r="H2521" s="36">
        <f t="shared" si="119"/>
        <v>7818000.4601999996</v>
      </c>
      <c r="I2521" s="37">
        <f t="shared" si="117"/>
        <v>7818000.4601999996</v>
      </c>
      <c r="J2521" s="4"/>
      <c r="K2521" s="38">
        <f t="shared" si="118"/>
        <v>0</v>
      </c>
    </row>
    <row r="2522" spans="1:11">
      <c r="A2522" t="s">
        <v>3199</v>
      </c>
      <c r="B2522" t="s">
        <v>12251</v>
      </c>
      <c r="C2522" t="s">
        <v>8663</v>
      </c>
      <c r="D2522" t="s">
        <v>8707</v>
      </c>
      <c r="E2522">
        <v>12409524.539999999</v>
      </c>
      <c r="G2522" s="35"/>
      <c r="H2522" s="36">
        <f t="shared" si="119"/>
        <v>7818000.4601999996</v>
      </c>
      <c r="I2522" s="37">
        <f t="shared" si="117"/>
        <v>7818000.4601999996</v>
      </c>
      <c r="J2522" s="4"/>
      <c r="K2522" s="38">
        <f t="shared" si="118"/>
        <v>0</v>
      </c>
    </row>
    <row r="2523" spans="1:11">
      <c r="A2523" t="s">
        <v>3200</v>
      </c>
      <c r="B2523" t="s">
        <v>12251</v>
      </c>
      <c r="C2523" t="s">
        <v>8663</v>
      </c>
      <c r="D2523" t="s">
        <v>8708</v>
      </c>
      <c r="E2523">
        <v>269109.13</v>
      </c>
      <c r="G2523" s="35"/>
      <c r="H2523" s="36">
        <f t="shared" si="119"/>
        <v>169538.7519</v>
      </c>
      <c r="I2523" s="37">
        <f t="shared" si="117"/>
        <v>169538.7519</v>
      </c>
      <c r="J2523" s="4"/>
      <c r="K2523" s="38">
        <f t="shared" si="118"/>
        <v>0</v>
      </c>
    </row>
    <row r="2524" spans="1:11">
      <c r="A2524" t="s">
        <v>3201</v>
      </c>
      <c r="B2524" t="s">
        <v>12251</v>
      </c>
      <c r="C2524" t="s">
        <v>8663</v>
      </c>
      <c r="D2524" t="s">
        <v>8709</v>
      </c>
      <c r="E2524">
        <v>1493806.67</v>
      </c>
      <c r="G2524" s="35"/>
      <c r="H2524" s="36">
        <f t="shared" si="119"/>
        <v>941098.20209999999</v>
      </c>
      <c r="I2524" s="37">
        <f t="shared" si="117"/>
        <v>941098.20209999999</v>
      </c>
      <c r="J2524" s="4"/>
      <c r="K2524" s="38">
        <f t="shared" si="118"/>
        <v>0</v>
      </c>
    </row>
    <row r="2525" spans="1:11">
      <c r="A2525" t="s">
        <v>3202</v>
      </c>
      <c r="B2525" t="s">
        <v>12251</v>
      </c>
      <c r="C2525" t="s">
        <v>8663</v>
      </c>
      <c r="D2525" t="s">
        <v>8710</v>
      </c>
      <c r="E2525">
        <v>2146342.19</v>
      </c>
      <c r="G2525" s="35"/>
      <c r="H2525" s="36">
        <f t="shared" si="119"/>
        <v>1352195.5796999999</v>
      </c>
      <c r="I2525" s="37">
        <f t="shared" si="117"/>
        <v>1352195.5796999999</v>
      </c>
      <c r="J2525" s="4"/>
      <c r="K2525" s="38">
        <f t="shared" si="118"/>
        <v>0</v>
      </c>
    </row>
    <row r="2526" spans="1:11">
      <c r="A2526" t="s">
        <v>9950</v>
      </c>
      <c r="B2526" t="s">
        <v>12251</v>
      </c>
      <c r="C2526" t="s">
        <v>8663</v>
      </c>
      <c r="D2526" t="s">
        <v>9951</v>
      </c>
      <c r="E2526">
        <v>709661.63</v>
      </c>
      <c r="G2526" s="35"/>
      <c r="H2526" s="36">
        <f t="shared" si="119"/>
        <v>447086.82689999999</v>
      </c>
      <c r="I2526" s="37">
        <f t="shared" si="117"/>
        <v>447086.82689999999</v>
      </c>
      <c r="J2526" s="4"/>
      <c r="K2526" s="38">
        <f t="shared" si="118"/>
        <v>0</v>
      </c>
    </row>
    <row r="2527" spans="1:11">
      <c r="A2527" t="s">
        <v>3203</v>
      </c>
      <c r="B2527" t="s">
        <v>12251</v>
      </c>
      <c r="C2527" t="s">
        <v>8663</v>
      </c>
      <c r="D2527" t="s">
        <v>8711</v>
      </c>
      <c r="E2527">
        <v>232393.3</v>
      </c>
      <c r="G2527" s="35"/>
      <c r="H2527" s="36">
        <f t="shared" si="119"/>
        <v>146407.77899999998</v>
      </c>
      <c r="I2527" s="37">
        <f t="shared" si="117"/>
        <v>146407.77899999998</v>
      </c>
      <c r="J2527" s="4"/>
      <c r="K2527" s="38">
        <f t="shared" si="118"/>
        <v>0</v>
      </c>
    </row>
    <row r="2528" spans="1:11">
      <c r="A2528" t="s">
        <v>3160</v>
      </c>
      <c r="B2528" t="s">
        <v>12251</v>
      </c>
      <c r="C2528" t="s">
        <v>8663</v>
      </c>
      <c r="D2528" t="s">
        <v>8668</v>
      </c>
      <c r="E2528">
        <v>729773.37</v>
      </c>
      <c r="G2528" s="35"/>
      <c r="H2528" s="36">
        <f t="shared" si="119"/>
        <v>459757.2231</v>
      </c>
      <c r="I2528" s="37">
        <f t="shared" si="117"/>
        <v>459757.2231</v>
      </c>
      <c r="J2528" s="4"/>
      <c r="K2528" s="38">
        <f t="shared" si="118"/>
        <v>0</v>
      </c>
    </row>
    <row r="2529" spans="1:11">
      <c r="A2529" t="s">
        <v>9902</v>
      </c>
      <c r="B2529" t="s">
        <v>12251</v>
      </c>
      <c r="C2529" t="s">
        <v>10002</v>
      </c>
      <c r="D2529" t="s">
        <v>9903</v>
      </c>
      <c r="E2529">
        <v>649316.31000000006</v>
      </c>
      <c r="G2529" s="35"/>
      <c r="H2529" s="36">
        <f t="shared" si="119"/>
        <v>409069.27530000004</v>
      </c>
      <c r="I2529" s="37">
        <f t="shared" si="117"/>
        <v>409069.27530000004</v>
      </c>
      <c r="J2529" s="4"/>
      <c r="K2529" s="38">
        <f t="shared" si="118"/>
        <v>0</v>
      </c>
    </row>
    <row r="2530" spans="1:11">
      <c r="A2530" t="s">
        <v>9904</v>
      </c>
      <c r="B2530" t="s">
        <v>12251</v>
      </c>
      <c r="C2530" t="s">
        <v>10002</v>
      </c>
      <c r="D2530" t="s">
        <v>9905</v>
      </c>
      <c r="E2530">
        <v>754046.61</v>
      </c>
      <c r="G2530" s="35"/>
      <c r="H2530" s="36">
        <f t="shared" si="119"/>
        <v>475049.36430000002</v>
      </c>
      <c r="I2530" s="37">
        <f t="shared" si="117"/>
        <v>475049.36430000002</v>
      </c>
      <c r="J2530" s="4"/>
      <c r="K2530" s="38">
        <f t="shared" si="118"/>
        <v>0</v>
      </c>
    </row>
    <row r="2531" spans="1:11">
      <c r="A2531" t="s">
        <v>12814</v>
      </c>
      <c r="B2531" t="s">
        <v>12251</v>
      </c>
      <c r="C2531" t="s">
        <v>10002</v>
      </c>
      <c r="D2531" t="s">
        <v>12815</v>
      </c>
      <c r="E2531">
        <v>1028245.37</v>
      </c>
      <c r="G2531" s="35"/>
      <c r="H2531" s="36">
        <f t="shared" si="119"/>
        <v>647794.58310000005</v>
      </c>
      <c r="I2531" s="37">
        <f t="shared" si="117"/>
        <v>647794.58310000005</v>
      </c>
      <c r="J2531" s="4"/>
      <c r="K2531" s="38">
        <f t="shared" si="118"/>
        <v>0</v>
      </c>
    </row>
    <row r="2532" spans="1:11">
      <c r="A2532" t="s">
        <v>10014</v>
      </c>
      <c r="B2532" t="s">
        <v>12251</v>
      </c>
      <c r="C2532" t="s">
        <v>10002</v>
      </c>
      <c r="D2532" t="s">
        <v>10015</v>
      </c>
      <c r="E2532">
        <v>681686.75</v>
      </c>
      <c r="G2532" s="35"/>
      <c r="H2532" s="36">
        <f t="shared" si="119"/>
        <v>429462.65250000003</v>
      </c>
      <c r="I2532" s="37">
        <f t="shared" si="117"/>
        <v>429462.65250000003</v>
      </c>
      <c r="J2532" s="4"/>
      <c r="K2532" s="38">
        <f t="shared" si="118"/>
        <v>0</v>
      </c>
    </row>
    <row r="2533" spans="1:11">
      <c r="A2533" t="s">
        <v>11197</v>
      </c>
      <c r="B2533" t="s">
        <v>12251</v>
      </c>
      <c r="C2533" t="s">
        <v>10002</v>
      </c>
      <c r="D2533" t="s">
        <v>11198</v>
      </c>
      <c r="E2533">
        <v>361722.49</v>
      </c>
      <c r="G2533" s="35"/>
      <c r="H2533" s="36">
        <f t="shared" si="119"/>
        <v>227885.16870000001</v>
      </c>
      <c r="I2533" s="37">
        <f t="shared" si="117"/>
        <v>227885.16870000001</v>
      </c>
      <c r="J2533" s="4"/>
      <c r="K2533" s="38">
        <f t="shared" si="118"/>
        <v>0</v>
      </c>
    </row>
    <row r="2534" spans="1:11">
      <c r="A2534" t="s">
        <v>11199</v>
      </c>
      <c r="B2534" t="s">
        <v>12251</v>
      </c>
      <c r="C2534" t="s">
        <v>10002</v>
      </c>
      <c r="D2534" t="s">
        <v>11200</v>
      </c>
      <c r="E2534">
        <v>425555.79</v>
      </c>
      <c r="G2534" s="35"/>
      <c r="H2534" s="36">
        <f t="shared" si="119"/>
        <v>268100.14769999997</v>
      </c>
      <c r="I2534" s="37">
        <f t="shared" si="117"/>
        <v>268100.14769999997</v>
      </c>
      <c r="J2534" s="4"/>
      <c r="K2534" s="38">
        <f t="shared" si="118"/>
        <v>0</v>
      </c>
    </row>
    <row r="2535" spans="1:11">
      <c r="A2535" t="s">
        <v>11534</v>
      </c>
      <c r="B2535" t="s">
        <v>12251</v>
      </c>
      <c r="C2535" t="s">
        <v>10002</v>
      </c>
      <c r="D2535" t="s">
        <v>11535</v>
      </c>
      <c r="E2535">
        <v>534075.06000000006</v>
      </c>
      <c r="G2535" s="35"/>
      <c r="H2535" s="36">
        <f t="shared" si="119"/>
        <v>336467.28780000005</v>
      </c>
      <c r="I2535" s="37">
        <f t="shared" si="117"/>
        <v>336467.28780000005</v>
      </c>
      <c r="J2535" s="4"/>
      <c r="K2535" s="38">
        <f t="shared" si="118"/>
        <v>0</v>
      </c>
    </row>
    <row r="2536" spans="1:11">
      <c r="A2536" t="s">
        <v>12333</v>
      </c>
      <c r="B2536" t="s">
        <v>12251</v>
      </c>
      <c r="C2536" t="s">
        <v>10002</v>
      </c>
      <c r="D2536" t="s">
        <v>12332</v>
      </c>
      <c r="E2536">
        <v>732999.46</v>
      </c>
      <c r="G2536" s="35"/>
      <c r="H2536" s="36">
        <f t="shared" si="119"/>
        <v>461789.65979999996</v>
      </c>
      <c r="I2536" s="37">
        <f t="shared" si="117"/>
        <v>461789.65979999996</v>
      </c>
      <c r="J2536" s="4"/>
      <c r="K2536" s="38">
        <f t="shared" si="118"/>
        <v>0</v>
      </c>
    </row>
    <row r="2537" spans="1:11">
      <c r="A2537" t="s">
        <v>12331</v>
      </c>
      <c r="B2537" t="s">
        <v>12251</v>
      </c>
      <c r="C2537" t="s">
        <v>10002</v>
      </c>
      <c r="D2537" t="s">
        <v>12330</v>
      </c>
      <c r="E2537">
        <v>681686.75</v>
      </c>
      <c r="G2537" s="35"/>
      <c r="H2537" s="36">
        <f t="shared" si="119"/>
        <v>429462.65250000003</v>
      </c>
      <c r="I2537" s="37">
        <f t="shared" si="117"/>
        <v>429462.65250000003</v>
      </c>
      <c r="J2537" s="4"/>
      <c r="K2537" s="38">
        <f t="shared" si="118"/>
        <v>0</v>
      </c>
    </row>
    <row r="2538" spans="1:11">
      <c r="A2538" t="s">
        <v>12329</v>
      </c>
      <c r="B2538" t="s">
        <v>12251</v>
      </c>
      <c r="C2538" t="s">
        <v>10002</v>
      </c>
      <c r="D2538" t="s">
        <v>12328</v>
      </c>
      <c r="E2538">
        <v>826403.8</v>
      </c>
      <c r="G2538" s="35"/>
      <c r="H2538" s="36">
        <f t="shared" si="119"/>
        <v>520634.39400000003</v>
      </c>
      <c r="I2538" s="37">
        <f t="shared" si="117"/>
        <v>520634.39400000003</v>
      </c>
      <c r="J2538" s="4"/>
      <c r="K2538" s="38">
        <f t="shared" si="118"/>
        <v>0</v>
      </c>
    </row>
    <row r="2539" spans="1:11">
      <c r="A2539" t="s">
        <v>12327</v>
      </c>
      <c r="B2539" t="s">
        <v>12251</v>
      </c>
      <c r="C2539" t="s">
        <v>10002</v>
      </c>
      <c r="D2539" t="s">
        <v>12326</v>
      </c>
      <c r="E2539">
        <v>1028245.37</v>
      </c>
      <c r="G2539" s="35"/>
      <c r="H2539" s="36">
        <f t="shared" si="119"/>
        <v>647794.58310000005</v>
      </c>
      <c r="I2539" s="37">
        <f t="shared" si="117"/>
        <v>647794.58310000005</v>
      </c>
      <c r="J2539" s="4"/>
      <c r="K2539" s="38">
        <f t="shared" si="118"/>
        <v>0</v>
      </c>
    </row>
    <row r="2540" spans="1:11">
      <c r="A2540" t="s">
        <v>12325</v>
      </c>
      <c r="B2540" t="s">
        <v>12251</v>
      </c>
      <c r="C2540" t="s">
        <v>10002</v>
      </c>
      <c r="D2540" t="s">
        <v>12324</v>
      </c>
      <c r="E2540">
        <v>826403.8</v>
      </c>
      <c r="G2540" s="35"/>
      <c r="H2540" s="36">
        <f t="shared" si="119"/>
        <v>520634.39400000003</v>
      </c>
      <c r="I2540" s="37">
        <f t="shared" si="117"/>
        <v>520634.39400000003</v>
      </c>
      <c r="J2540" s="4"/>
      <c r="K2540" s="38">
        <f t="shared" si="118"/>
        <v>0</v>
      </c>
    </row>
    <row r="2541" spans="1:11">
      <c r="A2541" t="s">
        <v>12323</v>
      </c>
      <c r="B2541" t="s">
        <v>12251</v>
      </c>
      <c r="C2541" t="s">
        <v>10002</v>
      </c>
      <c r="D2541" t="s">
        <v>12322</v>
      </c>
      <c r="E2541">
        <v>1028245.37</v>
      </c>
      <c r="G2541" s="35"/>
      <c r="H2541" s="36">
        <f t="shared" si="119"/>
        <v>647794.58310000005</v>
      </c>
      <c r="I2541" s="37">
        <f t="shared" si="117"/>
        <v>647794.58310000005</v>
      </c>
      <c r="J2541" s="4"/>
      <c r="K2541" s="38">
        <f t="shared" si="118"/>
        <v>0</v>
      </c>
    </row>
    <row r="2542" spans="1:11">
      <c r="A2542" t="s">
        <v>12321</v>
      </c>
      <c r="B2542" t="s">
        <v>12251</v>
      </c>
      <c r="C2542" t="s">
        <v>10002</v>
      </c>
      <c r="D2542" t="s">
        <v>12320</v>
      </c>
      <c r="E2542">
        <v>1256744.76</v>
      </c>
      <c r="G2542" s="35"/>
      <c r="H2542" s="36">
        <f t="shared" si="119"/>
        <v>791749.19880000001</v>
      </c>
      <c r="I2542" s="37">
        <f t="shared" si="117"/>
        <v>791749.19880000001</v>
      </c>
      <c r="J2542" s="4"/>
      <c r="K2542" s="38">
        <f t="shared" si="118"/>
        <v>0</v>
      </c>
    </row>
    <row r="2543" spans="1:11">
      <c r="A2543" t="s">
        <v>11778</v>
      </c>
      <c r="B2543" t="s">
        <v>12251</v>
      </c>
      <c r="C2543" t="s">
        <v>10002</v>
      </c>
      <c r="D2543" t="s">
        <v>11779</v>
      </c>
      <c r="E2543">
        <v>663382.14</v>
      </c>
      <c r="G2543" s="35"/>
      <c r="H2543" s="36">
        <f t="shared" si="119"/>
        <v>417930.74820000003</v>
      </c>
      <c r="I2543" s="37">
        <f t="shared" si="117"/>
        <v>417930.74820000003</v>
      </c>
      <c r="J2543" s="4"/>
      <c r="K2543" s="38">
        <f t="shared" si="118"/>
        <v>0</v>
      </c>
    </row>
    <row r="2544" spans="1:11">
      <c r="A2544" t="s">
        <v>11756</v>
      </c>
      <c r="B2544" t="s">
        <v>12251</v>
      </c>
      <c r="C2544" t="s">
        <v>10002</v>
      </c>
      <c r="D2544" t="s">
        <v>11757</v>
      </c>
      <c r="E2544">
        <v>206797.41</v>
      </c>
      <c r="G2544" s="35"/>
      <c r="H2544" s="36">
        <f t="shared" si="119"/>
        <v>130282.3683</v>
      </c>
      <c r="I2544" s="37">
        <f t="shared" si="117"/>
        <v>130282.3683</v>
      </c>
      <c r="J2544" s="4"/>
      <c r="K2544" s="38">
        <f t="shared" si="118"/>
        <v>0</v>
      </c>
    </row>
    <row r="2545" spans="1:11">
      <c r="A2545" t="s">
        <v>11758</v>
      </c>
      <c r="B2545" t="s">
        <v>12251</v>
      </c>
      <c r="C2545" t="s">
        <v>10002</v>
      </c>
      <c r="D2545" t="s">
        <v>11759</v>
      </c>
      <c r="E2545">
        <v>221129.14</v>
      </c>
      <c r="G2545" s="35"/>
      <c r="H2545" s="36">
        <f t="shared" si="119"/>
        <v>139311.35820000002</v>
      </c>
      <c r="I2545" s="37">
        <f t="shared" si="117"/>
        <v>139311.35820000002</v>
      </c>
      <c r="J2545" s="4"/>
      <c r="K2545" s="38">
        <f t="shared" si="118"/>
        <v>0</v>
      </c>
    </row>
    <row r="2546" spans="1:11">
      <c r="A2546" t="s">
        <v>12276</v>
      </c>
      <c r="B2546" t="s">
        <v>12251</v>
      </c>
      <c r="C2546" t="s">
        <v>10002</v>
      </c>
      <c r="D2546" t="s">
        <v>12277</v>
      </c>
      <c r="E2546">
        <v>233412.93</v>
      </c>
      <c r="G2546" s="35"/>
      <c r="H2546" s="36">
        <f t="shared" si="119"/>
        <v>147050.1459</v>
      </c>
      <c r="I2546" s="37">
        <f t="shared" si="117"/>
        <v>147050.1459</v>
      </c>
      <c r="J2546" s="4"/>
      <c r="K2546" s="38">
        <f t="shared" si="118"/>
        <v>0</v>
      </c>
    </row>
    <row r="2547" spans="1:11">
      <c r="A2547" t="s">
        <v>11760</v>
      </c>
      <c r="B2547" t="s">
        <v>12251</v>
      </c>
      <c r="C2547" t="s">
        <v>10002</v>
      </c>
      <c r="D2547" t="s">
        <v>11761</v>
      </c>
      <c r="E2547">
        <v>149465.18</v>
      </c>
      <c r="G2547" s="35"/>
      <c r="H2547" s="36">
        <f t="shared" si="119"/>
        <v>94163.063399999999</v>
      </c>
      <c r="I2547" s="37">
        <f t="shared" si="117"/>
        <v>94163.063399999999</v>
      </c>
      <c r="J2547" s="4"/>
      <c r="K2547" s="38">
        <f t="shared" si="118"/>
        <v>0</v>
      </c>
    </row>
    <row r="2548" spans="1:11">
      <c r="A2548" t="s">
        <v>10034</v>
      </c>
      <c r="B2548" t="s">
        <v>12251</v>
      </c>
      <c r="C2548" t="s">
        <v>10002</v>
      </c>
      <c r="D2548" t="s">
        <v>10035</v>
      </c>
      <c r="E2548">
        <v>200654.86</v>
      </c>
      <c r="G2548" s="35"/>
      <c r="H2548" s="36">
        <f t="shared" si="119"/>
        <v>126412.5618</v>
      </c>
      <c r="I2548" s="37">
        <f t="shared" si="117"/>
        <v>126412.5618</v>
      </c>
      <c r="J2548" s="4"/>
      <c r="K2548" s="38">
        <f t="shared" si="118"/>
        <v>0</v>
      </c>
    </row>
    <row r="2549" spans="1:11">
      <c r="A2549" t="s">
        <v>9952</v>
      </c>
      <c r="B2549" t="s">
        <v>12251</v>
      </c>
      <c r="C2549" t="s">
        <v>10002</v>
      </c>
      <c r="D2549" t="s">
        <v>9953</v>
      </c>
      <c r="E2549">
        <v>214985.26</v>
      </c>
      <c r="G2549" s="35"/>
      <c r="H2549" s="36">
        <f t="shared" si="119"/>
        <v>135440.7138</v>
      </c>
      <c r="I2549" s="37">
        <f t="shared" si="117"/>
        <v>135440.7138</v>
      </c>
      <c r="J2549" s="4"/>
      <c r="K2549" s="38">
        <f t="shared" si="118"/>
        <v>0</v>
      </c>
    </row>
    <row r="2550" spans="1:11">
      <c r="A2550" t="s">
        <v>12319</v>
      </c>
      <c r="B2550" t="s">
        <v>12251</v>
      </c>
      <c r="C2550" t="s">
        <v>10002</v>
      </c>
      <c r="D2550" t="s">
        <v>12318</v>
      </c>
      <c r="E2550">
        <v>292790.46000000002</v>
      </c>
      <c r="G2550" s="35"/>
      <c r="H2550" s="36">
        <f t="shared" si="119"/>
        <v>184457.98980000001</v>
      </c>
      <c r="I2550" s="37">
        <f t="shared" si="117"/>
        <v>184457.98980000001</v>
      </c>
      <c r="J2550" s="4"/>
      <c r="K2550" s="38">
        <f t="shared" si="118"/>
        <v>0</v>
      </c>
    </row>
    <row r="2551" spans="1:11">
      <c r="A2551" t="s">
        <v>11699</v>
      </c>
      <c r="B2551" t="s">
        <v>12251</v>
      </c>
      <c r="C2551" t="s">
        <v>10002</v>
      </c>
      <c r="D2551" t="s">
        <v>11700</v>
      </c>
      <c r="E2551">
        <v>294837.09000000003</v>
      </c>
      <c r="G2551" s="35"/>
      <c r="H2551" s="36">
        <f t="shared" si="119"/>
        <v>185747.36670000001</v>
      </c>
      <c r="I2551" s="37">
        <f t="shared" si="117"/>
        <v>185747.36670000001</v>
      </c>
      <c r="J2551" s="4"/>
      <c r="K2551" s="38">
        <f t="shared" si="118"/>
        <v>0</v>
      </c>
    </row>
    <row r="2552" spans="1:11">
      <c r="A2552" t="s">
        <v>10036</v>
      </c>
      <c r="B2552" t="s">
        <v>12251</v>
      </c>
      <c r="C2552" t="s">
        <v>10002</v>
      </c>
      <c r="D2552" t="s">
        <v>10037</v>
      </c>
      <c r="E2552">
        <v>221129.14</v>
      </c>
      <c r="G2552" s="35"/>
      <c r="H2552" s="36">
        <f t="shared" si="119"/>
        <v>139311.35820000002</v>
      </c>
      <c r="I2552" s="37">
        <f t="shared" si="117"/>
        <v>139311.35820000002</v>
      </c>
      <c r="J2552" s="4"/>
      <c r="K2552" s="38">
        <f t="shared" si="118"/>
        <v>0</v>
      </c>
    </row>
    <row r="2553" spans="1:11">
      <c r="A2553" t="s">
        <v>10038</v>
      </c>
      <c r="B2553" t="s">
        <v>12251</v>
      </c>
      <c r="C2553" t="s">
        <v>10002</v>
      </c>
      <c r="D2553" t="s">
        <v>10039</v>
      </c>
      <c r="E2553">
        <v>292790.46000000002</v>
      </c>
      <c r="G2553" s="35"/>
      <c r="H2553" s="36">
        <f t="shared" si="119"/>
        <v>184457.98980000001</v>
      </c>
      <c r="I2553" s="37">
        <f t="shared" si="117"/>
        <v>184457.98980000001</v>
      </c>
      <c r="J2553" s="4"/>
      <c r="K2553" s="38">
        <f t="shared" si="118"/>
        <v>0</v>
      </c>
    </row>
    <row r="2554" spans="1:11">
      <c r="A2554" t="s">
        <v>12881</v>
      </c>
      <c r="B2554" t="s">
        <v>12251</v>
      </c>
      <c r="C2554" t="s">
        <v>10002</v>
      </c>
      <c r="D2554" t="s">
        <v>12880</v>
      </c>
      <c r="E2554">
        <v>910187.49</v>
      </c>
      <c r="G2554" s="35"/>
      <c r="H2554" s="36">
        <f t="shared" si="119"/>
        <v>573418.11869999999</v>
      </c>
      <c r="I2554" s="37">
        <f t="shared" si="117"/>
        <v>573418.11869999999</v>
      </c>
      <c r="J2554" s="4"/>
      <c r="K2554" s="38">
        <f t="shared" si="118"/>
        <v>0</v>
      </c>
    </row>
    <row r="2555" spans="1:11">
      <c r="A2555" t="s">
        <v>11792</v>
      </c>
      <c r="B2555" t="s">
        <v>12251</v>
      </c>
      <c r="C2555" t="s">
        <v>10002</v>
      </c>
      <c r="D2555" t="s">
        <v>11793</v>
      </c>
      <c r="E2555">
        <v>211709.29</v>
      </c>
      <c r="G2555" s="35"/>
      <c r="H2555" s="36">
        <f t="shared" si="119"/>
        <v>133376.85270000002</v>
      </c>
      <c r="I2555" s="37">
        <f t="shared" si="117"/>
        <v>133376.85270000002</v>
      </c>
      <c r="J2555" s="4"/>
      <c r="K2555" s="38">
        <f t="shared" si="118"/>
        <v>0</v>
      </c>
    </row>
    <row r="2556" spans="1:11">
      <c r="A2556" t="s">
        <v>12317</v>
      </c>
      <c r="B2556" t="s">
        <v>12251</v>
      </c>
      <c r="C2556" t="s">
        <v>10002</v>
      </c>
      <c r="D2556" t="s">
        <v>12316</v>
      </c>
      <c r="E2556">
        <v>754046.61</v>
      </c>
      <c r="G2556" s="35"/>
      <c r="H2556" s="36">
        <f t="shared" si="119"/>
        <v>475049.36430000002</v>
      </c>
      <c r="I2556" s="37">
        <f t="shared" si="117"/>
        <v>475049.36430000002</v>
      </c>
      <c r="J2556" s="4"/>
      <c r="K2556" s="38">
        <f t="shared" si="118"/>
        <v>0</v>
      </c>
    </row>
    <row r="2557" spans="1:11">
      <c r="A2557" t="s">
        <v>12315</v>
      </c>
      <c r="B2557" t="s">
        <v>12251</v>
      </c>
      <c r="C2557" t="s">
        <v>10002</v>
      </c>
      <c r="D2557" t="s">
        <v>12314</v>
      </c>
      <c r="E2557">
        <v>866393.22</v>
      </c>
      <c r="G2557" s="35"/>
      <c r="H2557" s="36">
        <f t="shared" si="119"/>
        <v>545827.72860000003</v>
      </c>
      <c r="I2557" s="37">
        <f t="shared" si="117"/>
        <v>545827.72860000003</v>
      </c>
      <c r="J2557" s="4"/>
      <c r="K2557" s="38">
        <f t="shared" si="118"/>
        <v>0</v>
      </c>
    </row>
    <row r="2558" spans="1:11">
      <c r="A2558" t="s">
        <v>12313</v>
      </c>
      <c r="B2558" t="s">
        <v>12251</v>
      </c>
      <c r="C2558" t="s">
        <v>10002</v>
      </c>
      <c r="D2558" t="s">
        <v>12312</v>
      </c>
      <c r="E2558">
        <v>866393.22</v>
      </c>
      <c r="G2558" s="35"/>
      <c r="H2558" s="36">
        <f t="shared" si="119"/>
        <v>545827.72860000003</v>
      </c>
      <c r="I2558" s="37">
        <f t="shared" si="117"/>
        <v>545827.72860000003</v>
      </c>
      <c r="J2558" s="4"/>
      <c r="K2558" s="38">
        <f t="shared" si="118"/>
        <v>0</v>
      </c>
    </row>
    <row r="2559" spans="1:11">
      <c r="A2559" t="s">
        <v>13103</v>
      </c>
      <c r="B2559" t="s">
        <v>12251</v>
      </c>
      <c r="C2559" t="s">
        <v>13104</v>
      </c>
      <c r="D2559" t="s">
        <v>13105</v>
      </c>
      <c r="E2559">
        <v>464223.56</v>
      </c>
      <c r="G2559" s="35"/>
      <c r="H2559" s="36">
        <f t="shared" si="119"/>
        <v>292460.84279999998</v>
      </c>
      <c r="I2559" s="37">
        <f t="shared" si="117"/>
        <v>292460.84279999998</v>
      </c>
      <c r="J2559" s="4"/>
      <c r="K2559" s="38">
        <f t="shared" si="118"/>
        <v>0</v>
      </c>
    </row>
    <row r="2560" spans="1:11">
      <c r="A2560" t="s">
        <v>13106</v>
      </c>
      <c r="B2560" t="s">
        <v>12251</v>
      </c>
      <c r="C2560" t="s">
        <v>13104</v>
      </c>
      <c r="D2560" t="s">
        <v>13107</v>
      </c>
      <c r="E2560">
        <v>473977.82</v>
      </c>
      <c r="G2560" s="35"/>
      <c r="H2560" s="36">
        <f t="shared" si="119"/>
        <v>298606.02659999998</v>
      </c>
      <c r="I2560" s="37">
        <f t="shared" si="117"/>
        <v>298606.02659999998</v>
      </c>
      <c r="J2560" s="4"/>
      <c r="K2560" s="38">
        <f t="shared" si="118"/>
        <v>0</v>
      </c>
    </row>
    <row r="2561" spans="1:11">
      <c r="A2561" t="s">
        <v>13108</v>
      </c>
      <c r="B2561" t="s">
        <v>12251</v>
      </c>
      <c r="C2561" t="s">
        <v>13104</v>
      </c>
      <c r="D2561" t="s">
        <v>13109</v>
      </c>
      <c r="E2561">
        <v>505186.68</v>
      </c>
      <c r="G2561" s="35"/>
      <c r="H2561" s="36">
        <f t="shared" si="119"/>
        <v>318267.60840000003</v>
      </c>
      <c r="I2561" s="37">
        <f t="shared" si="117"/>
        <v>318267.60840000003</v>
      </c>
      <c r="J2561" s="4"/>
      <c r="K2561" s="38">
        <f t="shared" si="118"/>
        <v>0</v>
      </c>
    </row>
    <row r="2562" spans="1:11">
      <c r="A2562" t="s">
        <v>13110</v>
      </c>
      <c r="B2562" t="s">
        <v>12251</v>
      </c>
      <c r="C2562" t="s">
        <v>13104</v>
      </c>
      <c r="D2562" t="s">
        <v>13111</v>
      </c>
      <c r="E2562">
        <v>550047.27</v>
      </c>
      <c r="G2562" s="35"/>
      <c r="H2562" s="36">
        <f t="shared" si="119"/>
        <v>346529.78010000003</v>
      </c>
      <c r="I2562" s="37">
        <f t="shared" si="117"/>
        <v>346529.78010000003</v>
      </c>
      <c r="J2562" s="4"/>
      <c r="K2562" s="38">
        <f t="shared" si="118"/>
        <v>0</v>
      </c>
    </row>
    <row r="2563" spans="1:11">
      <c r="A2563" t="s">
        <v>3212</v>
      </c>
      <c r="B2563" t="s">
        <v>12251</v>
      </c>
      <c r="C2563" t="s">
        <v>8722</v>
      </c>
      <c r="D2563" t="s">
        <v>8723</v>
      </c>
      <c r="E2563">
        <v>2287444.7200000002</v>
      </c>
      <c r="G2563" s="35"/>
      <c r="H2563" s="36">
        <f t="shared" si="119"/>
        <v>1441090.1736000001</v>
      </c>
      <c r="I2563" s="37">
        <f t="shared" si="117"/>
        <v>1441090.1736000001</v>
      </c>
      <c r="J2563" s="4"/>
      <c r="K2563" s="38">
        <f t="shared" si="118"/>
        <v>0</v>
      </c>
    </row>
    <row r="2564" spans="1:11">
      <c r="A2564" t="s">
        <v>3213</v>
      </c>
      <c r="B2564" t="s">
        <v>12251</v>
      </c>
      <c r="C2564" t="s">
        <v>8722</v>
      </c>
      <c r="D2564" t="s">
        <v>8724</v>
      </c>
      <c r="E2564">
        <v>2471827.7400000002</v>
      </c>
      <c r="G2564" s="35"/>
      <c r="H2564" s="36">
        <f t="shared" si="119"/>
        <v>1557251.4762000002</v>
      </c>
      <c r="I2564" s="37">
        <f t="shared" si="117"/>
        <v>1557251.4762000002</v>
      </c>
      <c r="J2564" s="4"/>
      <c r="K2564" s="38">
        <f t="shared" si="118"/>
        <v>0</v>
      </c>
    </row>
    <row r="2565" spans="1:11">
      <c r="A2565" t="s">
        <v>3214</v>
      </c>
      <c r="B2565" t="s">
        <v>12251</v>
      </c>
      <c r="C2565" t="s">
        <v>8722</v>
      </c>
      <c r="D2565" t="s">
        <v>8725</v>
      </c>
      <c r="E2565">
        <v>2659861.9</v>
      </c>
      <c r="G2565" s="35"/>
      <c r="H2565" s="36">
        <f t="shared" si="119"/>
        <v>1675712.997</v>
      </c>
      <c r="I2565" s="37">
        <f t="shared" si="117"/>
        <v>1675712.997</v>
      </c>
      <c r="J2565" s="4"/>
      <c r="K2565" s="38">
        <f t="shared" si="118"/>
        <v>0</v>
      </c>
    </row>
    <row r="2566" spans="1:11">
      <c r="A2566" t="s">
        <v>3215</v>
      </c>
      <c r="B2566" t="s">
        <v>12251</v>
      </c>
      <c r="C2566" t="s">
        <v>8722</v>
      </c>
      <c r="D2566" t="s">
        <v>8726</v>
      </c>
      <c r="E2566">
        <v>3209359.8</v>
      </c>
      <c r="G2566" s="35"/>
      <c r="H2566" s="36">
        <f t="shared" si="119"/>
        <v>2021896.6739999999</v>
      </c>
      <c r="I2566" s="37">
        <f t="shared" ref="I2566:I2629" si="120">H2566*$H$4</f>
        <v>2021896.6739999999</v>
      </c>
      <c r="J2566" s="4"/>
      <c r="K2566" s="38">
        <f t="shared" ref="K2566:K2629" si="121">J2566*I2566</f>
        <v>0</v>
      </c>
    </row>
    <row r="2567" spans="1:11">
      <c r="A2567" t="s">
        <v>3216</v>
      </c>
      <c r="B2567" t="s">
        <v>12251</v>
      </c>
      <c r="C2567" t="s">
        <v>8722</v>
      </c>
      <c r="D2567" t="s">
        <v>8727</v>
      </c>
      <c r="E2567">
        <v>3525184.17</v>
      </c>
      <c r="G2567" s="35"/>
      <c r="H2567" s="36">
        <f t="shared" ref="H2567:H2630" si="122">+E2567*$H$1*(1-G2567)</f>
        <v>2220866.0271000001</v>
      </c>
      <c r="I2567" s="37">
        <f t="shared" si="120"/>
        <v>2220866.0271000001</v>
      </c>
      <c r="J2567" s="4"/>
      <c r="K2567" s="38">
        <f t="shared" si="121"/>
        <v>0</v>
      </c>
    </row>
    <row r="2568" spans="1:11">
      <c r="A2568" t="s">
        <v>3217</v>
      </c>
      <c r="B2568" t="s">
        <v>12251</v>
      </c>
      <c r="C2568" t="s">
        <v>8722</v>
      </c>
      <c r="D2568" t="s">
        <v>8728</v>
      </c>
      <c r="E2568">
        <v>3474068.08</v>
      </c>
      <c r="G2568" s="35"/>
      <c r="H2568" s="36">
        <f t="shared" si="122"/>
        <v>2188662.8903999999</v>
      </c>
      <c r="I2568" s="37">
        <f t="shared" si="120"/>
        <v>2188662.8903999999</v>
      </c>
      <c r="J2568" s="4"/>
      <c r="K2568" s="38">
        <f t="shared" si="121"/>
        <v>0</v>
      </c>
    </row>
    <row r="2569" spans="1:11">
      <c r="A2569" t="s">
        <v>3218</v>
      </c>
      <c r="B2569" t="s">
        <v>12251</v>
      </c>
      <c r="C2569" t="s">
        <v>8722</v>
      </c>
      <c r="D2569" t="s">
        <v>8729</v>
      </c>
      <c r="E2569">
        <v>7637226.3899999997</v>
      </c>
      <c r="G2569" s="35"/>
      <c r="H2569" s="36">
        <f t="shared" si="122"/>
        <v>4811452.6256999997</v>
      </c>
      <c r="I2569" s="37">
        <f t="shared" si="120"/>
        <v>4811452.6256999997</v>
      </c>
      <c r="J2569" s="4"/>
      <c r="K2569" s="38">
        <f t="shared" si="121"/>
        <v>0</v>
      </c>
    </row>
    <row r="2570" spans="1:11">
      <c r="A2570" t="s">
        <v>3219</v>
      </c>
      <c r="B2570" t="s">
        <v>12251</v>
      </c>
      <c r="C2570" t="s">
        <v>8722</v>
      </c>
      <c r="D2570" t="s">
        <v>8730</v>
      </c>
      <c r="E2570">
        <v>7997035.5099999998</v>
      </c>
      <c r="G2570" s="35"/>
      <c r="H2570" s="36">
        <f t="shared" si="122"/>
        <v>5038132.3712999998</v>
      </c>
      <c r="I2570" s="37">
        <f t="shared" si="120"/>
        <v>5038132.3712999998</v>
      </c>
      <c r="J2570" s="4"/>
      <c r="K2570" s="38">
        <f t="shared" si="121"/>
        <v>0</v>
      </c>
    </row>
    <row r="2571" spans="1:11">
      <c r="A2571" t="s">
        <v>3220</v>
      </c>
      <c r="B2571" t="s">
        <v>12251</v>
      </c>
      <c r="C2571" t="s">
        <v>8722</v>
      </c>
      <c r="D2571" t="s">
        <v>8731</v>
      </c>
      <c r="E2571">
        <v>4412413.32</v>
      </c>
      <c r="G2571" s="35"/>
      <c r="H2571" s="36">
        <f t="shared" si="122"/>
        <v>2779820.3916000002</v>
      </c>
      <c r="I2571" s="37">
        <f t="shared" si="120"/>
        <v>2779820.3916000002</v>
      </c>
      <c r="J2571" s="4"/>
      <c r="K2571" s="38">
        <f t="shared" si="121"/>
        <v>0</v>
      </c>
    </row>
    <row r="2572" spans="1:11">
      <c r="A2572" t="s">
        <v>3221</v>
      </c>
      <c r="B2572" t="s">
        <v>12251</v>
      </c>
      <c r="C2572" t="s">
        <v>8722</v>
      </c>
      <c r="D2572" t="s">
        <v>8732</v>
      </c>
      <c r="E2572">
        <v>2358642.12</v>
      </c>
      <c r="G2572" s="35"/>
      <c r="H2572" s="36">
        <f t="shared" si="122"/>
        <v>1485944.5356000001</v>
      </c>
      <c r="I2572" s="37">
        <f t="shared" si="120"/>
        <v>1485944.5356000001</v>
      </c>
      <c r="J2572" s="4"/>
      <c r="K2572" s="38">
        <f t="shared" si="121"/>
        <v>0</v>
      </c>
    </row>
    <row r="2573" spans="1:11">
      <c r="A2573" t="s">
        <v>3222</v>
      </c>
      <c r="B2573" t="s">
        <v>12251</v>
      </c>
      <c r="C2573" t="s">
        <v>8722</v>
      </c>
      <c r="D2573" t="s">
        <v>8733</v>
      </c>
      <c r="E2573">
        <v>2506513.65</v>
      </c>
      <c r="G2573" s="35"/>
      <c r="H2573" s="36">
        <f t="shared" si="122"/>
        <v>1579103.5995</v>
      </c>
      <c r="I2573" s="37">
        <f t="shared" si="120"/>
        <v>1579103.5995</v>
      </c>
      <c r="J2573" s="4"/>
      <c r="K2573" s="38">
        <f t="shared" si="121"/>
        <v>0</v>
      </c>
    </row>
    <row r="2574" spans="1:11">
      <c r="A2574" t="s">
        <v>3223</v>
      </c>
      <c r="B2574" t="s">
        <v>12251</v>
      </c>
      <c r="C2574" t="s">
        <v>8722</v>
      </c>
      <c r="D2574" t="s">
        <v>8734</v>
      </c>
      <c r="E2574">
        <v>2743838.32</v>
      </c>
      <c r="G2574" s="35"/>
      <c r="H2574" s="36">
        <f t="shared" si="122"/>
        <v>1728618.1416</v>
      </c>
      <c r="I2574" s="37">
        <f t="shared" si="120"/>
        <v>1728618.1416</v>
      </c>
      <c r="J2574" s="4"/>
      <c r="K2574" s="38">
        <f t="shared" si="121"/>
        <v>0</v>
      </c>
    </row>
    <row r="2575" spans="1:11">
      <c r="A2575" t="s">
        <v>3224</v>
      </c>
      <c r="B2575" t="s">
        <v>12251</v>
      </c>
      <c r="C2575" t="s">
        <v>8722</v>
      </c>
      <c r="D2575" t="s">
        <v>8735</v>
      </c>
      <c r="E2575">
        <v>3105302.05</v>
      </c>
      <c r="G2575" s="35"/>
      <c r="H2575" s="36">
        <f t="shared" si="122"/>
        <v>1956340.2914999998</v>
      </c>
      <c r="I2575" s="37">
        <f t="shared" si="120"/>
        <v>1956340.2914999998</v>
      </c>
      <c r="J2575" s="4"/>
      <c r="K2575" s="38">
        <f t="shared" si="121"/>
        <v>0</v>
      </c>
    </row>
    <row r="2576" spans="1:11">
      <c r="A2576" t="s">
        <v>3225</v>
      </c>
      <c r="B2576" t="s">
        <v>12251</v>
      </c>
      <c r="C2576" t="s">
        <v>8722</v>
      </c>
      <c r="D2576" t="s">
        <v>8736</v>
      </c>
      <c r="E2576">
        <v>3834089.66</v>
      </c>
      <c r="G2576" s="35"/>
      <c r="H2576" s="36">
        <f t="shared" si="122"/>
        <v>2415476.4857999999</v>
      </c>
      <c r="I2576" s="37">
        <f t="shared" si="120"/>
        <v>2415476.4857999999</v>
      </c>
      <c r="J2576" s="4"/>
      <c r="K2576" s="38">
        <f t="shared" si="121"/>
        <v>0</v>
      </c>
    </row>
    <row r="2577" spans="1:11">
      <c r="A2577" t="s">
        <v>3226</v>
      </c>
      <c r="B2577" t="s">
        <v>12251</v>
      </c>
      <c r="C2577" t="s">
        <v>8722</v>
      </c>
      <c r="D2577" t="s">
        <v>8737</v>
      </c>
      <c r="E2577">
        <v>3990705.64</v>
      </c>
      <c r="G2577" s="35"/>
      <c r="H2577" s="36">
        <f t="shared" si="122"/>
        <v>2514144.5532</v>
      </c>
      <c r="I2577" s="37">
        <f t="shared" si="120"/>
        <v>2514144.5532</v>
      </c>
      <c r="J2577" s="4"/>
      <c r="K2577" s="38">
        <f t="shared" si="121"/>
        <v>0</v>
      </c>
    </row>
    <row r="2578" spans="1:11">
      <c r="A2578" t="s">
        <v>3227</v>
      </c>
      <c r="B2578" t="s">
        <v>12251</v>
      </c>
      <c r="C2578" t="s">
        <v>8722</v>
      </c>
      <c r="D2578" t="s">
        <v>8738</v>
      </c>
      <c r="E2578">
        <v>2404281.48</v>
      </c>
      <c r="G2578" s="35"/>
      <c r="H2578" s="36">
        <f t="shared" si="122"/>
        <v>1514697.3324</v>
      </c>
      <c r="I2578" s="37">
        <f t="shared" si="120"/>
        <v>1514697.3324</v>
      </c>
      <c r="J2578" s="4"/>
      <c r="K2578" s="38">
        <f t="shared" si="121"/>
        <v>0</v>
      </c>
    </row>
    <row r="2579" spans="1:11">
      <c r="A2579" t="s">
        <v>3228</v>
      </c>
      <c r="B2579" t="s">
        <v>12251</v>
      </c>
      <c r="C2579" t="s">
        <v>8722</v>
      </c>
      <c r="D2579" t="s">
        <v>8739</v>
      </c>
      <c r="E2579">
        <v>2782175.39</v>
      </c>
      <c r="G2579" s="35"/>
      <c r="H2579" s="36">
        <f t="shared" si="122"/>
        <v>1752770.4957000001</v>
      </c>
      <c r="I2579" s="37">
        <f t="shared" si="120"/>
        <v>1752770.4957000001</v>
      </c>
      <c r="J2579" s="4"/>
      <c r="K2579" s="38">
        <f t="shared" si="121"/>
        <v>0</v>
      </c>
    </row>
    <row r="2580" spans="1:11">
      <c r="A2580" t="s">
        <v>3229</v>
      </c>
      <c r="B2580" t="s">
        <v>12251</v>
      </c>
      <c r="C2580" t="s">
        <v>8722</v>
      </c>
      <c r="D2580" t="s">
        <v>8740</v>
      </c>
      <c r="E2580">
        <v>3861089.86</v>
      </c>
      <c r="G2580" s="35"/>
      <c r="H2580" s="36">
        <f t="shared" si="122"/>
        <v>2432486.6118000001</v>
      </c>
      <c r="I2580" s="37">
        <f t="shared" si="120"/>
        <v>2432486.6118000001</v>
      </c>
      <c r="J2580" s="4"/>
      <c r="K2580" s="38">
        <f t="shared" si="121"/>
        <v>0</v>
      </c>
    </row>
    <row r="2581" spans="1:11">
      <c r="A2581" t="s">
        <v>3230</v>
      </c>
      <c r="B2581" t="s">
        <v>12251</v>
      </c>
      <c r="C2581" t="s">
        <v>8722</v>
      </c>
      <c r="D2581" t="s">
        <v>8741</v>
      </c>
      <c r="E2581">
        <v>2298398.17</v>
      </c>
      <c r="G2581" s="35"/>
      <c r="H2581" s="36">
        <f t="shared" si="122"/>
        <v>1447990.8470999999</v>
      </c>
      <c r="I2581" s="37">
        <f t="shared" si="120"/>
        <v>1447990.8470999999</v>
      </c>
      <c r="J2581" s="4"/>
      <c r="K2581" s="38">
        <f t="shared" si="121"/>
        <v>0</v>
      </c>
    </row>
    <row r="2582" spans="1:11">
      <c r="A2582" t="s">
        <v>3231</v>
      </c>
      <c r="B2582" t="s">
        <v>12251</v>
      </c>
      <c r="C2582" t="s">
        <v>8722</v>
      </c>
      <c r="D2582" t="s">
        <v>8742</v>
      </c>
      <c r="E2582">
        <v>2784000.96</v>
      </c>
      <c r="G2582" s="35"/>
      <c r="H2582" s="36">
        <f t="shared" si="122"/>
        <v>1753920.6048000001</v>
      </c>
      <c r="I2582" s="37">
        <f t="shared" si="120"/>
        <v>1753920.6048000001</v>
      </c>
      <c r="J2582" s="4"/>
      <c r="K2582" s="38">
        <f t="shared" si="121"/>
        <v>0</v>
      </c>
    </row>
    <row r="2583" spans="1:11">
      <c r="A2583" t="s">
        <v>3232</v>
      </c>
      <c r="B2583" t="s">
        <v>12251</v>
      </c>
      <c r="C2583" t="s">
        <v>8722</v>
      </c>
      <c r="D2583" t="s">
        <v>8743</v>
      </c>
      <c r="E2583">
        <v>3116255.5</v>
      </c>
      <c r="G2583" s="35"/>
      <c r="H2583" s="36">
        <f t="shared" si="122"/>
        <v>1963240.9650000001</v>
      </c>
      <c r="I2583" s="37">
        <f t="shared" si="120"/>
        <v>1963240.9650000001</v>
      </c>
      <c r="J2583" s="4"/>
      <c r="K2583" s="38">
        <f t="shared" si="121"/>
        <v>0</v>
      </c>
    </row>
    <row r="2584" spans="1:11">
      <c r="A2584" t="s">
        <v>3233</v>
      </c>
      <c r="B2584" t="s">
        <v>12251</v>
      </c>
      <c r="C2584" t="s">
        <v>8722</v>
      </c>
      <c r="D2584" t="s">
        <v>8744</v>
      </c>
      <c r="E2584">
        <v>2426949.0299999998</v>
      </c>
      <c r="G2584" s="35"/>
      <c r="H2584" s="36">
        <f t="shared" si="122"/>
        <v>1528977.8888999999</v>
      </c>
      <c r="I2584" s="37">
        <f t="shared" si="120"/>
        <v>1528977.8888999999</v>
      </c>
      <c r="J2584" s="4"/>
      <c r="K2584" s="38">
        <f t="shared" si="121"/>
        <v>0</v>
      </c>
    </row>
    <row r="2585" spans="1:11">
      <c r="A2585" t="s">
        <v>3234</v>
      </c>
      <c r="B2585" t="s">
        <v>12251</v>
      </c>
      <c r="C2585" t="s">
        <v>8722</v>
      </c>
      <c r="D2585" t="s">
        <v>8745</v>
      </c>
      <c r="E2585">
        <v>2904032.48</v>
      </c>
      <c r="G2585" s="35"/>
      <c r="H2585" s="36">
        <f t="shared" si="122"/>
        <v>1829540.4624000001</v>
      </c>
      <c r="I2585" s="37">
        <f t="shared" si="120"/>
        <v>1829540.4624000001</v>
      </c>
      <c r="J2585" s="4"/>
      <c r="K2585" s="38">
        <f t="shared" si="121"/>
        <v>0</v>
      </c>
    </row>
    <row r="2586" spans="1:11">
      <c r="A2586" t="s">
        <v>3235</v>
      </c>
      <c r="B2586" t="s">
        <v>12251</v>
      </c>
      <c r="C2586" t="s">
        <v>8722</v>
      </c>
      <c r="D2586" t="s">
        <v>8746</v>
      </c>
      <c r="E2586">
        <v>900920.97</v>
      </c>
      <c r="G2586" s="35"/>
      <c r="H2586" s="36">
        <f t="shared" si="122"/>
        <v>567580.21109999996</v>
      </c>
      <c r="I2586" s="37">
        <f t="shared" si="120"/>
        <v>567580.21109999996</v>
      </c>
      <c r="J2586" s="4"/>
      <c r="K2586" s="38">
        <f t="shared" si="121"/>
        <v>0</v>
      </c>
    </row>
    <row r="2587" spans="1:11">
      <c r="A2587" t="s">
        <v>3236</v>
      </c>
      <c r="B2587" t="s">
        <v>12251</v>
      </c>
      <c r="C2587" t="s">
        <v>8722</v>
      </c>
      <c r="D2587" t="s">
        <v>8747</v>
      </c>
      <c r="E2587">
        <v>1231016.46</v>
      </c>
      <c r="G2587" s="35"/>
      <c r="H2587" s="36">
        <f t="shared" si="122"/>
        <v>775540.36979999999</v>
      </c>
      <c r="I2587" s="37">
        <f t="shared" si="120"/>
        <v>775540.36979999999</v>
      </c>
      <c r="J2587" s="4"/>
      <c r="K2587" s="38">
        <f t="shared" si="121"/>
        <v>0</v>
      </c>
    </row>
    <row r="2588" spans="1:11">
      <c r="A2588" t="s">
        <v>3237</v>
      </c>
      <c r="B2588" t="s">
        <v>12251</v>
      </c>
      <c r="C2588" t="s">
        <v>8722</v>
      </c>
      <c r="D2588" t="s">
        <v>8748</v>
      </c>
      <c r="E2588">
        <v>1016997.07</v>
      </c>
      <c r="G2588" s="35"/>
      <c r="H2588" s="36">
        <f t="shared" si="122"/>
        <v>640708.15409999993</v>
      </c>
      <c r="I2588" s="37">
        <f t="shared" si="120"/>
        <v>640708.15409999993</v>
      </c>
      <c r="J2588" s="4"/>
      <c r="K2588" s="38">
        <f t="shared" si="121"/>
        <v>0</v>
      </c>
    </row>
    <row r="2589" spans="1:11">
      <c r="A2589" t="s">
        <v>3238</v>
      </c>
      <c r="B2589" t="s">
        <v>12251</v>
      </c>
      <c r="C2589" t="s">
        <v>8722</v>
      </c>
      <c r="D2589" t="s">
        <v>8749</v>
      </c>
      <c r="E2589">
        <v>3016913.83</v>
      </c>
      <c r="G2589" s="35"/>
      <c r="H2589" s="36">
        <f t="shared" si="122"/>
        <v>1900655.7129000002</v>
      </c>
      <c r="I2589" s="37">
        <f t="shared" si="120"/>
        <v>1900655.7129000002</v>
      </c>
      <c r="J2589" s="4"/>
      <c r="K2589" s="38">
        <f t="shared" si="121"/>
        <v>0</v>
      </c>
    </row>
    <row r="2590" spans="1:11">
      <c r="A2590" t="s">
        <v>3239</v>
      </c>
      <c r="B2590" t="s">
        <v>12251</v>
      </c>
      <c r="C2590" t="s">
        <v>8722</v>
      </c>
      <c r="D2590" t="s">
        <v>8750</v>
      </c>
      <c r="E2590">
        <v>978660.01</v>
      </c>
      <c r="G2590" s="35"/>
      <c r="H2590" s="36">
        <f t="shared" si="122"/>
        <v>616555.80630000005</v>
      </c>
      <c r="I2590" s="37">
        <f t="shared" si="120"/>
        <v>616555.80630000005</v>
      </c>
      <c r="J2590" s="4"/>
      <c r="K2590" s="38">
        <f t="shared" si="121"/>
        <v>0</v>
      </c>
    </row>
    <row r="2591" spans="1:11">
      <c r="A2591" t="s">
        <v>3240</v>
      </c>
      <c r="B2591" t="s">
        <v>12251</v>
      </c>
      <c r="C2591" t="s">
        <v>8722</v>
      </c>
      <c r="D2591" t="s">
        <v>8751</v>
      </c>
      <c r="E2591">
        <v>1019126.91</v>
      </c>
      <c r="G2591" s="35"/>
      <c r="H2591" s="36">
        <f t="shared" si="122"/>
        <v>642049.95330000005</v>
      </c>
      <c r="I2591" s="37">
        <f t="shared" si="120"/>
        <v>642049.95330000005</v>
      </c>
      <c r="J2591" s="4"/>
      <c r="K2591" s="38">
        <f t="shared" si="121"/>
        <v>0</v>
      </c>
    </row>
    <row r="2592" spans="1:11">
      <c r="A2592" t="s">
        <v>3241</v>
      </c>
      <c r="B2592" t="s">
        <v>12251</v>
      </c>
      <c r="C2592" t="s">
        <v>8722</v>
      </c>
      <c r="D2592" t="s">
        <v>8752</v>
      </c>
      <c r="E2592">
        <v>2983901.36</v>
      </c>
      <c r="G2592" s="35"/>
      <c r="H2592" s="36">
        <f t="shared" si="122"/>
        <v>1879857.8568</v>
      </c>
      <c r="I2592" s="37">
        <f t="shared" si="120"/>
        <v>1879857.8568</v>
      </c>
      <c r="J2592" s="4"/>
      <c r="K2592" s="38">
        <f t="shared" si="121"/>
        <v>0</v>
      </c>
    </row>
    <row r="2593" spans="1:11">
      <c r="A2593" t="s">
        <v>3242</v>
      </c>
      <c r="B2593" t="s">
        <v>12251</v>
      </c>
      <c r="C2593" t="s">
        <v>8722</v>
      </c>
      <c r="D2593" t="s">
        <v>8753</v>
      </c>
      <c r="E2593">
        <v>3722954.73</v>
      </c>
      <c r="G2593" s="35"/>
      <c r="H2593" s="36">
        <f t="shared" si="122"/>
        <v>2345461.4799000002</v>
      </c>
      <c r="I2593" s="37">
        <f t="shared" si="120"/>
        <v>2345461.4799000002</v>
      </c>
      <c r="J2593" s="4"/>
      <c r="K2593" s="38">
        <f t="shared" si="121"/>
        <v>0</v>
      </c>
    </row>
    <row r="2594" spans="1:11">
      <c r="A2594" t="s">
        <v>3243</v>
      </c>
      <c r="B2594" t="s">
        <v>12251</v>
      </c>
      <c r="C2594" t="s">
        <v>8722</v>
      </c>
      <c r="D2594" t="s">
        <v>8754</v>
      </c>
      <c r="E2594">
        <v>2035059.06</v>
      </c>
      <c r="G2594" s="35"/>
      <c r="H2594" s="36">
        <f t="shared" si="122"/>
        <v>1282087.2078</v>
      </c>
      <c r="I2594" s="37">
        <f t="shared" si="120"/>
        <v>1282087.2078</v>
      </c>
      <c r="J2594" s="4"/>
      <c r="K2594" s="38">
        <f t="shared" si="121"/>
        <v>0</v>
      </c>
    </row>
    <row r="2595" spans="1:11">
      <c r="A2595" t="s">
        <v>3244</v>
      </c>
      <c r="B2595" t="s">
        <v>12251</v>
      </c>
      <c r="C2595" t="s">
        <v>8722</v>
      </c>
      <c r="D2595" t="s">
        <v>8755</v>
      </c>
      <c r="E2595">
        <v>882817.35</v>
      </c>
      <c r="G2595" s="35"/>
      <c r="H2595" s="36">
        <f t="shared" si="122"/>
        <v>556174.93050000002</v>
      </c>
      <c r="I2595" s="37">
        <f t="shared" si="120"/>
        <v>556174.93050000002</v>
      </c>
      <c r="J2595" s="4"/>
      <c r="K2595" s="38">
        <f t="shared" si="121"/>
        <v>0</v>
      </c>
    </row>
    <row r="2596" spans="1:11">
      <c r="A2596" t="s">
        <v>3245</v>
      </c>
      <c r="B2596" t="s">
        <v>12251</v>
      </c>
      <c r="C2596" t="s">
        <v>8722</v>
      </c>
      <c r="D2596" t="s">
        <v>8756</v>
      </c>
      <c r="E2596">
        <v>881752.44</v>
      </c>
      <c r="G2596" s="35"/>
      <c r="H2596" s="36">
        <f t="shared" si="122"/>
        <v>555504.03720000002</v>
      </c>
      <c r="I2596" s="37">
        <f t="shared" si="120"/>
        <v>555504.03720000002</v>
      </c>
      <c r="J2596" s="4"/>
      <c r="K2596" s="38">
        <f t="shared" si="121"/>
        <v>0</v>
      </c>
    </row>
    <row r="2597" spans="1:11">
      <c r="A2597" t="s">
        <v>3246</v>
      </c>
      <c r="B2597" t="s">
        <v>12251</v>
      </c>
      <c r="C2597" t="s">
        <v>8722</v>
      </c>
      <c r="D2597" t="s">
        <v>8757</v>
      </c>
      <c r="E2597">
        <v>2396066.4</v>
      </c>
      <c r="G2597" s="35"/>
      <c r="H2597" s="36">
        <f t="shared" si="122"/>
        <v>1509521.8319999999</v>
      </c>
      <c r="I2597" s="37">
        <f t="shared" si="120"/>
        <v>1509521.8319999999</v>
      </c>
      <c r="J2597" s="4"/>
      <c r="K2597" s="38">
        <f t="shared" si="121"/>
        <v>0</v>
      </c>
    </row>
    <row r="2598" spans="1:11">
      <c r="A2598" t="s">
        <v>3247</v>
      </c>
      <c r="B2598" t="s">
        <v>12251</v>
      </c>
      <c r="C2598" t="s">
        <v>8722</v>
      </c>
      <c r="D2598" t="s">
        <v>8758</v>
      </c>
      <c r="E2598">
        <v>2005241.35</v>
      </c>
      <c r="G2598" s="35"/>
      <c r="H2598" s="36">
        <f t="shared" si="122"/>
        <v>1263302.0505000001</v>
      </c>
      <c r="I2598" s="37">
        <f t="shared" si="120"/>
        <v>1263302.0505000001</v>
      </c>
      <c r="J2598" s="4"/>
      <c r="K2598" s="38">
        <f t="shared" si="121"/>
        <v>0</v>
      </c>
    </row>
    <row r="2599" spans="1:11">
      <c r="A2599" t="s">
        <v>3248</v>
      </c>
      <c r="B2599" t="s">
        <v>12251</v>
      </c>
      <c r="C2599" t="s">
        <v>8722</v>
      </c>
      <c r="D2599" t="s">
        <v>8759</v>
      </c>
      <c r="E2599">
        <v>2157524.6800000002</v>
      </c>
      <c r="G2599" s="35"/>
      <c r="H2599" s="36">
        <f t="shared" si="122"/>
        <v>1359240.5484000002</v>
      </c>
      <c r="I2599" s="37">
        <f t="shared" si="120"/>
        <v>1359240.5484000002</v>
      </c>
      <c r="J2599" s="4"/>
      <c r="K2599" s="38">
        <f t="shared" si="121"/>
        <v>0</v>
      </c>
    </row>
    <row r="2600" spans="1:11">
      <c r="A2600" t="s">
        <v>3249</v>
      </c>
      <c r="B2600" t="s">
        <v>12251</v>
      </c>
      <c r="C2600" t="s">
        <v>8722</v>
      </c>
      <c r="D2600" t="s">
        <v>8760</v>
      </c>
      <c r="E2600">
        <v>987179.36</v>
      </c>
      <c r="G2600" s="35"/>
      <c r="H2600" s="36">
        <f t="shared" si="122"/>
        <v>621922.99679999996</v>
      </c>
      <c r="I2600" s="37">
        <f t="shared" si="120"/>
        <v>621922.99679999996</v>
      </c>
      <c r="J2600" s="4"/>
      <c r="K2600" s="38">
        <f t="shared" si="121"/>
        <v>0</v>
      </c>
    </row>
    <row r="2601" spans="1:11">
      <c r="A2601" t="s">
        <v>3250</v>
      </c>
      <c r="B2601" t="s">
        <v>12251</v>
      </c>
      <c r="C2601" t="s">
        <v>8722</v>
      </c>
      <c r="D2601" t="s">
        <v>8761</v>
      </c>
      <c r="E2601">
        <v>2775177.35</v>
      </c>
      <c r="G2601" s="35"/>
      <c r="H2601" s="36">
        <f t="shared" si="122"/>
        <v>1748361.7305000001</v>
      </c>
      <c r="I2601" s="37">
        <f t="shared" si="120"/>
        <v>1748361.7305000001</v>
      </c>
      <c r="J2601" s="4"/>
      <c r="K2601" s="38">
        <f t="shared" si="121"/>
        <v>0</v>
      </c>
    </row>
    <row r="2602" spans="1:11">
      <c r="A2602" t="s">
        <v>3251</v>
      </c>
      <c r="B2602" t="s">
        <v>12251</v>
      </c>
      <c r="C2602" t="s">
        <v>8722</v>
      </c>
      <c r="D2602" t="s">
        <v>8762</v>
      </c>
      <c r="E2602">
        <v>2672945.1800000002</v>
      </c>
      <c r="G2602" s="35"/>
      <c r="H2602" s="36">
        <f t="shared" si="122"/>
        <v>1683955.4634</v>
      </c>
      <c r="I2602" s="37">
        <f t="shared" si="120"/>
        <v>1683955.4634</v>
      </c>
      <c r="J2602" s="4"/>
      <c r="K2602" s="38">
        <f t="shared" si="121"/>
        <v>0</v>
      </c>
    </row>
    <row r="2603" spans="1:11">
      <c r="A2603" t="s">
        <v>3252</v>
      </c>
      <c r="B2603" t="s">
        <v>12251</v>
      </c>
      <c r="C2603" t="s">
        <v>8722</v>
      </c>
      <c r="D2603" t="s">
        <v>8763</v>
      </c>
      <c r="E2603">
        <v>3681422.91</v>
      </c>
      <c r="G2603" s="35"/>
      <c r="H2603" s="36">
        <f t="shared" si="122"/>
        <v>2319296.4333000001</v>
      </c>
      <c r="I2603" s="37">
        <f t="shared" si="120"/>
        <v>2319296.4333000001</v>
      </c>
      <c r="J2603" s="4"/>
      <c r="K2603" s="38">
        <f t="shared" si="121"/>
        <v>0</v>
      </c>
    </row>
    <row r="2604" spans="1:11">
      <c r="A2604" t="s">
        <v>3253</v>
      </c>
      <c r="B2604" t="s">
        <v>12251</v>
      </c>
      <c r="C2604" t="s">
        <v>8722</v>
      </c>
      <c r="D2604" t="s">
        <v>8764</v>
      </c>
      <c r="E2604">
        <v>2320457.19</v>
      </c>
      <c r="G2604" s="35"/>
      <c r="H2604" s="36">
        <f t="shared" si="122"/>
        <v>1461888.0297000001</v>
      </c>
      <c r="I2604" s="37">
        <f t="shared" si="120"/>
        <v>1461888.0297000001</v>
      </c>
      <c r="J2604" s="4"/>
      <c r="K2604" s="38">
        <f t="shared" si="121"/>
        <v>0</v>
      </c>
    </row>
    <row r="2605" spans="1:11">
      <c r="A2605" t="s">
        <v>3254</v>
      </c>
      <c r="B2605" t="s">
        <v>12251</v>
      </c>
      <c r="C2605" t="s">
        <v>8722</v>
      </c>
      <c r="D2605" t="s">
        <v>8765</v>
      </c>
      <c r="E2605">
        <v>2627153.69</v>
      </c>
      <c r="G2605" s="35"/>
      <c r="H2605" s="36">
        <f t="shared" si="122"/>
        <v>1655106.8247</v>
      </c>
      <c r="I2605" s="37">
        <f t="shared" si="120"/>
        <v>1655106.8247</v>
      </c>
      <c r="J2605" s="4"/>
      <c r="K2605" s="38">
        <f t="shared" si="121"/>
        <v>0</v>
      </c>
    </row>
    <row r="2606" spans="1:11">
      <c r="A2606" t="s">
        <v>3255</v>
      </c>
      <c r="B2606" t="s">
        <v>12251</v>
      </c>
      <c r="C2606" t="s">
        <v>8722</v>
      </c>
      <c r="D2606" t="s">
        <v>8766</v>
      </c>
      <c r="E2606">
        <v>5324592</v>
      </c>
      <c r="G2606" s="35"/>
      <c r="H2606" s="36">
        <f t="shared" si="122"/>
        <v>3354492.96</v>
      </c>
      <c r="I2606" s="37">
        <f t="shared" si="120"/>
        <v>3354492.96</v>
      </c>
      <c r="J2606" s="4"/>
      <c r="K2606" s="38">
        <f t="shared" si="121"/>
        <v>0</v>
      </c>
    </row>
    <row r="2607" spans="1:11">
      <c r="A2607" t="s">
        <v>9780</v>
      </c>
      <c r="B2607" t="s">
        <v>12251</v>
      </c>
      <c r="C2607" t="s">
        <v>8722</v>
      </c>
      <c r="D2607" t="s">
        <v>9781</v>
      </c>
      <c r="E2607">
        <v>805078.31</v>
      </c>
      <c r="G2607" s="35"/>
      <c r="H2607" s="36">
        <f t="shared" si="122"/>
        <v>507199.33530000004</v>
      </c>
      <c r="I2607" s="37">
        <f t="shared" si="120"/>
        <v>507199.33530000004</v>
      </c>
      <c r="J2607" s="4"/>
      <c r="K2607" s="38">
        <f t="shared" si="121"/>
        <v>0</v>
      </c>
    </row>
    <row r="2608" spans="1:11">
      <c r="A2608" t="s">
        <v>9782</v>
      </c>
      <c r="B2608" t="s">
        <v>12251</v>
      </c>
      <c r="C2608" t="s">
        <v>8722</v>
      </c>
      <c r="D2608" t="s">
        <v>9783</v>
      </c>
      <c r="E2608">
        <v>1067048.24</v>
      </c>
      <c r="G2608" s="35"/>
      <c r="H2608" s="36">
        <f t="shared" si="122"/>
        <v>672240.39119999995</v>
      </c>
      <c r="I2608" s="37">
        <f t="shared" si="120"/>
        <v>672240.39119999995</v>
      </c>
      <c r="J2608" s="4"/>
      <c r="K2608" s="38">
        <f t="shared" si="121"/>
        <v>0</v>
      </c>
    </row>
    <row r="2609" spans="1:11">
      <c r="A2609" t="s">
        <v>9784</v>
      </c>
      <c r="B2609" t="s">
        <v>12251</v>
      </c>
      <c r="C2609" t="s">
        <v>8722</v>
      </c>
      <c r="D2609" t="s">
        <v>9785</v>
      </c>
      <c r="E2609">
        <v>1779843.75</v>
      </c>
      <c r="G2609" s="35"/>
      <c r="H2609" s="36">
        <f t="shared" si="122"/>
        <v>1121301.5625</v>
      </c>
      <c r="I2609" s="37">
        <f t="shared" si="120"/>
        <v>1121301.5625</v>
      </c>
      <c r="J2609" s="4"/>
      <c r="K2609" s="38">
        <f t="shared" si="121"/>
        <v>0</v>
      </c>
    </row>
    <row r="2610" spans="1:11">
      <c r="A2610" t="s">
        <v>9786</v>
      </c>
      <c r="B2610" t="s">
        <v>12251</v>
      </c>
      <c r="C2610" t="s">
        <v>8722</v>
      </c>
      <c r="D2610" t="s">
        <v>9787</v>
      </c>
      <c r="E2610">
        <v>2289817.98</v>
      </c>
      <c r="G2610" s="35"/>
      <c r="H2610" s="36">
        <f t="shared" si="122"/>
        <v>1442585.3274000001</v>
      </c>
      <c r="I2610" s="37">
        <f t="shared" si="120"/>
        <v>1442585.3274000001</v>
      </c>
      <c r="J2610" s="4"/>
      <c r="K2610" s="38">
        <f t="shared" si="121"/>
        <v>0</v>
      </c>
    </row>
    <row r="2611" spans="1:11">
      <c r="A2611" t="s">
        <v>12202</v>
      </c>
      <c r="B2611" t="s">
        <v>12251</v>
      </c>
      <c r="C2611" t="s">
        <v>12203</v>
      </c>
      <c r="D2611" t="s">
        <v>12204</v>
      </c>
      <c r="E2611">
        <v>2373789.2000000002</v>
      </c>
      <c r="G2611" s="35"/>
      <c r="H2611" s="36">
        <f t="shared" si="122"/>
        <v>1495487.1960000002</v>
      </c>
      <c r="I2611" s="37">
        <f t="shared" si="120"/>
        <v>1495487.1960000002</v>
      </c>
      <c r="J2611" s="4"/>
      <c r="K2611" s="38">
        <f t="shared" si="121"/>
        <v>0</v>
      </c>
    </row>
    <row r="2612" spans="1:11">
      <c r="A2612" t="s">
        <v>12023</v>
      </c>
      <c r="B2612" t="s">
        <v>12251</v>
      </c>
      <c r="C2612" t="s">
        <v>12024</v>
      </c>
      <c r="D2612" t="s">
        <v>12025</v>
      </c>
      <c r="E2612">
        <v>119192.99</v>
      </c>
      <c r="G2612" s="35"/>
      <c r="H2612" s="36">
        <f t="shared" si="122"/>
        <v>75091.583700000003</v>
      </c>
      <c r="I2612" s="37">
        <f t="shared" si="120"/>
        <v>75091.583700000003</v>
      </c>
      <c r="J2612" s="4"/>
      <c r="K2612" s="38">
        <f t="shared" si="121"/>
        <v>0</v>
      </c>
    </row>
    <row r="2613" spans="1:11">
      <c r="A2613" t="s">
        <v>12026</v>
      </c>
      <c r="B2613" t="s">
        <v>12251</v>
      </c>
      <c r="C2613" t="s">
        <v>12024</v>
      </c>
      <c r="D2613" t="s">
        <v>12027</v>
      </c>
      <c r="E2613">
        <v>140666.1</v>
      </c>
      <c r="G2613" s="35"/>
      <c r="H2613" s="36">
        <f t="shared" si="122"/>
        <v>88619.643000000011</v>
      </c>
      <c r="I2613" s="37">
        <f t="shared" si="120"/>
        <v>88619.643000000011</v>
      </c>
      <c r="J2613" s="4"/>
      <c r="K2613" s="38">
        <f t="shared" si="121"/>
        <v>0</v>
      </c>
    </row>
    <row r="2614" spans="1:11">
      <c r="A2614" t="s">
        <v>12028</v>
      </c>
      <c r="B2614" t="s">
        <v>12251</v>
      </c>
      <c r="C2614" t="s">
        <v>12024</v>
      </c>
      <c r="D2614" t="s">
        <v>12029</v>
      </c>
      <c r="E2614">
        <v>439744.27</v>
      </c>
      <c r="G2614" s="35"/>
      <c r="H2614" s="36">
        <f t="shared" si="122"/>
        <v>277038.89010000002</v>
      </c>
      <c r="I2614" s="37">
        <f t="shared" si="120"/>
        <v>277038.89010000002</v>
      </c>
      <c r="J2614" s="4"/>
      <c r="K2614" s="38">
        <f t="shared" si="121"/>
        <v>0</v>
      </c>
    </row>
    <row r="2615" spans="1:11">
      <c r="A2615" t="s">
        <v>12030</v>
      </c>
      <c r="B2615" t="s">
        <v>12251</v>
      </c>
      <c r="C2615" t="s">
        <v>12024</v>
      </c>
      <c r="D2615" t="s">
        <v>12031</v>
      </c>
      <c r="E2615">
        <v>439744.27</v>
      </c>
      <c r="G2615" s="35"/>
      <c r="H2615" s="36">
        <f t="shared" si="122"/>
        <v>277038.89010000002</v>
      </c>
      <c r="I2615" s="37">
        <f t="shared" si="120"/>
        <v>277038.89010000002</v>
      </c>
      <c r="J2615" s="4"/>
      <c r="K2615" s="38">
        <f t="shared" si="121"/>
        <v>0</v>
      </c>
    </row>
    <row r="2616" spans="1:11">
      <c r="A2616" t="s">
        <v>12032</v>
      </c>
      <c r="B2616" t="s">
        <v>12251</v>
      </c>
      <c r="C2616" t="s">
        <v>12024</v>
      </c>
      <c r="D2616" t="s">
        <v>12033</v>
      </c>
      <c r="E2616">
        <v>1002292.68</v>
      </c>
      <c r="G2616" s="35"/>
      <c r="H2616" s="36">
        <f t="shared" si="122"/>
        <v>631444.38840000005</v>
      </c>
      <c r="I2616" s="37">
        <f t="shared" si="120"/>
        <v>631444.38840000005</v>
      </c>
      <c r="J2616" s="4"/>
      <c r="K2616" s="38">
        <f t="shared" si="121"/>
        <v>0</v>
      </c>
    </row>
    <row r="2617" spans="1:11">
      <c r="A2617" t="s">
        <v>12034</v>
      </c>
      <c r="B2617" t="s">
        <v>12251</v>
      </c>
      <c r="C2617" t="s">
        <v>12024</v>
      </c>
      <c r="D2617" t="s">
        <v>12035</v>
      </c>
      <c r="E2617">
        <v>1179699.22</v>
      </c>
      <c r="G2617" s="35"/>
      <c r="H2617" s="36">
        <f t="shared" si="122"/>
        <v>743210.50859999994</v>
      </c>
      <c r="I2617" s="37">
        <f t="shared" si="120"/>
        <v>743210.50859999994</v>
      </c>
      <c r="J2617" s="4"/>
      <c r="K2617" s="38">
        <f t="shared" si="121"/>
        <v>0</v>
      </c>
    </row>
    <row r="2618" spans="1:11">
      <c r="A2618" t="s">
        <v>12036</v>
      </c>
      <c r="B2618" t="s">
        <v>12251</v>
      </c>
      <c r="C2618" t="s">
        <v>12024</v>
      </c>
      <c r="D2618" t="s">
        <v>12037</v>
      </c>
      <c r="E2618">
        <v>302243.26</v>
      </c>
      <c r="G2618" s="35"/>
      <c r="H2618" s="36">
        <f t="shared" si="122"/>
        <v>190413.25380000001</v>
      </c>
      <c r="I2618" s="37">
        <f t="shared" si="120"/>
        <v>190413.25380000001</v>
      </c>
      <c r="J2618" s="4"/>
      <c r="K2618" s="38">
        <f t="shared" si="121"/>
        <v>0</v>
      </c>
    </row>
    <row r="2619" spans="1:11">
      <c r="A2619" t="s">
        <v>12038</v>
      </c>
      <c r="B2619" t="s">
        <v>12251</v>
      </c>
      <c r="C2619" t="s">
        <v>12024</v>
      </c>
      <c r="D2619" t="s">
        <v>12278</v>
      </c>
      <c r="E2619">
        <v>318494.44</v>
      </c>
      <c r="G2619" s="35"/>
      <c r="H2619" s="36">
        <f t="shared" si="122"/>
        <v>200651.49720000001</v>
      </c>
      <c r="I2619" s="37">
        <f t="shared" si="120"/>
        <v>200651.49720000001</v>
      </c>
      <c r="J2619" s="4"/>
      <c r="K2619" s="38">
        <f t="shared" si="121"/>
        <v>0</v>
      </c>
    </row>
    <row r="2620" spans="1:11">
      <c r="A2620" t="s">
        <v>12039</v>
      </c>
      <c r="B2620" t="s">
        <v>12251</v>
      </c>
      <c r="C2620" t="s">
        <v>12024</v>
      </c>
      <c r="D2620" t="s">
        <v>12040</v>
      </c>
      <c r="E2620">
        <v>337562.94</v>
      </c>
      <c r="G2620" s="35"/>
      <c r="H2620" s="36">
        <f t="shared" si="122"/>
        <v>212664.65220000001</v>
      </c>
      <c r="I2620" s="37">
        <f t="shared" si="120"/>
        <v>212664.65220000001</v>
      </c>
      <c r="J2620" s="4"/>
      <c r="K2620" s="38">
        <f t="shared" si="121"/>
        <v>0</v>
      </c>
    </row>
    <row r="2621" spans="1:11">
      <c r="A2621" t="s">
        <v>12041</v>
      </c>
      <c r="B2621" t="s">
        <v>12251</v>
      </c>
      <c r="C2621" t="s">
        <v>12024</v>
      </c>
      <c r="D2621" t="s">
        <v>12042</v>
      </c>
      <c r="E2621">
        <v>391927.02</v>
      </c>
      <c r="G2621" s="35"/>
      <c r="H2621" s="36">
        <f t="shared" si="122"/>
        <v>246914.02260000003</v>
      </c>
      <c r="I2621" s="37">
        <f t="shared" si="120"/>
        <v>246914.02260000003</v>
      </c>
      <c r="J2621" s="4"/>
      <c r="K2621" s="38">
        <f t="shared" si="121"/>
        <v>0</v>
      </c>
    </row>
    <row r="2622" spans="1:11">
      <c r="A2622" t="s">
        <v>12043</v>
      </c>
      <c r="B2622" t="s">
        <v>12251</v>
      </c>
      <c r="C2622" t="s">
        <v>12024</v>
      </c>
      <c r="D2622" t="s">
        <v>12044</v>
      </c>
      <c r="E2622">
        <v>424269.72</v>
      </c>
      <c r="G2622" s="35"/>
      <c r="H2622" s="36">
        <f t="shared" si="122"/>
        <v>267289.92359999998</v>
      </c>
      <c r="I2622" s="37">
        <f t="shared" si="120"/>
        <v>267289.92359999998</v>
      </c>
      <c r="J2622" s="4"/>
      <c r="K2622" s="38">
        <f t="shared" si="121"/>
        <v>0</v>
      </c>
    </row>
    <row r="2623" spans="1:11">
      <c r="A2623" t="s">
        <v>12045</v>
      </c>
      <c r="B2623" t="s">
        <v>12251</v>
      </c>
      <c r="C2623" t="s">
        <v>12024</v>
      </c>
      <c r="D2623" t="s">
        <v>12046</v>
      </c>
      <c r="E2623">
        <v>432121.49</v>
      </c>
      <c r="G2623" s="35"/>
      <c r="H2623" s="36">
        <f t="shared" si="122"/>
        <v>272236.53869999998</v>
      </c>
      <c r="I2623" s="37">
        <f t="shared" si="120"/>
        <v>272236.53869999998</v>
      </c>
      <c r="J2623" s="4"/>
      <c r="K2623" s="38">
        <f t="shared" si="121"/>
        <v>0</v>
      </c>
    </row>
    <row r="2624" spans="1:11">
      <c r="A2624" t="s">
        <v>12047</v>
      </c>
      <c r="B2624" t="s">
        <v>12251</v>
      </c>
      <c r="C2624" t="s">
        <v>12024</v>
      </c>
      <c r="D2624" t="s">
        <v>12048</v>
      </c>
      <c r="E2624">
        <v>494553.74</v>
      </c>
      <c r="G2624" s="35"/>
      <c r="H2624" s="36">
        <f t="shared" si="122"/>
        <v>311568.85619999998</v>
      </c>
      <c r="I2624" s="37">
        <f t="shared" si="120"/>
        <v>311568.85619999998</v>
      </c>
      <c r="J2624" s="4"/>
      <c r="K2624" s="38">
        <f t="shared" si="121"/>
        <v>0</v>
      </c>
    </row>
    <row r="2625" spans="1:11">
      <c r="A2625" t="s">
        <v>12049</v>
      </c>
      <c r="B2625" t="s">
        <v>12251</v>
      </c>
      <c r="C2625" t="s">
        <v>12024</v>
      </c>
      <c r="D2625" t="s">
        <v>12050</v>
      </c>
      <c r="E2625">
        <v>541518.76</v>
      </c>
      <c r="G2625" s="35"/>
      <c r="H2625" s="36">
        <f t="shared" si="122"/>
        <v>341156.81880000001</v>
      </c>
      <c r="I2625" s="37">
        <f t="shared" si="120"/>
        <v>341156.81880000001</v>
      </c>
      <c r="J2625" s="4"/>
      <c r="K2625" s="38">
        <f t="shared" si="121"/>
        <v>0</v>
      </c>
    </row>
    <row r="2626" spans="1:11">
      <c r="A2626" t="s">
        <v>10601</v>
      </c>
      <c r="B2626" t="s">
        <v>12251</v>
      </c>
      <c r="C2626" t="s">
        <v>10003</v>
      </c>
      <c r="D2626" t="s">
        <v>10602</v>
      </c>
      <c r="E2626">
        <v>417047.77</v>
      </c>
      <c r="G2626" s="35"/>
      <c r="H2626" s="36">
        <f t="shared" si="122"/>
        <v>262740.09510000004</v>
      </c>
      <c r="I2626" s="37">
        <f t="shared" si="120"/>
        <v>262740.09510000004</v>
      </c>
      <c r="J2626" s="4"/>
      <c r="K2626" s="38">
        <f t="shared" si="121"/>
        <v>0</v>
      </c>
    </row>
    <row r="2627" spans="1:11">
      <c r="A2627" t="s">
        <v>3327</v>
      </c>
      <c r="B2627" t="s">
        <v>12251</v>
      </c>
      <c r="C2627" t="s">
        <v>10003</v>
      </c>
      <c r="D2627" t="s">
        <v>11604</v>
      </c>
      <c r="E2627">
        <v>436646.25</v>
      </c>
      <c r="G2627" s="35"/>
      <c r="H2627" s="36">
        <f t="shared" si="122"/>
        <v>275087.13750000001</v>
      </c>
      <c r="I2627" s="37">
        <f t="shared" si="120"/>
        <v>275087.13750000001</v>
      </c>
      <c r="J2627" s="4"/>
      <c r="K2627" s="38">
        <f t="shared" si="121"/>
        <v>0</v>
      </c>
    </row>
    <row r="2628" spans="1:11">
      <c r="A2628" t="s">
        <v>3328</v>
      </c>
      <c r="B2628" t="s">
        <v>12251</v>
      </c>
      <c r="C2628" t="s">
        <v>10003</v>
      </c>
      <c r="D2628" t="s">
        <v>11605</v>
      </c>
      <c r="E2628">
        <v>494019.49</v>
      </c>
      <c r="G2628" s="35"/>
      <c r="H2628" s="36">
        <f t="shared" si="122"/>
        <v>311232.27870000002</v>
      </c>
      <c r="I2628" s="37">
        <f t="shared" si="120"/>
        <v>311232.27870000002</v>
      </c>
      <c r="J2628" s="4"/>
      <c r="K2628" s="38">
        <f t="shared" si="121"/>
        <v>0</v>
      </c>
    </row>
    <row r="2629" spans="1:11">
      <c r="A2629" t="s">
        <v>3329</v>
      </c>
      <c r="B2629" t="s">
        <v>12251</v>
      </c>
      <c r="C2629" t="s">
        <v>10003</v>
      </c>
      <c r="D2629" t="s">
        <v>11606</v>
      </c>
      <c r="E2629">
        <v>583144.01</v>
      </c>
      <c r="G2629" s="35"/>
      <c r="H2629" s="36">
        <f t="shared" si="122"/>
        <v>367380.72629999998</v>
      </c>
      <c r="I2629" s="37">
        <f t="shared" si="120"/>
        <v>367380.72629999998</v>
      </c>
      <c r="J2629" s="4"/>
      <c r="K2629" s="38">
        <f t="shared" si="121"/>
        <v>0</v>
      </c>
    </row>
    <row r="2630" spans="1:11">
      <c r="A2630" t="s">
        <v>3330</v>
      </c>
      <c r="B2630" t="s">
        <v>12251</v>
      </c>
      <c r="C2630" t="s">
        <v>10003</v>
      </c>
      <c r="D2630" t="s">
        <v>11607</v>
      </c>
      <c r="E2630">
        <v>578888.02</v>
      </c>
      <c r="G2630" s="35"/>
      <c r="H2630" s="36">
        <f t="shared" si="122"/>
        <v>364699.45260000002</v>
      </c>
      <c r="I2630" s="37">
        <f t="shared" ref="I2630:I2693" si="123">H2630*$H$4</f>
        <v>364699.45260000002</v>
      </c>
      <c r="J2630" s="4"/>
      <c r="K2630" s="38">
        <f t="shared" ref="K2630:K2693" si="124">J2630*I2630</f>
        <v>0</v>
      </c>
    </row>
    <row r="2631" spans="1:11">
      <c r="A2631" t="s">
        <v>3331</v>
      </c>
      <c r="B2631" t="s">
        <v>12251</v>
      </c>
      <c r="C2631" t="s">
        <v>10003</v>
      </c>
      <c r="D2631" t="s">
        <v>11608</v>
      </c>
      <c r="E2631">
        <v>697883.87</v>
      </c>
      <c r="G2631" s="35"/>
      <c r="H2631" s="36">
        <f t="shared" ref="H2631:H2694" si="125">+E2631*$H$1*(1-G2631)</f>
        <v>439666.83809999999</v>
      </c>
      <c r="I2631" s="37">
        <f t="shared" si="123"/>
        <v>439666.83809999999</v>
      </c>
      <c r="J2631" s="4"/>
      <c r="K2631" s="38">
        <f t="shared" si="124"/>
        <v>0</v>
      </c>
    </row>
    <row r="2632" spans="1:11">
      <c r="A2632" t="s">
        <v>3332</v>
      </c>
      <c r="B2632" t="s">
        <v>12251</v>
      </c>
      <c r="C2632" t="s">
        <v>10003</v>
      </c>
      <c r="D2632" t="s">
        <v>11609</v>
      </c>
      <c r="E2632">
        <v>634001.62</v>
      </c>
      <c r="G2632" s="35"/>
      <c r="H2632" s="36">
        <f t="shared" si="125"/>
        <v>399421.02059999999</v>
      </c>
      <c r="I2632" s="37">
        <f t="shared" si="123"/>
        <v>399421.02059999999</v>
      </c>
      <c r="J2632" s="4"/>
      <c r="K2632" s="38">
        <f t="shared" si="124"/>
        <v>0</v>
      </c>
    </row>
    <row r="2633" spans="1:11">
      <c r="A2633" t="s">
        <v>3333</v>
      </c>
      <c r="B2633" t="s">
        <v>12251</v>
      </c>
      <c r="C2633" t="s">
        <v>10003</v>
      </c>
      <c r="D2633" t="s">
        <v>11610</v>
      </c>
      <c r="E2633">
        <v>744648.22</v>
      </c>
      <c r="G2633" s="35"/>
      <c r="H2633" s="36">
        <f t="shared" si="125"/>
        <v>469128.3786</v>
      </c>
      <c r="I2633" s="37">
        <f t="shared" si="123"/>
        <v>469128.3786</v>
      </c>
      <c r="J2633" s="4"/>
      <c r="K2633" s="38">
        <f t="shared" si="124"/>
        <v>0</v>
      </c>
    </row>
    <row r="2634" spans="1:11">
      <c r="A2634" t="s">
        <v>3334</v>
      </c>
      <c r="B2634" t="s">
        <v>12251</v>
      </c>
      <c r="C2634" t="s">
        <v>10003</v>
      </c>
      <c r="D2634" t="s">
        <v>11611</v>
      </c>
      <c r="E2634">
        <v>827631.51</v>
      </c>
      <c r="G2634" s="35"/>
      <c r="H2634" s="36">
        <f t="shared" si="125"/>
        <v>521407.85130000004</v>
      </c>
      <c r="I2634" s="37">
        <f t="shared" si="123"/>
        <v>521407.85130000004</v>
      </c>
      <c r="J2634" s="4"/>
      <c r="K2634" s="38">
        <f t="shared" si="124"/>
        <v>0</v>
      </c>
    </row>
    <row r="2635" spans="1:11">
      <c r="A2635" t="s">
        <v>3335</v>
      </c>
      <c r="B2635" t="s">
        <v>12251</v>
      </c>
      <c r="C2635" t="s">
        <v>10003</v>
      </c>
      <c r="D2635" t="s">
        <v>12569</v>
      </c>
      <c r="E2635">
        <v>819120.84</v>
      </c>
      <c r="G2635" s="35"/>
      <c r="H2635" s="36">
        <f t="shared" si="125"/>
        <v>516046.12919999997</v>
      </c>
      <c r="I2635" s="37">
        <f t="shared" si="123"/>
        <v>516046.12919999997</v>
      </c>
      <c r="J2635" s="4"/>
      <c r="K2635" s="38">
        <f t="shared" si="124"/>
        <v>0</v>
      </c>
    </row>
    <row r="2636" spans="1:11">
      <c r="A2636" t="s">
        <v>3336</v>
      </c>
      <c r="B2636" t="s">
        <v>12251</v>
      </c>
      <c r="C2636" t="s">
        <v>10003</v>
      </c>
      <c r="D2636" t="s">
        <v>11612</v>
      </c>
      <c r="E2636">
        <v>955299.44</v>
      </c>
      <c r="G2636" s="35"/>
      <c r="H2636" s="36">
        <f t="shared" si="125"/>
        <v>601838.64720000001</v>
      </c>
      <c r="I2636" s="37">
        <f t="shared" si="123"/>
        <v>601838.64720000001</v>
      </c>
      <c r="J2636" s="4"/>
      <c r="K2636" s="38">
        <f t="shared" si="124"/>
        <v>0</v>
      </c>
    </row>
    <row r="2637" spans="1:11">
      <c r="A2637" t="s">
        <v>11536</v>
      </c>
      <c r="B2637" t="s">
        <v>12251</v>
      </c>
      <c r="C2637" t="s">
        <v>10003</v>
      </c>
      <c r="D2637" t="s">
        <v>11740</v>
      </c>
      <c r="E2637">
        <v>825576.94</v>
      </c>
      <c r="G2637" s="35"/>
      <c r="H2637" s="36">
        <f t="shared" si="125"/>
        <v>520113.47219999996</v>
      </c>
      <c r="I2637" s="37">
        <f t="shared" si="123"/>
        <v>520113.47219999996</v>
      </c>
      <c r="J2637" s="4"/>
      <c r="K2637" s="38">
        <f t="shared" si="124"/>
        <v>0</v>
      </c>
    </row>
    <row r="2638" spans="1:11">
      <c r="A2638" t="s">
        <v>11537</v>
      </c>
      <c r="B2638" t="s">
        <v>12251</v>
      </c>
      <c r="C2638" t="s">
        <v>10003</v>
      </c>
      <c r="D2638" t="s">
        <v>11741</v>
      </c>
      <c r="E2638">
        <v>1253260.07</v>
      </c>
      <c r="G2638" s="35"/>
      <c r="H2638" s="36">
        <f t="shared" si="125"/>
        <v>789553.8441000001</v>
      </c>
      <c r="I2638" s="37">
        <f t="shared" si="123"/>
        <v>789553.8441000001</v>
      </c>
      <c r="J2638" s="4"/>
      <c r="K2638" s="38">
        <f t="shared" si="124"/>
        <v>0</v>
      </c>
    </row>
    <row r="2639" spans="1:11">
      <c r="A2639" t="s">
        <v>11538</v>
      </c>
      <c r="B2639" t="s">
        <v>12251</v>
      </c>
      <c r="C2639" t="s">
        <v>10003</v>
      </c>
      <c r="D2639" t="s">
        <v>11742</v>
      </c>
      <c r="E2639">
        <v>1208576.75</v>
      </c>
      <c r="G2639" s="35"/>
      <c r="H2639" s="36">
        <f t="shared" si="125"/>
        <v>761403.35250000004</v>
      </c>
      <c r="I2639" s="37">
        <f t="shared" si="123"/>
        <v>761403.35250000004</v>
      </c>
      <c r="J2639" s="4"/>
      <c r="K2639" s="38">
        <f t="shared" si="124"/>
        <v>0</v>
      </c>
    </row>
    <row r="2640" spans="1:11">
      <c r="A2640" t="s">
        <v>11539</v>
      </c>
      <c r="B2640" t="s">
        <v>12251</v>
      </c>
      <c r="C2640" t="s">
        <v>10003</v>
      </c>
      <c r="D2640" t="s">
        <v>11743</v>
      </c>
      <c r="E2640">
        <v>1536252.62</v>
      </c>
      <c r="G2640" s="35"/>
      <c r="H2640" s="36">
        <f t="shared" si="125"/>
        <v>967839.15060000005</v>
      </c>
      <c r="I2640" s="37">
        <f t="shared" si="123"/>
        <v>967839.15060000005</v>
      </c>
      <c r="J2640" s="4"/>
      <c r="K2640" s="38">
        <f t="shared" si="124"/>
        <v>0</v>
      </c>
    </row>
    <row r="2641" spans="1:11">
      <c r="A2641" t="s">
        <v>12142</v>
      </c>
      <c r="B2641" t="s">
        <v>12251</v>
      </c>
      <c r="C2641" t="s">
        <v>10003</v>
      </c>
      <c r="D2641" t="s">
        <v>12143</v>
      </c>
      <c r="E2641">
        <v>393637.82</v>
      </c>
      <c r="G2641" s="35"/>
      <c r="H2641" s="36">
        <f t="shared" si="125"/>
        <v>247991.8266</v>
      </c>
      <c r="I2641" s="37">
        <f t="shared" si="123"/>
        <v>247991.8266</v>
      </c>
      <c r="J2641" s="4"/>
      <c r="K2641" s="38">
        <f t="shared" si="124"/>
        <v>0</v>
      </c>
    </row>
    <row r="2642" spans="1:11">
      <c r="A2642" t="s">
        <v>12144</v>
      </c>
      <c r="B2642" t="s">
        <v>12251</v>
      </c>
      <c r="C2642" t="s">
        <v>10003</v>
      </c>
      <c r="D2642" t="s">
        <v>12145</v>
      </c>
      <c r="E2642">
        <v>442577.12</v>
      </c>
      <c r="G2642" s="35"/>
      <c r="H2642" s="36">
        <f t="shared" si="125"/>
        <v>278823.58559999999</v>
      </c>
      <c r="I2642" s="37">
        <f t="shared" si="123"/>
        <v>278823.58559999999</v>
      </c>
      <c r="J2642" s="4"/>
      <c r="K2642" s="38">
        <f t="shared" si="124"/>
        <v>0</v>
      </c>
    </row>
    <row r="2643" spans="1:11">
      <c r="A2643" t="s">
        <v>12146</v>
      </c>
      <c r="B2643" t="s">
        <v>12251</v>
      </c>
      <c r="C2643" t="s">
        <v>10003</v>
      </c>
      <c r="D2643" t="s">
        <v>12147</v>
      </c>
      <c r="E2643">
        <v>525559.1</v>
      </c>
      <c r="G2643" s="35"/>
      <c r="H2643" s="36">
        <f t="shared" si="125"/>
        <v>331102.23300000001</v>
      </c>
      <c r="I2643" s="37">
        <f t="shared" si="123"/>
        <v>331102.23300000001</v>
      </c>
      <c r="J2643" s="4"/>
      <c r="K2643" s="38">
        <f t="shared" si="124"/>
        <v>0</v>
      </c>
    </row>
    <row r="2644" spans="1:11">
      <c r="A2644" t="s">
        <v>12148</v>
      </c>
      <c r="B2644" t="s">
        <v>12251</v>
      </c>
      <c r="C2644" t="s">
        <v>10003</v>
      </c>
      <c r="D2644" t="s">
        <v>12149</v>
      </c>
      <c r="E2644">
        <v>561733.06000000006</v>
      </c>
      <c r="G2644" s="35"/>
      <c r="H2644" s="36">
        <f t="shared" si="125"/>
        <v>353891.82780000003</v>
      </c>
      <c r="I2644" s="37">
        <f t="shared" si="123"/>
        <v>353891.82780000003</v>
      </c>
      <c r="J2644" s="4"/>
      <c r="K2644" s="38">
        <f t="shared" si="124"/>
        <v>0</v>
      </c>
    </row>
    <row r="2645" spans="1:11">
      <c r="A2645" t="s">
        <v>12150</v>
      </c>
      <c r="B2645" t="s">
        <v>12251</v>
      </c>
      <c r="C2645" t="s">
        <v>10003</v>
      </c>
      <c r="D2645" t="s">
        <v>12151</v>
      </c>
      <c r="E2645">
        <v>657484.32999999996</v>
      </c>
      <c r="G2645" s="35"/>
      <c r="H2645" s="36">
        <f t="shared" si="125"/>
        <v>414215.12789999996</v>
      </c>
      <c r="I2645" s="37">
        <f t="shared" si="123"/>
        <v>414215.12789999996</v>
      </c>
      <c r="J2645" s="4"/>
      <c r="K2645" s="38">
        <f t="shared" si="124"/>
        <v>0</v>
      </c>
    </row>
    <row r="2646" spans="1:11">
      <c r="A2646" t="s">
        <v>9960</v>
      </c>
      <c r="B2646" t="s">
        <v>12251</v>
      </c>
      <c r="C2646" t="s">
        <v>10003</v>
      </c>
      <c r="D2646" t="s">
        <v>9961</v>
      </c>
      <c r="E2646">
        <v>563861.71</v>
      </c>
      <c r="G2646" s="35"/>
      <c r="H2646" s="36">
        <f t="shared" si="125"/>
        <v>355232.87729999999</v>
      </c>
      <c r="I2646" s="37">
        <f t="shared" si="123"/>
        <v>355232.87729999999</v>
      </c>
      <c r="J2646" s="4"/>
      <c r="K2646" s="38">
        <f t="shared" si="124"/>
        <v>0</v>
      </c>
    </row>
    <row r="2647" spans="1:11">
      <c r="A2647" t="s">
        <v>9962</v>
      </c>
      <c r="B2647" t="s">
        <v>12251</v>
      </c>
      <c r="C2647" t="s">
        <v>10003</v>
      </c>
      <c r="D2647" t="s">
        <v>9963</v>
      </c>
      <c r="E2647">
        <v>612801.03</v>
      </c>
      <c r="G2647" s="35"/>
      <c r="H2647" s="36">
        <f t="shared" si="125"/>
        <v>386064.64890000003</v>
      </c>
      <c r="I2647" s="37">
        <f t="shared" si="123"/>
        <v>386064.64890000003</v>
      </c>
      <c r="J2647" s="4"/>
      <c r="K2647" s="38">
        <f t="shared" si="124"/>
        <v>0</v>
      </c>
    </row>
    <row r="2648" spans="1:11">
      <c r="A2648" t="s">
        <v>9964</v>
      </c>
      <c r="B2648" t="s">
        <v>12251</v>
      </c>
      <c r="C2648" t="s">
        <v>10003</v>
      </c>
      <c r="D2648" t="s">
        <v>9965</v>
      </c>
      <c r="E2648">
        <v>680887.67</v>
      </c>
      <c r="G2648" s="35"/>
      <c r="H2648" s="36">
        <f t="shared" si="125"/>
        <v>428959.23210000002</v>
      </c>
      <c r="I2648" s="37">
        <f t="shared" si="123"/>
        <v>428959.23210000002</v>
      </c>
      <c r="J2648" s="4"/>
      <c r="K2648" s="38">
        <f t="shared" si="124"/>
        <v>0</v>
      </c>
    </row>
    <row r="2649" spans="1:11">
      <c r="A2649" t="s">
        <v>11636</v>
      </c>
      <c r="B2649" t="s">
        <v>12251</v>
      </c>
      <c r="C2649" t="s">
        <v>9022</v>
      </c>
      <c r="D2649" t="s">
        <v>11637</v>
      </c>
      <c r="E2649">
        <v>43008.43</v>
      </c>
      <c r="G2649" s="35"/>
      <c r="H2649" s="36">
        <f t="shared" si="125"/>
        <v>27095.3109</v>
      </c>
      <c r="I2649" s="37">
        <f t="shared" si="123"/>
        <v>27095.3109</v>
      </c>
      <c r="J2649" s="4"/>
      <c r="K2649" s="38">
        <f t="shared" si="124"/>
        <v>0</v>
      </c>
    </row>
    <row r="2650" spans="1:11">
      <c r="A2650" t="s">
        <v>11638</v>
      </c>
      <c r="B2650" t="s">
        <v>12251</v>
      </c>
      <c r="C2650" t="s">
        <v>9022</v>
      </c>
      <c r="D2650" t="s">
        <v>11639</v>
      </c>
      <c r="E2650">
        <v>45057.72</v>
      </c>
      <c r="G2650" s="35"/>
      <c r="H2650" s="36">
        <f t="shared" si="125"/>
        <v>28386.363600000001</v>
      </c>
      <c r="I2650" s="37">
        <f t="shared" si="123"/>
        <v>28386.363600000001</v>
      </c>
      <c r="J2650" s="4"/>
      <c r="K2650" s="38">
        <f t="shared" si="124"/>
        <v>0</v>
      </c>
    </row>
    <row r="2651" spans="1:11">
      <c r="A2651" t="s">
        <v>3529</v>
      </c>
      <c r="B2651" t="s">
        <v>12251</v>
      </c>
      <c r="C2651" t="s">
        <v>9022</v>
      </c>
      <c r="D2651" t="s">
        <v>11640</v>
      </c>
      <c r="E2651">
        <v>51200.27</v>
      </c>
      <c r="G2651" s="35"/>
      <c r="H2651" s="36">
        <f t="shared" si="125"/>
        <v>32256.170099999999</v>
      </c>
      <c r="I2651" s="37">
        <f t="shared" si="123"/>
        <v>32256.170099999999</v>
      </c>
      <c r="J2651" s="4"/>
      <c r="K2651" s="38">
        <f t="shared" si="124"/>
        <v>0</v>
      </c>
    </row>
    <row r="2652" spans="1:11">
      <c r="A2652" t="s">
        <v>10190</v>
      </c>
      <c r="B2652" t="s">
        <v>12251</v>
      </c>
      <c r="C2652" t="s">
        <v>9022</v>
      </c>
      <c r="D2652" t="s">
        <v>11641</v>
      </c>
      <c r="E2652">
        <v>55297.51</v>
      </c>
      <c r="G2652" s="35"/>
      <c r="H2652" s="36">
        <f t="shared" si="125"/>
        <v>34837.431300000004</v>
      </c>
      <c r="I2652" s="37">
        <f t="shared" si="123"/>
        <v>34837.431300000004</v>
      </c>
      <c r="J2652" s="4"/>
      <c r="K2652" s="38">
        <f t="shared" si="124"/>
        <v>0</v>
      </c>
    </row>
    <row r="2653" spans="1:11">
      <c r="A2653" t="s">
        <v>11642</v>
      </c>
      <c r="B2653" t="s">
        <v>12251</v>
      </c>
      <c r="C2653" t="s">
        <v>9022</v>
      </c>
      <c r="D2653" t="s">
        <v>11643</v>
      </c>
      <c r="E2653">
        <v>165892.5</v>
      </c>
      <c r="G2653" s="35"/>
      <c r="H2653" s="36">
        <f t="shared" si="125"/>
        <v>104512.27499999999</v>
      </c>
      <c r="I2653" s="37">
        <f t="shared" si="123"/>
        <v>104512.27499999999</v>
      </c>
      <c r="J2653" s="4"/>
      <c r="K2653" s="38">
        <f t="shared" si="124"/>
        <v>0</v>
      </c>
    </row>
    <row r="2654" spans="1:11">
      <c r="A2654" t="s">
        <v>11644</v>
      </c>
      <c r="B2654" t="s">
        <v>12251</v>
      </c>
      <c r="C2654" t="s">
        <v>9022</v>
      </c>
      <c r="D2654" t="s">
        <v>11645</v>
      </c>
      <c r="E2654">
        <v>165892.5</v>
      </c>
      <c r="G2654" s="35"/>
      <c r="H2654" s="36">
        <f t="shared" si="125"/>
        <v>104512.27499999999</v>
      </c>
      <c r="I2654" s="37">
        <f t="shared" si="123"/>
        <v>104512.27499999999</v>
      </c>
      <c r="J2654" s="4"/>
      <c r="K2654" s="38">
        <f t="shared" si="124"/>
        <v>0</v>
      </c>
    </row>
    <row r="2655" spans="1:11">
      <c r="A2655" t="s">
        <v>11646</v>
      </c>
      <c r="B2655" t="s">
        <v>12251</v>
      </c>
      <c r="C2655" t="s">
        <v>9022</v>
      </c>
      <c r="D2655" t="s">
        <v>11647</v>
      </c>
      <c r="E2655">
        <v>165892.5</v>
      </c>
      <c r="G2655" s="35"/>
      <c r="H2655" s="36">
        <f t="shared" si="125"/>
        <v>104512.27499999999</v>
      </c>
      <c r="I2655" s="37">
        <f t="shared" si="123"/>
        <v>104512.27499999999</v>
      </c>
      <c r="J2655" s="4"/>
      <c r="K2655" s="38">
        <f t="shared" si="124"/>
        <v>0</v>
      </c>
    </row>
    <row r="2656" spans="1:11">
      <c r="A2656" t="s">
        <v>11648</v>
      </c>
      <c r="B2656" t="s">
        <v>12251</v>
      </c>
      <c r="C2656" t="s">
        <v>9022</v>
      </c>
      <c r="D2656" t="s">
        <v>11649</v>
      </c>
      <c r="E2656">
        <v>165892.5</v>
      </c>
      <c r="G2656" s="35"/>
      <c r="H2656" s="36">
        <f t="shared" si="125"/>
        <v>104512.27499999999</v>
      </c>
      <c r="I2656" s="37">
        <f t="shared" si="123"/>
        <v>104512.27499999999</v>
      </c>
      <c r="J2656" s="4"/>
      <c r="K2656" s="38">
        <f t="shared" si="124"/>
        <v>0</v>
      </c>
    </row>
    <row r="2657" spans="1:11">
      <c r="A2657" t="s">
        <v>11650</v>
      </c>
      <c r="B2657" t="s">
        <v>12251</v>
      </c>
      <c r="C2657" t="s">
        <v>9022</v>
      </c>
      <c r="D2657" t="s">
        <v>11651</v>
      </c>
      <c r="E2657">
        <v>165892.5</v>
      </c>
      <c r="G2657" s="35"/>
      <c r="H2657" s="36">
        <f t="shared" si="125"/>
        <v>104512.27499999999</v>
      </c>
      <c r="I2657" s="37">
        <f t="shared" si="123"/>
        <v>104512.27499999999</v>
      </c>
      <c r="J2657" s="4"/>
      <c r="K2657" s="38">
        <f t="shared" si="124"/>
        <v>0</v>
      </c>
    </row>
    <row r="2658" spans="1:11">
      <c r="A2658" t="s">
        <v>3435</v>
      </c>
      <c r="B2658" t="s">
        <v>12251</v>
      </c>
      <c r="C2658" t="s">
        <v>8931</v>
      </c>
      <c r="D2658" t="s">
        <v>8932</v>
      </c>
      <c r="E2658">
        <v>274596.82</v>
      </c>
      <c r="G2658" s="35"/>
      <c r="H2658" s="36">
        <f t="shared" si="125"/>
        <v>172995.99660000001</v>
      </c>
      <c r="I2658" s="37">
        <f t="shared" si="123"/>
        <v>172995.99660000001</v>
      </c>
      <c r="J2658" s="4"/>
      <c r="K2658" s="38">
        <f t="shared" si="124"/>
        <v>0</v>
      </c>
    </row>
    <row r="2659" spans="1:11">
      <c r="A2659" t="s">
        <v>3436</v>
      </c>
      <c r="B2659" t="s">
        <v>12251</v>
      </c>
      <c r="C2659" t="s">
        <v>8931</v>
      </c>
      <c r="D2659" t="s">
        <v>8933</v>
      </c>
      <c r="E2659">
        <v>489938.53</v>
      </c>
      <c r="G2659" s="35"/>
      <c r="H2659" s="36">
        <f t="shared" si="125"/>
        <v>308661.27390000003</v>
      </c>
      <c r="I2659" s="37">
        <f t="shared" si="123"/>
        <v>308661.27390000003</v>
      </c>
      <c r="J2659" s="4"/>
      <c r="K2659" s="38">
        <f t="shared" si="124"/>
        <v>0</v>
      </c>
    </row>
    <row r="2660" spans="1:11">
      <c r="A2660" t="s">
        <v>3437</v>
      </c>
      <c r="B2660" t="s">
        <v>12251</v>
      </c>
      <c r="C2660" t="s">
        <v>8931</v>
      </c>
      <c r="D2660" t="s">
        <v>8934</v>
      </c>
      <c r="E2660">
        <v>640244.16</v>
      </c>
      <c r="G2660" s="35"/>
      <c r="H2660" s="36">
        <f t="shared" si="125"/>
        <v>403353.82080000004</v>
      </c>
      <c r="I2660" s="37">
        <f t="shared" si="123"/>
        <v>403353.82080000004</v>
      </c>
      <c r="J2660" s="4"/>
      <c r="K2660" s="38">
        <f t="shared" si="124"/>
        <v>0</v>
      </c>
    </row>
    <row r="2661" spans="1:11">
      <c r="A2661" t="s">
        <v>3438</v>
      </c>
      <c r="B2661" t="s">
        <v>12251</v>
      </c>
      <c r="C2661" t="s">
        <v>8931</v>
      </c>
      <c r="D2661" t="s">
        <v>8935</v>
      </c>
      <c r="E2661">
        <v>871483.58</v>
      </c>
      <c r="G2661" s="35"/>
      <c r="H2661" s="36">
        <f t="shared" si="125"/>
        <v>549034.65539999993</v>
      </c>
      <c r="I2661" s="37">
        <f t="shared" si="123"/>
        <v>549034.65539999993</v>
      </c>
      <c r="J2661" s="4"/>
      <c r="K2661" s="38">
        <f t="shared" si="124"/>
        <v>0</v>
      </c>
    </row>
    <row r="2662" spans="1:11">
      <c r="A2662" t="s">
        <v>12886</v>
      </c>
      <c r="B2662" t="s">
        <v>12251</v>
      </c>
      <c r="C2662" t="s">
        <v>8931</v>
      </c>
      <c r="D2662" t="s">
        <v>12887</v>
      </c>
      <c r="E2662">
        <v>1157642.3700000001</v>
      </c>
      <c r="G2662" s="35"/>
      <c r="H2662" s="36">
        <f t="shared" si="125"/>
        <v>729314.69310000003</v>
      </c>
      <c r="I2662" s="37">
        <f t="shared" si="123"/>
        <v>729314.69310000003</v>
      </c>
      <c r="J2662" s="4"/>
      <c r="K2662" s="38">
        <f t="shared" si="124"/>
        <v>0</v>
      </c>
    </row>
    <row r="2663" spans="1:11">
      <c r="A2663" t="s">
        <v>3439</v>
      </c>
      <c r="B2663" t="s">
        <v>12251</v>
      </c>
      <c r="C2663" t="s">
        <v>8931</v>
      </c>
      <c r="D2663" t="s">
        <v>8936</v>
      </c>
      <c r="E2663">
        <v>1646135.65</v>
      </c>
      <c r="G2663" s="35"/>
      <c r="H2663" s="36">
        <f t="shared" si="125"/>
        <v>1037065.4595</v>
      </c>
      <c r="I2663" s="37">
        <f t="shared" si="123"/>
        <v>1037065.4595</v>
      </c>
      <c r="J2663" s="4"/>
      <c r="K2663" s="38">
        <f t="shared" si="124"/>
        <v>0</v>
      </c>
    </row>
    <row r="2664" spans="1:11">
      <c r="A2664" t="s">
        <v>3440</v>
      </c>
      <c r="B2664" t="s">
        <v>12251</v>
      </c>
      <c r="C2664" t="s">
        <v>8931</v>
      </c>
      <c r="D2664" t="s">
        <v>8937</v>
      </c>
      <c r="E2664">
        <v>2208336.5</v>
      </c>
      <c r="G2664" s="35"/>
      <c r="H2664" s="36">
        <f t="shared" si="125"/>
        <v>1391251.9950000001</v>
      </c>
      <c r="I2664" s="37">
        <f t="shared" si="123"/>
        <v>1391251.9950000001</v>
      </c>
      <c r="J2664" s="4"/>
      <c r="K2664" s="38">
        <f t="shared" si="124"/>
        <v>0</v>
      </c>
    </row>
    <row r="2665" spans="1:11">
      <c r="A2665" t="s">
        <v>3441</v>
      </c>
      <c r="B2665" t="s">
        <v>12251</v>
      </c>
      <c r="C2665" t="s">
        <v>8931</v>
      </c>
      <c r="D2665" t="s">
        <v>8938</v>
      </c>
      <c r="E2665">
        <v>2225679.46</v>
      </c>
      <c r="G2665" s="35"/>
      <c r="H2665" s="36">
        <f t="shared" si="125"/>
        <v>1402178.0597999999</v>
      </c>
      <c r="I2665" s="37">
        <f t="shared" si="123"/>
        <v>1402178.0597999999</v>
      </c>
      <c r="J2665" s="4"/>
      <c r="K2665" s="38">
        <f t="shared" si="124"/>
        <v>0</v>
      </c>
    </row>
    <row r="2666" spans="1:11">
      <c r="A2666" t="s">
        <v>3442</v>
      </c>
      <c r="B2666" t="s">
        <v>12251</v>
      </c>
      <c r="C2666" t="s">
        <v>8931</v>
      </c>
      <c r="D2666" t="s">
        <v>8939</v>
      </c>
      <c r="E2666">
        <v>2524845.46</v>
      </c>
      <c r="G2666" s="35"/>
      <c r="H2666" s="36">
        <f t="shared" si="125"/>
        <v>1590652.6398</v>
      </c>
      <c r="I2666" s="37">
        <f t="shared" si="123"/>
        <v>1590652.6398</v>
      </c>
      <c r="J2666" s="4"/>
      <c r="K2666" s="38">
        <f t="shared" si="124"/>
        <v>0</v>
      </c>
    </row>
    <row r="2667" spans="1:11">
      <c r="A2667" t="s">
        <v>3443</v>
      </c>
      <c r="B2667" t="s">
        <v>12251</v>
      </c>
      <c r="C2667" t="s">
        <v>8931</v>
      </c>
      <c r="D2667" t="s">
        <v>8940</v>
      </c>
      <c r="E2667">
        <v>4471592.3600000003</v>
      </c>
      <c r="G2667" s="35"/>
      <c r="H2667" s="36">
        <f t="shared" si="125"/>
        <v>2817103.1868000003</v>
      </c>
      <c r="I2667" s="37">
        <f t="shared" si="123"/>
        <v>2817103.1868000003</v>
      </c>
      <c r="J2667" s="4"/>
      <c r="K2667" s="38">
        <f t="shared" si="124"/>
        <v>0</v>
      </c>
    </row>
    <row r="2668" spans="1:11">
      <c r="A2668" t="s">
        <v>9797</v>
      </c>
      <c r="B2668" t="s">
        <v>12251</v>
      </c>
      <c r="C2668" t="s">
        <v>8931</v>
      </c>
      <c r="D2668" t="s">
        <v>9798</v>
      </c>
      <c r="E2668">
        <v>433399.91</v>
      </c>
      <c r="G2668" s="35"/>
      <c r="H2668" s="36">
        <f t="shared" si="125"/>
        <v>273041.94329999998</v>
      </c>
      <c r="I2668" s="37">
        <f t="shared" si="123"/>
        <v>273041.94329999998</v>
      </c>
      <c r="J2668" s="4"/>
      <c r="K2668" s="38">
        <f t="shared" si="124"/>
        <v>0</v>
      </c>
    </row>
    <row r="2669" spans="1:11">
      <c r="A2669" t="s">
        <v>10040</v>
      </c>
      <c r="B2669" t="s">
        <v>12251</v>
      </c>
      <c r="C2669" t="s">
        <v>10041</v>
      </c>
      <c r="D2669" t="s">
        <v>11244</v>
      </c>
      <c r="E2669">
        <v>251910.68</v>
      </c>
      <c r="G2669" s="35"/>
      <c r="H2669" s="36">
        <f t="shared" si="125"/>
        <v>158703.72839999999</v>
      </c>
      <c r="I2669" s="37">
        <f t="shared" si="123"/>
        <v>158703.72839999999</v>
      </c>
      <c r="J2669" s="4"/>
      <c r="K2669" s="38">
        <f t="shared" si="124"/>
        <v>0</v>
      </c>
    </row>
    <row r="2670" spans="1:11">
      <c r="A2670" t="s">
        <v>10042</v>
      </c>
      <c r="B2670" t="s">
        <v>12251</v>
      </c>
      <c r="C2670" t="s">
        <v>10041</v>
      </c>
      <c r="D2670" t="s">
        <v>11245</v>
      </c>
      <c r="E2670">
        <v>440330.73</v>
      </c>
      <c r="G2670" s="35"/>
      <c r="H2670" s="36">
        <f t="shared" si="125"/>
        <v>277408.35989999998</v>
      </c>
      <c r="I2670" s="37">
        <f t="shared" si="123"/>
        <v>277408.35989999998</v>
      </c>
      <c r="J2670" s="4"/>
      <c r="K2670" s="38">
        <f t="shared" si="124"/>
        <v>0</v>
      </c>
    </row>
    <row r="2671" spans="1:11">
      <c r="A2671" t="s">
        <v>11246</v>
      </c>
      <c r="B2671" t="s">
        <v>12251</v>
      </c>
      <c r="C2671" t="s">
        <v>10041</v>
      </c>
      <c r="D2671" t="s">
        <v>11247</v>
      </c>
      <c r="E2671">
        <v>30719.360000000001</v>
      </c>
      <c r="G2671" s="35"/>
      <c r="H2671" s="36">
        <f t="shared" si="125"/>
        <v>19353.196800000002</v>
      </c>
      <c r="I2671" s="37">
        <f t="shared" si="123"/>
        <v>19353.196800000002</v>
      </c>
      <c r="J2671" s="4"/>
      <c r="K2671" s="38">
        <f t="shared" si="124"/>
        <v>0</v>
      </c>
    </row>
    <row r="2672" spans="1:11">
      <c r="A2672" t="s">
        <v>11248</v>
      </c>
      <c r="B2672" t="s">
        <v>12251</v>
      </c>
      <c r="C2672" t="s">
        <v>10041</v>
      </c>
      <c r="D2672" t="s">
        <v>11249</v>
      </c>
      <c r="E2672">
        <v>77826.36</v>
      </c>
      <c r="G2672" s="35"/>
      <c r="H2672" s="36">
        <f t="shared" si="125"/>
        <v>49030.606800000001</v>
      </c>
      <c r="I2672" s="37">
        <f t="shared" si="123"/>
        <v>49030.606800000001</v>
      </c>
      <c r="J2672" s="4"/>
      <c r="K2672" s="38">
        <f t="shared" si="124"/>
        <v>0</v>
      </c>
    </row>
    <row r="2673" spans="1:11">
      <c r="A2673" t="s">
        <v>11250</v>
      </c>
      <c r="B2673" t="s">
        <v>12251</v>
      </c>
      <c r="C2673" t="s">
        <v>10041</v>
      </c>
      <c r="D2673" t="s">
        <v>11251</v>
      </c>
      <c r="E2673">
        <v>137219.78</v>
      </c>
      <c r="G2673" s="35"/>
      <c r="H2673" s="36">
        <f t="shared" si="125"/>
        <v>86448.4614</v>
      </c>
      <c r="I2673" s="37">
        <f t="shared" si="123"/>
        <v>86448.4614</v>
      </c>
      <c r="J2673" s="4"/>
      <c r="K2673" s="38">
        <f t="shared" si="124"/>
        <v>0</v>
      </c>
    </row>
    <row r="2674" spans="1:11">
      <c r="A2674" t="s">
        <v>11878</v>
      </c>
      <c r="B2674" t="s">
        <v>12251</v>
      </c>
      <c r="C2674" t="s">
        <v>10041</v>
      </c>
      <c r="D2674" t="s">
        <v>11899</v>
      </c>
      <c r="E2674">
        <v>249862.74</v>
      </c>
      <c r="G2674" s="35"/>
      <c r="H2674" s="36">
        <f t="shared" si="125"/>
        <v>157413.52619999999</v>
      </c>
      <c r="I2674" s="37">
        <f t="shared" si="123"/>
        <v>157413.52619999999</v>
      </c>
      <c r="J2674" s="4"/>
      <c r="K2674" s="38">
        <f t="shared" si="124"/>
        <v>0</v>
      </c>
    </row>
    <row r="2675" spans="1:11">
      <c r="A2675" t="s">
        <v>11879</v>
      </c>
      <c r="B2675" t="s">
        <v>12251</v>
      </c>
      <c r="C2675" t="s">
        <v>10041</v>
      </c>
      <c r="D2675" t="s">
        <v>11900</v>
      </c>
      <c r="E2675">
        <v>440330.73</v>
      </c>
      <c r="G2675" s="35"/>
      <c r="H2675" s="36">
        <f t="shared" si="125"/>
        <v>277408.35989999998</v>
      </c>
      <c r="I2675" s="37">
        <f t="shared" si="123"/>
        <v>277408.35989999998</v>
      </c>
      <c r="J2675" s="4"/>
      <c r="K2675" s="38">
        <f t="shared" si="124"/>
        <v>0</v>
      </c>
    </row>
    <row r="2676" spans="1:11">
      <c r="A2676" t="s">
        <v>4759</v>
      </c>
      <c r="B2676" t="s">
        <v>10176</v>
      </c>
      <c r="C2676" t="s">
        <v>5910</v>
      </c>
      <c r="D2676" t="s">
        <v>10405</v>
      </c>
      <c r="E2676">
        <v>6995.19</v>
      </c>
      <c r="G2676" s="35"/>
      <c r="H2676" s="36">
        <f t="shared" si="125"/>
        <v>4406.9696999999996</v>
      </c>
      <c r="I2676" s="37">
        <f t="shared" si="123"/>
        <v>4406.9696999999996</v>
      </c>
      <c r="J2676" s="4"/>
      <c r="K2676" s="38">
        <f t="shared" si="124"/>
        <v>0</v>
      </c>
    </row>
    <row r="2677" spans="1:11">
      <c r="A2677" t="s">
        <v>4760</v>
      </c>
      <c r="B2677" t="s">
        <v>10176</v>
      </c>
      <c r="C2677" t="s">
        <v>5910</v>
      </c>
      <c r="D2677" t="s">
        <v>10406</v>
      </c>
      <c r="E2677">
        <v>13331.02</v>
      </c>
      <c r="G2677" s="35"/>
      <c r="H2677" s="36">
        <f t="shared" si="125"/>
        <v>8398.5426000000007</v>
      </c>
      <c r="I2677" s="37">
        <f t="shared" si="123"/>
        <v>8398.5426000000007</v>
      </c>
      <c r="J2677" s="4"/>
      <c r="K2677" s="38">
        <f t="shared" si="124"/>
        <v>0</v>
      </c>
    </row>
    <row r="2678" spans="1:11">
      <c r="A2678" t="s">
        <v>4761</v>
      </c>
      <c r="B2678" t="s">
        <v>10176</v>
      </c>
      <c r="C2678" t="s">
        <v>5910</v>
      </c>
      <c r="D2678" t="s">
        <v>10407</v>
      </c>
      <c r="E2678">
        <v>10464.540000000001</v>
      </c>
      <c r="G2678" s="35"/>
      <c r="H2678" s="36">
        <f t="shared" si="125"/>
        <v>6592.6602000000003</v>
      </c>
      <c r="I2678" s="37">
        <f t="shared" si="123"/>
        <v>6592.6602000000003</v>
      </c>
      <c r="J2678" s="4"/>
      <c r="K2678" s="38">
        <f t="shared" si="124"/>
        <v>0</v>
      </c>
    </row>
    <row r="2679" spans="1:11">
      <c r="A2679" t="s">
        <v>4762</v>
      </c>
      <c r="B2679" t="s">
        <v>10176</v>
      </c>
      <c r="C2679" t="s">
        <v>5910</v>
      </c>
      <c r="D2679" t="s">
        <v>10406</v>
      </c>
      <c r="E2679">
        <v>12607.27</v>
      </c>
      <c r="G2679" s="35"/>
      <c r="H2679" s="36">
        <f t="shared" si="125"/>
        <v>7942.5801000000001</v>
      </c>
      <c r="I2679" s="37">
        <f t="shared" si="123"/>
        <v>7942.5801000000001</v>
      </c>
      <c r="J2679" s="4"/>
      <c r="K2679" s="38">
        <f t="shared" si="124"/>
        <v>0</v>
      </c>
    </row>
    <row r="2680" spans="1:11">
      <c r="A2680" t="s">
        <v>4763</v>
      </c>
      <c r="B2680" t="s">
        <v>10176</v>
      </c>
      <c r="C2680" t="s">
        <v>5910</v>
      </c>
      <c r="D2680" t="s">
        <v>10406</v>
      </c>
      <c r="E2680">
        <v>14479.71</v>
      </c>
      <c r="G2680" s="35"/>
      <c r="H2680" s="36">
        <f t="shared" si="125"/>
        <v>9122.2173000000003</v>
      </c>
      <c r="I2680" s="37">
        <f t="shared" si="123"/>
        <v>9122.2173000000003</v>
      </c>
      <c r="J2680" s="4"/>
      <c r="K2680" s="38">
        <f t="shared" si="124"/>
        <v>0</v>
      </c>
    </row>
    <row r="2681" spans="1:11">
      <c r="A2681" t="s">
        <v>4765</v>
      </c>
      <c r="B2681" t="s">
        <v>10176</v>
      </c>
      <c r="C2681" t="s">
        <v>5911</v>
      </c>
      <c r="D2681" t="s">
        <v>10409</v>
      </c>
      <c r="E2681">
        <v>17975.46</v>
      </c>
      <c r="G2681" s="35"/>
      <c r="H2681" s="36">
        <f t="shared" si="125"/>
        <v>11324.539799999999</v>
      </c>
      <c r="I2681" s="37">
        <f t="shared" si="123"/>
        <v>11324.539799999999</v>
      </c>
      <c r="J2681" s="4"/>
      <c r="K2681" s="38">
        <f t="shared" si="124"/>
        <v>0</v>
      </c>
    </row>
    <row r="2682" spans="1:11">
      <c r="A2682" t="s">
        <v>4764</v>
      </c>
      <c r="B2682" t="s">
        <v>10176</v>
      </c>
      <c r="C2682" t="s">
        <v>5911</v>
      </c>
      <c r="D2682" t="s">
        <v>10408</v>
      </c>
      <c r="E2682">
        <v>10590.71</v>
      </c>
      <c r="G2682" s="35"/>
      <c r="H2682" s="36">
        <f t="shared" si="125"/>
        <v>6672.1472999999996</v>
      </c>
      <c r="I2682" s="37">
        <f t="shared" si="123"/>
        <v>6672.1472999999996</v>
      </c>
      <c r="J2682" s="4"/>
      <c r="K2682" s="38">
        <f t="shared" si="124"/>
        <v>0</v>
      </c>
    </row>
    <row r="2683" spans="1:11">
      <c r="A2683" t="s">
        <v>4766</v>
      </c>
      <c r="B2683" t="s">
        <v>10176</v>
      </c>
      <c r="C2683" t="s">
        <v>5911</v>
      </c>
      <c r="D2683" t="s">
        <v>10410</v>
      </c>
      <c r="E2683">
        <v>5992.16</v>
      </c>
      <c r="G2683" s="35"/>
      <c r="H2683" s="36">
        <f t="shared" si="125"/>
        <v>3775.0607999999997</v>
      </c>
      <c r="I2683" s="37">
        <f t="shared" si="123"/>
        <v>3775.0607999999997</v>
      </c>
      <c r="J2683" s="4"/>
      <c r="K2683" s="38">
        <f t="shared" si="124"/>
        <v>0</v>
      </c>
    </row>
    <row r="2684" spans="1:11">
      <c r="A2684" t="s">
        <v>4767</v>
      </c>
      <c r="B2684" t="s">
        <v>10176</v>
      </c>
      <c r="C2684" t="s">
        <v>5911</v>
      </c>
      <c r="D2684" t="s">
        <v>10411</v>
      </c>
      <c r="E2684">
        <v>10158.35</v>
      </c>
      <c r="G2684" s="35"/>
      <c r="H2684" s="36">
        <f t="shared" si="125"/>
        <v>6399.7605000000003</v>
      </c>
      <c r="I2684" s="37">
        <f t="shared" si="123"/>
        <v>6399.7605000000003</v>
      </c>
      <c r="J2684" s="4"/>
      <c r="K2684" s="38">
        <f t="shared" si="124"/>
        <v>0</v>
      </c>
    </row>
    <row r="2685" spans="1:11">
      <c r="A2685" t="s">
        <v>4768</v>
      </c>
      <c r="B2685" t="s">
        <v>10176</v>
      </c>
      <c r="C2685" t="s">
        <v>5911</v>
      </c>
      <c r="D2685" t="s">
        <v>10412</v>
      </c>
      <c r="E2685">
        <v>8664.92</v>
      </c>
      <c r="G2685" s="35"/>
      <c r="H2685" s="36">
        <f t="shared" si="125"/>
        <v>5458.8995999999997</v>
      </c>
      <c r="I2685" s="37">
        <f t="shared" si="123"/>
        <v>5458.8995999999997</v>
      </c>
      <c r="J2685" s="4"/>
      <c r="K2685" s="38">
        <f t="shared" si="124"/>
        <v>0</v>
      </c>
    </row>
    <row r="2686" spans="1:11">
      <c r="A2686" t="s">
        <v>4769</v>
      </c>
      <c r="B2686" t="s">
        <v>10176</v>
      </c>
      <c r="C2686" t="s">
        <v>5911</v>
      </c>
      <c r="D2686" t="s">
        <v>10413</v>
      </c>
      <c r="E2686">
        <v>8664.92</v>
      </c>
      <c r="G2686" s="35"/>
      <c r="H2686" s="36">
        <f t="shared" si="125"/>
        <v>5458.8995999999997</v>
      </c>
      <c r="I2686" s="37">
        <f t="shared" si="123"/>
        <v>5458.8995999999997</v>
      </c>
      <c r="J2686" s="4"/>
      <c r="K2686" s="38">
        <f t="shared" si="124"/>
        <v>0</v>
      </c>
    </row>
    <row r="2687" spans="1:11">
      <c r="A2687" t="s">
        <v>11762</v>
      </c>
      <c r="B2687" t="s">
        <v>10176</v>
      </c>
      <c r="C2687" t="s">
        <v>5911</v>
      </c>
      <c r="D2687" t="s">
        <v>11763</v>
      </c>
      <c r="E2687">
        <v>10158.35</v>
      </c>
      <c r="G2687" s="35"/>
      <c r="H2687" s="36">
        <f t="shared" si="125"/>
        <v>6399.7605000000003</v>
      </c>
      <c r="I2687" s="37">
        <f t="shared" si="123"/>
        <v>6399.7605000000003</v>
      </c>
      <c r="J2687" s="4"/>
      <c r="K2687" s="38">
        <f t="shared" si="124"/>
        <v>0</v>
      </c>
    </row>
    <row r="2688" spans="1:11">
      <c r="A2688" t="s">
        <v>4770</v>
      </c>
      <c r="B2688" t="s">
        <v>10176</v>
      </c>
      <c r="C2688" t="s">
        <v>5912</v>
      </c>
      <c r="D2688" t="s">
        <v>10414</v>
      </c>
      <c r="E2688">
        <v>5025.6099999999997</v>
      </c>
      <c r="G2688" s="35"/>
      <c r="H2688" s="36">
        <f t="shared" si="125"/>
        <v>3166.1342999999997</v>
      </c>
      <c r="I2688" s="37">
        <f t="shared" si="123"/>
        <v>3166.1342999999997</v>
      </c>
      <c r="J2688" s="4"/>
      <c r="K2688" s="38">
        <f t="shared" si="124"/>
        <v>0</v>
      </c>
    </row>
    <row r="2689" spans="1:11">
      <c r="A2689" t="s">
        <v>4771</v>
      </c>
      <c r="B2689" t="s">
        <v>10176</v>
      </c>
      <c r="C2689" t="s">
        <v>5912</v>
      </c>
      <c r="D2689" t="s">
        <v>10415</v>
      </c>
      <c r="E2689">
        <v>10111.370000000001</v>
      </c>
      <c r="G2689" s="35"/>
      <c r="H2689" s="36">
        <f t="shared" si="125"/>
        <v>6370.1631000000007</v>
      </c>
      <c r="I2689" s="37">
        <f t="shared" si="123"/>
        <v>6370.1631000000007</v>
      </c>
      <c r="J2689" s="4"/>
      <c r="K2689" s="38">
        <f t="shared" si="124"/>
        <v>0</v>
      </c>
    </row>
    <row r="2690" spans="1:11">
      <c r="A2690" t="s">
        <v>4772</v>
      </c>
      <c r="B2690" t="s">
        <v>10176</v>
      </c>
      <c r="C2690" t="s">
        <v>5912</v>
      </c>
      <c r="D2690" t="s">
        <v>10416</v>
      </c>
      <c r="E2690">
        <v>644.55999999999995</v>
      </c>
      <c r="G2690" s="35"/>
      <c r="H2690" s="36">
        <f t="shared" si="125"/>
        <v>406.07279999999997</v>
      </c>
      <c r="I2690" s="37">
        <f t="shared" si="123"/>
        <v>406.07279999999997</v>
      </c>
      <c r="J2690" s="4"/>
      <c r="K2690" s="38">
        <f t="shared" si="124"/>
        <v>0</v>
      </c>
    </row>
    <row r="2691" spans="1:11">
      <c r="A2691" t="s">
        <v>4773</v>
      </c>
      <c r="B2691" t="s">
        <v>10176</v>
      </c>
      <c r="C2691" t="s">
        <v>5912</v>
      </c>
      <c r="D2691" t="s">
        <v>10417</v>
      </c>
      <c r="E2691">
        <v>12919.26</v>
      </c>
      <c r="G2691" s="35"/>
      <c r="H2691" s="36">
        <f t="shared" si="125"/>
        <v>8139.1338000000005</v>
      </c>
      <c r="I2691" s="37">
        <f t="shared" si="123"/>
        <v>8139.1338000000005</v>
      </c>
      <c r="J2691" s="4"/>
      <c r="K2691" s="38">
        <f t="shared" si="124"/>
        <v>0</v>
      </c>
    </row>
    <row r="2692" spans="1:11">
      <c r="A2692" t="s">
        <v>4774</v>
      </c>
      <c r="B2692" t="s">
        <v>10176</v>
      </c>
      <c r="C2692" t="s">
        <v>5912</v>
      </c>
      <c r="D2692" t="s">
        <v>10418</v>
      </c>
      <c r="E2692">
        <v>20112.93</v>
      </c>
      <c r="G2692" s="35"/>
      <c r="H2692" s="36">
        <f t="shared" si="125"/>
        <v>12671.1459</v>
      </c>
      <c r="I2692" s="37">
        <f t="shared" si="123"/>
        <v>12671.1459</v>
      </c>
      <c r="J2692" s="4"/>
      <c r="K2692" s="38">
        <f t="shared" si="124"/>
        <v>0</v>
      </c>
    </row>
    <row r="2693" spans="1:11">
      <c r="A2693" t="s">
        <v>4776</v>
      </c>
      <c r="B2693" t="s">
        <v>10176</v>
      </c>
      <c r="C2693" t="s">
        <v>5912</v>
      </c>
      <c r="D2693" t="s">
        <v>11407</v>
      </c>
      <c r="E2693">
        <v>6782.95</v>
      </c>
      <c r="G2693" s="35"/>
      <c r="H2693" s="36">
        <f t="shared" si="125"/>
        <v>4273.2584999999999</v>
      </c>
      <c r="I2693" s="37">
        <f t="shared" si="123"/>
        <v>4273.2584999999999</v>
      </c>
      <c r="J2693" s="4"/>
      <c r="K2693" s="38">
        <f t="shared" si="124"/>
        <v>0</v>
      </c>
    </row>
    <row r="2694" spans="1:11">
      <c r="A2694" t="s">
        <v>4777</v>
      </c>
      <c r="B2694" t="s">
        <v>10176</v>
      </c>
      <c r="C2694" t="s">
        <v>5912</v>
      </c>
      <c r="D2694" t="s">
        <v>11408</v>
      </c>
      <c r="E2694">
        <v>7832.43</v>
      </c>
      <c r="G2694" s="35"/>
      <c r="H2694" s="36">
        <f t="shared" si="125"/>
        <v>4934.4309000000003</v>
      </c>
      <c r="I2694" s="37">
        <f t="shared" ref="I2694:I2757" si="126">H2694*$H$4</f>
        <v>4934.4309000000003</v>
      </c>
      <c r="J2694" s="4"/>
      <c r="K2694" s="38">
        <f t="shared" ref="K2694:K2757" si="127">J2694*I2694</f>
        <v>0</v>
      </c>
    </row>
    <row r="2695" spans="1:11">
      <c r="A2695" t="s">
        <v>4775</v>
      </c>
      <c r="B2695" t="s">
        <v>10176</v>
      </c>
      <c r="C2695" t="s">
        <v>5912</v>
      </c>
      <c r="D2695" t="s">
        <v>10419</v>
      </c>
      <c r="E2695">
        <v>4336.6899999999996</v>
      </c>
      <c r="G2695" s="35"/>
      <c r="H2695" s="36">
        <f t="shared" ref="H2695:H2758" si="128">+E2695*$H$1*(1-G2695)</f>
        <v>2732.1146999999996</v>
      </c>
      <c r="I2695" s="37">
        <f t="shared" si="126"/>
        <v>2732.1146999999996</v>
      </c>
      <c r="J2695" s="4"/>
      <c r="K2695" s="38">
        <f t="shared" si="127"/>
        <v>0</v>
      </c>
    </row>
    <row r="2696" spans="1:11">
      <c r="A2696" t="s">
        <v>4780</v>
      </c>
      <c r="B2696" t="s">
        <v>10176</v>
      </c>
      <c r="C2696" t="s">
        <v>5912</v>
      </c>
      <c r="D2696" t="s">
        <v>10422</v>
      </c>
      <c r="E2696">
        <v>6782.95</v>
      </c>
      <c r="G2696" s="35"/>
      <c r="H2696" s="36">
        <f t="shared" si="128"/>
        <v>4273.2584999999999</v>
      </c>
      <c r="I2696" s="37">
        <f t="shared" si="126"/>
        <v>4273.2584999999999</v>
      </c>
      <c r="J2696" s="4"/>
      <c r="K2696" s="38">
        <f t="shared" si="127"/>
        <v>0</v>
      </c>
    </row>
    <row r="2697" spans="1:11">
      <c r="A2697" t="s">
        <v>4781</v>
      </c>
      <c r="B2697" t="s">
        <v>10176</v>
      </c>
      <c r="C2697" t="s">
        <v>5912</v>
      </c>
      <c r="D2697" t="s">
        <v>10423</v>
      </c>
      <c r="E2697">
        <v>7832.43</v>
      </c>
      <c r="G2697" s="35"/>
      <c r="H2697" s="36">
        <f t="shared" si="128"/>
        <v>4934.4309000000003</v>
      </c>
      <c r="I2697" s="37">
        <f t="shared" si="126"/>
        <v>4934.4309000000003</v>
      </c>
      <c r="J2697" s="4"/>
      <c r="K2697" s="38">
        <f t="shared" si="127"/>
        <v>0</v>
      </c>
    </row>
    <row r="2698" spans="1:11">
      <c r="A2698" t="s">
        <v>4778</v>
      </c>
      <c r="B2698" t="s">
        <v>10176</v>
      </c>
      <c r="C2698" t="s">
        <v>5912</v>
      </c>
      <c r="D2698" t="s">
        <v>10420</v>
      </c>
      <c r="E2698">
        <v>6782.95</v>
      </c>
      <c r="G2698" s="35"/>
      <c r="H2698" s="36">
        <f t="shared" si="128"/>
        <v>4273.2584999999999</v>
      </c>
      <c r="I2698" s="37">
        <f t="shared" si="126"/>
        <v>4273.2584999999999</v>
      </c>
      <c r="J2698" s="4"/>
      <c r="K2698" s="38">
        <f t="shared" si="127"/>
        <v>0</v>
      </c>
    </row>
    <row r="2699" spans="1:11">
      <c r="A2699" t="s">
        <v>4779</v>
      </c>
      <c r="B2699" t="s">
        <v>10176</v>
      </c>
      <c r="C2699" t="s">
        <v>5912</v>
      </c>
      <c r="D2699" t="s">
        <v>10421</v>
      </c>
      <c r="E2699">
        <v>7832.43</v>
      </c>
      <c r="G2699" s="35"/>
      <c r="H2699" s="36">
        <f t="shared" si="128"/>
        <v>4934.4309000000003</v>
      </c>
      <c r="I2699" s="37">
        <f t="shared" si="126"/>
        <v>4934.4309000000003</v>
      </c>
      <c r="J2699" s="4"/>
      <c r="K2699" s="38">
        <f t="shared" si="127"/>
        <v>0</v>
      </c>
    </row>
    <row r="2700" spans="1:11">
      <c r="A2700" t="s">
        <v>4782</v>
      </c>
      <c r="B2700" t="s">
        <v>10176</v>
      </c>
      <c r="C2700" t="s">
        <v>5912</v>
      </c>
      <c r="D2700" t="s">
        <v>10424</v>
      </c>
      <c r="E2700">
        <v>10422.82</v>
      </c>
      <c r="G2700" s="35"/>
      <c r="H2700" s="36">
        <f t="shared" si="128"/>
        <v>6566.3765999999996</v>
      </c>
      <c r="I2700" s="37">
        <f t="shared" si="126"/>
        <v>6566.3765999999996</v>
      </c>
      <c r="J2700" s="4"/>
      <c r="K2700" s="38">
        <f t="shared" si="127"/>
        <v>0</v>
      </c>
    </row>
    <row r="2701" spans="1:11">
      <c r="A2701" t="s">
        <v>4783</v>
      </c>
      <c r="B2701" t="s">
        <v>10176</v>
      </c>
      <c r="C2701" t="s">
        <v>5912</v>
      </c>
      <c r="D2701" t="s">
        <v>10425</v>
      </c>
      <c r="E2701">
        <v>32055.57</v>
      </c>
      <c r="G2701" s="35"/>
      <c r="H2701" s="36">
        <f t="shared" si="128"/>
        <v>20195.009099999999</v>
      </c>
      <c r="I2701" s="37">
        <f t="shared" si="126"/>
        <v>20195.009099999999</v>
      </c>
      <c r="J2701" s="4"/>
      <c r="K2701" s="38">
        <f t="shared" si="127"/>
        <v>0</v>
      </c>
    </row>
    <row r="2702" spans="1:11">
      <c r="A2702" t="s">
        <v>4784</v>
      </c>
      <c r="B2702" t="s">
        <v>10176</v>
      </c>
      <c r="C2702" t="s">
        <v>5912</v>
      </c>
      <c r="D2702" t="s">
        <v>10426</v>
      </c>
      <c r="E2702">
        <v>12919.26</v>
      </c>
      <c r="G2702" s="35"/>
      <c r="H2702" s="36">
        <f t="shared" si="128"/>
        <v>8139.1338000000005</v>
      </c>
      <c r="I2702" s="37">
        <f t="shared" si="126"/>
        <v>8139.1338000000005</v>
      </c>
      <c r="J2702" s="4"/>
      <c r="K2702" s="38">
        <f t="shared" si="127"/>
        <v>0</v>
      </c>
    </row>
    <row r="2703" spans="1:11">
      <c r="A2703" t="s">
        <v>4785</v>
      </c>
      <c r="B2703" t="s">
        <v>10176</v>
      </c>
      <c r="C2703" t="s">
        <v>5912</v>
      </c>
      <c r="D2703" t="s">
        <v>10427</v>
      </c>
      <c r="E2703">
        <v>23146.76</v>
      </c>
      <c r="G2703" s="35"/>
      <c r="H2703" s="36">
        <f t="shared" si="128"/>
        <v>14582.458799999999</v>
      </c>
      <c r="I2703" s="37">
        <f t="shared" si="126"/>
        <v>14582.458799999999</v>
      </c>
      <c r="J2703" s="4"/>
      <c r="K2703" s="38">
        <f t="shared" si="127"/>
        <v>0</v>
      </c>
    </row>
    <row r="2704" spans="1:11">
      <c r="A2704" t="s">
        <v>4786</v>
      </c>
      <c r="B2704" t="s">
        <v>10176</v>
      </c>
      <c r="C2704" t="s">
        <v>5912</v>
      </c>
      <c r="D2704" t="s">
        <v>10428</v>
      </c>
      <c r="E2704">
        <v>13087.12</v>
      </c>
      <c r="G2704" s="35"/>
      <c r="H2704" s="36">
        <f t="shared" si="128"/>
        <v>8244.8856000000014</v>
      </c>
      <c r="I2704" s="37">
        <f t="shared" si="126"/>
        <v>8244.8856000000014</v>
      </c>
      <c r="J2704" s="4"/>
      <c r="K2704" s="38">
        <f t="shared" si="127"/>
        <v>0</v>
      </c>
    </row>
    <row r="2705" spans="1:11">
      <c r="A2705" t="s">
        <v>4787</v>
      </c>
      <c r="B2705" t="s">
        <v>10176</v>
      </c>
      <c r="C2705" t="s">
        <v>5912</v>
      </c>
      <c r="D2705" t="s">
        <v>10429</v>
      </c>
      <c r="E2705">
        <v>4498.72</v>
      </c>
      <c r="G2705" s="35"/>
      <c r="H2705" s="36">
        <f t="shared" si="128"/>
        <v>2834.1936000000001</v>
      </c>
      <c r="I2705" s="37">
        <f t="shared" si="126"/>
        <v>2834.1936000000001</v>
      </c>
      <c r="J2705" s="4"/>
      <c r="K2705" s="38">
        <f t="shared" si="127"/>
        <v>0</v>
      </c>
    </row>
    <row r="2706" spans="1:11">
      <c r="A2706" t="s">
        <v>4788</v>
      </c>
      <c r="B2706" t="s">
        <v>10176</v>
      </c>
      <c r="C2706" t="s">
        <v>5912</v>
      </c>
      <c r="D2706" t="s">
        <v>10430</v>
      </c>
      <c r="E2706">
        <v>20545.28</v>
      </c>
      <c r="G2706" s="35"/>
      <c r="H2706" s="36">
        <f t="shared" si="128"/>
        <v>12943.526399999999</v>
      </c>
      <c r="I2706" s="37">
        <f t="shared" si="126"/>
        <v>12943.526399999999</v>
      </c>
      <c r="J2706" s="4"/>
      <c r="K2706" s="38">
        <f t="shared" si="127"/>
        <v>0</v>
      </c>
    </row>
    <row r="2707" spans="1:11">
      <c r="A2707" t="s">
        <v>4789</v>
      </c>
      <c r="B2707" t="s">
        <v>10176</v>
      </c>
      <c r="C2707" t="s">
        <v>5912</v>
      </c>
      <c r="D2707" t="s">
        <v>10431</v>
      </c>
      <c r="E2707">
        <v>9361.74</v>
      </c>
      <c r="G2707" s="35"/>
      <c r="H2707" s="36">
        <f t="shared" si="128"/>
        <v>5897.8962000000001</v>
      </c>
      <c r="I2707" s="37">
        <f t="shared" si="126"/>
        <v>5897.8962000000001</v>
      </c>
      <c r="J2707" s="4"/>
      <c r="K2707" s="38">
        <f t="shared" si="127"/>
        <v>0</v>
      </c>
    </row>
    <row r="2708" spans="1:11">
      <c r="A2708" t="s">
        <v>4790</v>
      </c>
      <c r="B2708" t="s">
        <v>10176</v>
      </c>
      <c r="C2708" t="s">
        <v>5912</v>
      </c>
      <c r="D2708" t="s">
        <v>10432</v>
      </c>
      <c r="E2708">
        <v>17663.490000000002</v>
      </c>
      <c r="G2708" s="35"/>
      <c r="H2708" s="36">
        <f t="shared" si="128"/>
        <v>11127.998700000002</v>
      </c>
      <c r="I2708" s="37">
        <f t="shared" si="126"/>
        <v>11127.998700000002</v>
      </c>
      <c r="J2708" s="4"/>
      <c r="K2708" s="38">
        <f t="shared" si="127"/>
        <v>0</v>
      </c>
    </row>
    <row r="2709" spans="1:11">
      <c r="A2709" t="s">
        <v>4791</v>
      </c>
      <c r="B2709" t="s">
        <v>10176</v>
      </c>
      <c r="C2709" t="s">
        <v>5912</v>
      </c>
      <c r="D2709" t="s">
        <v>10433</v>
      </c>
      <c r="E2709">
        <v>3099.27</v>
      </c>
      <c r="G2709" s="35"/>
      <c r="H2709" s="36">
        <f t="shared" si="128"/>
        <v>1952.5400999999999</v>
      </c>
      <c r="I2709" s="37">
        <f t="shared" si="126"/>
        <v>1952.5400999999999</v>
      </c>
      <c r="J2709" s="4"/>
      <c r="K2709" s="38">
        <f t="shared" si="127"/>
        <v>0</v>
      </c>
    </row>
    <row r="2710" spans="1:11">
      <c r="A2710" t="s">
        <v>4792</v>
      </c>
      <c r="B2710" t="s">
        <v>10176</v>
      </c>
      <c r="C2710" t="s">
        <v>5912</v>
      </c>
      <c r="D2710" t="s">
        <v>10434</v>
      </c>
      <c r="E2710">
        <v>6662.08</v>
      </c>
      <c r="G2710" s="35"/>
      <c r="H2710" s="36">
        <f t="shared" si="128"/>
        <v>4197.1103999999996</v>
      </c>
      <c r="I2710" s="37">
        <f t="shared" si="126"/>
        <v>4197.1103999999996</v>
      </c>
      <c r="J2710" s="4"/>
      <c r="K2710" s="38">
        <f t="shared" si="127"/>
        <v>0</v>
      </c>
    </row>
    <row r="2711" spans="1:11">
      <c r="A2711" t="s">
        <v>9757</v>
      </c>
      <c r="B2711" t="s">
        <v>10176</v>
      </c>
      <c r="C2711" t="s">
        <v>5912</v>
      </c>
      <c r="D2711" t="s">
        <v>9758</v>
      </c>
      <c r="E2711">
        <v>17663.490000000002</v>
      </c>
      <c r="G2711" s="35"/>
      <c r="H2711" s="36">
        <f t="shared" si="128"/>
        <v>11127.998700000002</v>
      </c>
      <c r="I2711" s="37">
        <f t="shared" si="126"/>
        <v>11127.998700000002</v>
      </c>
      <c r="J2711" s="4"/>
      <c r="K2711" s="38">
        <f t="shared" si="127"/>
        <v>0</v>
      </c>
    </row>
    <row r="2712" spans="1:11">
      <c r="A2712" t="s">
        <v>4793</v>
      </c>
      <c r="B2712" t="s">
        <v>10176</v>
      </c>
      <c r="C2712" t="s">
        <v>5912</v>
      </c>
      <c r="D2712" t="s">
        <v>10435</v>
      </c>
      <c r="E2712">
        <v>8473.2900000000009</v>
      </c>
      <c r="G2712" s="35"/>
      <c r="H2712" s="36">
        <f t="shared" si="128"/>
        <v>5338.172700000001</v>
      </c>
      <c r="I2712" s="37">
        <f t="shared" si="126"/>
        <v>5338.172700000001</v>
      </c>
      <c r="J2712" s="4"/>
      <c r="K2712" s="38">
        <f t="shared" si="127"/>
        <v>0</v>
      </c>
    </row>
    <row r="2713" spans="1:11">
      <c r="A2713" t="s">
        <v>4794</v>
      </c>
      <c r="B2713" t="s">
        <v>10176</v>
      </c>
      <c r="C2713" t="s">
        <v>5912</v>
      </c>
      <c r="D2713" t="s">
        <v>10436</v>
      </c>
      <c r="E2713">
        <v>20742.18</v>
      </c>
      <c r="G2713" s="35"/>
      <c r="H2713" s="36">
        <f t="shared" si="128"/>
        <v>13067.573400000001</v>
      </c>
      <c r="I2713" s="37">
        <f t="shared" si="126"/>
        <v>13067.573400000001</v>
      </c>
      <c r="J2713" s="4"/>
      <c r="K2713" s="38">
        <f t="shared" si="127"/>
        <v>0</v>
      </c>
    </row>
    <row r="2714" spans="1:11">
      <c r="A2714" t="s">
        <v>4795</v>
      </c>
      <c r="B2714" t="s">
        <v>10176</v>
      </c>
      <c r="C2714" t="s">
        <v>5912</v>
      </c>
      <c r="D2714" t="s">
        <v>10437</v>
      </c>
      <c r="E2714">
        <v>11410.53</v>
      </c>
      <c r="G2714" s="35"/>
      <c r="H2714" s="36">
        <f t="shared" si="128"/>
        <v>7188.6339000000007</v>
      </c>
      <c r="I2714" s="37">
        <f t="shared" si="126"/>
        <v>7188.6339000000007</v>
      </c>
      <c r="J2714" s="4"/>
      <c r="K2714" s="38">
        <f t="shared" si="127"/>
        <v>0</v>
      </c>
    </row>
    <row r="2715" spans="1:11">
      <c r="A2715" t="s">
        <v>4796</v>
      </c>
      <c r="B2715" t="s">
        <v>10176</v>
      </c>
      <c r="C2715" t="s">
        <v>5912</v>
      </c>
      <c r="D2715" t="s">
        <v>10438</v>
      </c>
      <c r="E2715">
        <v>29012.77</v>
      </c>
      <c r="G2715" s="35"/>
      <c r="H2715" s="36">
        <f t="shared" si="128"/>
        <v>18278.045099999999</v>
      </c>
      <c r="I2715" s="37">
        <f t="shared" si="126"/>
        <v>18278.045099999999</v>
      </c>
      <c r="J2715" s="4"/>
      <c r="K2715" s="38">
        <f t="shared" si="127"/>
        <v>0</v>
      </c>
    </row>
    <row r="2716" spans="1:11">
      <c r="A2716" t="s">
        <v>4797</v>
      </c>
      <c r="B2716" t="s">
        <v>10176</v>
      </c>
      <c r="C2716" t="s">
        <v>5912</v>
      </c>
      <c r="D2716" t="s">
        <v>10439</v>
      </c>
      <c r="E2716">
        <v>4727.87</v>
      </c>
      <c r="G2716" s="35"/>
      <c r="H2716" s="36">
        <f t="shared" si="128"/>
        <v>2978.5580999999997</v>
      </c>
      <c r="I2716" s="37">
        <f t="shared" si="126"/>
        <v>2978.5580999999997</v>
      </c>
      <c r="J2716" s="4"/>
      <c r="K2716" s="38">
        <f t="shared" si="127"/>
        <v>0</v>
      </c>
    </row>
    <row r="2717" spans="1:11">
      <c r="A2717" t="s">
        <v>4798</v>
      </c>
      <c r="B2717" t="s">
        <v>10176</v>
      </c>
      <c r="C2717" t="s">
        <v>5912</v>
      </c>
      <c r="D2717" t="s">
        <v>10440</v>
      </c>
      <c r="E2717">
        <v>12869.12</v>
      </c>
      <c r="G2717" s="35"/>
      <c r="H2717" s="36">
        <f t="shared" si="128"/>
        <v>8107.5456000000004</v>
      </c>
      <c r="I2717" s="37">
        <f t="shared" si="126"/>
        <v>8107.5456000000004</v>
      </c>
      <c r="J2717" s="4"/>
      <c r="K2717" s="38">
        <f t="shared" si="127"/>
        <v>0</v>
      </c>
    </row>
    <row r="2718" spans="1:11">
      <c r="A2718" t="s">
        <v>4799</v>
      </c>
      <c r="B2718" t="s">
        <v>10176</v>
      </c>
      <c r="C2718" t="s">
        <v>5912</v>
      </c>
      <c r="D2718" t="s">
        <v>10441</v>
      </c>
      <c r="E2718">
        <v>22661.62</v>
      </c>
      <c r="G2718" s="35"/>
      <c r="H2718" s="36">
        <f t="shared" si="128"/>
        <v>14276.820599999999</v>
      </c>
      <c r="I2718" s="37">
        <f t="shared" si="126"/>
        <v>14276.820599999999</v>
      </c>
      <c r="J2718" s="4"/>
      <c r="K2718" s="38">
        <f t="shared" si="127"/>
        <v>0</v>
      </c>
    </row>
    <row r="2719" spans="1:11">
      <c r="A2719" t="s">
        <v>4800</v>
      </c>
      <c r="B2719" t="s">
        <v>10176</v>
      </c>
      <c r="C2719" t="s">
        <v>5912</v>
      </c>
      <c r="D2719" t="s">
        <v>10442</v>
      </c>
      <c r="E2719">
        <v>4987.0600000000004</v>
      </c>
      <c r="G2719" s="35"/>
      <c r="H2719" s="36">
        <f t="shared" si="128"/>
        <v>3141.8478000000005</v>
      </c>
      <c r="I2719" s="37">
        <f t="shared" si="126"/>
        <v>3141.8478000000005</v>
      </c>
      <c r="J2719" s="4"/>
      <c r="K2719" s="38">
        <f t="shared" si="127"/>
        <v>0</v>
      </c>
    </row>
    <row r="2720" spans="1:11">
      <c r="A2720" t="s">
        <v>4801</v>
      </c>
      <c r="B2720" t="s">
        <v>10176</v>
      </c>
      <c r="C2720" t="s">
        <v>5912</v>
      </c>
      <c r="D2720" t="s">
        <v>10443</v>
      </c>
      <c r="E2720">
        <v>23270.3</v>
      </c>
      <c r="G2720" s="35"/>
      <c r="H2720" s="36">
        <f t="shared" si="128"/>
        <v>14660.288999999999</v>
      </c>
      <c r="I2720" s="37">
        <f t="shared" si="126"/>
        <v>14660.288999999999</v>
      </c>
      <c r="J2720" s="4"/>
      <c r="K2720" s="38">
        <f t="shared" si="127"/>
        <v>0</v>
      </c>
    </row>
    <row r="2721" spans="1:11">
      <c r="A2721" t="s">
        <v>4802</v>
      </c>
      <c r="B2721" t="s">
        <v>10176</v>
      </c>
      <c r="C2721" t="s">
        <v>5913</v>
      </c>
      <c r="D2721" t="s">
        <v>5914</v>
      </c>
      <c r="E2721">
        <v>212.22</v>
      </c>
      <c r="G2721" s="35"/>
      <c r="H2721" s="36">
        <f t="shared" si="128"/>
        <v>133.6986</v>
      </c>
      <c r="I2721" s="37">
        <f t="shared" si="126"/>
        <v>133.6986</v>
      </c>
      <c r="J2721" s="4"/>
      <c r="K2721" s="38">
        <f t="shared" si="127"/>
        <v>0</v>
      </c>
    </row>
    <row r="2722" spans="1:11">
      <c r="A2722" t="s">
        <v>4803</v>
      </c>
      <c r="B2722" t="s">
        <v>10176</v>
      </c>
      <c r="C2722" t="s">
        <v>5915</v>
      </c>
      <c r="D2722" t="s">
        <v>10444</v>
      </c>
      <c r="E2722">
        <v>212.22</v>
      </c>
      <c r="G2722" s="35"/>
      <c r="H2722" s="36">
        <f t="shared" si="128"/>
        <v>133.6986</v>
      </c>
      <c r="I2722" s="37">
        <f t="shared" si="126"/>
        <v>133.6986</v>
      </c>
      <c r="J2722" s="4"/>
      <c r="K2722" s="38">
        <f t="shared" si="127"/>
        <v>0</v>
      </c>
    </row>
    <row r="2723" spans="1:11">
      <c r="A2723" t="s">
        <v>4804</v>
      </c>
      <c r="B2723" t="s">
        <v>10176</v>
      </c>
      <c r="C2723" t="s">
        <v>5915</v>
      </c>
      <c r="D2723" t="s">
        <v>10445</v>
      </c>
      <c r="E2723">
        <v>441.31</v>
      </c>
      <c r="G2723" s="35"/>
      <c r="H2723" s="36">
        <f t="shared" si="128"/>
        <v>278.02530000000002</v>
      </c>
      <c r="I2723" s="37">
        <f t="shared" si="126"/>
        <v>278.02530000000002</v>
      </c>
      <c r="J2723" s="4"/>
      <c r="K2723" s="38">
        <f t="shared" si="127"/>
        <v>0</v>
      </c>
    </row>
    <row r="2724" spans="1:11">
      <c r="A2724" t="s">
        <v>4805</v>
      </c>
      <c r="B2724" t="s">
        <v>10176</v>
      </c>
      <c r="C2724" t="s">
        <v>5915</v>
      </c>
      <c r="D2724" t="s">
        <v>10446</v>
      </c>
      <c r="E2724">
        <v>488.31</v>
      </c>
      <c r="G2724" s="35"/>
      <c r="H2724" s="36">
        <f t="shared" si="128"/>
        <v>307.63530000000003</v>
      </c>
      <c r="I2724" s="37">
        <f t="shared" si="126"/>
        <v>307.63530000000003</v>
      </c>
      <c r="J2724" s="4"/>
      <c r="K2724" s="38">
        <f t="shared" si="127"/>
        <v>0</v>
      </c>
    </row>
    <row r="2725" spans="1:11">
      <c r="A2725" t="s">
        <v>4806</v>
      </c>
      <c r="B2725" t="s">
        <v>10176</v>
      </c>
      <c r="C2725" t="s">
        <v>5915</v>
      </c>
      <c r="D2725" t="s">
        <v>10447</v>
      </c>
      <c r="E2725">
        <v>765.47</v>
      </c>
      <c r="G2725" s="35"/>
      <c r="H2725" s="36">
        <f t="shared" si="128"/>
        <v>482.24610000000001</v>
      </c>
      <c r="I2725" s="37">
        <f t="shared" si="126"/>
        <v>482.24610000000001</v>
      </c>
      <c r="J2725" s="4"/>
      <c r="K2725" s="38">
        <f t="shared" si="127"/>
        <v>0</v>
      </c>
    </row>
    <row r="2726" spans="1:11">
      <c r="A2726" t="s">
        <v>4807</v>
      </c>
      <c r="B2726" t="s">
        <v>10176</v>
      </c>
      <c r="C2726" t="s">
        <v>5915</v>
      </c>
      <c r="D2726" t="s">
        <v>10448</v>
      </c>
      <c r="E2726">
        <v>409.09</v>
      </c>
      <c r="G2726" s="35"/>
      <c r="H2726" s="36">
        <f t="shared" si="128"/>
        <v>257.72669999999999</v>
      </c>
      <c r="I2726" s="37">
        <f t="shared" si="126"/>
        <v>257.72669999999999</v>
      </c>
      <c r="J2726" s="4"/>
      <c r="K2726" s="38">
        <f t="shared" si="127"/>
        <v>0</v>
      </c>
    </row>
    <row r="2727" spans="1:11">
      <c r="A2727" t="s">
        <v>4808</v>
      </c>
      <c r="B2727" t="s">
        <v>10176</v>
      </c>
      <c r="C2727" t="s">
        <v>5915</v>
      </c>
      <c r="D2727" t="s">
        <v>10449</v>
      </c>
      <c r="E2727">
        <v>739.03</v>
      </c>
      <c r="G2727" s="35"/>
      <c r="H2727" s="36">
        <f t="shared" si="128"/>
        <v>465.58889999999997</v>
      </c>
      <c r="I2727" s="37">
        <f t="shared" si="126"/>
        <v>465.58889999999997</v>
      </c>
      <c r="J2727" s="4"/>
      <c r="K2727" s="38">
        <f t="shared" si="127"/>
        <v>0</v>
      </c>
    </row>
    <row r="2728" spans="1:11">
      <c r="A2728" t="s">
        <v>4809</v>
      </c>
      <c r="B2728" t="s">
        <v>10176</v>
      </c>
      <c r="C2728" t="s">
        <v>5915</v>
      </c>
      <c r="D2728" t="s">
        <v>10450</v>
      </c>
      <c r="E2728">
        <v>765.47</v>
      </c>
      <c r="G2728" s="35"/>
      <c r="H2728" s="36">
        <f t="shared" si="128"/>
        <v>482.24610000000001</v>
      </c>
      <c r="I2728" s="37">
        <f t="shared" si="126"/>
        <v>482.24610000000001</v>
      </c>
      <c r="J2728" s="4"/>
      <c r="K2728" s="38">
        <f t="shared" si="127"/>
        <v>0</v>
      </c>
    </row>
    <row r="2729" spans="1:11">
      <c r="A2729" t="s">
        <v>4810</v>
      </c>
      <c r="B2729" t="s">
        <v>10176</v>
      </c>
      <c r="C2729" t="s">
        <v>5915</v>
      </c>
      <c r="D2729" t="s">
        <v>10451</v>
      </c>
      <c r="E2729">
        <v>1720.93</v>
      </c>
      <c r="G2729" s="35"/>
      <c r="H2729" s="36">
        <f t="shared" si="128"/>
        <v>1084.1858999999999</v>
      </c>
      <c r="I2729" s="37">
        <f t="shared" si="126"/>
        <v>1084.1858999999999</v>
      </c>
      <c r="J2729" s="4"/>
      <c r="K2729" s="38">
        <f t="shared" si="127"/>
        <v>0</v>
      </c>
    </row>
    <row r="2730" spans="1:11">
      <c r="A2730" t="s">
        <v>4811</v>
      </c>
      <c r="B2730" t="s">
        <v>10176</v>
      </c>
      <c r="C2730" t="s">
        <v>5915</v>
      </c>
      <c r="D2730" t="s">
        <v>10452</v>
      </c>
      <c r="E2730">
        <v>1179.8599999999999</v>
      </c>
      <c r="G2730" s="35"/>
      <c r="H2730" s="36">
        <f t="shared" si="128"/>
        <v>743.31179999999995</v>
      </c>
      <c r="I2730" s="37">
        <f t="shared" si="126"/>
        <v>743.31179999999995</v>
      </c>
      <c r="J2730" s="4"/>
      <c r="K2730" s="38">
        <f t="shared" si="127"/>
        <v>0</v>
      </c>
    </row>
    <row r="2731" spans="1:11">
      <c r="A2731" t="s">
        <v>4812</v>
      </c>
      <c r="B2731" t="s">
        <v>10176</v>
      </c>
      <c r="C2731" t="s">
        <v>5915</v>
      </c>
      <c r="D2731" t="s">
        <v>10453</v>
      </c>
      <c r="E2731">
        <v>359.47</v>
      </c>
      <c r="G2731" s="35"/>
      <c r="H2731" s="36">
        <f t="shared" si="128"/>
        <v>226.46610000000001</v>
      </c>
      <c r="I2731" s="37">
        <f t="shared" si="126"/>
        <v>226.46610000000001</v>
      </c>
      <c r="J2731" s="4"/>
      <c r="K2731" s="38">
        <f t="shared" si="127"/>
        <v>0</v>
      </c>
    </row>
    <row r="2732" spans="1:11">
      <c r="A2732" t="s">
        <v>4813</v>
      </c>
      <c r="B2732" t="s">
        <v>10176</v>
      </c>
      <c r="C2732" t="s">
        <v>5915</v>
      </c>
      <c r="D2732" t="s">
        <v>10454</v>
      </c>
      <c r="E2732">
        <v>1179.8599999999999</v>
      </c>
      <c r="G2732" s="35"/>
      <c r="H2732" s="36">
        <f t="shared" si="128"/>
        <v>743.31179999999995</v>
      </c>
      <c r="I2732" s="37">
        <f t="shared" si="126"/>
        <v>743.31179999999995</v>
      </c>
      <c r="J2732" s="4"/>
      <c r="K2732" s="38">
        <f t="shared" si="127"/>
        <v>0</v>
      </c>
    </row>
    <row r="2733" spans="1:11">
      <c r="A2733" t="s">
        <v>4814</v>
      </c>
      <c r="B2733" t="s">
        <v>10176</v>
      </c>
      <c r="C2733" t="s">
        <v>5915</v>
      </c>
      <c r="D2733" t="s">
        <v>10455</v>
      </c>
      <c r="E2733">
        <v>1538.33</v>
      </c>
      <c r="G2733" s="35"/>
      <c r="H2733" s="36">
        <f t="shared" si="128"/>
        <v>969.14789999999994</v>
      </c>
      <c r="I2733" s="37">
        <f t="shared" si="126"/>
        <v>969.14789999999994</v>
      </c>
      <c r="J2733" s="4"/>
      <c r="K2733" s="38">
        <f t="shared" si="127"/>
        <v>0</v>
      </c>
    </row>
    <row r="2734" spans="1:11">
      <c r="A2734" t="s">
        <v>4815</v>
      </c>
      <c r="B2734" t="s">
        <v>10176</v>
      </c>
      <c r="C2734" t="s">
        <v>5915</v>
      </c>
      <c r="D2734" t="s">
        <v>10456</v>
      </c>
      <c r="E2734">
        <v>535.29</v>
      </c>
      <c r="G2734" s="35"/>
      <c r="H2734" s="36">
        <f t="shared" si="128"/>
        <v>337.23269999999997</v>
      </c>
      <c r="I2734" s="37">
        <f t="shared" si="126"/>
        <v>337.23269999999997</v>
      </c>
      <c r="J2734" s="4"/>
      <c r="K2734" s="38">
        <f t="shared" si="127"/>
        <v>0</v>
      </c>
    </row>
    <row r="2735" spans="1:11">
      <c r="A2735" t="s">
        <v>4816</v>
      </c>
      <c r="B2735" t="s">
        <v>10176</v>
      </c>
      <c r="C2735" t="s">
        <v>5915</v>
      </c>
      <c r="D2735" t="s">
        <v>10456</v>
      </c>
      <c r="E2735">
        <v>920.65</v>
      </c>
      <c r="G2735" s="35"/>
      <c r="H2735" s="36">
        <f t="shared" si="128"/>
        <v>580.0095</v>
      </c>
      <c r="I2735" s="37">
        <f t="shared" si="126"/>
        <v>580.0095</v>
      </c>
      <c r="J2735" s="4"/>
      <c r="K2735" s="38">
        <f t="shared" si="127"/>
        <v>0</v>
      </c>
    </row>
    <row r="2736" spans="1:11">
      <c r="A2736" t="s">
        <v>4817</v>
      </c>
      <c r="B2736" t="s">
        <v>10176</v>
      </c>
      <c r="C2736" t="s">
        <v>5915</v>
      </c>
      <c r="D2736" t="s">
        <v>10457</v>
      </c>
      <c r="E2736">
        <v>1132.8900000000001</v>
      </c>
      <c r="G2736" s="35"/>
      <c r="H2736" s="36">
        <f t="shared" si="128"/>
        <v>713.72070000000008</v>
      </c>
      <c r="I2736" s="37">
        <f t="shared" si="126"/>
        <v>713.72070000000008</v>
      </c>
      <c r="J2736" s="4"/>
      <c r="K2736" s="38">
        <f t="shared" si="127"/>
        <v>0</v>
      </c>
    </row>
    <row r="2737" spans="1:11">
      <c r="A2737" t="s">
        <v>4818</v>
      </c>
      <c r="B2737" t="s">
        <v>10176</v>
      </c>
      <c r="C2737" t="s">
        <v>5915</v>
      </c>
      <c r="D2737" t="s">
        <v>10458</v>
      </c>
      <c r="E2737">
        <v>2808.43</v>
      </c>
      <c r="G2737" s="35"/>
      <c r="H2737" s="36">
        <f t="shared" si="128"/>
        <v>1769.3108999999999</v>
      </c>
      <c r="I2737" s="37">
        <f t="shared" si="126"/>
        <v>1769.3108999999999</v>
      </c>
      <c r="J2737" s="4"/>
      <c r="K2737" s="38">
        <f t="shared" si="127"/>
        <v>0</v>
      </c>
    </row>
    <row r="2738" spans="1:11">
      <c r="A2738" t="s">
        <v>4819</v>
      </c>
      <c r="B2738" t="s">
        <v>10176</v>
      </c>
      <c r="C2738" t="s">
        <v>5915</v>
      </c>
      <c r="D2738" t="s">
        <v>10459</v>
      </c>
      <c r="E2738">
        <v>1361.99</v>
      </c>
      <c r="G2738" s="35"/>
      <c r="H2738" s="36">
        <f t="shared" si="128"/>
        <v>858.05370000000005</v>
      </c>
      <c r="I2738" s="37">
        <f t="shared" si="126"/>
        <v>858.05370000000005</v>
      </c>
      <c r="J2738" s="4"/>
      <c r="K2738" s="38">
        <f t="shared" si="127"/>
        <v>0</v>
      </c>
    </row>
    <row r="2739" spans="1:11">
      <c r="A2739" t="s">
        <v>4820</v>
      </c>
      <c r="B2739" t="s">
        <v>10176</v>
      </c>
      <c r="C2739" t="s">
        <v>5915</v>
      </c>
      <c r="D2739" t="s">
        <v>10460</v>
      </c>
      <c r="E2739">
        <v>2496.4499999999998</v>
      </c>
      <c r="G2739" s="35"/>
      <c r="H2739" s="36">
        <f t="shared" si="128"/>
        <v>1572.7634999999998</v>
      </c>
      <c r="I2739" s="37">
        <f t="shared" si="126"/>
        <v>1572.7634999999998</v>
      </c>
      <c r="J2739" s="4"/>
      <c r="K2739" s="38">
        <f t="shared" si="127"/>
        <v>0</v>
      </c>
    </row>
    <row r="2740" spans="1:11">
      <c r="A2740" t="s">
        <v>4821</v>
      </c>
      <c r="B2740" t="s">
        <v>10176</v>
      </c>
      <c r="C2740" t="s">
        <v>5915</v>
      </c>
      <c r="D2740" t="s">
        <v>10461</v>
      </c>
      <c r="E2740">
        <v>1227.3399999999999</v>
      </c>
      <c r="G2740" s="35"/>
      <c r="H2740" s="36">
        <f t="shared" si="128"/>
        <v>773.2242</v>
      </c>
      <c r="I2740" s="37">
        <f t="shared" si="126"/>
        <v>773.2242</v>
      </c>
      <c r="J2740" s="4"/>
      <c r="K2740" s="38">
        <f t="shared" si="127"/>
        <v>0</v>
      </c>
    </row>
    <row r="2741" spans="1:11">
      <c r="A2741" t="s">
        <v>4822</v>
      </c>
      <c r="B2741" t="s">
        <v>10176</v>
      </c>
      <c r="C2741" t="s">
        <v>5915</v>
      </c>
      <c r="D2741" t="s">
        <v>10462</v>
      </c>
      <c r="E2741">
        <v>2099.44</v>
      </c>
      <c r="G2741" s="35"/>
      <c r="H2741" s="36">
        <f t="shared" si="128"/>
        <v>1322.6472000000001</v>
      </c>
      <c r="I2741" s="37">
        <f t="shared" si="126"/>
        <v>1322.6472000000001</v>
      </c>
      <c r="J2741" s="4"/>
      <c r="K2741" s="38">
        <f t="shared" si="127"/>
        <v>0</v>
      </c>
    </row>
    <row r="2742" spans="1:11">
      <c r="A2742" t="s">
        <v>4823</v>
      </c>
      <c r="B2742" t="s">
        <v>10176</v>
      </c>
      <c r="C2742" t="s">
        <v>5915</v>
      </c>
      <c r="D2742" t="s">
        <v>10463</v>
      </c>
      <c r="E2742">
        <v>3296.23</v>
      </c>
      <c r="G2742" s="35"/>
      <c r="H2742" s="36">
        <f t="shared" si="128"/>
        <v>2076.6249000000003</v>
      </c>
      <c r="I2742" s="37">
        <f t="shared" si="126"/>
        <v>2076.6249000000003</v>
      </c>
      <c r="J2742" s="4"/>
      <c r="K2742" s="38">
        <f t="shared" si="127"/>
        <v>0</v>
      </c>
    </row>
    <row r="2743" spans="1:11">
      <c r="A2743" t="s">
        <v>4824</v>
      </c>
      <c r="B2743" t="s">
        <v>10176</v>
      </c>
      <c r="C2743" t="s">
        <v>5915</v>
      </c>
      <c r="D2743" t="s">
        <v>10464</v>
      </c>
      <c r="E2743">
        <v>1388.36</v>
      </c>
      <c r="G2743" s="35"/>
      <c r="H2743" s="36">
        <f t="shared" si="128"/>
        <v>874.66679999999997</v>
      </c>
      <c r="I2743" s="37">
        <f t="shared" si="126"/>
        <v>874.66679999999997</v>
      </c>
      <c r="J2743" s="4"/>
      <c r="K2743" s="38">
        <f t="shared" si="127"/>
        <v>0</v>
      </c>
    </row>
    <row r="2744" spans="1:11">
      <c r="A2744" t="s">
        <v>4825</v>
      </c>
      <c r="B2744" t="s">
        <v>10176</v>
      </c>
      <c r="C2744" t="s">
        <v>5915</v>
      </c>
      <c r="D2744" t="s">
        <v>10465</v>
      </c>
      <c r="E2744">
        <v>1280.17</v>
      </c>
      <c r="G2744" s="35"/>
      <c r="H2744" s="36">
        <f t="shared" si="128"/>
        <v>806.50710000000004</v>
      </c>
      <c r="I2744" s="37">
        <f t="shared" si="126"/>
        <v>806.50710000000004</v>
      </c>
      <c r="J2744" s="4"/>
      <c r="K2744" s="38">
        <f t="shared" si="127"/>
        <v>0</v>
      </c>
    </row>
    <row r="2745" spans="1:11">
      <c r="A2745" t="s">
        <v>4826</v>
      </c>
      <c r="B2745" t="s">
        <v>10176</v>
      </c>
      <c r="C2745" t="s">
        <v>5915</v>
      </c>
      <c r="D2745" t="s">
        <v>10466</v>
      </c>
      <c r="E2745">
        <v>968.16</v>
      </c>
      <c r="G2745" s="35"/>
      <c r="H2745" s="36">
        <f t="shared" si="128"/>
        <v>609.94079999999997</v>
      </c>
      <c r="I2745" s="37">
        <f t="shared" si="126"/>
        <v>609.94079999999997</v>
      </c>
      <c r="J2745" s="4"/>
      <c r="K2745" s="38">
        <f t="shared" si="127"/>
        <v>0</v>
      </c>
    </row>
    <row r="2746" spans="1:11">
      <c r="A2746" t="s">
        <v>4827</v>
      </c>
      <c r="B2746" t="s">
        <v>10176</v>
      </c>
      <c r="C2746" t="s">
        <v>5915</v>
      </c>
      <c r="D2746" t="s">
        <v>10467</v>
      </c>
      <c r="E2746">
        <v>847.28</v>
      </c>
      <c r="G2746" s="35"/>
      <c r="H2746" s="36">
        <f t="shared" si="128"/>
        <v>533.78639999999996</v>
      </c>
      <c r="I2746" s="37">
        <f t="shared" si="126"/>
        <v>533.78639999999996</v>
      </c>
      <c r="J2746" s="4"/>
      <c r="K2746" s="38">
        <f t="shared" si="127"/>
        <v>0</v>
      </c>
    </row>
    <row r="2747" spans="1:11">
      <c r="A2747" t="s">
        <v>4828</v>
      </c>
      <c r="B2747" t="s">
        <v>10176</v>
      </c>
      <c r="C2747" t="s">
        <v>5915</v>
      </c>
      <c r="D2747" t="s">
        <v>10468</v>
      </c>
      <c r="E2747">
        <v>847.28</v>
      </c>
      <c r="G2747" s="35"/>
      <c r="H2747" s="36">
        <f t="shared" si="128"/>
        <v>533.78639999999996</v>
      </c>
      <c r="I2747" s="37">
        <f t="shared" si="126"/>
        <v>533.78639999999996</v>
      </c>
      <c r="J2747" s="4"/>
      <c r="K2747" s="38">
        <f t="shared" si="127"/>
        <v>0</v>
      </c>
    </row>
    <row r="2748" spans="1:11">
      <c r="A2748" t="s">
        <v>4829</v>
      </c>
      <c r="B2748" t="s">
        <v>10176</v>
      </c>
      <c r="C2748" t="s">
        <v>5915</v>
      </c>
      <c r="D2748" t="s">
        <v>10469</v>
      </c>
      <c r="E2748">
        <v>477.21</v>
      </c>
      <c r="G2748" s="35"/>
      <c r="H2748" s="36">
        <f t="shared" si="128"/>
        <v>300.64229999999998</v>
      </c>
      <c r="I2748" s="37">
        <f t="shared" si="126"/>
        <v>300.64229999999998</v>
      </c>
      <c r="J2748" s="4"/>
      <c r="K2748" s="38">
        <f t="shared" si="127"/>
        <v>0</v>
      </c>
    </row>
    <row r="2749" spans="1:11">
      <c r="A2749" t="s">
        <v>4830</v>
      </c>
      <c r="B2749" t="s">
        <v>10176</v>
      </c>
      <c r="C2749" t="s">
        <v>5915</v>
      </c>
      <c r="D2749" t="s">
        <v>10470</v>
      </c>
      <c r="E2749">
        <v>1455.94</v>
      </c>
      <c r="G2749" s="35"/>
      <c r="H2749" s="36">
        <f t="shared" si="128"/>
        <v>917.24220000000003</v>
      </c>
      <c r="I2749" s="37">
        <f t="shared" si="126"/>
        <v>917.24220000000003</v>
      </c>
      <c r="J2749" s="4"/>
      <c r="K2749" s="38">
        <f t="shared" si="127"/>
        <v>0</v>
      </c>
    </row>
    <row r="2750" spans="1:11">
      <c r="A2750" t="s">
        <v>4831</v>
      </c>
      <c r="B2750" t="s">
        <v>10176</v>
      </c>
      <c r="C2750" t="s">
        <v>5915</v>
      </c>
      <c r="D2750" t="s">
        <v>10471</v>
      </c>
      <c r="E2750">
        <v>618.17999999999995</v>
      </c>
      <c r="G2750" s="35"/>
      <c r="H2750" s="36">
        <f t="shared" si="128"/>
        <v>389.45339999999999</v>
      </c>
      <c r="I2750" s="37">
        <f t="shared" si="126"/>
        <v>389.45339999999999</v>
      </c>
      <c r="J2750" s="4"/>
      <c r="K2750" s="38">
        <f t="shared" si="127"/>
        <v>0</v>
      </c>
    </row>
    <row r="2751" spans="1:11">
      <c r="A2751" t="s">
        <v>4832</v>
      </c>
      <c r="B2751" t="s">
        <v>10176</v>
      </c>
      <c r="C2751" t="s">
        <v>5915</v>
      </c>
      <c r="D2751" t="s">
        <v>10472</v>
      </c>
      <c r="E2751">
        <v>618.17999999999995</v>
      </c>
      <c r="G2751" s="35"/>
      <c r="H2751" s="36">
        <f t="shared" si="128"/>
        <v>389.45339999999999</v>
      </c>
      <c r="I2751" s="37">
        <f t="shared" si="126"/>
        <v>389.45339999999999</v>
      </c>
      <c r="J2751" s="4"/>
      <c r="K2751" s="38">
        <f t="shared" si="127"/>
        <v>0</v>
      </c>
    </row>
    <row r="2752" spans="1:11">
      <c r="A2752" t="s">
        <v>4833</v>
      </c>
      <c r="B2752" t="s">
        <v>10176</v>
      </c>
      <c r="C2752" t="s">
        <v>5915</v>
      </c>
      <c r="D2752" t="s">
        <v>10473</v>
      </c>
      <c r="E2752">
        <v>1049.98</v>
      </c>
      <c r="G2752" s="35"/>
      <c r="H2752" s="36">
        <f t="shared" si="128"/>
        <v>661.48739999999998</v>
      </c>
      <c r="I2752" s="37">
        <f t="shared" si="126"/>
        <v>661.48739999999998</v>
      </c>
      <c r="J2752" s="4"/>
      <c r="K2752" s="38">
        <f t="shared" si="127"/>
        <v>0</v>
      </c>
    </row>
    <row r="2753" spans="1:11">
      <c r="A2753" t="s">
        <v>4834</v>
      </c>
      <c r="B2753" t="s">
        <v>10176</v>
      </c>
      <c r="C2753" t="s">
        <v>5915</v>
      </c>
      <c r="D2753" t="s">
        <v>10474</v>
      </c>
      <c r="E2753">
        <v>1179.8599999999999</v>
      </c>
      <c r="G2753" s="35"/>
      <c r="H2753" s="36">
        <f t="shared" si="128"/>
        <v>743.31179999999995</v>
      </c>
      <c r="I2753" s="37">
        <f t="shared" si="126"/>
        <v>743.31179999999995</v>
      </c>
      <c r="J2753" s="4"/>
      <c r="K2753" s="38">
        <f t="shared" si="127"/>
        <v>0</v>
      </c>
    </row>
    <row r="2754" spans="1:11">
      <c r="A2754" t="s">
        <v>4835</v>
      </c>
      <c r="B2754" t="s">
        <v>10176</v>
      </c>
      <c r="C2754" t="s">
        <v>5915</v>
      </c>
      <c r="D2754" t="s">
        <v>10475</v>
      </c>
      <c r="E2754">
        <v>5133.78</v>
      </c>
      <c r="G2754" s="35"/>
      <c r="H2754" s="36">
        <f t="shared" si="128"/>
        <v>3234.2813999999998</v>
      </c>
      <c r="I2754" s="37">
        <f t="shared" si="126"/>
        <v>3234.2813999999998</v>
      </c>
      <c r="J2754" s="4"/>
      <c r="K2754" s="38">
        <f t="shared" si="127"/>
        <v>0</v>
      </c>
    </row>
    <row r="2755" spans="1:11">
      <c r="A2755" t="s">
        <v>4836</v>
      </c>
      <c r="B2755" t="s">
        <v>10176</v>
      </c>
      <c r="C2755" t="s">
        <v>5915</v>
      </c>
      <c r="D2755" t="s">
        <v>10476</v>
      </c>
      <c r="E2755">
        <v>1888.85</v>
      </c>
      <c r="G2755" s="35"/>
      <c r="H2755" s="36">
        <f t="shared" si="128"/>
        <v>1189.9755</v>
      </c>
      <c r="I2755" s="37">
        <f t="shared" si="126"/>
        <v>1189.9755</v>
      </c>
      <c r="J2755" s="4"/>
      <c r="K2755" s="38">
        <f t="shared" si="127"/>
        <v>0</v>
      </c>
    </row>
    <row r="2756" spans="1:11">
      <c r="A2756" t="s">
        <v>4837</v>
      </c>
      <c r="B2756" t="s">
        <v>10176</v>
      </c>
      <c r="C2756" t="s">
        <v>5915</v>
      </c>
      <c r="D2756" t="s">
        <v>10477</v>
      </c>
      <c r="E2756">
        <v>4904.71</v>
      </c>
      <c r="G2756" s="35"/>
      <c r="H2756" s="36">
        <f t="shared" si="128"/>
        <v>3089.9673000000003</v>
      </c>
      <c r="I2756" s="37">
        <f t="shared" si="126"/>
        <v>3089.9673000000003</v>
      </c>
      <c r="J2756" s="4"/>
      <c r="K2756" s="38">
        <f t="shared" si="127"/>
        <v>0</v>
      </c>
    </row>
    <row r="2757" spans="1:11">
      <c r="A2757" t="s">
        <v>4838</v>
      </c>
      <c r="B2757" t="s">
        <v>10176</v>
      </c>
      <c r="C2757" t="s">
        <v>5915</v>
      </c>
      <c r="D2757" t="s">
        <v>10620</v>
      </c>
      <c r="E2757">
        <v>3498.91</v>
      </c>
      <c r="G2757" s="35"/>
      <c r="H2757" s="36">
        <f t="shared" si="128"/>
        <v>2204.3132999999998</v>
      </c>
      <c r="I2757" s="37">
        <f t="shared" si="126"/>
        <v>2204.3132999999998</v>
      </c>
      <c r="J2757" s="4"/>
      <c r="K2757" s="38">
        <f t="shared" si="127"/>
        <v>0</v>
      </c>
    </row>
    <row r="2758" spans="1:11">
      <c r="A2758" t="s">
        <v>4839</v>
      </c>
      <c r="B2758" t="s">
        <v>10176</v>
      </c>
      <c r="C2758" t="s">
        <v>5915</v>
      </c>
      <c r="D2758" t="s">
        <v>10621</v>
      </c>
      <c r="E2758">
        <v>8879.7800000000007</v>
      </c>
      <c r="G2758" s="35"/>
      <c r="H2758" s="36">
        <f t="shared" si="128"/>
        <v>5594.2614000000003</v>
      </c>
      <c r="I2758" s="37">
        <f t="shared" ref="I2758:I2821" si="129">H2758*$H$4</f>
        <v>5594.2614000000003</v>
      </c>
      <c r="J2758" s="4"/>
      <c r="K2758" s="38">
        <f t="shared" ref="K2758:K2821" si="130">J2758*I2758</f>
        <v>0</v>
      </c>
    </row>
    <row r="2759" spans="1:11">
      <c r="A2759" t="s">
        <v>4840</v>
      </c>
      <c r="B2759" t="s">
        <v>10176</v>
      </c>
      <c r="C2759" t="s">
        <v>5915</v>
      </c>
      <c r="D2759" t="s">
        <v>10622</v>
      </c>
      <c r="E2759">
        <v>1227.3399999999999</v>
      </c>
      <c r="G2759" s="35"/>
      <c r="H2759" s="36">
        <f t="shared" ref="H2759:H2822" si="131">+E2759*$H$1*(1-G2759)</f>
        <v>773.2242</v>
      </c>
      <c r="I2759" s="37">
        <f t="shared" si="129"/>
        <v>773.2242</v>
      </c>
      <c r="J2759" s="4"/>
      <c r="K2759" s="38">
        <f t="shared" si="130"/>
        <v>0</v>
      </c>
    </row>
    <row r="2760" spans="1:11">
      <c r="A2760" t="s">
        <v>4841</v>
      </c>
      <c r="B2760" t="s">
        <v>10176</v>
      </c>
      <c r="C2760" t="s">
        <v>5915</v>
      </c>
      <c r="D2760" t="s">
        <v>10623</v>
      </c>
      <c r="E2760">
        <v>800.32</v>
      </c>
      <c r="G2760" s="35"/>
      <c r="H2760" s="36">
        <f t="shared" si="131"/>
        <v>504.20160000000004</v>
      </c>
      <c r="I2760" s="37">
        <f t="shared" si="129"/>
        <v>504.20160000000004</v>
      </c>
      <c r="J2760" s="4"/>
      <c r="K2760" s="38">
        <f t="shared" si="130"/>
        <v>0</v>
      </c>
    </row>
    <row r="2761" spans="1:11">
      <c r="A2761" t="s">
        <v>4842</v>
      </c>
      <c r="B2761" t="s">
        <v>10176</v>
      </c>
      <c r="C2761" t="s">
        <v>5915</v>
      </c>
      <c r="D2761" t="s">
        <v>10624</v>
      </c>
      <c r="E2761">
        <v>1888.85</v>
      </c>
      <c r="G2761" s="35"/>
      <c r="H2761" s="36">
        <f t="shared" si="131"/>
        <v>1189.9755</v>
      </c>
      <c r="I2761" s="37">
        <f t="shared" si="129"/>
        <v>1189.9755</v>
      </c>
      <c r="J2761" s="4"/>
      <c r="K2761" s="38">
        <f t="shared" si="130"/>
        <v>0</v>
      </c>
    </row>
    <row r="2762" spans="1:11">
      <c r="A2762" t="s">
        <v>4843</v>
      </c>
      <c r="B2762" t="s">
        <v>10176</v>
      </c>
      <c r="C2762" t="s">
        <v>5915</v>
      </c>
      <c r="D2762" t="s">
        <v>10625</v>
      </c>
      <c r="E2762">
        <v>4466.55</v>
      </c>
      <c r="G2762" s="35"/>
      <c r="H2762" s="36">
        <f t="shared" si="131"/>
        <v>2813.9265</v>
      </c>
      <c r="I2762" s="37">
        <f t="shared" si="129"/>
        <v>2813.9265</v>
      </c>
      <c r="J2762" s="4"/>
      <c r="K2762" s="38">
        <f t="shared" si="130"/>
        <v>0</v>
      </c>
    </row>
    <row r="2763" spans="1:11">
      <c r="A2763" t="s">
        <v>11731</v>
      </c>
      <c r="B2763" t="s">
        <v>10176</v>
      </c>
      <c r="C2763" t="s">
        <v>5915</v>
      </c>
      <c r="D2763" t="s">
        <v>11732</v>
      </c>
      <c r="E2763">
        <v>2496.44</v>
      </c>
      <c r="G2763" s="35"/>
      <c r="H2763" s="36">
        <f t="shared" si="131"/>
        <v>1572.7572</v>
      </c>
      <c r="I2763" s="37">
        <f t="shared" si="129"/>
        <v>1572.7572</v>
      </c>
      <c r="J2763" s="4"/>
      <c r="K2763" s="38">
        <f t="shared" si="130"/>
        <v>0</v>
      </c>
    </row>
    <row r="2764" spans="1:11">
      <c r="A2764" t="s">
        <v>4844</v>
      </c>
      <c r="B2764" t="s">
        <v>10176</v>
      </c>
      <c r="C2764" t="s">
        <v>5915</v>
      </c>
      <c r="D2764" t="s">
        <v>10626</v>
      </c>
      <c r="E2764">
        <v>1455.94</v>
      </c>
      <c r="G2764" s="35"/>
      <c r="H2764" s="36">
        <f t="shared" si="131"/>
        <v>917.24220000000003</v>
      </c>
      <c r="I2764" s="37">
        <f t="shared" si="129"/>
        <v>917.24220000000003</v>
      </c>
      <c r="J2764" s="4"/>
      <c r="K2764" s="38">
        <f t="shared" si="130"/>
        <v>0</v>
      </c>
    </row>
    <row r="2765" spans="1:11">
      <c r="A2765" t="s">
        <v>4845</v>
      </c>
      <c r="B2765" t="s">
        <v>10176</v>
      </c>
      <c r="C2765" t="s">
        <v>5915</v>
      </c>
      <c r="D2765" t="s">
        <v>10627</v>
      </c>
      <c r="E2765">
        <v>4416.96</v>
      </c>
      <c r="G2765" s="35"/>
      <c r="H2765" s="36">
        <f t="shared" si="131"/>
        <v>2782.6848</v>
      </c>
      <c r="I2765" s="37">
        <f t="shared" si="129"/>
        <v>2782.6848</v>
      </c>
      <c r="J2765" s="4"/>
      <c r="K2765" s="38">
        <f t="shared" si="130"/>
        <v>0</v>
      </c>
    </row>
    <row r="2766" spans="1:11">
      <c r="A2766" t="s">
        <v>4846</v>
      </c>
      <c r="B2766" t="s">
        <v>10176</v>
      </c>
      <c r="C2766" t="s">
        <v>5915</v>
      </c>
      <c r="D2766" t="s">
        <v>10628</v>
      </c>
      <c r="E2766">
        <v>968.16</v>
      </c>
      <c r="G2766" s="35"/>
      <c r="H2766" s="36">
        <f t="shared" si="131"/>
        <v>609.94079999999997</v>
      </c>
      <c r="I2766" s="37">
        <f t="shared" si="129"/>
        <v>609.94079999999997</v>
      </c>
      <c r="J2766" s="4"/>
      <c r="K2766" s="38">
        <f t="shared" si="130"/>
        <v>0</v>
      </c>
    </row>
    <row r="2767" spans="1:11">
      <c r="A2767" t="s">
        <v>4847</v>
      </c>
      <c r="B2767" t="s">
        <v>10176</v>
      </c>
      <c r="C2767" t="s">
        <v>5915</v>
      </c>
      <c r="D2767" t="s">
        <v>10629</v>
      </c>
      <c r="E2767">
        <v>2761.47</v>
      </c>
      <c r="G2767" s="35"/>
      <c r="H2767" s="36">
        <f t="shared" si="131"/>
        <v>1739.7260999999999</v>
      </c>
      <c r="I2767" s="37">
        <f t="shared" si="129"/>
        <v>1739.7260999999999</v>
      </c>
      <c r="J2767" s="4"/>
      <c r="K2767" s="38">
        <f t="shared" si="130"/>
        <v>0</v>
      </c>
    </row>
    <row r="2768" spans="1:11">
      <c r="A2768" t="s">
        <v>4848</v>
      </c>
      <c r="B2768" t="s">
        <v>10176</v>
      </c>
      <c r="C2768" t="s">
        <v>5915</v>
      </c>
      <c r="D2768" t="s">
        <v>10630</v>
      </c>
      <c r="E2768">
        <v>312</v>
      </c>
      <c r="G2768" s="35"/>
      <c r="H2768" s="36">
        <f t="shared" si="131"/>
        <v>196.56</v>
      </c>
      <c r="I2768" s="37">
        <f t="shared" si="129"/>
        <v>196.56</v>
      </c>
      <c r="J2768" s="4"/>
      <c r="K2768" s="38">
        <f t="shared" si="130"/>
        <v>0</v>
      </c>
    </row>
    <row r="2769" spans="1:11">
      <c r="A2769" t="s">
        <v>4849</v>
      </c>
      <c r="B2769" t="s">
        <v>10176</v>
      </c>
      <c r="C2769" t="s">
        <v>5915</v>
      </c>
      <c r="D2769" t="s">
        <v>10631</v>
      </c>
      <c r="E2769">
        <v>1767.92</v>
      </c>
      <c r="G2769" s="35"/>
      <c r="H2769" s="36">
        <f t="shared" si="131"/>
        <v>1113.7896000000001</v>
      </c>
      <c r="I2769" s="37">
        <f t="shared" si="129"/>
        <v>1113.7896000000001</v>
      </c>
      <c r="J2769" s="4"/>
      <c r="K2769" s="38">
        <f t="shared" si="130"/>
        <v>0</v>
      </c>
    </row>
    <row r="2770" spans="1:11">
      <c r="A2770" t="s">
        <v>4850</v>
      </c>
      <c r="B2770" t="s">
        <v>10176</v>
      </c>
      <c r="C2770" t="s">
        <v>5915</v>
      </c>
      <c r="D2770" t="s">
        <v>10632</v>
      </c>
      <c r="E2770">
        <v>212.22</v>
      </c>
      <c r="G2770" s="35"/>
      <c r="H2770" s="36">
        <f t="shared" si="131"/>
        <v>133.6986</v>
      </c>
      <c r="I2770" s="37">
        <f t="shared" si="129"/>
        <v>133.6986</v>
      </c>
      <c r="J2770" s="4"/>
      <c r="K2770" s="38">
        <f t="shared" si="130"/>
        <v>0</v>
      </c>
    </row>
    <row r="2771" spans="1:11">
      <c r="A2771" t="s">
        <v>4851</v>
      </c>
      <c r="B2771" t="s">
        <v>10176</v>
      </c>
      <c r="C2771" t="s">
        <v>5915</v>
      </c>
      <c r="D2771" t="s">
        <v>10633</v>
      </c>
      <c r="E2771">
        <v>535.29</v>
      </c>
      <c r="G2771" s="35"/>
      <c r="H2771" s="36">
        <f t="shared" si="131"/>
        <v>337.23269999999997</v>
      </c>
      <c r="I2771" s="37">
        <f t="shared" si="129"/>
        <v>337.23269999999997</v>
      </c>
      <c r="J2771" s="4"/>
      <c r="K2771" s="38">
        <f t="shared" si="130"/>
        <v>0</v>
      </c>
    </row>
    <row r="2772" spans="1:11">
      <c r="A2772" t="s">
        <v>4852</v>
      </c>
      <c r="B2772" t="s">
        <v>10176</v>
      </c>
      <c r="C2772" t="s">
        <v>5915</v>
      </c>
      <c r="D2772" t="s">
        <v>10634</v>
      </c>
      <c r="E2772">
        <v>618.17999999999995</v>
      </c>
      <c r="G2772" s="35"/>
      <c r="H2772" s="36">
        <f t="shared" si="131"/>
        <v>389.45339999999999</v>
      </c>
      <c r="I2772" s="37">
        <f t="shared" si="129"/>
        <v>389.45339999999999</v>
      </c>
      <c r="J2772" s="4"/>
      <c r="K2772" s="38">
        <f t="shared" si="130"/>
        <v>0</v>
      </c>
    </row>
    <row r="2773" spans="1:11">
      <c r="A2773" t="s">
        <v>4853</v>
      </c>
      <c r="B2773" t="s">
        <v>10176</v>
      </c>
      <c r="C2773" t="s">
        <v>5915</v>
      </c>
      <c r="D2773" t="s">
        <v>10635</v>
      </c>
      <c r="E2773">
        <v>374.29</v>
      </c>
      <c r="G2773" s="35"/>
      <c r="H2773" s="36">
        <f t="shared" si="131"/>
        <v>235.80270000000002</v>
      </c>
      <c r="I2773" s="37">
        <f t="shared" si="129"/>
        <v>235.80270000000002</v>
      </c>
      <c r="J2773" s="4"/>
      <c r="K2773" s="38">
        <f t="shared" si="130"/>
        <v>0</v>
      </c>
    </row>
    <row r="2774" spans="1:11">
      <c r="A2774" t="s">
        <v>4854</v>
      </c>
      <c r="B2774" t="s">
        <v>10176</v>
      </c>
      <c r="C2774" t="s">
        <v>5915</v>
      </c>
      <c r="D2774" t="s">
        <v>11409</v>
      </c>
      <c r="E2774">
        <v>259.19</v>
      </c>
      <c r="G2774" s="35"/>
      <c r="H2774" s="36">
        <f t="shared" si="131"/>
        <v>163.28970000000001</v>
      </c>
      <c r="I2774" s="37">
        <f t="shared" si="129"/>
        <v>163.28970000000001</v>
      </c>
      <c r="J2774" s="4"/>
      <c r="K2774" s="38">
        <f t="shared" si="130"/>
        <v>0</v>
      </c>
    </row>
    <row r="2775" spans="1:11">
      <c r="A2775" t="s">
        <v>4855</v>
      </c>
      <c r="B2775" t="s">
        <v>10176</v>
      </c>
      <c r="C2775" t="s">
        <v>5915</v>
      </c>
      <c r="D2775" t="s">
        <v>10636</v>
      </c>
      <c r="E2775">
        <v>280.3</v>
      </c>
      <c r="G2775" s="35"/>
      <c r="H2775" s="36">
        <f t="shared" si="131"/>
        <v>176.589</v>
      </c>
      <c r="I2775" s="37">
        <f t="shared" si="129"/>
        <v>176.589</v>
      </c>
      <c r="J2775" s="4"/>
      <c r="K2775" s="38">
        <f t="shared" si="130"/>
        <v>0</v>
      </c>
    </row>
    <row r="2776" spans="1:11">
      <c r="A2776" t="s">
        <v>4856</v>
      </c>
      <c r="B2776" t="s">
        <v>10176</v>
      </c>
      <c r="C2776" t="s">
        <v>5915</v>
      </c>
      <c r="D2776" t="s">
        <v>11410</v>
      </c>
      <c r="E2776">
        <v>312</v>
      </c>
      <c r="G2776" s="35"/>
      <c r="H2776" s="36">
        <f t="shared" si="131"/>
        <v>196.56</v>
      </c>
      <c r="I2776" s="37">
        <f t="shared" si="129"/>
        <v>196.56</v>
      </c>
      <c r="J2776" s="4"/>
      <c r="K2776" s="38">
        <f t="shared" si="130"/>
        <v>0</v>
      </c>
    </row>
    <row r="2777" spans="1:11">
      <c r="A2777" t="s">
        <v>4857</v>
      </c>
      <c r="B2777" t="s">
        <v>10176</v>
      </c>
      <c r="C2777" t="s">
        <v>5915</v>
      </c>
      <c r="D2777" t="s">
        <v>10637</v>
      </c>
      <c r="E2777">
        <v>312</v>
      </c>
      <c r="G2777" s="35"/>
      <c r="H2777" s="36">
        <f t="shared" si="131"/>
        <v>196.56</v>
      </c>
      <c r="I2777" s="37">
        <f t="shared" si="129"/>
        <v>196.56</v>
      </c>
      <c r="J2777" s="4"/>
      <c r="K2777" s="38">
        <f t="shared" si="130"/>
        <v>0</v>
      </c>
    </row>
    <row r="2778" spans="1:11">
      <c r="A2778" t="s">
        <v>4858</v>
      </c>
      <c r="B2778" t="s">
        <v>10176</v>
      </c>
      <c r="C2778" t="s">
        <v>5915</v>
      </c>
      <c r="D2778" t="s">
        <v>10638</v>
      </c>
      <c r="E2778">
        <v>1658.65</v>
      </c>
      <c r="G2778" s="35"/>
      <c r="H2778" s="36">
        <f t="shared" si="131"/>
        <v>1044.9495000000002</v>
      </c>
      <c r="I2778" s="37">
        <f t="shared" si="129"/>
        <v>1044.9495000000002</v>
      </c>
      <c r="J2778" s="4"/>
      <c r="K2778" s="38">
        <f t="shared" si="130"/>
        <v>0</v>
      </c>
    </row>
    <row r="2779" spans="1:11">
      <c r="A2779" t="s">
        <v>4859</v>
      </c>
      <c r="B2779" t="s">
        <v>10176</v>
      </c>
      <c r="C2779" t="s">
        <v>5915</v>
      </c>
      <c r="D2779" t="s">
        <v>10639</v>
      </c>
      <c r="E2779">
        <v>1179.8599999999999</v>
      </c>
      <c r="G2779" s="35"/>
      <c r="H2779" s="36">
        <f t="shared" si="131"/>
        <v>743.31179999999995</v>
      </c>
      <c r="I2779" s="37">
        <f t="shared" si="129"/>
        <v>743.31179999999995</v>
      </c>
      <c r="J2779" s="4"/>
      <c r="K2779" s="38">
        <f t="shared" si="130"/>
        <v>0</v>
      </c>
    </row>
    <row r="2780" spans="1:11">
      <c r="A2780" t="s">
        <v>4860</v>
      </c>
      <c r="B2780" t="s">
        <v>10176</v>
      </c>
      <c r="C2780" t="s">
        <v>5917</v>
      </c>
      <c r="D2780" t="s">
        <v>11411</v>
      </c>
      <c r="E2780">
        <v>2687.56</v>
      </c>
      <c r="G2780" s="35"/>
      <c r="H2780" s="36">
        <f t="shared" si="131"/>
        <v>1693.1628000000001</v>
      </c>
      <c r="I2780" s="37">
        <f t="shared" si="129"/>
        <v>1693.1628000000001</v>
      </c>
      <c r="J2780" s="4"/>
      <c r="K2780" s="38">
        <f t="shared" si="130"/>
        <v>0</v>
      </c>
    </row>
    <row r="2781" spans="1:11">
      <c r="A2781" t="s">
        <v>4861</v>
      </c>
      <c r="B2781" t="s">
        <v>10176</v>
      </c>
      <c r="C2781" t="s">
        <v>5917</v>
      </c>
      <c r="D2781" t="s">
        <v>11412</v>
      </c>
      <c r="E2781">
        <v>1841.3</v>
      </c>
      <c r="G2781" s="35"/>
      <c r="H2781" s="36">
        <f t="shared" si="131"/>
        <v>1160.019</v>
      </c>
      <c r="I2781" s="37">
        <f t="shared" si="129"/>
        <v>1160.019</v>
      </c>
      <c r="J2781" s="4"/>
      <c r="K2781" s="38">
        <f t="shared" si="130"/>
        <v>0</v>
      </c>
    </row>
    <row r="2782" spans="1:11">
      <c r="A2782" t="s">
        <v>4862</v>
      </c>
      <c r="B2782" t="s">
        <v>10176</v>
      </c>
      <c r="C2782" t="s">
        <v>5917</v>
      </c>
      <c r="D2782" t="s">
        <v>11413</v>
      </c>
      <c r="E2782">
        <v>6824.13</v>
      </c>
      <c r="G2782" s="35"/>
      <c r="H2782" s="36">
        <f t="shared" si="131"/>
        <v>4299.2019</v>
      </c>
      <c r="I2782" s="37">
        <f t="shared" si="129"/>
        <v>4299.2019</v>
      </c>
      <c r="J2782" s="4"/>
      <c r="K2782" s="38">
        <f t="shared" si="130"/>
        <v>0</v>
      </c>
    </row>
    <row r="2783" spans="1:11">
      <c r="A2783" t="s">
        <v>11841</v>
      </c>
      <c r="B2783" t="s">
        <v>10176</v>
      </c>
      <c r="C2783" t="s">
        <v>5918</v>
      </c>
      <c r="D2783" t="s">
        <v>11842</v>
      </c>
      <c r="E2783">
        <v>94671.19</v>
      </c>
      <c r="G2783" s="35"/>
      <c r="H2783" s="36">
        <f t="shared" si="131"/>
        <v>59642.849699999999</v>
      </c>
      <c r="I2783" s="37">
        <f t="shared" si="129"/>
        <v>59642.849699999999</v>
      </c>
      <c r="J2783" s="4"/>
      <c r="K2783" s="38">
        <f t="shared" si="130"/>
        <v>0</v>
      </c>
    </row>
    <row r="2784" spans="1:11">
      <c r="A2784" t="s">
        <v>4863</v>
      </c>
      <c r="B2784" t="s">
        <v>10176</v>
      </c>
      <c r="C2784" t="s">
        <v>5918</v>
      </c>
      <c r="D2784" t="s">
        <v>10640</v>
      </c>
      <c r="E2784">
        <v>57127.06</v>
      </c>
      <c r="G2784" s="35"/>
      <c r="H2784" s="36">
        <f t="shared" si="131"/>
        <v>35990.0478</v>
      </c>
      <c r="I2784" s="37">
        <f t="shared" si="129"/>
        <v>35990.0478</v>
      </c>
      <c r="J2784" s="4"/>
      <c r="K2784" s="38">
        <f t="shared" si="130"/>
        <v>0</v>
      </c>
    </row>
    <row r="2785" spans="1:11">
      <c r="A2785" t="s">
        <v>4865</v>
      </c>
      <c r="B2785" t="s">
        <v>10176</v>
      </c>
      <c r="C2785" t="s">
        <v>5918</v>
      </c>
      <c r="D2785" t="s">
        <v>10479</v>
      </c>
      <c r="E2785">
        <v>11593.17</v>
      </c>
      <c r="G2785" s="35"/>
      <c r="H2785" s="36">
        <f t="shared" si="131"/>
        <v>7303.6971000000003</v>
      </c>
      <c r="I2785" s="37">
        <f t="shared" si="129"/>
        <v>7303.6971000000003</v>
      </c>
      <c r="J2785" s="4"/>
      <c r="K2785" s="38">
        <f t="shared" si="130"/>
        <v>0</v>
      </c>
    </row>
    <row r="2786" spans="1:11">
      <c r="A2786" t="s">
        <v>4864</v>
      </c>
      <c r="B2786" t="s">
        <v>10176</v>
      </c>
      <c r="C2786" t="s">
        <v>5918</v>
      </c>
      <c r="D2786" t="s">
        <v>10478</v>
      </c>
      <c r="E2786">
        <v>8223.6</v>
      </c>
      <c r="G2786" s="35"/>
      <c r="H2786" s="36">
        <f t="shared" si="131"/>
        <v>5180.8680000000004</v>
      </c>
      <c r="I2786" s="37">
        <f t="shared" si="129"/>
        <v>5180.8680000000004</v>
      </c>
      <c r="J2786" s="4"/>
      <c r="K2786" s="38">
        <f t="shared" si="130"/>
        <v>0</v>
      </c>
    </row>
    <row r="2787" spans="1:11">
      <c r="A2787" t="s">
        <v>4866</v>
      </c>
      <c r="B2787" t="s">
        <v>10176</v>
      </c>
      <c r="C2787" t="s">
        <v>5918</v>
      </c>
      <c r="D2787" t="s">
        <v>10641</v>
      </c>
      <c r="E2787">
        <v>1408.98</v>
      </c>
      <c r="G2787" s="35"/>
      <c r="H2787" s="36">
        <f t="shared" si="131"/>
        <v>887.65740000000005</v>
      </c>
      <c r="I2787" s="37">
        <f t="shared" si="129"/>
        <v>887.65740000000005</v>
      </c>
      <c r="J2787" s="4"/>
      <c r="K2787" s="38">
        <f t="shared" si="130"/>
        <v>0</v>
      </c>
    </row>
    <row r="2788" spans="1:11">
      <c r="A2788" t="s">
        <v>4867</v>
      </c>
      <c r="B2788" t="s">
        <v>10176</v>
      </c>
      <c r="C2788" t="s">
        <v>5918</v>
      </c>
      <c r="D2788" t="s">
        <v>10642</v>
      </c>
      <c r="E2788">
        <v>11842.87</v>
      </c>
      <c r="G2788" s="35"/>
      <c r="H2788" s="36">
        <f t="shared" si="131"/>
        <v>7461.0081000000009</v>
      </c>
      <c r="I2788" s="37">
        <f t="shared" si="129"/>
        <v>7461.0081000000009</v>
      </c>
      <c r="J2788" s="4"/>
      <c r="K2788" s="38">
        <f t="shared" si="130"/>
        <v>0</v>
      </c>
    </row>
    <row r="2789" spans="1:11">
      <c r="A2789" t="s">
        <v>4337</v>
      </c>
      <c r="B2789" t="s">
        <v>10176</v>
      </c>
      <c r="C2789" t="s">
        <v>5714</v>
      </c>
      <c r="D2789" t="s">
        <v>11345</v>
      </c>
      <c r="E2789">
        <v>440177.88</v>
      </c>
      <c r="G2789" s="35"/>
      <c r="H2789" s="36">
        <f t="shared" si="131"/>
        <v>277312.06440000003</v>
      </c>
      <c r="I2789" s="37">
        <f t="shared" si="129"/>
        <v>277312.06440000003</v>
      </c>
      <c r="J2789" s="4"/>
      <c r="K2789" s="38">
        <f t="shared" si="130"/>
        <v>0</v>
      </c>
    </row>
    <row r="2790" spans="1:11">
      <c r="A2790" t="s">
        <v>4868</v>
      </c>
      <c r="B2790" t="s">
        <v>10176</v>
      </c>
      <c r="C2790" t="s">
        <v>5752</v>
      </c>
      <c r="D2790" t="s">
        <v>10643</v>
      </c>
      <c r="E2790">
        <v>5866</v>
      </c>
      <c r="G2790" s="35"/>
      <c r="H2790" s="36">
        <f t="shared" si="131"/>
        <v>3695.58</v>
      </c>
      <c r="I2790" s="37">
        <f t="shared" si="129"/>
        <v>3695.58</v>
      </c>
      <c r="J2790" s="4"/>
      <c r="K2790" s="38">
        <f t="shared" si="130"/>
        <v>0</v>
      </c>
    </row>
    <row r="2791" spans="1:11">
      <c r="A2791" t="s">
        <v>4869</v>
      </c>
      <c r="B2791" t="s">
        <v>10176</v>
      </c>
      <c r="C2791" t="s">
        <v>5752</v>
      </c>
      <c r="D2791" t="s">
        <v>10644</v>
      </c>
      <c r="E2791">
        <v>8961.57</v>
      </c>
      <c r="G2791" s="35"/>
      <c r="H2791" s="36">
        <f t="shared" si="131"/>
        <v>5645.7891</v>
      </c>
      <c r="I2791" s="37">
        <f t="shared" si="129"/>
        <v>5645.7891</v>
      </c>
      <c r="J2791" s="4"/>
      <c r="K2791" s="38">
        <f t="shared" si="130"/>
        <v>0</v>
      </c>
    </row>
    <row r="2792" spans="1:11">
      <c r="A2792" t="s">
        <v>4870</v>
      </c>
      <c r="B2792" t="s">
        <v>10176</v>
      </c>
      <c r="C2792" t="s">
        <v>5752</v>
      </c>
      <c r="D2792" t="s">
        <v>10645</v>
      </c>
      <c r="E2792">
        <v>16223.9</v>
      </c>
      <c r="G2792" s="35"/>
      <c r="H2792" s="36">
        <f t="shared" si="131"/>
        <v>10221.057000000001</v>
      </c>
      <c r="I2792" s="37">
        <f t="shared" si="129"/>
        <v>10221.057000000001</v>
      </c>
      <c r="J2792" s="4"/>
      <c r="K2792" s="38">
        <f t="shared" si="130"/>
        <v>0</v>
      </c>
    </row>
    <row r="2793" spans="1:11">
      <c r="A2793" t="s">
        <v>4871</v>
      </c>
      <c r="B2793" t="s">
        <v>10176</v>
      </c>
      <c r="C2793" t="s">
        <v>5752</v>
      </c>
      <c r="D2793" t="s">
        <v>10646</v>
      </c>
      <c r="E2793">
        <v>13477.78</v>
      </c>
      <c r="G2793" s="35"/>
      <c r="H2793" s="36">
        <f t="shared" si="131"/>
        <v>8491.001400000001</v>
      </c>
      <c r="I2793" s="37">
        <f t="shared" si="129"/>
        <v>8491.001400000001</v>
      </c>
      <c r="J2793" s="4"/>
      <c r="K2793" s="38">
        <f t="shared" si="130"/>
        <v>0</v>
      </c>
    </row>
    <row r="2794" spans="1:11">
      <c r="A2794" t="s">
        <v>4872</v>
      </c>
      <c r="B2794" t="s">
        <v>10176</v>
      </c>
      <c r="C2794" t="s">
        <v>5752</v>
      </c>
      <c r="D2794" t="s">
        <v>10647</v>
      </c>
      <c r="E2794">
        <v>3328.38</v>
      </c>
      <c r="G2794" s="35"/>
      <c r="H2794" s="36">
        <f t="shared" si="131"/>
        <v>2096.8794000000003</v>
      </c>
      <c r="I2794" s="37">
        <f t="shared" si="129"/>
        <v>2096.8794000000003</v>
      </c>
      <c r="J2794" s="4"/>
      <c r="K2794" s="38">
        <f t="shared" si="130"/>
        <v>0</v>
      </c>
    </row>
    <row r="2795" spans="1:11">
      <c r="A2795" t="s">
        <v>4873</v>
      </c>
      <c r="B2795" t="s">
        <v>10176</v>
      </c>
      <c r="C2795" t="s">
        <v>5752</v>
      </c>
      <c r="D2795" t="s">
        <v>10648</v>
      </c>
      <c r="E2795">
        <v>15697.05</v>
      </c>
      <c r="G2795" s="35"/>
      <c r="H2795" s="36">
        <f t="shared" si="131"/>
        <v>9889.1414999999997</v>
      </c>
      <c r="I2795" s="37">
        <f t="shared" si="129"/>
        <v>9889.1414999999997</v>
      </c>
      <c r="J2795" s="4"/>
      <c r="K2795" s="38">
        <f t="shared" si="130"/>
        <v>0</v>
      </c>
    </row>
    <row r="2796" spans="1:11">
      <c r="A2796" t="s">
        <v>4874</v>
      </c>
      <c r="B2796" t="s">
        <v>10176</v>
      </c>
      <c r="C2796" t="s">
        <v>5752</v>
      </c>
      <c r="D2796" t="s">
        <v>10649</v>
      </c>
      <c r="E2796">
        <v>15697.05</v>
      </c>
      <c r="G2796" s="35"/>
      <c r="H2796" s="36">
        <f t="shared" si="131"/>
        <v>9889.1414999999997</v>
      </c>
      <c r="I2796" s="37">
        <f t="shared" si="129"/>
        <v>9889.1414999999997</v>
      </c>
      <c r="J2796" s="4"/>
      <c r="K2796" s="38">
        <f t="shared" si="130"/>
        <v>0</v>
      </c>
    </row>
    <row r="2797" spans="1:11">
      <c r="A2797" t="s">
        <v>4876</v>
      </c>
      <c r="B2797" t="s">
        <v>10176</v>
      </c>
      <c r="C2797" t="s">
        <v>5752</v>
      </c>
      <c r="D2797" t="s">
        <v>10651</v>
      </c>
      <c r="E2797">
        <v>9835.27</v>
      </c>
      <c r="G2797" s="35"/>
      <c r="H2797" s="36">
        <f t="shared" si="131"/>
        <v>6196.2201000000005</v>
      </c>
      <c r="I2797" s="37">
        <f t="shared" si="129"/>
        <v>6196.2201000000005</v>
      </c>
      <c r="J2797" s="4"/>
      <c r="K2797" s="38">
        <f t="shared" si="130"/>
        <v>0</v>
      </c>
    </row>
    <row r="2798" spans="1:11">
      <c r="A2798" t="s">
        <v>4875</v>
      </c>
      <c r="B2798" t="s">
        <v>10176</v>
      </c>
      <c r="C2798" t="s">
        <v>5752</v>
      </c>
      <c r="D2798" t="s">
        <v>10650</v>
      </c>
      <c r="E2798">
        <v>4648.67</v>
      </c>
      <c r="G2798" s="35"/>
      <c r="H2798" s="36">
        <f t="shared" si="131"/>
        <v>2928.6621</v>
      </c>
      <c r="I2798" s="37">
        <f t="shared" si="129"/>
        <v>2928.6621</v>
      </c>
      <c r="J2798" s="4"/>
      <c r="K2798" s="38">
        <f t="shared" si="130"/>
        <v>0</v>
      </c>
    </row>
    <row r="2799" spans="1:11">
      <c r="A2799" t="s">
        <v>4877</v>
      </c>
      <c r="B2799" t="s">
        <v>10176</v>
      </c>
      <c r="C2799" t="s">
        <v>5752</v>
      </c>
      <c r="D2799" t="s">
        <v>10652</v>
      </c>
      <c r="E2799">
        <v>9543.8700000000008</v>
      </c>
      <c r="G2799" s="35"/>
      <c r="H2799" s="36">
        <f t="shared" si="131"/>
        <v>6012.6381000000001</v>
      </c>
      <c r="I2799" s="37">
        <f t="shared" si="129"/>
        <v>6012.6381000000001</v>
      </c>
      <c r="J2799" s="4"/>
      <c r="K2799" s="38">
        <f t="shared" si="130"/>
        <v>0</v>
      </c>
    </row>
    <row r="2800" spans="1:11">
      <c r="A2800" t="s">
        <v>4506</v>
      </c>
      <c r="B2800" t="s">
        <v>10176</v>
      </c>
      <c r="C2800" t="s">
        <v>5752</v>
      </c>
      <c r="D2800" t="s">
        <v>10336</v>
      </c>
      <c r="E2800">
        <v>14928.01</v>
      </c>
      <c r="G2800" s="35"/>
      <c r="H2800" s="36">
        <f t="shared" si="131"/>
        <v>9404.6463000000003</v>
      </c>
      <c r="I2800" s="37">
        <f t="shared" si="129"/>
        <v>9404.6463000000003</v>
      </c>
      <c r="J2800" s="4"/>
      <c r="K2800" s="38">
        <f t="shared" si="130"/>
        <v>0</v>
      </c>
    </row>
    <row r="2801" spans="1:11">
      <c r="A2801" t="s">
        <v>4878</v>
      </c>
      <c r="B2801" t="s">
        <v>10176</v>
      </c>
      <c r="C2801" t="s">
        <v>5752</v>
      </c>
      <c r="D2801" t="s">
        <v>10653</v>
      </c>
      <c r="E2801">
        <v>11769.49</v>
      </c>
      <c r="G2801" s="35"/>
      <c r="H2801" s="36">
        <f t="shared" si="131"/>
        <v>7414.7786999999998</v>
      </c>
      <c r="I2801" s="37">
        <f t="shared" si="129"/>
        <v>7414.7786999999998</v>
      </c>
      <c r="J2801" s="4"/>
      <c r="K2801" s="38">
        <f t="shared" si="130"/>
        <v>0</v>
      </c>
    </row>
    <row r="2802" spans="1:11">
      <c r="A2802" t="s">
        <v>4879</v>
      </c>
      <c r="B2802" t="s">
        <v>10176</v>
      </c>
      <c r="C2802" t="s">
        <v>5752</v>
      </c>
      <c r="D2802" t="s">
        <v>10654</v>
      </c>
      <c r="E2802">
        <v>14444.89</v>
      </c>
      <c r="G2802" s="35"/>
      <c r="H2802" s="36">
        <f t="shared" si="131"/>
        <v>9100.2806999999993</v>
      </c>
      <c r="I2802" s="37">
        <f t="shared" si="129"/>
        <v>9100.2806999999993</v>
      </c>
      <c r="J2802" s="4"/>
      <c r="K2802" s="38">
        <f t="shared" si="130"/>
        <v>0</v>
      </c>
    </row>
    <row r="2803" spans="1:11">
      <c r="A2803" t="s">
        <v>4880</v>
      </c>
      <c r="B2803" t="s">
        <v>10176</v>
      </c>
      <c r="C2803" t="s">
        <v>5752</v>
      </c>
      <c r="D2803" t="s">
        <v>10655</v>
      </c>
      <c r="E2803">
        <v>11769.49</v>
      </c>
      <c r="G2803" s="35"/>
      <c r="H2803" s="36">
        <f t="shared" si="131"/>
        <v>7414.7786999999998</v>
      </c>
      <c r="I2803" s="37">
        <f t="shared" si="129"/>
        <v>7414.7786999999998</v>
      </c>
      <c r="J2803" s="4"/>
      <c r="K2803" s="38">
        <f t="shared" si="130"/>
        <v>0</v>
      </c>
    </row>
    <row r="2804" spans="1:11">
      <c r="A2804" t="s">
        <v>4881</v>
      </c>
      <c r="B2804" t="s">
        <v>10176</v>
      </c>
      <c r="C2804" t="s">
        <v>5752</v>
      </c>
      <c r="D2804" t="s">
        <v>10656</v>
      </c>
      <c r="E2804">
        <v>4213.1499999999996</v>
      </c>
      <c r="G2804" s="35"/>
      <c r="H2804" s="36">
        <f t="shared" si="131"/>
        <v>2654.2844999999998</v>
      </c>
      <c r="I2804" s="37">
        <f t="shared" si="129"/>
        <v>2654.2844999999998</v>
      </c>
      <c r="J2804" s="4"/>
      <c r="K2804" s="38">
        <f t="shared" si="130"/>
        <v>0</v>
      </c>
    </row>
    <row r="2805" spans="1:11">
      <c r="A2805" t="s">
        <v>4882</v>
      </c>
      <c r="B2805" t="s">
        <v>10176</v>
      </c>
      <c r="C2805" t="s">
        <v>5752</v>
      </c>
      <c r="D2805" t="s">
        <v>10657</v>
      </c>
      <c r="E2805">
        <v>12328.54</v>
      </c>
      <c r="G2805" s="35"/>
      <c r="H2805" s="36">
        <f t="shared" si="131"/>
        <v>7766.9802000000009</v>
      </c>
      <c r="I2805" s="37">
        <f t="shared" si="129"/>
        <v>7766.9802000000009</v>
      </c>
      <c r="J2805" s="4"/>
      <c r="K2805" s="38">
        <f t="shared" si="130"/>
        <v>0</v>
      </c>
    </row>
    <row r="2806" spans="1:11">
      <c r="A2806" t="s">
        <v>4883</v>
      </c>
      <c r="B2806" t="s">
        <v>10176</v>
      </c>
      <c r="C2806" t="s">
        <v>5752</v>
      </c>
      <c r="D2806" t="s">
        <v>10658</v>
      </c>
      <c r="E2806">
        <v>13201.14</v>
      </c>
      <c r="G2806" s="35"/>
      <c r="H2806" s="36">
        <f t="shared" si="131"/>
        <v>8316.7181999999993</v>
      </c>
      <c r="I2806" s="37">
        <f t="shared" si="129"/>
        <v>8316.7181999999993</v>
      </c>
      <c r="J2806" s="4"/>
      <c r="K2806" s="38">
        <f t="shared" si="130"/>
        <v>0</v>
      </c>
    </row>
    <row r="2807" spans="1:11">
      <c r="A2807" t="s">
        <v>4884</v>
      </c>
      <c r="B2807" t="s">
        <v>10176</v>
      </c>
      <c r="C2807" t="s">
        <v>5752</v>
      </c>
      <c r="D2807" t="s">
        <v>10659</v>
      </c>
      <c r="E2807">
        <v>5060.43</v>
      </c>
      <c r="G2807" s="35"/>
      <c r="H2807" s="36">
        <f t="shared" si="131"/>
        <v>3188.0709000000002</v>
      </c>
      <c r="I2807" s="37">
        <f t="shared" si="129"/>
        <v>3188.0709000000002</v>
      </c>
      <c r="J2807" s="4"/>
      <c r="K2807" s="38">
        <f t="shared" si="130"/>
        <v>0</v>
      </c>
    </row>
    <row r="2808" spans="1:11">
      <c r="A2808" t="s">
        <v>4885</v>
      </c>
      <c r="B2808" t="s">
        <v>10176</v>
      </c>
      <c r="C2808" t="s">
        <v>5752</v>
      </c>
      <c r="D2808" t="s">
        <v>10660</v>
      </c>
      <c r="E2808">
        <v>17767.48</v>
      </c>
      <c r="G2808" s="35"/>
      <c r="H2808" s="36">
        <f t="shared" si="131"/>
        <v>11193.5124</v>
      </c>
      <c r="I2808" s="37">
        <f t="shared" si="129"/>
        <v>11193.5124</v>
      </c>
      <c r="J2808" s="4"/>
      <c r="K2808" s="38">
        <f t="shared" si="130"/>
        <v>0</v>
      </c>
    </row>
    <row r="2809" spans="1:11">
      <c r="A2809" t="s">
        <v>4886</v>
      </c>
      <c r="B2809" t="s">
        <v>10176</v>
      </c>
      <c r="C2809" t="s">
        <v>5752</v>
      </c>
      <c r="D2809" t="s">
        <v>10661</v>
      </c>
      <c r="E2809">
        <v>25845.38</v>
      </c>
      <c r="G2809" s="35"/>
      <c r="H2809" s="36">
        <f t="shared" si="131"/>
        <v>16282.589400000001</v>
      </c>
      <c r="I2809" s="37">
        <f t="shared" si="129"/>
        <v>16282.589400000001</v>
      </c>
      <c r="J2809" s="4"/>
      <c r="K2809" s="38">
        <f t="shared" si="130"/>
        <v>0</v>
      </c>
    </row>
    <row r="2810" spans="1:11">
      <c r="A2810" t="s">
        <v>4887</v>
      </c>
      <c r="B2810" t="s">
        <v>10176</v>
      </c>
      <c r="C2810" t="s">
        <v>5752</v>
      </c>
      <c r="D2810" t="s">
        <v>10662</v>
      </c>
      <c r="E2810">
        <v>10029.02</v>
      </c>
      <c r="G2810" s="35"/>
      <c r="H2810" s="36">
        <f t="shared" si="131"/>
        <v>6318.2826000000005</v>
      </c>
      <c r="I2810" s="37">
        <f t="shared" si="129"/>
        <v>6318.2826000000005</v>
      </c>
      <c r="J2810" s="4"/>
      <c r="K2810" s="38">
        <f t="shared" si="130"/>
        <v>0</v>
      </c>
    </row>
    <row r="2811" spans="1:11">
      <c r="A2811" t="s">
        <v>4888</v>
      </c>
      <c r="B2811" t="s">
        <v>10176</v>
      </c>
      <c r="C2811" t="s">
        <v>5752</v>
      </c>
      <c r="D2811" t="s">
        <v>10663</v>
      </c>
      <c r="E2811">
        <v>24190.95</v>
      </c>
      <c r="G2811" s="35"/>
      <c r="H2811" s="36">
        <f t="shared" si="131"/>
        <v>15240.298500000001</v>
      </c>
      <c r="I2811" s="37">
        <f t="shared" si="129"/>
        <v>15240.298500000001</v>
      </c>
      <c r="J2811" s="4"/>
      <c r="K2811" s="38">
        <f t="shared" si="130"/>
        <v>0</v>
      </c>
    </row>
    <row r="2812" spans="1:11">
      <c r="A2812" t="s">
        <v>4507</v>
      </c>
      <c r="B2812" t="s">
        <v>10176</v>
      </c>
      <c r="C2812" t="s">
        <v>5752</v>
      </c>
      <c r="D2812" t="s">
        <v>10616</v>
      </c>
      <c r="E2812">
        <v>16029.07</v>
      </c>
      <c r="G2812" s="35"/>
      <c r="H2812" s="36">
        <f t="shared" si="131"/>
        <v>10098.3141</v>
      </c>
      <c r="I2812" s="37">
        <f t="shared" si="129"/>
        <v>10098.3141</v>
      </c>
      <c r="J2812" s="4"/>
      <c r="K2812" s="38">
        <f t="shared" si="130"/>
        <v>0</v>
      </c>
    </row>
    <row r="2813" spans="1:11">
      <c r="A2813" t="s">
        <v>4508</v>
      </c>
      <c r="B2813" t="s">
        <v>10176</v>
      </c>
      <c r="C2813" t="s">
        <v>5752</v>
      </c>
      <c r="D2813" t="s">
        <v>10617</v>
      </c>
      <c r="E2813">
        <v>16638.919999999998</v>
      </c>
      <c r="G2813" s="35"/>
      <c r="H2813" s="36">
        <f t="shared" si="131"/>
        <v>10482.5196</v>
      </c>
      <c r="I2813" s="37">
        <f t="shared" si="129"/>
        <v>10482.5196</v>
      </c>
      <c r="J2813" s="4"/>
      <c r="K2813" s="38">
        <f t="shared" si="130"/>
        <v>0</v>
      </c>
    </row>
    <row r="2814" spans="1:11">
      <c r="A2814" t="s">
        <v>4509</v>
      </c>
      <c r="B2814" t="s">
        <v>10176</v>
      </c>
      <c r="C2814" t="s">
        <v>5752</v>
      </c>
      <c r="D2814" t="s">
        <v>10616</v>
      </c>
      <c r="E2814">
        <v>16029.07</v>
      </c>
      <c r="G2814" s="35"/>
      <c r="H2814" s="36">
        <f t="shared" si="131"/>
        <v>10098.3141</v>
      </c>
      <c r="I2814" s="37">
        <f t="shared" si="129"/>
        <v>10098.3141</v>
      </c>
      <c r="J2814" s="4"/>
      <c r="K2814" s="38">
        <f t="shared" si="130"/>
        <v>0</v>
      </c>
    </row>
    <row r="2815" spans="1:11">
      <c r="A2815" t="s">
        <v>4510</v>
      </c>
      <c r="B2815" t="s">
        <v>10176</v>
      </c>
      <c r="C2815" t="s">
        <v>5752</v>
      </c>
      <c r="D2815" t="s">
        <v>10617</v>
      </c>
      <c r="E2815">
        <v>16029.07</v>
      </c>
      <c r="G2815" s="35"/>
      <c r="H2815" s="36">
        <f t="shared" si="131"/>
        <v>10098.3141</v>
      </c>
      <c r="I2815" s="37">
        <f t="shared" si="129"/>
        <v>10098.3141</v>
      </c>
      <c r="J2815" s="4"/>
      <c r="K2815" s="38">
        <f t="shared" si="130"/>
        <v>0</v>
      </c>
    </row>
    <row r="2816" spans="1:11">
      <c r="A2816" t="s">
        <v>4511</v>
      </c>
      <c r="B2816" t="s">
        <v>10176</v>
      </c>
      <c r="C2816" t="s">
        <v>5752</v>
      </c>
      <c r="D2816" t="s">
        <v>10616</v>
      </c>
      <c r="E2816">
        <v>16029.07</v>
      </c>
      <c r="G2816" s="35"/>
      <c r="H2816" s="36">
        <f t="shared" si="131"/>
        <v>10098.3141</v>
      </c>
      <c r="I2816" s="37">
        <f t="shared" si="129"/>
        <v>10098.3141</v>
      </c>
      <c r="J2816" s="4"/>
      <c r="K2816" s="38">
        <f t="shared" si="130"/>
        <v>0</v>
      </c>
    </row>
    <row r="2817" spans="1:11">
      <c r="A2817" t="s">
        <v>4512</v>
      </c>
      <c r="B2817" t="s">
        <v>10176</v>
      </c>
      <c r="C2817" t="s">
        <v>5752</v>
      </c>
      <c r="D2817" t="s">
        <v>10617</v>
      </c>
      <c r="E2817">
        <v>15072.6</v>
      </c>
      <c r="G2817" s="35"/>
      <c r="H2817" s="36">
        <f t="shared" si="131"/>
        <v>9495.7380000000012</v>
      </c>
      <c r="I2817" s="37">
        <f t="shared" si="129"/>
        <v>9495.7380000000012</v>
      </c>
      <c r="J2817" s="4"/>
      <c r="K2817" s="38">
        <f t="shared" si="130"/>
        <v>0</v>
      </c>
    </row>
    <row r="2818" spans="1:11">
      <c r="A2818" t="s">
        <v>4513</v>
      </c>
      <c r="B2818" t="s">
        <v>10176</v>
      </c>
      <c r="C2818" t="s">
        <v>5752</v>
      </c>
      <c r="D2818" t="s">
        <v>10616</v>
      </c>
      <c r="E2818">
        <v>16029.07</v>
      </c>
      <c r="G2818" s="35"/>
      <c r="H2818" s="36">
        <f t="shared" si="131"/>
        <v>10098.3141</v>
      </c>
      <c r="I2818" s="37">
        <f t="shared" si="129"/>
        <v>10098.3141</v>
      </c>
      <c r="J2818" s="4"/>
      <c r="K2818" s="38">
        <f t="shared" si="130"/>
        <v>0</v>
      </c>
    </row>
    <row r="2819" spans="1:11">
      <c r="A2819" t="s">
        <v>4514</v>
      </c>
      <c r="B2819" t="s">
        <v>10176</v>
      </c>
      <c r="C2819" t="s">
        <v>5752</v>
      </c>
      <c r="D2819" t="s">
        <v>10617</v>
      </c>
      <c r="E2819">
        <v>16638.919999999998</v>
      </c>
      <c r="G2819" s="35"/>
      <c r="H2819" s="36">
        <f t="shared" si="131"/>
        <v>10482.5196</v>
      </c>
      <c r="I2819" s="37">
        <f t="shared" si="129"/>
        <v>10482.5196</v>
      </c>
      <c r="J2819" s="4"/>
      <c r="K2819" s="38">
        <f t="shared" si="130"/>
        <v>0</v>
      </c>
    </row>
    <row r="2820" spans="1:11">
      <c r="A2820" t="s">
        <v>4515</v>
      </c>
      <c r="B2820" t="s">
        <v>10176</v>
      </c>
      <c r="C2820" t="s">
        <v>5752</v>
      </c>
      <c r="D2820" t="s">
        <v>10616</v>
      </c>
      <c r="E2820">
        <v>17564.509999999998</v>
      </c>
      <c r="G2820" s="35"/>
      <c r="H2820" s="36">
        <f t="shared" si="131"/>
        <v>11065.641299999999</v>
      </c>
      <c r="I2820" s="37">
        <f t="shared" si="129"/>
        <v>11065.641299999999</v>
      </c>
      <c r="J2820" s="4"/>
      <c r="K2820" s="38">
        <f t="shared" si="130"/>
        <v>0</v>
      </c>
    </row>
    <row r="2821" spans="1:11">
      <c r="A2821" t="s">
        <v>4516</v>
      </c>
      <c r="B2821" t="s">
        <v>10176</v>
      </c>
      <c r="C2821" t="s">
        <v>5752</v>
      </c>
      <c r="D2821" t="s">
        <v>10617</v>
      </c>
      <c r="E2821">
        <v>16638.919999999998</v>
      </c>
      <c r="G2821" s="35"/>
      <c r="H2821" s="36">
        <f t="shared" si="131"/>
        <v>10482.5196</v>
      </c>
      <c r="I2821" s="37">
        <f t="shared" si="129"/>
        <v>10482.5196</v>
      </c>
      <c r="J2821" s="4"/>
      <c r="K2821" s="38">
        <f t="shared" si="130"/>
        <v>0</v>
      </c>
    </row>
    <row r="2822" spans="1:11">
      <c r="A2822" t="s">
        <v>4517</v>
      </c>
      <c r="B2822" t="s">
        <v>10176</v>
      </c>
      <c r="C2822" t="s">
        <v>5752</v>
      </c>
      <c r="D2822" t="s">
        <v>10616</v>
      </c>
      <c r="E2822">
        <v>16029.07</v>
      </c>
      <c r="G2822" s="35"/>
      <c r="H2822" s="36">
        <f t="shared" si="131"/>
        <v>10098.3141</v>
      </c>
      <c r="I2822" s="37">
        <f t="shared" ref="I2822:I2885" si="132">H2822*$H$4</f>
        <v>10098.3141</v>
      </c>
      <c r="J2822" s="4"/>
      <c r="K2822" s="38">
        <f t="shared" ref="K2822:K2885" si="133">J2822*I2822</f>
        <v>0</v>
      </c>
    </row>
    <row r="2823" spans="1:11">
      <c r="A2823" t="s">
        <v>4518</v>
      </c>
      <c r="B2823" t="s">
        <v>10176</v>
      </c>
      <c r="C2823" t="s">
        <v>5752</v>
      </c>
      <c r="D2823" t="s">
        <v>10617</v>
      </c>
      <c r="E2823">
        <v>15072.6</v>
      </c>
      <c r="G2823" s="35"/>
      <c r="H2823" s="36">
        <f t="shared" ref="H2823:H2886" si="134">+E2823*$H$1*(1-G2823)</f>
        <v>9495.7380000000012</v>
      </c>
      <c r="I2823" s="37">
        <f t="shared" si="132"/>
        <v>9495.7380000000012</v>
      </c>
      <c r="J2823" s="4"/>
      <c r="K2823" s="38">
        <f t="shared" si="133"/>
        <v>0</v>
      </c>
    </row>
    <row r="2824" spans="1:11">
      <c r="A2824" t="s">
        <v>4519</v>
      </c>
      <c r="B2824" t="s">
        <v>10176</v>
      </c>
      <c r="C2824" t="s">
        <v>5752</v>
      </c>
      <c r="D2824" t="s">
        <v>10616</v>
      </c>
      <c r="E2824">
        <v>16029.07</v>
      </c>
      <c r="G2824" s="35"/>
      <c r="H2824" s="36">
        <f t="shared" si="134"/>
        <v>10098.3141</v>
      </c>
      <c r="I2824" s="37">
        <f t="shared" si="132"/>
        <v>10098.3141</v>
      </c>
      <c r="J2824" s="4"/>
      <c r="K2824" s="38">
        <f t="shared" si="133"/>
        <v>0</v>
      </c>
    </row>
    <row r="2825" spans="1:11">
      <c r="A2825" t="s">
        <v>4520</v>
      </c>
      <c r="B2825" t="s">
        <v>10176</v>
      </c>
      <c r="C2825" t="s">
        <v>5752</v>
      </c>
      <c r="D2825" t="s">
        <v>10617</v>
      </c>
      <c r="E2825">
        <v>15072.6</v>
      </c>
      <c r="G2825" s="35"/>
      <c r="H2825" s="36">
        <f t="shared" si="134"/>
        <v>9495.7380000000012</v>
      </c>
      <c r="I2825" s="37">
        <f t="shared" si="132"/>
        <v>9495.7380000000012</v>
      </c>
      <c r="J2825" s="4"/>
      <c r="K2825" s="38">
        <f t="shared" si="133"/>
        <v>0</v>
      </c>
    </row>
    <row r="2826" spans="1:11">
      <c r="A2826" t="s">
        <v>4521</v>
      </c>
      <c r="B2826" t="s">
        <v>10176</v>
      </c>
      <c r="C2826" t="s">
        <v>5752</v>
      </c>
      <c r="D2826" t="s">
        <v>10616</v>
      </c>
      <c r="E2826">
        <v>16029.07</v>
      </c>
      <c r="G2826" s="35"/>
      <c r="H2826" s="36">
        <f t="shared" si="134"/>
        <v>10098.3141</v>
      </c>
      <c r="I2826" s="37">
        <f t="shared" si="132"/>
        <v>10098.3141</v>
      </c>
      <c r="J2826" s="4"/>
      <c r="K2826" s="38">
        <f t="shared" si="133"/>
        <v>0</v>
      </c>
    </row>
    <row r="2827" spans="1:11">
      <c r="A2827" t="s">
        <v>4522</v>
      </c>
      <c r="B2827" t="s">
        <v>10176</v>
      </c>
      <c r="C2827" t="s">
        <v>5752</v>
      </c>
      <c r="D2827" t="s">
        <v>10617</v>
      </c>
      <c r="E2827">
        <v>16638.919999999998</v>
      </c>
      <c r="G2827" s="35"/>
      <c r="H2827" s="36">
        <f t="shared" si="134"/>
        <v>10482.5196</v>
      </c>
      <c r="I2827" s="37">
        <f t="shared" si="132"/>
        <v>10482.5196</v>
      </c>
      <c r="J2827" s="4"/>
      <c r="K2827" s="38">
        <f t="shared" si="133"/>
        <v>0</v>
      </c>
    </row>
    <row r="2828" spans="1:11">
      <c r="A2828" t="s">
        <v>4523</v>
      </c>
      <c r="B2828" t="s">
        <v>10176</v>
      </c>
      <c r="C2828" t="s">
        <v>5752</v>
      </c>
      <c r="D2828" t="s">
        <v>10616</v>
      </c>
      <c r="E2828">
        <v>16029.07</v>
      </c>
      <c r="G2828" s="35"/>
      <c r="H2828" s="36">
        <f t="shared" si="134"/>
        <v>10098.3141</v>
      </c>
      <c r="I2828" s="37">
        <f t="shared" si="132"/>
        <v>10098.3141</v>
      </c>
      <c r="J2828" s="4"/>
      <c r="K2828" s="38">
        <f t="shared" si="133"/>
        <v>0</v>
      </c>
    </row>
    <row r="2829" spans="1:11">
      <c r="A2829" t="s">
        <v>4524</v>
      </c>
      <c r="B2829" t="s">
        <v>10176</v>
      </c>
      <c r="C2829" t="s">
        <v>5752</v>
      </c>
      <c r="D2829" t="s">
        <v>10617</v>
      </c>
      <c r="E2829">
        <v>16638.919999999998</v>
      </c>
      <c r="G2829" s="35"/>
      <c r="H2829" s="36">
        <f t="shared" si="134"/>
        <v>10482.5196</v>
      </c>
      <c r="I2829" s="37">
        <f t="shared" si="132"/>
        <v>10482.5196</v>
      </c>
      <c r="J2829" s="4"/>
      <c r="K2829" s="38">
        <f t="shared" si="133"/>
        <v>0</v>
      </c>
    </row>
    <row r="2830" spans="1:11">
      <c r="A2830" t="s">
        <v>4525</v>
      </c>
      <c r="B2830" t="s">
        <v>10176</v>
      </c>
      <c r="C2830" t="s">
        <v>5752</v>
      </c>
      <c r="D2830" t="s">
        <v>10616</v>
      </c>
      <c r="E2830">
        <v>16029.07</v>
      </c>
      <c r="G2830" s="35"/>
      <c r="H2830" s="36">
        <f t="shared" si="134"/>
        <v>10098.3141</v>
      </c>
      <c r="I2830" s="37">
        <f t="shared" si="132"/>
        <v>10098.3141</v>
      </c>
      <c r="J2830" s="4"/>
      <c r="K2830" s="38">
        <f t="shared" si="133"/>
        <v>0</v>
      </c>
    </row>
    <row r="2831" spans="1:11">
      <c r="A2831" t="s">
        <v>4526</v>
      </c>
      <c r="B2831" t="s">
        <v>10176</v>
      </c>
      <c r="C2831" t="s">
        <v>5752</v>
      </c>
      <c r="D2831" t="s">
        <v>10617</v>
      </c>
      <c r="E2831">
        <v>16638.919999999998</v>
      </c>
      <c r="G2831" s="35"/>
      <c r="H2831" s="36">
        <f t="shared" si="134"/>
        <v>10482.5196</v>
      </c>
      <c r="I2831" s="37">
        <f t="shared" si="132"/>
        <v>10482.5196</v>
      </c>
      <c r="J2831" s="4"/>
      <c r="K2831" s="38">
        <f t="shared" si="133"/>
        <v>0</v>
      </c>
    </row>
    <row r="2832" spans="1:11">
      <c r="A2832" t="s">
        <v>11378</v>
      </c>
      <c r="B2832" t="s">
        <v>10176</v>
      </c>
      <c r="C2832" t="s">
        <v>5752</v>
      </c>
      <c r="D2832" t="s">
        <v>11379</v>
      </c>
      <c r="E2832">
        <v>17564.509999999998</v>
      </c>
      <c r="G2832" s="35"/>
      <c r="H2832" s="36">
        <f t="shared" si="134"/>
        <v>11065.641299999999</v>
      </c>
      <c r="I2832" s="37">
        <f t="shared" si="132"/>
        <v>11065.641299999999</v>
      </c>
      <c r="J2832" s="4"/>
      <c r="K2832" s="38">
        <f t="shared" si="133"/>
        <v>0</v>
      </c>
    </row>
    <row r="2833" spans="1:11">
      <c r="A2833" t="s">
        <v>4889</v>
      </c>
      <c r="B2833" t="s">
        <v>10176</v>
      </c>
      <c r="C2833" t="s">
        <v>5752</v>
      </c>
      <c r="D2833" t="s">
        <v>10664</v>
      </c>
      <c r="E2833">
        <v>8062.59</v>
      </c>
      <c r="G2833" s="35"/>
      <c r="H2833" s="36">
        <f t="shared" si="134"/>
        <v>5079.4317000000001</v>
      </c>
      <c r="I2833" s="37">
        <f t="shared" si="132"/>
        <v>5079.4317000000001</v>
      </c>
      <c r="J2833" s="4"/>
      <c r="K2833" s="38">
        <f t="shared" si="133"/>
        <v>0</v>
      </c>
    </row>
    <row r="2834" spans="1:11">
      <c r="A2834" t="s">
        <v>4527</v>
      </c>
      <c r="B2834" t="s">
        <v>10176</v>
      </c>
      <c r="C2834" t="s">
        <v>5752</v>
      </c>
      <c r="D2834" t="s">
        <v>10337</v>
      </c>
      <c r="E2834">
        <v>12113.57</v>
      </c>
      <c r="G2834" s="35"/>
      <c r="H2834" s="36">
        <f t="shared" si="134"/>
        <v>7631.5491000000002</v>
      </c>
      <c r="I2834" s="37">
        <f t="shared" si="132"/>
        <v>7631.5491000000002</v>
      </c>
      <c r="J2834" s="4"/>
      <c r="K2834" s="38">
        <f t="shared" si="133"/>
        <v>0</v>
      </c>
    </row>
    <row r="2835" spans="1:11">
      <c r="A2835" t="s">
        <v>4890</v>
      </c>
      <c r="B2835" t="s">
        <v>10176</v>
      </c>
      <c r="C2835" t="s">
        <v>5752</v>
      </c>
      <c r="D2835" t="s">
        <v>10665</v>
      </c>
      <c r="E2835">
        <v>7785.45</v>
      </c>
      <c r="G2835" s="35"/>
      <c r="H2835" s="36">
        <f t="shared" si="134"/>
        <v>4904.8334999999997</v>
      </c>
      <c r="I2835" s="37">
        <f t="shared" si="132"/>
        <v>4904.8334999999997</v>
      </c>
      <c r="J2835" s="4"/>
      <c r="K2835" s="38">
        <f t="shared" si="133"/>
        <v>0</v>
      </c>
    </row>
    <row r="2836" spans="1:11">
      <c r="A2836" t="s">
        <v>4891</v>
      </c>
      <c r="B2836" t="s">
        <v>10176</v>
      </c>
      <c r="C2836" t="s">
        <v>5752</v>
      </c>
      <c r="D2836" t="s">
        <v>10666</v>
      </c>
      <c r="E2836">
        <v>10349.450000000001</v>
      </c>
      <c r="G2836" s="35"/>
      <c r="H2836" s="36">
        <f t="shared" si="134"/>
        <v>6520.1535000000003</v>
      </c>
      <c r="I2836" s="37">
        <f t="shared" si="132"/>
        <v>6520.1535000000003</v>
      </c>
      <c r="J2836" s="4"/>
      <c r="K2836" s="38">
        <f t="shared" si="133"/>
        <v>0</v>
      </c>
    </row>
    <row r="2837" spans="1:11">
      <c r="A2837" t="s">
        <v>4893</v>
      </c>
      <c r="B2837" t="s">
        <v>10176</v>
      </c>
      <c r="C2837" t="s">
        <v>5752</v>
      </c>
      <c r="D2837" t="s">
        <v>10667</v>
      </c>
      <c r="E2837">
        <v>56112.959999999999</v>
      </c>
      <c r="G2837" s="35"/>
      <c r="H2837" s="36">
        <f t="shared" si="134"/>
        <v>35351.164799999999</v>
      </c>
      <c r="I2837" s="37">
        <f t="shared" si="132"/>
        <v>35351.164799999999</v>
      </c>
      <c r="J2837" s="4"/>
      <c r="K2837" s="38">
        <f t="shared" si="133"/>
        <v>0</v>
      </c>
    </row>
    <row r="2838" spans="1:11">
      <c r="A2838" t="s">
        <v>4894</v>
      </c>
      <c r="B2838" t="s">
        <v>10176</v>
      </c>
      <c r="C2838" t="s">
        <v>5752</v>
      </c>
      <c r="D2838" t="s">
        <v>12879</v>
      </c>
      <c r="E2838">
        <v>9543.8700000000008</v>
      </c>
      <c r="G2838" s="35"/>
      <c r="H2838" s="36">
        <f t="shared" si="134"/>
        <v>6012.6381000000001</v>
      </c>
      <c r="I2838" s="37">
        <f t="shared" si="132"/>
        <v>6012.6381000000001</v>
      </c>
      <c r="J2838" s="4"/>
      <c r="K2838" s="38">
        <f t="shared" si="133"/>
        <v>0</v>
      </c>
    </row>
    <row r="2839" spans="1:11">
      <c r="A2839" t="s">
        <v>4895</v>
      </c>
      <c r="B2839" t="s">
        <v>10176</v>
      </c>
      <c r="C2839" t="s">
        <v>5919</v>
      </c>
      <c r="D2839" t="s">
        <v>10668</v>
      </c>
      <c r="E2839">
        <v>26995.14</v>
      </c>
      <c r="G2839" s="35"/>
      <c r="H2839" s="36">
        <f t="shared" si="134"/>
        <v>17006.938200000001</v>
      </c>
      <c r="I2839" s="37">
        <f t="shared" si="132"/>
        <v>17006.938200000001</v>
      </c>
      <c r="J2839" s="4"/>
      <c r="K2839" s="38">
        <f t="shared" si="133"/>
        <v>0</v>
      </c>
    </row>
    <row r="2840" spans="1:11">
      <c r="A2840" t="s">
        <v>4896</v>
      </c>
      <c r="B2840" t="s">
        <v>10176</v>
      </c>
      <c r="C2840" t="s">
        <v>5920</v>
      </c>
      <c r="D2840" t="s">
        <v>10669</v>
      </c>
      <c r="E2840">
        <v>11110.68</v>
      </c>
      <c r="G2840" s="35"/>
      <c r="H2840" s="36">
        <f t="shared" si="134"/>
        <v>6999.7284</v>
      </c>
      <c r="I2840" s="37">
        <f t="shared" si="132"/>
        <v>6999.7284</v>
      </c>
      <c r="J2840" s="4"/>
      <c r="K2840" s="38">
        <f t="shared" si="133"/>
        <v>0</v>
      </c>
    </row>
    <row r="2841" spans="1:11">
      <c r="A2841" t="s">
        <v>4897</v>
      </c>
      <c r="B2841" t="s">
        <v>10176</v>
      </c>
      <c r="C2841" t="s">
        <v>5920</v>
      </c>
      <c r="D2841" t="s">
        <v>10670</v>
      </c>
      <c r="E2841">
        <v>16799.310000000001</v>
      </c>
      <c r="G2841" s="35"/>
      <c r="H2841" s="36">
        <f t="shared" si="134"/>
        <v>10583.5653</v>
      </c>
      <c r="I2841" s="37">
        <f t="shared" si="132"/>
        <v>10583.5653</v>
      </c>
      <c r="J2841" s="4"/>
      <c r="K2841" s="38">
        <f t="shared" si="133"/>
        <v>0</v>
      </c>
    </row>
    <row r="2842" spans="1:11">
      <c r="A2842" t="s">
        <v>4898</v>
      </c>
      <c r="B2842" t="s">
        <v>10176</v>
      </c>
      <c r="C2842" t="s">
        <v>5920</v>
      </c>
      <c r="D2842" t="s">
        <v>10480</v>
      </c>
      <c r="E2842">
        <v>6224.98</v>
      </c>
      <c r="G2842" s="35"/>
      <c r="H2842" s="36">
        <f t="shared" si="134"/>
        <v>3921.7374</v>
      </c>
      <c r="I2842" s="37">
        <f t="shared" si="132"/>
        <v>3921.7374</v>
      </c>
      <c r="J2842" s="4"/>
      <c r="K2842" s="38">
        <f t="shared" si="133"/>
        <v>0</v>
      </c>
    </row>
    <row r="2843" spans="1:11">
      <c r="A2843" t="s">
        <v>4899</v>
      </c>
      <c r="B2843" t="s">
        <v>10176</v>
      </c>
      <c r="C2843" t="s">
        <v>5920</v>
      </c>
      <c r="D2843" t="s">
        <v>10671</v>
      </c>
      <c r="E2843">
        <v>3646.18</v>
      </c>
      <c r="G2843" s="35"/>
      <c r="H2843" s="36">
        <f t="shared" si="134"/>
        <v>2297.0933999999997</v>
      </c>
      <c r="I2843" s="37">
        <f t="shared" si="132"/>
        <v>2297.0933999999997</v>
      </c>
      <c r="J2843" s="4"/>
      <c r="K2843" s="38">
        <f t="shared" si="133"/>
        <v>0</v>
      </c>
    </row>
    <row r="2844" spans="1:11">
      <c r="A2844" t="s">
        <v>4900</v>
      </c>
      <c r="B2844" t="s">
        <v>10176</v>
      </c>
      <c r="C2844" t="s">
        <v>5920</v>
      </c>
      <c r="D2844" t="s">
        <v>10672</v>
      </c>
      <c r="E2844">
        <v>12154.86</v>
      </c>
      <c r="G2844" s="35"/>
      <c r="H2844" s="36">
        <f t="shared" si="134"/>
        <v>7657.5618000000004</v>
      </c>
      <c r="I2844" s="37">
        <f t="shared" si="132"/>
        <v>7657.5618000000004</v>
      </c>
      <c r="J2844" s="4"/>
      <c r="K2844" s="38">
        <f t="shared" si="133"/>
        <v>0</v>
      </c>
    </row>
    <row r="2845" spans="1:11">
      <c r="A2845" t="s">
        <v>4901</v>
      </c>
      <c r="B2845" t="s">
        <v>10176</v>
      </c>
      <c r="C2845" t="s">
        <v>5920</v>
      </c>
      <c r="D2845" t="s">
        <v>10673</v>
      </c>
      <c r="E2845">
        <v>9882.26</v>
      </c>
      <c r="G2845" s="35"/>
      <c r="H2845" s="36">
        <f t="shared" si="134"/>
        <v>6225.8238000000001</v>
      </c>
      <c r="I2845" s="37">
        <f t="shared" si="132"/>
        <v>6225.8238000000001</v>
      </c>
      <c r="J2845" s="4"/>
      <c r="K2845" s="38">
        <f t="shared" si="133"/>
        <v>0</v>
      </c>
    </row>
    <row r="2846" spans="1:11">
      <c r="A2846" t="s">
        <v>12904</v>
      </c>
      <c r="B2846" t="s">
        <v>10176</v>
      </c>
      <c r="C2846" t="s">
        <v>5920</v>
      </c>
      <c r="D2846" t="s">
        <v>12905</v>
      </c>
      <c r="E2846">
        <v>29926.97</v>
      </c>
      <c r="G2846" s="35"/>
      <c r="H2846" s="36">
        <f t="shared" si="134"/>
        <v>18853.991099999999</v>
      </c>
      <c r="I2846" s="37">
        <f t="shared" si="132"/>
        <v>18853.991099999999</v>
      </c>
      <c r="J2846" s="4"/>
      <c r="K2846" s="38">
        <f t="shared" si="133"/>
        <v>0</v>
      </c>
    </row>
    <row r="2847" spans="1:11">
      <c r="A2847" t="s">
        <v>4902</v>
      </c>
      <c r="B2847" t="s">
        <v>10176</v>
      </c>
      <c r="C2847" t="s">
        <v>5920</v>
      </c>
      <c r="D2847" t="s">
        <v>10674</v>
      </c>
      <c r="E2847">
        <v>24831.81</v>
      </c>
      <c r="G2847" s="35"/>
      <c r="H2847" s="36">
        <f t="shared" si="134"/>
        <v>15644.040300000001</v>
      </c>
      <c r="I2847" s="37">
        <f t="shared" si="132"/>
        <v>15644.040300000001</v>
      </c>
      <c r="J2847" s="4"/>
      <c r="K2847" s="38">
        <f t="shared" si="133"/>
        <v>0</v>
      </c>
    </row>
    <row r="2848" spans="1:11">
      <c r="A2848" t="s">
        <v>4903</v>
      </c>
      <c r="B2848" t="s">
        <v>10176</v>
      </c>
      <c r="C2848" t="s">
        <v>5920</v>
      </c>
      <c r="D2848" t="s">
        <v>10675</v>
      </c>
      <c r="E2848">
        <v>37605.370000000003</v>
      </c>
      <c r="G2848" s="35"/>
      <c r="H2848" s="36">
        <f t="shared" si="134"/>
        <v>23691.383100000003</v>
      </c>
      <c r="I2848" s="37">
        <f t="shared" si="132"/>
        <v>23691.383100000003</v>
      </c>
      <c r="J2848" s="4"/>
      <c r="K2848" s="38">
        <f t="shared" si="133"/>
        <v>0</v>
      </c>
    </row>
    <row r="2849" spans="1:11">
      <c r="A2849" t="s">
        <v>10129</v>
      </c>
      <c r="B2849" t="s">
        <v>10176</v>
      </c>
      <c r="C2849" t="s">
        <v>5920</v>
      </c>
      <c r="D2849" t="s">
        <v>10481</v>
      </c>
      <c r="E2849">
        <v>37194.67</v>
      </c>
      <c r="G2849" s="35"/>
      <c r="H2849" s="36">
        <f t="shared" si="134"/>
        <v>23432.642099999997</v>
      </c>
      <c r="I2849" s="37">
        <f t="shared" si="132"/>
        <v>23432.642099999997</v>
      </c>
      <c r="J2849" s="4"/>
      <c r="K2849" s="38">
        <f t="shared" si="133"/>
        <v>0</v>
      </c>
    </row>
    <row r="2850" spans="1:11">
      <c r="A2850" t="s">
        <v>4904</v>
      </c>
      <c r="B2850" t="s">
        <v>10176</v>
      </c>
      <c r="C2850" t="s">
        <v>5920</v>
      </c>
      <c r="D2850" t="s">
        <v>10676</v>
      </c>
      <c r="E2850">
        <v>29044.97</v>
      </c>
      <c r="G2850" s="35"/>
      <c r="H2850" s="36">
        <f t="shared" si="134"/>
        <v>18298.331099999999</v>
      </c>
      <c r="I2850" s="37">
        <f t="shared" si="132"/>
        <v>18298.331099999999</v>
      </c>
      <c r="J2850" s="4"/>
      <c r="K2850" s="38">
        <f t="shared" si="133"/>
        <v>0</v>
      </c>
    </row>
    <row r="2851" spans="1:11">
      <c r="A2851" t="s">
        <v>4319</v>
      </c>
      <c r="B2851" t="s">
        <v>10176</v>
      </c>
      <c r="C2851" t="s">
        <v>5706</v>
      </c>
      <c r="D2851" t="s">
        <v>10227</v>
      </c>
      <c r="E2851">
        <v>232032.06</v>
      </c>
      <c r="G2851" s="35"/>
      <c r="H2851" s="36">
        <f t="shared" si="134"/>
        <v>146180.19779999999</v>
      </c>
      <c r="I2851" s="37">
        <f t="shared" si="132"/>
        <v>146180.19779999999</v>
      </c>
      <c r="J2851" s="4"/>
      <c r="K2851" s="38">
        <f t="shared" si="133"/>
        <v>0</v>
      </c>
    </row>
    <row r="2852" spans="1:11">
      <c r="A2852" t="s">
        <v>4320</v>
      </c>
      <c r="B2852" t="s">
        <v>10176</v>
      </c>
      <c r="C2852" t="s">
        <v>5706</v>
      </c>
      <c r="D2852" t="s">
        <v>10228</v>
      </c>
      <c r="E2852">
        <v>52763.9</v>
      </c>
      <c r="G2852" s="35"/>
      <c r="H2852" s="36">
        <f t="shared" si="134"/>
        <v>33241.256999999998</v>
      </c>
      <c r="I2852" s="37">
        <f t="shared" si="132"/>
        <v>33241.256999999998</v>
      </c>
      <c r="J2852" s="4"/>
      <c r="K2852" s="38">
        <f t="shared" si="133"/>
        <v>0</v>
      </c>
    </row>
    <row r="2853" spans="1:11">
      <c r="A2853" t="s">
        <v>4321</v>
      </c>
      <c r="B2853" t="s">
        <v>10176</v>
      </c>
      <c r="C2853" t="s">
        <v>5706</v>
      </c>
      <c r="D2853" t="s">
        <v>10229</v>
      </c>
      <c r="E2853">
        <v>19872.22</v>
      </c>
      <c r="G2853" s="35"/>
      <c r="H2853" s="36">
        <f t="shared" si="134"/>
        <v>12519.498600000001</v>
      </c>
      <c r="I2853" s="37">
        <f t="shared" si="132"/>
        <v>12519.498600000001</v>
      </c>
      <c r="J2853" s="4"/>
      <c r="K2853" s="38">
        <f t="shared" si="133"/>
        <v>0</v>
      </c>
    </row>
    <row r="2854" spans="1:11">
      <c r="A2854" t="s">
        <v>13058</v>
      </c>
      <c r="B2854" t="s">
        <v>10176</v>
      </c>
      <c r="C2854" t="s">
        <v>5706</v>
      </c>
      <c r="D2854" t="s">
        <v>13059</v>
      </c>
      <c r="E2854">
        <v>107672.86</v>
      </c>
      <c r="G2854" s="35"/>
      <c r="H2854" s="36">
        <f t="shared" si="134"/>
        <v>67833.901800000007</v>
      </c>
      <c r="I2854" s="37">
        <f t="shared" si="132"/>
        <v>67833.901800000007</v>
      </c>
      <c r="J2854" s="4"/>
      <c r="K2854" s="38">
        <f t="shared" si="133"/>
        <v>0</v>
      </c>
    </row>
    <row r="2855" spans="1:11">
      <c r="A2855" t="s">
        <v>4322</v>
      </c>
      <c r="B2855" t="s">
        <v>10176</v>
      </c>
      <c r="C2855" t="s">
        <v>5706</v>
      </c>
      <c r="D2855" t="s">
        <v>11344</v>
      </c>
      <c r="E2855">
        <v>201002.32</v>
      </c>
      <c r="G2855" s="35"/>
      <c r="H2855" s="36">
        <f t="shared" si="134"/>
        <v>126631.46160000001</v>
      </c>
      <c r="I2855" s="37">
        <f t="shared" si="132"/>
        <v>126631.46160000001</v>
      </c>
      <c r="J2855" s="4"/>
      <c r="K2855" s="38">
        <f t="shared" si="133"/>
        <v>0</v>
      </c>
    </row>
    <row r="2856" spans="1:11">
      <c r="A2856" t="s">
        <v>4323</v>
      </c>
      <c r="B2856" t="s">
        <v>10176</v>
      </c>
      <c r="C2856" t="s">
        <v>5706</v>
      </c>
      <c r="D2856" t="s">
        <v>10230</v>
      </c>
      <c r="E2856">
        <v>349842.19</v>
      </c>
      <c r="G2856" s="35"/>
      <c r="H2856" s="36">
        <f t="shared" si="134"/>
        <v>220400.5797</v>
      </c>
      <c r="I2856" s="37">
        <f t="shared" si="132"/>
        <v>220400.5797</v>
      </c>
      <c r="J2856" s="4"/>
      <c r="K2856" s="38">
        <f t="shared" si="133"/>
        <v>0</v>
      </c>
    </row>
    <row r="2857" spans="1:11">
      <c r="A2857" t="s">
        <v>4324</v>
      </c>
      <c r="B2857" t="s">
        <v>10176</v>
      </c>
      <c r="C2857" t="s">
        <v>5706</v>
      </c>
      <c r="D2857" t="s">
        <v>10231</v>
      </c>
      <c r="E2857">
        <v>90172.4</v>
      </c>
      <c r="G2857" s="35"/>
      <c r="H2857" s="36">
        <f t="shared" si="134"/>
        <v>56808.611999999994</v>
      </c>
      <c r="I2857" s="37">
        <f t="shared" si="132"/>
        <v>56808.611999999994</v>
      </c>
      <c r="J2857" s="4"/>
      <c r="K2857" s="38">
        <f t="shared" si="133"/>
        <v>0</v>
      </c>
    </row>
    <row r="2858" spans="1:11">
      <c r="A2858" t="s">
        <v>12679</v>
      </c>
      <c r="B2858" t="s">
        <v>10176</v>
      </c>
      <c r="C2858" t="s">
        <v>12680</v>
      </c>
      <c r="D2858" t="s">
        <v>12681</v>
      </c>
      <c r="E2858">
        <v>1326.48</v>
      </c>
      <c r="G2858" s="35"/>
      <c r="H2858" s="36">
        <f t="shared" si="134"/>
        <v>835.68240000000003</v>
      </c>
      <c r="I2858" s="37">
        <f t="shared" si="132"/>
        <v>835.68240000000003</v>
      </c>
      <c r="J2858" s="4"/>
      <c r="K2858" s="38">
        <f t="shared" si="133"/>
        <v>0</v>
      </c>
    </row>
    <row r="2859" spans="1:11">
      <c r="A2859" t="s">
        <v>12682</v>
      </c>
      <c r="B2859" t="s">
        <v>10176</v>
      </c>
      <c r="C2859" t="s">
        <v>12680</v>
      </c>
      <c r="D2859" t="s">
        <v>12683</v>
      </c>
      <c r="E2859">
        <v>1673.03</v>
      </c>
      <c r="G2859" s="35"/>
      <c r="H2859" s="36">
        <f t="shared" si="134"/>
        <v>1054.0089</v>
      </c>
      <c r="I2859" s="37">
        <f t="shared" si="132"/>
        <v>1054.0089</v>
      </c>
      <c r="J2859" s="4"/>
      <c r="K2859" s="38">
        <f t="shared" si="133"/>
        <v>0</v>
      </c>
    </row>
    <row r="2860" spans="1:11">
      <c r="A2860" t="s">
        <v>12684</v>
      </c>
      <c r="B2860" t="s">
        <v>10176</v>
      </c>
      <c r="C2860" t="s">
        <v>12680</v>
      </c>
      <c r="D2860" t="s">
        <v>12685</v>
      </c>
      <c r="E2860">
        <v>1558.88</v>
      </c>
      <c r="G2860" s="35"/>
      <c r="H2860" s="36">
        <f t="shared" si="134"/>
        <v>982.09440000000006</v>
      </c>
      <c r="I2860" s="37">
        <f t="shared" si="132"/>
        <v>982.09440000000006</v>
      </c>
      <c r="J2860" s="4"/>
      <c r="K2860" s="38">
        <f t="shared" si="133"/>
        <v>0</v>
      </c>
    </row>
    <row r="2861" spans="1:11">
      <c r="A2861" t="s">
        <v>12686</v>
      </c>
      <c r="B2861" t="s">
        <v>10176</v>
      </c>
      <c r="C2861" t="s">
        <v>12680</v>
      </c>
      <c r="D2861" t="s">
        <v>12687</v>
      </c>
      <c r="E2861">
        <v>2025.27</v>
      </c>
      <c r="G2861" s="35"/>
      <c r="H2861" s="36">
        <f t="shared" si="134"/>
        <v>1275.9201</v>
      </c>
      <c r="I2861" s="37">
        <f t="shared" si="132"/>
        <v>1275.9201</v>
      </c>
      <c r="J2861" s="4"/>
      <c r="K2861" s="38">
        <f t="shared" si="133"/>
        <v>0</v>
      </c>
    </row>
    <row r="2862" spans="1:11">
      <c r="A2862" t="s">
        <v>12688</v>
      </c>
      <c r="B2862" t="s">
        <v>10176</v>
      </c>
      <c r="C2862" t="s">
        <v>12680</v>
      </c>
      <c r="D2862" t="s">
        <v>12689</v>
      </c>
      <c r="E2862">
        <v>3579.67</v>
      </c>
      <c r="G2862" s="35"/>
      <c r="H2862" s="36">
        <f t="shared" si="134"/>
        <v>2255.1921000000002</v>
      </c>
      <c r="I2862" s="37">
        <f t="shared" si="132"/>
        <v>2255.1921000000002</v>
      </c>
      <c r="J2862" s="4"/>
      <c r="K2862" s="38">
        <f t="shared" si="133"/>
        <v>0</v>
      </c>
    </row>
    <row r="2863" spans="1:11">
      <c r="A2863" t="s">
        <v>4905</v>
      </c>
      <c r="B2863" t="s">
        <v>10176</v>
      </c>
      <c r="C2863" t="s">
        <v>5921</v>
      </c>
      <c r="D2863" t="s">
        <v>10677</v>
      </c>
      <c r="E2863">
        <v>10543.72</v>
      </c>
      <c r="G2863" s="35"/>
      <c r="H2863" s="36">
        <f t="shared" si="134"/>
        <v>6642.5436</v>
      </c>
      <c r="I2863" s="37">
        <f t="shared" si="132"/>
        <v>6642.5436</v>
      </c>
      <c r="J2863" s="4"/>
      <c r="K2863" s="38">
        <f t="shared" si="133"/>
        <v>0</v>
      </c>
    </row>
    <row r="2864" spans="1:11">
      <c r="A2864" t="s">
        <v>4906</v>
      </c>
      <c r="B2864" t="s">
        <v>10176</v>
      </c>
      <c r="C2864" t="s">
        <v>5921</v>
      </c>
      <c r="D2864" t="s">
        <v>11414</v>
      </c>
      <c r="E2864">
        <v>11234.21</v>
      </c>
      <c r="G2864" s="35"/>
      <c r="H2864" s="36">
        <f t="shared" si="134"/>
        <v>7077.5522999999994</v>
      </c>
      <c r="I2864" s="37">
        <f t="shared" si="132"/>
        <v>7077.5522999999994</v>
      </c>
      <c r="J2864" s="4"/>
      <c r="K2864" s="38">
        <f t="shared" si="133"/>
        <v>0</v>
      </c>
    </row>
    <row r="2865" spans="1:11">
      <c r="A2865" t="s">
        <v>4907</v>
      </c>
      <c r="B2865" t="s">
        <v>10176</v>
      </c>
      <c r="C2865" t="s">
        <v>5921</v>
      </c>
      <c r="D2865" t="s">
        <v>11415</v>
      </c>
      <c r="E2865">
        <v>15489.07</v>
      </c>
      <c r="G2865" s="35"/>
      <c r="H2865" s="36">
        <f t="shared" si="134"/>
        <v>9758.1141000000007</v>
      </c>
      <c r="I2865" s="37">
        <f t="shared" si="132"/>
        <v>9758.1141000000007</v>
      </c>
      <c r="J2865" s="4"/>
      <c r="K2865" s="38">
        <f t="shared" si="133"/>
        <v>0</v>
      </c>
    </row>
    <row r="2866" spans="1:11">
      <c r="A2866" t="s">
        <v>4908</v>
      </c>
      <c r="B2866" t="s">
        <v>10176</v>
      </c>
      <c r="C2866" t="s">
        <v>5921</v>
      </c>
      <c r="D2866" t="s">
        <v>11416</v>
      </c>
      <c r="E2866">
        <v>9882.26</v>
      </c>
      <c r="G2866" s="35"/>
      <c r="H2866" s="36">
        <f t="shared" si="134"/>
        <v>6225.8238000000001</v>
      </c>
      <c r="I2866" s="37">
        <f t="shared" si="132"/>
        <v>6225.8238000000001</v>
      </c>
      <c r="J2866" s="4"/>
      <c r="K2866" s="38">
        <f t="shared" si="133"/>
        <v>0</v>
      </c>
    </row>
    <row r="2867" spans="1:11">
      <c r="A2867" t="s">
        <v>4909</v>
      </c>
      <c r="B2867" t="s">
        <v>10176</v>
      </c>
      <c r="C2867" t="s">
        <v>5921</v>
      </c>
      <c r="D2867" t="s">
        <v>11417</v>
      </c>
      <c r="E2867">
        <v>13560.13</v>
      </c>
      <c r="G2867" s="35"/>
      <c r="H2867" s="36">
        <f t="shared" si="134"/>
        <v>8542.8819000000003</v>
      </c>
      <c r="I2867" s="37">
        <f t="shared" si="132"/>
        <v>8542.8819000000003</v>
      </c>
      <c r="J2867" s="4"/>
      <c r="K2867" s="38">
        <f t="shared" si="133"/>
        <v>0</v>
      </c>
    </row>
    <row r="2868" spans="1:11">
      <c r="A2868" t="s">
        <v>4910</v>
      </c>
      <c r="B2868" t="s">
        <v>10176</v>
      </c>
      <c r="C2868" t="s">
        <v>5921</v>
      </c>
      <c r="D2868" t="s">
        <v>11418</v>
      </c>
      <c r="E2868">
        <v>10590.71</v>
      </c>
      <c r="G2868" s="35"/>
      <c r="H2868" s="36">
        <f t="shared" si="134"/>
        <v>6672.1472999999996</v>
      </c>
      <c r="I2868" s="37">
        <f t="shared" si="132"/>
        <v>6672.1472999999996</v>
      </c>
      <c r="J2868" s="4"/>
      <c r="K2868" s="38">
        <f t="shared" si="133"/>
        <v>0</v>
      </c>
    </row>
    <row r="2869" spans="1:11">
      <c r="A2869" t="s">
        <v>4911</v>
      </c>
      <c r="B2869" t="s">
        <v>10176</v>
      </c>
      <c r="C2869" t="s">
        <v>5921</v>
      </c>
      <c r="D2869" t="s">
        <v>11419</v>
      </c>
      <c r="E2869">
        <v>12201.31</v>
      </c>
      <c r="G2869" s="35"/>
      <c r="H2869" s="36">
        <f t="shared" si="134"/>
        <v>7686.8252999999995</v>
      </c>
      <c r="I2869" s="37">
        <f t="shared" si="132"/>
        <v>7686.8252999999995</v>
      </c>
      <c r="J2869" s="4"/>
      <c r="K2869" s="38">
        <f t="shared" si="133"/>
        <v>0</v>
      </c>
    </row>
    <row r="2870" spans="1:11">
      <c r="A2870" t="s">
        <v>11940</v>
      </c>
      <c r="B2870" t="s">
        <v>10176</v>
      </c>
      <c r="C2870" t="s">
        <v>5921</v>
      </c>
      <c r="D2870" t="s">
        <v>11941</v>
      </c>
      <c r="E2870">
        <v>14038.41</v>
      </c>
      <c r="G2870" s="35"/>
      <c r="H2870" s="36">
        <f t="shared" si="134"/>
        <v>8844.1983</v>
      </c>
      <c r="I2870" s="37">
        <f t="shared" si="132"/>
        <v>8844.1983</v>
      </c>
      <c r="J2870" s="4"/>
      <c r="K2870" s="38">
        <f t="shared" si="133"/>
        <v>0</v>
      </c>
    </row>
    <row r="2871" spans="1:11">
      <c r="A2871" t="s">
        <v>4912</v>
      </c>
      <c r="B2871" t="s">
        <v>10176</v>
      </c>
      <c r="C2871" t="s">
        <v>5921</v>
      </c>
      <c r="D2871" t="s">
        <v>10678</v>
      </c>
      <c r="E2871">
        <v>4601.68</v>
      </c>
      <c r="G2871" s="35"/>
      <c r="H2871" s="36">
        <f t="shared" si="134"/>
        <v>2899.0584000000003</v>
      </c>
      <c r="I2871" s="37">
        <f t="shared" si="132"/>
        <v>2899.0584000000003</v>
      </c>
      <c r="J2871" s="4"/>
      <c r="K2871" s="38">
        <f t="shared" si="133"/>
        <v>0</v>
      </c>
    </row>
    <row r="2872" spans="1:11">
      <c r="A2872" t="s">
        <v>4913</v>
      </c>
      <c r="B2872" t="s">
        <v>10176</v>
      </c>
      <c r="C2872" t="s">
        <v>5921</v>
      </c>
      <c r="D2872" t="s">
        <v>10679</v>
      </c>
      <c r="E2872">
        <v>7141.94</v>
      </c>
      <c r="G2872" s="35"/>
      <c r="H2872" s="36">
        <f t="shared" si="134"/>
        <v>4499.4222</v>
      </c>
      <c r="I2872" s="37">
        <f t="shared" si="132"/>
        <v>4499.4222</v>
      </c>
      <c r="J2872" s="4"/>
      <c r="K2872" s="38">
        <f t="shared" si="133"/>
        <v>0</v>
      </c>
    </row>
    <row r="2873" spans="1:11">
      <c r="A2873" t="s">
        <v>4914</v>
      </c>
      <c r="B2873" t="s">
        <v>10176</v>
      </c>
      <c r="C2873" t="s">
        <v>5921</v>
      </c>
      <c r="D2873" t="s">
        <v>10680</v>
      </c>
      <c r="E2873">
        <v>23837.78</v>
      </c>
      <c r="G2873" s="35"/>
      <c r="H2873" s="36">
        <f t="shared" si="134"/>
        <v>15017.801399999998</v>
      </c>
      <c r="I2873" s="37">
        <f t="shared" si="132"/>
        <v>15017.801399999998</v>
      </c>
      <c r="J2873" s="4"/>
      <c r="K2873" s="38">
        <f t="shared" si="133"/>
        <v>0</v>
      </c>
    </row>
    <row r="2874" spans="1:11">
      <c r="A2874" t="s">
        <v>4915</v>
      </c>
      <c r="B2874" t="s">
        <v>10176</v>
      </c>
      <c r="C2874" t="s">
        <v>5921</v>
      </c>
      <c r="D2874" t="s">
        <v>10482</v>
      </c>
      <c r="E2874">
        <v>2408.8000000000002</v>
      </c>
      <c r="G2874" s="35"/>
      <c r="H2874" s="36">
        <f t="shared" si="134"/>
        <v>1517.5440000000001</v>
      </c>
      <c r="I2874" s="37">
        <f t="shared" si="132"/>
        <v>1517.5440000000001</v>
      </c>
      <c r="J2874" s="4"/>
      <c r="K2874" s="38">
        <f t="shared" si="133"/>
        <v>0</v>
      </c>
    </row>
    <row r="2875" spans="1:11">
      <c r="A2875" t="s">
        <v>4916</v>
      </c>
      <c r="B2875" t="s">
        <v>10176</v>
      </c>
      <c r="C2875" t="s">
        <v>5921</v>
      </c>
      <c r="D2875" t="s">
        <v>10681</v>
      </c>
      <c r="E2875">
        <v>1808.56</v>
      </c>
      <c r="G2875" s="35"/>
      <c r="H2875" s="36">
        <f t="shared" si="134"/>
        <v>1139.3928000000001</v>
      </c>
      <c r="I2875" s="37">
        <f t="shared" si="132"/>
        <v>1139.3928000000001</v>
      </c>
      <c r="J2875" s="4"/>
      <c r="K2875" s="38">
        <f t="shared" si="133"/>
        <v>0</v>
      </c>
    </row>
    <row r="2876" spans="1:11">
      <c r="A2876" t="s">
        <v>4917</v>
      </c>
      <c r="B2876" t="s">
        <v>10176</v>
      </c>
      <c r="C2876" t="s">
        <v>5921</v>
      </c>
      <c r="D2876" t="s">
        <v>10682</v>
      </c>
      <c r="E2876">
        <v>9752.92</v>
      </c>
      <c r="G2876" s="35"/>
      <c r="H2876" s="36">
        <f t="shared" si="134"/>
        <v>6144.3396000000002</v>
      </c>
      <c r="I2876" s="37">
        <f t="shared" si="132"/>
        <v>6144.3396000000002</v>
      </c>
      <c r="J2876" s="4"/>
      <c r="K2876" s="38">
        <f t="shared" si="133"/>
        <v>0</v>
      </c>
    </row>
    <row r="2877" spans="1:11">
      <c r="A2877" t="s">
        <v>4918</v>
      </c>
      <c r="B2877" t="s">
        <v>10176</v>
      </c>
      <c r="C2877" t="s">
        <v>5921</v>
      </c>
      <c r="D2877" t="s">
        <v>10683</v>
      </c>
      <c r="E2877">
        <v>3220.17</v>
      </c>
      <c r="G2877" s="35"/>
      <c r="H2877" s="36">
        <f t="shared" si="134"/>
        <v>2028.7071000000001</v>
      </c>
      <c r="I2877" s="37">
        <f t="shared" si="132"/>
        <v>2028.7071000000001</v>
      </c>
      <c r="J2877" s="4"/>
      <c r="K2877" s="38">
        <f t="shared" si="133"/>
        <v>0</v>
      </c>
    </row>
    <row r="2878" spans="1:11">
      <c r="A2878" t="s">
        <v>4919</v>
      </c>
      <c r="B2878" t="s">
        <v>10176</v>
      </c>
      <c r="C2878" t="s">
        <v>5921</v>
      </c>
      <c r="D2878" t="s">
        <v>10684</v>
      </c>
      <c r="E2878">
        <v>7141.94</v>
      </c>
      <c r="G2878" s="35"/>
      <c r="H2878" s="36">
        <f t="shared" si="134"/>
        <v>4499.4222</v>
      </c>
      <c r="I2878" s="37">
        <f t="shared" si="132"/>
        <v>4499.4222</v>
      </c>
      <c r="J2878" s="4"/>
      <c r="K2878" s="38">
        <f t="shared" si="133"/>
        <v>0</v>
      </c>
    </row>
    <row r="2879" spans="1:11">
      <c r="A2879" t="s">
        <v>4920</v>
      </c>
      <c r="B2879" t="s">
        <v>10176</v>
      </c>
      <c r="C2879" t="s">
        <v>5921</v>
      </c>
      <c r="D2879" t="s">
        <v>10685</v>
      </c>
      <c r="E2879">
        <v>1538.33</v>
      </c>
      <c r="G2879" s="35"/>
      <c r="H2879" s="36">
        <f t="shared" si="134"/>
        <v>969.14789999999994</v>
      </c>
      <c r="I2879" s="37">
        <f t="shared" si="132"/>
        <v>969.14789999999994</v>
      </c>
      <c r="J2879" s="4"/>
      <c r="K2879" s="38">
        <f t="shared" si="133"/>
        <v>0</v>
      </c>
    </row>
    <row r="2880" spans="1:11">
      <c r="A2880" t="s">
        <v>4921</v>
      </c>
      <c r="B2880" t="s">
        <v>10176</v>
      </c>
      <c r="C2880" t="s">
        <v>5921</v>
      </c>
      <c r="D2880" t="s">
        <v>10686</v>
      </c>
      <c r="E2880">
        <v>1538.33</v>
      </c>
      <c r="G2880" s="35"/>
      <c r="H2880" s="36">
        <f t="shared" si="134"/>
        <v>969.14789999999994</v>
      </c>
      <c r="I2880" s="37">
        <f t="shared" si="132"/>
        <v>969.14789999999994</v>
      </c>
      <c r="J2880" s="4"/>
      <c r="K2880" s="38">
        <f t="shared" si="133"/>
        <v>0</v>
      </c>
    </row>
    <row r="2881" spans="1:11">
      <c r="A2881" t="s">
        <v>4922</v>
      </c>
      <c r="B2881" t="s">
        <v>10176</v>
      </c>
      <c r="C2881" t="s">
        <v>5921</v>
      </c>
      <c r="D2881" t="s">
        <v>10687</v>
      </c>
      <c r="E2881">
        <v>2199.75</v>
      </c>
      <c r="G2881" s="35"/>
      <c r="H2881" s="36">
        <f t="shared" si="134"/>
        <v>1385.8425</v>
      </c>
      <c r="I2881" s="37">
        <f t="shared" si="132"/>
        <v>1385.8425</v>
      </c>
      <c r="J2881" s="4"/>
      <c r="K2881" s="38">
        <f t="shared" si="133"/>
        <v>0</v>
      </c>
    </row>
    <row r="2882" spans="1:11">
      <c r="A2882" t="s">
        <v>4923</v>
      </c>
      <c r="B2882" t="s">
        <v>10176</v>
      </c>
      <c r="C2882" t="s">
        <v>5921</v>
      </c>
      <c r="D2882" t="s">
        <v>10688</v>
      </c>
      <c r="E2882">
        <v>12248.29</v>
      </c>
      <c r="G2882" s="35"/>
      <c r="H2882" s="36">
        <f t="shared" si="134"/>
        <v>7716.422700000001</v>
      </c>
      <c r="I2882" s="37">
        <f t="shared" si="132"/>
        <v>7716.422700000001</v>
      </c>
      <c r="J2882" s="4"/>
      <c r="K2882" s="38">
        <f t="shared" si="133"/>
        <v>0</v>
      </c>
    </row>
    <row r="2883" spans="1:11">
      <c r="A2883" t="s">
        <v>4924</v>
      </c>
      <c r="B2883" t="s">
        <v>10176</v>
      </c>
      <c r="C2883" t="s">
        <v>5921</v>
      </c>
      <c r="D2883" t="s">
        <v>10688</v>
      </c>
      <c r="E2883">
        <v>20112.93</v>
      </c>
      <c r="G2883" s="35"/>
      <c r="H2883" s="36">
        <f t="shared" si="134"/>
        <v>12671.1459</v>
      </c>
      <c r="I2883" s="37">
        <f t="shared" si="132"/>
        <v>12671.1459</v>
      </c>
      <c r="J2883" s="4"/>
      <c r="K2883" s="38">
        <f t="shared" si="133"/>
        <v>0</v>
      </c>
    </row>
    <row r="2884" spans="1:11">
      <c r="A2884" t="s">
        <v>4925</v>
      </c>
      <c r="B2884" t="s">
        <v>10176</v>
      </c>
      <c r="C2884" t="s">
        <v>5921</v>
      </c>
      <c r="D2884" t="s">
        <v>10689</v>
      </c>
      <c r="E2884">
        <v>10231.719999999999</v>
      </c>
      <c r="G2884" s="35"/>
      <c r="H2884" s="36">
        <f t="shared" si="134"/>
        <v>6445.9835999999996</v>
      </c>
      <c r="I2884" s="37">
        <f t="shared" si="132"/>
        <v>6445.9835999999996</v>
      </c>
      <c r="J2884" s="4"/>
      <c r="K2884" s="38">
        <f t="shared" si="133"/>
        <v>0</v>
      </c>
    </row>
    <row r="2885" spans="1:11">
      <c r="A2885" t="s">
        <v>4926</v>
      </c>
      <c r="B2885" t="s">
        <v>10176</v>
      </c>
      <c r="C2885" t="s">
        <v>5921</v>
      </c>
      <c r="D2885" t="s">
        <v>10690</v>
      </c>
      <c r="E2885">
        <v>10948.61</v>
      </c>
      <c r="G2885" s="35"/>
      <c r="H2885" s="36">
        <f t="shared" si="134"/>
        <v>6897.6243000000004</v>
      </c>
      <c r="I2885" s="37">
        <f t="shared" si="132"/>
        <v>6897.6243000000004</v>
      </c>
      <c r="J2885" s="4"/>
      <c r="K2885" s="38">
        <f t="shared" si="133"/>
        <v>0</v>
      </c>
    </row>
    <row r="2886" spans="1:11">
      <c r="A2886" t="s">
        <v>4927</v>
      </c>
      <c r="B2886" t="s">
        <v>10176</v>
      </c>
      <c r="C2886" t="s">
        <v>5921</v>
      </c>
      <c r="D2886" t="s">
        <v>10691</v>
      </c>
      <c r="E2886">
        <v>6662.08</v>
      </c>
      <c r="G2886" s="35"/>
      <c r="H2886" s="36">
        <f t="shared" si="134"/>
        <v>4197.1103999999996</v>
      </c>
      <c r="I2886" s="37">
        <f t="shared" ref="I2886:I2949" si="135">H2886*$H$4</f>
        <v>4197.1103999999996</v>
      </c>
      <c r="J2886" s="4"/>
      <c r="K2886" s="38">
        <f t="shared" ref="K2886:K2949" si="136">J2886*I2886</f>
        <v>0</v>
      </c>
    </row>
    <row r="2887" spans="1:11">
      <c r="A2887" t="s">
        <v>4928</v>
      </c>
      <c r="B2887" t="s">
        <v>10176</v>
      </c>
      <c r="C2887" t="s">
        <v>5921</v>
      </c>
      <c r="D2887" t="s">
        <v>10692</v>
      </c>
      <c r="E2887">
        <v>8549.84</v>
      </c>
      <c r="G2887" s="35"/>
      <c r="H2887" s="36">
        <f t="shared" ref="H2887:H2950" si="137">+E2887*$H$1*(1-G2887)</f>
        <v>5386.3991999999998</v>
      </c>
      <c r="I2887" s="37">
        <f t="shared" si="135"/>
        <v>5386.3991999999998</v>
      </c>
      <c r="J2887" s="4"/>
      <c r="K2887" s="38">
        <f t="shared" si="136"/>
        <v>0</v>
      </c>
    </row>
    <row r="2888" spans="1:11">
      <c r="A2888" t="s">
        <v>4929</v>
      </c>
      <c r="B2888" t="s">
        <v>10176</v>
      </c>
      <c r="C2888" t="s">
        <v>5921</v>
      </c>
      <c r="D2888" t="s">
        <v>10693</v>
      </c>
      <c r="E2888">
        <v>4369.95</v>
      </c>
      <c r="G2888" s="35"/>
      <c r="H2888" s="36">
        <f t="shared" si="137"/>
        <v>2753.0684999999999</v>
      </c>
      <c r="I2888" s="37">
        <f t="shared" si="135"/>
        <v>2753.0684999999999</v>
      </c>
      <c r="J2888" s="4"/>
      <c r="K2888" s="38">
        <f t="shared" si="136"/>
        <v>0</v>
      </c>
    </row>
    <row r="2889" spans="1:11">
      <c r="A2889" t="s">
        <v>11420</v>
      </c>
      <c r="B2889" t="s">
        <v>10176</v>
      </c>
      <c r="C2889" t="s">
        <v>5921</v>
      </c>
      <c r="D2889" t="s">
        <v>11421</v>
      </c>
      <c r="E2889">
        <v>7441.78</v>
      </c>
      <c r="G2889" s="35"/>
      <c r="H2889" s="36">
        <f t="shared" si="137"/>
        <v>4688.3213999999998</v>
      </c>
      <c r="I2889" s="37">
        <f t="shared" si="135"/>
        <v>4688.3213999999998</v>
      </c>
      <c r="J2889" s="4"/>
      <c r="K2889" s="38">
        <f t="shared" si="136"/>
        <v>0</v>
      </c>
    </row>
    <row r="2890" spans="1:11">
      <c r="A2890" t="s">
        <v>4930</v>
      </c>
      <c r="B2890" t="s">
        <v>10176</v>
      </c>
      <c r="C2890" t="s">
        <v>5921</v>
      </c>
      <c r="D2890" t="s">
        <v>10694</v>
      </c>
      <c r="E2890">
        <v>30973.39</v>
      </c>
      <c r="G2890" s="35"/>
      <c r="H2890" s="36">
        <f t="shared" si="137"/>
        <v>19513.235700000001</v>
      </c>
      <c r="I2890" s="37">
        <f t="shared" si="135"/>
        <v>19513.235700000001</v>
      </c>
      <c r="J2890" s="4"/>
      <c r="K2890" s="38">
        <f t="shared" si="136"/>
        <v>0</v>
      </c>
    </row>
    <row r="2891" spans="1:11">
      <c r="A2891" t="s">
        <v>4931</v>
      </c>
      <c r="B2891" t="s">
        <v>10176</v>
      </c>
      <c r="C2891" t="s">
        <v>5921</v>
      </c>
      <c r="D2891" t="s">
        <v>10695</v>
      </c>
      <c r="E2891">
        <v>3579.13</v>
      </c>
      <c r="G2891" s="35"/>
      <c r="H2891" s="36">
        <f t="shared" si="137"/>
        <v>2254.8519000000001</v>
      </c>
      <c r="I2891" s="37">
        <f t="shared" si="135"/>
        <v>2254.8519000000001</v>
      </c>
      <c r="J2891" s="4"/>
      <c r="K2891" s="38">
        <f t="shared" si="136"/>
        <v>0</v>
      </c>
    </row>
    <row r="2892" spans="1:11">
      <c r="A2892" t="s">
        <v>4932</v>
      </c>
      <c r="B2892" t="s">
        <v>10176</v>
      </c>
      <c r="C2892" t="s">
        <v>5921</v>
      </c>
      <c r="D2892" t="s">
        <v>10696</v>
      </c>
      <c r="E2892">
        <v>7141.94</v>
      </c>
      <c r="G2892" s="35"/>
      <c r="H2892" s="36">
        <f t="shared" si="137"/>
        <v>4499.4222</v>
      </c>
      <c r="I2892" s="37">
        <f t="shared" si="135"/>
        <v>4499.4222</v>
      </c>
      <c r="J2892" s="4"/>
      <c r="K2892" s="38">
        <f t="shared" si="136"/>
        <v>0</v>
      </c>
    </row>
    <row r="2893" spans="1:11">
      <c r="A2893" t="s">
        <v>4933</v>
      </c>
      <c r="B2893" t="s">
        <v>10176</v>
      </c>
      <c r="C2893" t="s">
        <v>5921</v>
      </c>
      <c r="D2893" t="s">
        <v>10697</v>
      </c>
      <c r="E2893">
        <v>2579.31</v>
      </c>
      <c r="G2893" s="35"/>
      <c r="H2893" s="36">
        <f t="shared" si="137"/>
        <v>1624.9653000000001</v>
      </c>
      <c r="I2893" s="37">
        <f t="shared" si="135"/>
        <v>1624.9653000000001</v>
      </c>
      <c r="J2893" s="4"/>
      <c r="K2893" s="38">
        <f t="shared" si="136"/>
        <v>0</v>
      </c>
    </row>
    <row r="2894" spans="1:11">
      <c r="A2894" t="s">
        <v>4934</v>
      </c>
      <c r="B2894" t="s">
        <v>10176</v>
      </c>
      <c r="C2894" t="s">
        <v>5921</v>
      </c>
      <c r="D2894" t="s">
        <v>10698</v>
      </c>
      <c r="E2894">
        <v>3681.54</v>
      </c>
      <c r="G2894" s="35"/>
      <c r="H2894" s="36">
        <f t="shared" si="137"/>
        <v>2319.3701999999998</v>
      </c>
      <c r="I2894" s="37">
        <f t="shared" si="135"/>
        <v>2319.3701999999998</v>
      </c>
      <c r="J2894" s="4"/>
      <c r="K2894" s="38">
        <f t="shared" si="136"/>
        <v>0</v>
      </c>
    </row>
    <row r="2895" spans="1:11">
      <c r="A2895" t="s">
        <v>4935</v>
      </c>
      <c r="B2895" t="s">
        <v>10176</v>
      </c>
      <c r="C2895" t="s">
        <v>5922</v>
      </c>
      <c r="D2895" t="s">
        <v>10483</v>
      </c>
      <c r="E2895">
        <v>16846.830000000002</v>
      </c>
      <c r="G2895" s="35"/>
      <c r="H2895" s="36">
        <f t="shared" si="137"/>
        <v>10613.502900000001</v>
      </c>
      <c r="I2895" s="37">
        <f t="shared" si="135"/>
        <v>10613.502900000001</v>
      </c>
      <c r="J2895" s="4"/>
      <c r="K2895" s="38">
        <f t="shared" si="136"/>
        <v>0</v>
      </c>
    </row>
    <row r="2896" spans="1:11">
      <c r="A2896" t="s">
        <v>4937</v>
      </c>
      <c r="B2896" t="s">
        <v>10176</v>
      </c>
      <c r="C2896" t="s">
        <v>5922</v>
      </c>
      <c r="D2896" t="s">
        <v>10484</v>
      </c>
      <c r="E2896">
        <v>26366.94</v>
      </c>
      <c r="G2896" s="35"/>
      <c r="H2896" s="36">
        <f t="shared" si="137"/>
        <v>16611.172200000001</v>
      </c>
      <c r="I2896" s="37">
        <f t="shared" si="135"/>
        <v>16611.172200000001</v>
      </c>
      <c r="J2896" s="4"/>
      <c r="K2896" s="38">
        <f t="shared" si="136"/>
        <v>0</v>
      </c>
    </row>
    <row r="2897" spans="1:11">
      <c r="A2897" t="s">
        <v>4936</v>
      </c>
      <c r="B2897" t="s">
        <v>10176</v>
      </c>
      <c r="C2897" t="s">
        <v>5922</v>
      </c>
      <c r="D2897" t="s">
        <v>10484</v>
      </c>
      <c r="E2897">
        <v>25319.599999999999</v>
      </c>
      <c r="G2897" s="35"/>
      <c r="H2897" s="36">
        <f t="shared" si="137"/>
        <v>15951.348</v>
      </c>
      <c r="I2897" s="37">
        <f t="shared" si="135"/>
        <v>15951.348</v>
      </c>
      <c r="J2897" s="4"/>
      <c r="K2897" s="38">
        <f t="shared" si="136"/>
        <v>0</v>
      </c>
    </row>
    <row r="2898" spans="1:11">
      <c r="A2898" t="s">
        <v>4938</v>
      </c>
      <c r="B2898" t="s">
        <v>10176</v>
      </c>
      <c r="C2898" t="s">
        <v>5922</v>
      </c>
      <c r="D2898" t="s">
        <v>10485</v>
      </c>
      <c r="E2898">
        <v>19245.599999999999</v>
      </c>
      <c r="G2898" s="35"/>
      <c r="H2898" s="36">
        <f t="shared" si="137"/>
        <v>12124.727999999999</v>
      </c>
      <c r="I2898" s="37">
        <f t="shared" si="135"/>
        <v>12124.727999999999</v>
      </c>
      <c r="J2898" s="4"/>
      <c r="K2898" s="38">
        <f t="shared" si="136"/>
        <v>0</v>
      </c>
    </row>
    <row r="2899" spans="1:11">
      <c r="A2899" t="s">
        <v>4939</v>
      </c>
      <c r="B2899" t="s">
        <v>10176</v>
      </c>
      <c r="C2899" t="s">
        <v>5922</v>
      </c>
      <c r="D2899" t="s">
        <v>10130</v>
      </c>
      <c r="E2899">
        <v>24799.61</v>
      </c>
      <c r="G2899" s="35"/>
      <c r="H2899" s="36">
        <f t="shared" si="137"/>
        <v>15623.754300000001</v>
      </c>
      <c r="I2899" s="37">
        <f t="shared" si="135"/>
        <v>15623.754300000001</v>
      </c>
      <c r="J2899" s="4"/>
      <c r="K2899" s="38">
        <f t="shared" si="136"/>
        <v>0</v>
      </c>
    </row>
    <row r="2900" spans="1:11">
      <c r="A2900" t="s">
        <v>4940</v>
      </c>
      <c r="B2900" t="s">
        <v>10176</v>
      </c>
      <c r="C2900" t="s">
        <v>5922</v>
      </c>
      <c r="D2900" t="s">
        <v>10486</v>
      </c>
      <c r="E2900">
        <v>21033.06</v>
      </c>
      <c r="G2900" s="35"/>
      <c r="H2900" s="36">
        <f t="shared" si="137"/>
        <v>13250.827800000001</v>
      </c>
      <c r="I2900" s="37">
        <f t="shared" si="135"/>
        <v>13250.827800000001</v>
      </c>
      <c r="J2900" s="4"/>
      <c r="K2900" s="38">
        <f t="shared" si="136"/>
        <v>0</v>
      </c>
    </row>
    <row r="2901" spans="1:11">
      <c r="A2901" t="s">
        <v>4942</v>
      </c>
      <c r="B2901" t="s">
        <v>10176</v>
      </c>
      <c r="C2901" t="s">
        <v>5922</v>
      </c>
      <c r="D2901" t="s">
        <v>10488</v>
      </c>
      <c r="E2901">
        <v>13168.96</v>
      </c>
      <c r="G2901" s="35"/>
      <c r="H2901" s="36">
        <f t="shared" si="137"/>
        <v>8296.4447999999993</v>
      </c>
      <c r="I2901" s="37">
        <f t="shared" si="135"/>
        <v>8296.4447999999993</v>
      </c>
      <c r="J2901" s="4"/>
      <c r="K2901" s="38">
        <f t="shared" si="136"/>
        <v>0</v>
      </c>
    </row>
    <row r="2902" spans="1:11">
      <c r="A2902" t="s">
        <v>4941</v>
      </c>
      <c r="B2902" t="s">
        <v>10176</v>
      </c>
      <c r="C2902" t="s">
        <v>5922</v>
      </c>
      <c r="D2902" t="s">
        <v>10487</v>
      </c>
      <c r="E2902">
        <v>11842.87</v>
      </c>
      <c r="G2902" s="35"/>
      <c r="H2902" s="36">
        <f t="shared" si="137"/>
        <v>7461.0081000000009</v>
      </c>
      <c r="I2902" s="37">
        <f t="shared" si="135"/>
        <v>7461.0081000000009</v>
      </c>
      <c r="J2902" s="4"/>
      <c r="K2902" s="38">
        <f t="shared" si="136"/>
        <v>0</v>
      </c>
    </row>
    <row r="2903" spans="1:11">
      <c r="A2903" t="s">
        <v>4943</v>
      </c>
      <c r="B2903" t="s">
        <v>10176</v>
      </c>
      <c r="C2903" t="s">
        <v>5922</v>
      </c>
      <c r="D2903" t="s">
        <v>10489</v>
      </c>
      <c r="E2903">
        <v>15405.67</v>
      </c>
      <c r="G2903" s="35"/>
      <c r="H2903" s="36">
        <f t="shared" si="137"/>
        <v>9705.5720999999994</v>
      </c>
      <c r="I2903" s="37">
        <f t="shared" si="135"/>
        <v>9705.5720999999994</v>
      </c>
      <c r="J2903" s="4"/>
      <c r="K2903" s="38">
        <f t="shared" si="136"/>
        <v>0</v>
      </c>
    </row>
    <row r="2904" spans="1:11">
      <c r="A2904" t="s">
        <v>4944</v>
      </c>
      <c r="B2904" t="s">
        <v>10176</v>
      </c>
      <c r="C2904" t="s">
        <v>5922</v>
      </c>
      <c r="D2904" t="s">
        <v>10490</v>
      </c>
      <c r="E2904">
        <v>10408.049999999999</v>
      </c>
      <c r="G2904" s="35"/>
      <c r="H2904" s="36">
        <f t="shared" si="137"/>
        <v>6557.0715</v>
      </c>
      <c r="I2904" s="37">
        <f t="shared" si="135"/>
        <v>6557.0715</v>
      </c>
      <c r="J2904" s="4"/>
      <c r="K2904" s="38">
        <f t="shared" si="136"/>
        <v>0</v>
      </c>
    </row>
    <row r="2905" spans="1:11">
      <c r="A2905" t="s">
        <v>4945</v>
      </c>
      <c r="B2905" t="s">
        <v>10176</v>
      </c>
      <c r="C2905" t="s">
        <v>5922</v>
      </c>
      <c r="D2905" t="s">
        <v>10491</v>
      </c>
      <c r="E2905">
        <v>31005.58</v>
      </c>
      <c r="G2905" s="35"/>
      <c r="H2905" s="36">
        <f t="shared" si="137"/>
        <v>19533.5154</v>
      </c>
      <c r="I2905" s="37">
        <f t="shared" si="135"/>
        <v>19533.5154</v>
      </c>
      <c r="J2905" s="4"/>
      <c r="K2905" s="38">
        <f t="shared" si="136"/>
        <v>0</v>
      </c>
    </row>
    <row r="2906" spans="1:11">
      <c r="A2906" t="s">
        <v>4946</v>
      </c>
      <c r="B2906" t="s">
        <v>10176</v>
      </c>
      <c r="C2906" t="s">
        <v>5922</v>
      </c>
      <c r="D2906" t="s">
        <v>10491</v>
      </c>
      <c r="E2906">
        <v>27813.39</v>
      </c>
      <c r="G2906" s="35"/>
      <c r="H2906" s="36">
        <f t="shared" si="137"/>
        <v>17522.435699999998</v>
      </c>
      <c r="I2906" s="37">
        <f t="shared" si="135"/>
        <v>17522.435699999998</v>
      </c>
      <c r="J2906" s="4"/>
      <c r="K2906" s="38">
        <f t="shared" si="136"/>
        <v>0</v>
      </c>
    </row>
    <row r="2907" spans="1:11">
      <c r="A2907" t="s">
        <v>4947</v>
      </c>
      <c r="B2907" t="s">
        <v>10176</v>
      </c>
      <c r="C2907" t="s">
        <v>5922</v>
      </c>
      <c r="D2907" t="s">
        <v>10492</v>
      </c>
      <c r="E2907">
        <v>21660.2</v>
      </c>
      <c r="G2907" s="35"/>
      <c r="H2907" s="36">
        <f t="shared" si="137"/>
        <v>13645.926000000001</v>
      </c>
      <c r="I2907" s="37">
        <f t="shared" si="135"/>
        <v>13645.926000000001</v>
      </c>
      <c r="J2907" s="4"/>
      <c r="K2907" s="38">
        <f t="shared" si="136"/>
        <v>0</v>
      </c>
    </row>
    <row r="2908" spans="1:11">
      <c r="A2908" t="s">
        <v>9639</v>
      </c>
      <c r="B2908" t="s">
        <v>10176</v>
      </c>
      <c r="C2908" t="s">
        <v>5922</v>
      </c>
      <c r="D2908" t="s">
        <v>10493</v>
      </c>
      <c r="E2908">
        <v>37029.96</v>
      </c>
      <c r="G2908" s="35"/>
      <c r="H2908" s="36">
        <f t="shared" si="137"/>
        <v>23328.874800000001</v>
      </c>
      <c r="I2908" s="37">
        <f t="shared" si="135"/>
        <v>23328.874800000001</v>
      </c>
      <c r="J2908" s="4"/>
      <c r="K2908" s="38">
        <f t="shared" si="136"/>
        <v>0</v>
      </c>
    </row>
    <row r="2909" spans="1:11">
      <c r="A2909" t="s">
        <v>9640</v>
      </c>
      <c r="B2909" t="s">
        <v>10176</v>
      </c>
      <c r="C2909" t="s">
        <v>5922</v>
      </c>
      <c r="D2909" t="s">
        <v>10494</v>
      </c>
      <c r="E2909">
        <v>37029.96</v>
      </c>
      <c r="G2909" s="35"/>
      <c r="H2909" s="36">
        <f t="shared" si="137"/>
        <v>23328.874800000001</v>
      </c>
      <c r="I2909" s="37">
        <f t="shared" si="135"/>
        <v>23328.874800000001</v>
      </c>
      <c r="J2909" s="4"/>
      <c r="K2909" s="38">
        <f t="shared" si="136"/>
        <v>0</v>
      </c>
    </row>
    <row r="2910" spans="1:11">
      <c r="A2910" t="s">
        <v>4948</v>
      </c>
      <c r="B2910" t="s">
        <v>10176</v>
      </c>
      <c r="C2910" t="s">
        <v>5922</v>
      </c>
      <c r="D2910" t="s">
        <v>10495</v>
      </c>
      <c r="E2910">
        <v>39801.949999999997</v>
      </c>
      <c r="G2910" s="35"/>
      <c r="H2910" s="36">
        <f t="shared" si="137"/>
        <v>25075.228499999997</v>
      </c>
      <c r="I2910" s="37">
        <f t="shared" si="135"/>
        <v>25075.228499999997</v>
      </c>
      <c r="J2910" s="4"/>
      <c r="K2910" s="38">
        <f t="shared" si="136"/>
        <v>0</v>
      </c>
    </row>
    <row r="2911" spans="1:11">
      <c r="A2911" t="s">
        <v>4949</v>
      </c>
      <c r="B2911" t="s">
        <v>10176</v>
      </c>
      <c r="C2911" t="s">
        <v>5922</v>
      </c>
      <c r="D2911" t="s">
        <v>10699</v>
      </c>
      <c r="E2911">
        <v>32055.57</v>
      </c>
      <c r="G2911" s="35"/>
      <c r="H2911" s="36">
        <f t="shared" si="137"/>
        <v>20195.009099999999</v>
      </c>
      <c r="I2911" s="37">
        <f t="shared" si="135"/>
        <v>20195.009099999999</v>
      </c>
      <c r="J2911" s="4"/>
      <c r="K2911" s="38">
        <f t="shared" si="136"/>
        <v>0</v>
      </c>
    </row>
    <row r="2912" spans="1:11">
      <c r="A2912" t="s">
        <v>9759</v>
      </c>
      <c r="B2912" t="s">
        <v>10176</v>
      </c>
      <c r="C2912" t="s">
        <v>5922</v>
      </c>
      <c r="D2912" t="s">
        <v>10496</v>
      </c>
      <c r="E2912">
        <v>17326.16</v>
      </c>
      <c r="G2912" s="35"/>
      <c r="H2912" s="36">
        <f t="shared" si="137"/>
        <v>10915.480799999999</v>
      </c>
      <c r="I2912" s="37">
        <f t="shared" si="135"/>
        <v>10915.480799999999</v>
      </c>
      <c r="J2912" s="4"/>
      <c r="K2912" s="38">
        <f t="shared" si="136"/>
        <v>0</v>
      </c>
    </row>
    <row r="2913" spans="1:11">
      <c r="A2913" t="s">
        <v>4950</v>
      </c>
      <c r="B2913" t="s">
        <v>10176</v>
      </c>
      <c r="C2913" t="s">
        <v>5922</v>
      </c>
      <c r="D2913" t="s">
        <v>10700</v>
      </c>
      <c r="E2913">
        <v>17014.169999999998</v>
      </c>
      <c r="G2913" s="35"/>
      <c r="H2913" s="36">
        <f t="shared" si="137"/>
        <v>10718.927099999999</v>
      </c>
      <c r="I2913" s="37">
        <f t="shared" si="135"/>
        <v>10718.927099999999</v>
      </c>
      <c r="J2913" s="4"/>
      <c r="K2913" s="38">
        <f t="shared" si="136"/>
        <v>0</v>
      </c>
    </row>
    <row r="2914" spans="1:11">
      <c r="A2914" t="s">
        <v>4951</v>
      </c>
      <c r="B2914" t="s">
        <v>10176</v>
      </c>
      <c r="C2914" t="s">
        <v>5922</v>
      </c>
      <c r="D2914" t="s">
        <v>10701</v>
      </c>
      <c r="E2914">
        <v>39836.800000000003</v>
      </c>
      <c r="G2914" s="35"/>
      <c r="H2914" s="36">
        <f t="shared" si="137"/>
        <v>25097.184000000001</v>
      </c>
      <c r="I2914" s="37">
        <f t="shared" si="135"/>
        <v>25097.184000000001</v>
      </c>
      <c r="J2914" s="4"/>
      <c r="K2914" s="38">
        <f t="shared" si="136"/>
        <v>0</v>
      </c>
    </row>
    <row r="2915" spans="1:11">
      <c r="A2915" t="s">
        <v>4952</v>
      </c>
      <c r="B2915" t="s">
        <v>10176</v>
      </c>
      <c r="C2915" t="s">
        <v>5922</v>
      </c>
      <c r="D2915" t="s">
        <v>10497</v>
      </c>
      <c r="E2915">
        <v>10281.879999999999</v>
      </c>
      <c r="G2915" s="35"/>
      <c r="H2915" s="36">
        <f t="shared" si="137"/>
        <v>6477.5843999999997</v>
      </c>
      <c r="I2915" s="37">
        <f t="shared" si="135"/>
        <v>6477.5843999999997</v>
      </c>
      <c r="J2915" s="4"/>
      <c r="K2915" s="38">
        <f t="shared" si="136"/>
        <v>0</v>
      </c>
    </row>
    <row r="2916" spans="1:11">
      <c r="A2916" t="s">
        <v>4953</v>
      </c>
      <c r="B2916" t="s">
        <v>10176</v>
      </c>
      <c r="C2916" t="s">
        <v>5922</v>
      </c>
      <c r="D2916" t="s">
        <v>10702</v>
      </c>
      <c r="E2916">
        <v>9502.17</v>
      </c>
      <c r="G2916" s="35"/>
      <c r="H2916" s="36">
        <f t="shared" si="137"/>
        <v>5986.3671000000004</v>
      </c>
      <c r="I2916" s="37">
        <f t="shared" si="135"/>
        <v>5986.3671000000004</v>
      </c>
      <c r="J2916" s="4"/>
      <c r="K2916" s="38">
        <f t="shared" si="136"/>
        <v>0</v>
      </c>
    </row>
    <row r="2917" spans="1:11">
      <c r="A2917" t="s">
        <v>4954</v>
      </c>
      <c r="B2917" t="s">
        <v>10176</v>
      </c>
      <c r="C2917" t="s">
        <v>5922</v>
      </c>
      <c r="D2917" t="s">
        <v>10498</v>
      </c>
      <c r="E2917">
        <v>14135.54</v>
      </c>
      <c r="G2917" s="35"/>
      <c r="H2917" s="36">
        <f t="shared" si="137"/>
        <v>8905.3901999999998</v>
      </c>
      <c r="I2917" s="37">
        <f t="shared" si="135"/>
        <v>8905.3901999999998</v>
      </c>
      <c r="J2917" s="4"/>
      <c r="K2917" s="38">
        <f t="shared" si="136"/>
        <v>0</v>
      </c>
    </row>
    <row r="2918" spans="1:11">
      <c r="A2918" t="s">
        <v>4955</v>
      </c>
      <c r="B2918" t="s">
        <v>10176</v>
      </c>
      <c r="C2918" t="s">
        <v>5922</v>
      </c>
      <c r="D2918" t="s">
        <v>10499</v>
      </c>
      <c r="E2918">
        <v>10510.46</v>
      </c>
      <c r="G2918" s="35"/>
      <c r="H2918" s="36">
        <f t="shared" si="137"/>
        <v>6621.5897999999997</v>
      </c>
      <c r="I2918" s="37">
        <f t="shared" si="135"/>
        <v>6621.5897999999997</v>
      </c>
      <c r="J2918" s="4"/>
      <c r="K2918" s="38">
        <f t="shared" si="136"/>
        <v>0</v>
      </c>
    </row>
    <row r="2919" spans="1:11">
      <c r="A2919" t="s">
        <v>9819</v>
      </c>
      <c r="B2919" t="s">
        <v>10176</v>
      </c>
      <c r="C2919" t="s">
        <v>5922</v>
      </c>
      <c r="D2919" t="s">
        <v>10500</v>
      </c>
      <c r="E2919">
        <v>10194.200000000001</v>
      </c>
      <c r="G2919" s="35"/>
      <c r="H2919" s="36">
        <f t="shared" si="137"/>
        <v>6422.3460000000005</v>
      </c>
      <c r="I2919" s="37">
        <f t="shared" si="135"/>
        <v>6422.3460000000005</v>
      </c>
      <c r="J2919" s="4"/>
      <c r="K2919" s="38">
        <f t="shared" si="136"/>
        <v>0</v>
      </c>
    </row>
    <row r="2920" spans="1:11">
      <c r="A2920" t="s">
        <v>4956</v>
      </c>
      <c r="B2920" t="s">
        <v>10176</v>
      </c>
      <c r="C2920" t="s">
        <v>5922</v>
      </c>
      <c r="D2920" t="s">
        <v>10501</v>
      </c>
      <c r="E2920">
        <v>18625.84</v>
      </c>
      <c r="G2920" s="35"/>
      <c r="H2920" s="36">
        <f t="shared" si="137"/>
        <v>11734.279200000001</v>
      </c>
      <c r="I2920" s="37">
        <f t="shared" si="135"/>
        <v>11734.279200000001</v>
      </c>
      <c r="J2920" s="4"/>
      <c r="K2920" s="38">
        <f t="shared" si="136"/>
        <v>0</v>
      </c>
    </row>
    <row r="2921" spans="1:11">
      <c r="A2921" t="s">
        <v>9641</v>
      </c>
      <c r="B2921" t="s">
        <v>10176</v>
      </c>
      <c r="C2921" t="s">
        <v>5922</v>
      </c>
      <c r="D2921" t="s">
        <v>10502</v>
      </c>
      <c r="E2921">
        <v>36468.28</v>
      </c>
      <c r="G2921" s="35"/>
      <c r="H2921" s="36">
        <f t="shared" si="137"/>
        <v>22975.0164</v>
      </c>
      <c r="I2921" s="37">
        <f t="shared" si="135"/>
        <v>22975.0164</v>
      </c>
      <c r="J2921" s="4"/>
      <c r="K2921" s="38">
        <f t="shared" si="136"/>
        <v>0</v>
      </c>
    </row>
    <row r="2922" spans="1:11">
      <c r="A2922" t="s">
        <v>9642</v>
      </c>
      <c r="B2922" t="s">
        <v>10176</v>
      </c>
      <c r="C2922" t="s">
        <v>5922</v>
      </c>
      <c r="D2922" t="s">
        <v>10503</v>
      </c>
      <c r="E2922">
        <v>36468.28</v>
      </c>
      <c r="G2922" s="35"/>
      <c r="H2922" s="36">
        <f t="shared" si="137"/>
        <v>22975.0164</v>
      </c>
      <c r="I2922" s="37">
        <f t="shared" si="135"/>
        <v>22975.0164</v>
      </c>
      <c r="J2922" s="4"/>
      <c r="K2922" s="38">
        <f t="shared" si="136"/>
        <v>0</v>
      </c>
    </row>
    <row r="2923" spans="1:11">
      <c r="A2923" t="s">
        <v>4957</v>
      </c>
      <c r="B2923" t="s">
        <v>10176</v>
      </c>
      <c r="C2923" t="s">
        <v>5922</v>
      </c>
      <c r="D2923" t="s">
        <v>10504</v>
      </c>
      <c r="E2923">
        <v>65241.38</v>
      </c>
      <c r="G2923" s="35"/>
      <c r="H2923" s="36">
        <f t="shared" si="137"/>
        <v>41102.0694</v>
      </c>
      <c r="I2923" s="37">
        <f t="shared" si="135"/>
        <v>41102.0694</v>
      </c>
      <c r="J2923" s="4"/>
      <c r="K2923" s="38">
        <f t="shared" si="136"/>
        <v>0</v>
      </c>
    </row>
    <row r="2924" spans="1:11">
      <c r="A2924" t="s">
        <v>11659</v>
      </c>
      <c r="B2924" t="s">
        <v>10176</v>
      </c>
      <c r="C2924" t="s">
        <v>5922</v>
      </c>
      <c r="D2924" t="s">
        <v>10504</v>
      </c>
      <c r="E2924">
        <v>65241.38</v>
      </c>
      <c r="G2924" s="35"/>
      <c r="H2924" s="36">
        <f t="shared" si="137"/>
        <v>41102.0694</v>
      </c>
      <c r="I2924" s="37">
        <f t="shared" si="135"/>
        <v>41102.0694</v>
      </c>
      <c r="J2924" s="4"/>
      <c r="K2924" s="38">
        <f t="shared" si="136"/>
        <v>0</v>
      </c>
    </row>
    <row r="2925" spans="1:11">
      <c r="A2925" t="s">
        <v>4959</v>
      </c>
      <c r="B2925" t="s">
        <v>10176</v>
      </c>
      <c r="C2925" t="s">
        <v>5922</v>
      </c>
      <c r="D2925" t="s">
        <v>10505</v>
      </c>
      <c r="E2925">
        <v>10313.549999999999</v>
      </c>
      <c r="G2925" s="35"/>
      <c r="H2925" s="36">
        <f t="shared" si="137"/>
        <v>6497.5364999999993</v>
      </c>
      <c r="I2925" s="37">
        <f t="shared" si="135"/>
        <v>6497.5364999999993</v>
      </c>
      <c r="J2925" s="4"/>
      <c r="K2925" s="38">
        <f t="shared" si="136"/>
        <v>0</v>
      </c>
    </row>
    <row r="2926" spans="1:11">
      <c r="A2926" t="s">
        <v>4958</v>
      </c>
      <c r="B2926" t="s">
        <v>10176</v>
      </c>
      <c r="C2926" t="s">
        <v>5922</v>
      </c>
      <c r="D2926" t="s">
        <v>10505</v>
      </c>
      <c r="E2926">
        <v>9835.27</v>
      </c>
      <c r="G2926" s="35"/>
      <c r="H2926" s="36">
        <f t="shared" si="137"/>
        <v>6196.2201000000005</v>
      </c>
      <c r="I2926" s="37">
        <f t="shared" si="135"/>
        <v>6196.2201000000005</v>
      </c>
      <c r="J2926" s="4"/>
      <c r="K2926" s="38">
        <f t="shared" si="136"/>
        <v>0</v>
      </c>
    </row>
    <row r="2927" spans="1:11">
      <c r="A2927" t="s">
        <v>4960</v>
      </c>
      <c r="B2927" t="s">
        <v>10176</v>
      </c>
      <c r="C2927" t="s">
        <v>5922</v>
      </c>
      <c r="D2927" t="s">
        <v>10506</v>
      </c>
      <c r="E2927">
        <v>19166.400000000001</v>
      </c>
      <c r="G2927" s="35"/>
      <c r="H2927" s="36">
        <f t="shared" si="137"/>
        <v>12074.832</v>
      </c>
      <c r="I2927" s="37">
        <f t="shared" si="135"/>
        <v>12074.832</v>
      </c>
      <c r="J2927" s="4"/>
      <c r="K2927" s="38">
        <f t="shared" si="136"/>
        <v>0</v>
      </c>
    </row>
    <row r="2928" spans="1:11">
      <c r="A2928" t="s">
        <v>4961</v>
      </c>
      <c r="B2928" t="s">
        <v>10176</v>
      </c>
      <c r="C2928" t="s">
        <v>5922</v>
      </c>
      <c r="D2928" t="s">
        <v>10506</v>
      </c>
      <c r="E2928">
        <v>18455.330000000002</v>
      </c>
      <c r="G2928" s="35"/>
      <c r="H2928" s="36">
        <f t="shared" si="137"/>
        <v>11626.857900000001</v>
      </c>
      <c r="I2928" s="37">
        <f t="shared" si="135"/>
        <v>11626.857900000001</v>
      </c>
      <c r="J2928" s="4"/>
      <c r="K2928" s="38">
        <f t="shared" si="136"/>
        <v>0</v>
      </c>
    </row>
    <row r="2929" spans="1:11">
      <c r="A2929" t="s">
        <v>4962</v>
      </c>
      <c r="B2929" t="s">
        <v>10176</v>
      </c>
      <c r="C2929" t="s">
        <v>5922</v>
      </c>
      <c r="D2929" t="s">
        <v>10506</v>
      </c>
      <c r="E2929">
        <v>20112.93</v>
      </c>
      <c r="G2929" s="35"/>
      <c r="H2929" s="36">
        <f t="shared" si="137"/>
        <v>12671.1459</v>
      </c>
      <c r="I2929" s="37">
        <f t="shared" si="135"/>
        <v>12671.1459</v>
      </c>
      <c r="J2929" s="4"/>
      <c r="K2929" s="38">
        <f t="shared" si="136"/>
        <v>0</v>
      </c>
    </row>
    <row r="2930" spans="1:11">
      <c r="A2930" t="s">
        <v>4963</v>
      </c>
      <c r="B2930" t="s">
        <v>10176</v>
      </c>
      <c r="C2930" t="s">
        <v>5922</v>
      </c>
      <c r="D2930" t="s">
        <v>10703</v>
      </c>
      <c r="E2930">
        <v>9623.0499999999993</v>
      </c>
      <c r="G2930" s="35"/>
      <c r="H2930" s="36">
        <f t="shared" si="137"/>
        <v>6062.5214999999998</v>
      </c>
      <c r="I2930" s="37">
        <f t="shared" si="135"/>
        <v>6062.5214999999998</v>
      </c>
      <c r="J2930" s="4"/>
      <c r="K2930" s="38">
        <f t="shared" si="136"/>
        <v>0</v>
      </c>
    </row>
    <row r="2931" spans="1:11">
      <c r="A2931" t="s">
        <v>4964</v>
      </c>
      <c r="B2931" t="s">
        <v>10176</v>
      </c>
      <c r="C2931" t="s">
        <v>5922</v>
      </c>
      <c r="D2931" t="s">
        <v>10507</v>
      </c>
      <c r="E2931">
        <v>19697.990000000002</v>
      </c>
      <c r="G2931" s="35"/>
      <c r="H2931" s="36">
        <f t="shared" si="137"/>
        <v>12409.733700000001</v>
      </c>
      <c r="I2931" s="37">
        <f t="shared" si="135"/>
        <v>12409.733700000001</v>
      </c>
      <c r="J2931" s="4"/>
      <c r="K2931" s="38">
        <f t="shared" si="136"/>
        <v>0</v>
      </c>
    </row>
    <row r="2932" spans="1:11">
      <c r="A2932" t="s">
        <v>4965</v>
      </c>
      <c r="B2932" t="s">
        <v>10176</v>
      </c>
      <c r="C2932" t="s">
        <v>5922</v>
      </c>
      <c r="D2932" t="s">
        <v>10704</v>
      </c>
      <c r="E2932">
        <v>18205.63</v>
      </c>
      <c r="G2932" s="35"/>
      <c r="H2932" s="36">
        <f t="shared" si="137"/>
        <v>11469.546900000001</v>
      </c>
      <c r="I2932" s="37">
        <f t="shared" si="135"/>
        <v>11469.546900000001</v>
      </c>
      <c r="J2932" s="4"/>
      <c r="K2932" s="38">
        <f t="shared" si="136"/>
        <v>0</v>
      </c>
    </row>
    <row r="2933" spans="1:11">
      <c r="A2933" t="s">
        <v>4966</v>
      </c>
      <c r="B2933" t="s">
        <v>10176</v>
      </c>
      <c r="C2933" t="s">
        <v>5922</v>
      </c>
      <c r="D2933" t="s">
        <v>10705</v>
      </c>
      <c r="E2933">
        <v>18205.63</v>
      </c>
      <c r="G2933" s="35"/>
      <c r="H2933" s="36">
        <f t="shared" si="137"/>
        <v>11469.546900000001</v>
      </c>
      <c r="I2933" s="37">
        <f t="shared" si="135"/>
        <v>11469.546900000001</v>
      </c>
      <c r="J2933" s="4"/>
      <c r="K2933" s="38">
        <f t="shared" si="136"/>
        <v>0</v>
      </c>
    </row>
    <row r="2934" spans="1:11">
      <c r="A2934" t="s">
        <v>4967</v>
      </c>
      <c r="B2934" t="s">
        <v>10176</v>
      </c>
      <c r="C2934" t="s">
        <v>5922</v>
      </c>
      <c r="D2934" t="s">
        <v>10706</v>
      </c>
      <c r="E2934">
        <v>16453.009999999998</v>
      </c>
      <c r="G2934" s="35"/>
      <c r="H2934" s="36">
        <f t="shared" si="137"/>
        <v>10365.396299999999</v>
      </c>
      <c r="I2934" s="37">
        <f t="shared" si="135"/>
        <v>10365.396299999999</v>
      </c>
      <c r="J2934" s="4"/>
      <c r="K2934" s="38">
        <f t="shared" si="136"/>
        <v>0</v>
      </c>
    </row>
    <row r="2935" spans="1:11">
      <c r="A2935" t="s">
        <v>4968</v>
      </c>
      <c r="B2935" t="s">
        <v>10176</v>
      </c>
      <c r="C2935" t="s">
        <v>5922</v>
      </c>
      <c r="D2935" t="s">
        <v>10707</v>
      </c>
      <c r="E2935">
        <v>20030.580000000002</v>
      </c>
      <c r="G2935" s="35"/>
      <c r="H2935" s="36">
        <f t="shared" si="137"/>
        <v>12619.265400000002</v>
      </c>
      <c r="I2935" s="37">
        <f t="shared" si="135"/>
        <v>12619.265400000002</v>
      </c>
      <c r="J2935" s="4"/>
      <c r="K2935" s="38">
        <f t="shared" si="136"/>
        <v>0</v>
      </c>
    </row>
    <row r="2936" spans="1:11">
      <c r="A2936" t="s">
        <v>4969</v>
      </c>
      <c r="B2936" t="s">
        <v>10176</v>
      </c>
      <c r="C2936" t="s">
        <v>5922</v>
      </c>
      <c r="D2936" t="s">
        <v>10708</v>
      </c>
      <c r="E2936">
        <v>20618.650000000001</v>
      </c>
      <c r="G2936" s="35"/>
      <c r="H2936" s="36">
        <f t="shared" si="137"/>
        <v>12989.749500000002</v>
      </c>
      <c r="I2936" s="37">
        <f t="shared" si="135"/>
        <v>12989.749500000002</v>
      </c>
      <c r="J2936" s="4"/>
      <c r="K2936" s="38">
        <f t="shared" si="136"/>
        <v>0</v>
      </c>
    </row>
    <row r="2937" spans="1:11">
      <c r="A2937" t="s">
        <v>4970</v>
      </c>
      <c r="B2937" t="s">
        <v>10176</v>
      </c>
      <c r="C2937" t="s">
        <v>5922</v>
      </c>
      <c r="D2937" t="s">
        <v>10508</v>
      </c>
      <c r="E2937">
        <v>21997.53</v>
      </c>
      <c r="G2937" s="35"/>
      <c r="H2937" s="36">
        <f t="shared" si="137"/>
        <v>13858.4439</v>
      </c>
      <c r="I2937" s="37">
        <f t="shared" si="135"/>
        <v>13858.4439</v>
      </c>
      <c r="J2937" s="4"/>
      <c r="K2937" s="38">
        <f t="shared" si="136"/>
        <v>0</v>
      </c>
    </row>
    <row r="2938" spans="1:11">
      <c r="A2938" t="s">
        <v>4971</v>
      </c>
      <c r="B2938" t="s">
        <v>10176</v>
      </c>
      <c r="C2938" t="s">
        <v>5922</v>
      </c>
      <c r="D2938" t="s">
        <v>12378</v>
      </c>
      <c r="E2938">
        <v>11557.8</v>
      </c>
      <c r="G2938" s="35"/>
      <c r="H2938" s="36">
        <f t="shared" si="137"/>
        <v>7281.4139999999998</v>
      </c>
      <c r="I2938" s="37">
        <f t="shared" si="135"/>
        <v>7281.4139999999998</v>
      </c>
      <c r="J2938" s="4"/>
      <c r="K2938" s="38">
        <f t="shared" si="136"/>
        <v>0</v>
      </c>
    </row>
    <row r="2939" spans="1:11">
      <c r="A2939" t="s">
        <v>4972</v>
      </c>
      <c r="B2939" t="s">
        <v>10176</v>
      </c>
      <c r="C2939" t="s">
        <v>5922</v>
      </c>
      <c r="D2939" t="s">
        <v>12378</v>
      </c>
      <c r="E2939">
        <v>11152.39</v>
      </c>
      <c r="G2939" s="35"/>
      <c r="H2939" s="36">
        <f t="shared" si="137"/>
        <v>7026.0056999999997</v>
      </c>
      <c r="I2939" s="37">
        <f t="shared" si="135"/>
        <v>7026.0056999999997</v>
      </c>
      <c r="J2939" s="4"/>
      <c r="K2939" s="38">
        <f t="shared" si="136"/>
        <v>0</v>
      </c>
    </row>
    <row r="2940" spans="1:11">
      <c r="A2940" t="s">
        <v>4973</v>
      </c>
      <c r="B2940" t="s">
        <v>10176</v>
      </c>
      <c r="C2940" t="s">
        <v>5922</v>
      </c>
      <c r="D2940" t="s">
        <v>10709</v>
      </c>
      <c r="E2940">
        <v>9752.92</v>
      </c>
      <c r="G2940" s="35"/>
      <c r="H2940" s="36">
        <f t="shared" si="137"/>
        <v>6144.3396000000002</v>
      </c>
      <c r="I2940" s="37">
        <f t="shared" si="135"/>
        <v>6144.3396000000002</v>
      </c>
      <c r="J2940" s="4"/>
      <c r="K2940" s="38">
        <f t="shared" si="136"/>
        <v>0</v>
      </c>
    </row>
    <row r="2941" spans="1:11">
      <c r="A2941" t="s">
        <v>4974</v>
      </c>
      <c r="B2941" t="s">
        <v>10176</v>
      </c>
      <c r="C2941" t="s">
        <v>5922</v>
      </c>
      <c r="D2941" t="s">
        <v>10710</v>
      </c>
      <c r="E2941">
        <v>14006.73</v>
      </c>
      <c r="G2941" s="35"/>
      <c r="H2941" s="36">
        <f t="shared" si="137"/>
        <v>8824.2399000000005</v>
      </c>
      <c r="I2941" s="37">
        <f t="shared" si="135"/>
        <v>8824.2399000000005</v>
      </c>
      <c r="J2941" s="4"/>
      <c r="K2941" s="38">
        <f t="shared" si="136"/>
        <v>0</v>
      </c>
    </row>
    <row r="2942" spans="1:11">
      <c r="A2942" t="s">
        <v>4975</v>
      </c>
      <c r="B2942" t="s">
        <v>10176</v>
      </c>
      <c r="C2942" t="s">
        <v>5922</v>
      </c>
      <c r="D2942" t="s">
        <v>10710</v>
      </c>
      <c r="E2942">
        <v>14215.77</v>
      </c>
      <c r="G2942" s="35"/>
      <c r="H2942" s="36">
        <f t="shared" si="137"/>
        <v>8955.9351000000006</v>
      </c>
      <c r="I2942" s="37">
        <f t="shared" si="135"/>
        <v>8955.9351000000006</v>
      </c>
      <c r="J2942" s="4"/>
      <c r="K2942" s="38">
        <f t="shared" si="136"/>
        <v>0</v>
      </c>
    </row>
    <row r="2943" spans="1:11">
      <c r="A2943" t="s">
        <v>4976</v>
      </c>
      <c r="B2943" t="s">
        <v>10176</v>
      </c>
      <c r="C2943" t="s">
        <v>5922</v>
      </c>
      <c r="D2943" t="s">
        <v>10711</v>
      </c>
      <c r="E2943">
        <v>20112.93</v>
      </c>
      <c r="G2943" s="35"/>
      <c r="H2943" s="36">
        <f t="shared" si="137"/>
        <v>12671.1459</v>
      </c>
      <c r="I2943" s="37">
        <f t="shared" si="135"/>
        <v>12671.1459</v>
      </c>
      <c r="J2943" s="4"/>
      <c r="K2943" s="38">
        <f t="shared" si="136"/>
        <v>0</v>
      </c>
    </row>
    <row r="2944" spans="1:11">
      <c r="A2944" t="s">
        <v>4977</v>
      </c>
      <c r="B2944" t="s">
        <v>10176</v>
      </c>
      <c r="C2944" t="s">
        <v>5922</v>
      </c>
      <c r="D2944" t="s">
        <v>10509</v>
      </c>
      <c r="E2944">
        <v>14879.88</v>
      </c>
      <c r="G2944" s="35"/>
      <c r="H2944" s="36">
        <f t="shared" si="137"/>
        <v>9374.3243999999995</v>
      </c>
      <c r="I2944" s="37">
        <f t="shared" si="135"/>
        <v>9374.3243999999995</v>
      </c>
      <c r="J2944" s="4"/>
      <c r="K2944" s="38">
        <f t="shared" si="136"/>
        <v>0</v>
      </c>
    </row>
    <row r="2945" spans="1:11">
      <c r="A2945" t="s">
        <v>4978</v>
      </c>
      <c r="B2945" t="s">
        <v>10176</v>
      </c>
      <c r="C2945" t="s">
        <v>5922</v>
      </c>
      <c r="D2945" t="s">
        <v>10712</v>
      </c>
      <c r="E2945">
        <v>11234.21</v>
      </c>
      <c r="G2945" s="35"/>
      <c r="H2945" s="36">
        <f t="shared" si="137"/>
        <v>7077.5522999999994</v>
      </c>
      <c r="I2945" s="37">
        <f t="shared" si="135"/>
        <v>7077.5522999999994</v>
      </c>
      <c r="J2945" s="4"/>
      <c r="K2945" s="38">
        <f t="shared" si="136"/>
        <v>0</v>
      </c>
    </row>
    <row r="2946" spans="1:11">
      <c r="A2946" t="s">
        <v>4979</v>
      </c>
      <c r="B2946" t="s">
        <v>10176</v>
      </c>
      <c r="C2946" t="s">
        <v>5922</v>
      </c>
      <c r="D2946" t="s">
        <v>10713</v>
      </c>
      <c r="E2946">
        <v>17455.490000000002</v>
      </c>
      <c r="G2946" s="35"/>
      <c r="H2946" s="36">
        <f t="shared" si="137"/>
        <v>10996.958700000001</v>
      </c>
      <c r="I2946" s="37">
        <f t="shared" si="135"/>
        <v>10996.958700000001</v>
      </c>
      <c r="J2946" s="4"/>
      <c r="K2946" s="38">
        <f t="shared" si="136"/>
        <v>0</v>
      </c>
    </row>
    <row r="2947" spans="1:11">
      <c r="A2947" t="s">
        <v>4980</v>
      </c>
      <c r="B2947" t="s">
        <v>10176</v>
      </c>
      <c r="C2947" t="s">
        <v>5922</v>
      </c>
      <c r="D2947" t="s">
        <v>10510</v>
      </c>
      <c r="E2947">
        <v>18683.91</v>
      </c>
      <c r="G2947" s="35"/>
      <c r="H2947" s="36">
        <f t="shared" si="137"/>
        <v>11770.863300000001</v>
      </c>
      <c r="I2947" s="37">
        <f t="shared" si="135"/>
        <v>11770.863300000001</v>
      </c>
      <c r="J2947" s="4"/>
      <c r="K2947" s="38">
        <f t="shared" si="136"/>
        <v>0</v>
      </c>
    </row>
    <row r="2948" spans="1:11">
      <c r="A2948" t="s">
        <v>4981</v>
      </c>
      <c r="B2948" t="s">
        <v>10176</v>
      </c>
      <c r="C2948" t="s">
        <v>5922</v>
      </c>
      <c r="D2948" t="s">
        <v>10511</v>
      </c>
      <c r="E2948">
        <v>12383.97</v>
      </c>
      <c r="G2948" s="35"/>
      <c r="H2948" s="36">
        <f t="shared" si="137"/>
        <v>7801.9011</v>
      </c>
      <c r="I2948" s="37">
        <f t="shared" si="135"/>
        <v>7801.9011</v>
      </c>
      <c r="J2948" s="4"/>
      <c r="K2948" s="38">
        <f t="shared" si="136"/>
        <v>0</v>
      </c>
    </row>
    <row r="2949" spans="1:11">
      <c r="A2949" t="s">
        <v>11660</v>
      </c>
      <c r="B2949" t="s">
        <v>10176</v>
      </c>
      <c r="C2949" t="s">
        <v>5922</v>
      </c>
      <c r="D2949" t="s">
        <v>11661</v>
      </c>
      <c r="E2949">
        <v>53184.7</v>
      </c>
      <c r="G2949" s="35"/>
      <c r="H2949" s="36">
        <f t="shared" si="137"/>
        <v>33506.360999999997</v>
      </c>
      <c r="I2949" s="37">
        <f t="shared" si="135"/>
        <v>33506.360999999997</v>
      </c>
      <c r="J2949" s="4"/>
      <c r="K2949" s="38">
        <f t="shared" si="136"/>
        <v>0</v>
      </c>
    </row>
    <row r="2950" spans="1:11">
      <c r="A2950" t="s">
        <v>11662</v>
      </c>
      <c r="B2950" t="s">
        <v>10176</v>
      </c>
      <c r="C2950" t="s">
        <v>5922</v>
      </c>
      <c r="D2950" t="s">
        <v>11663</v>
      </c>
      <c r="E2950">
        <v>53184.7</v>
      </c>
      <c r="G2950" s="35"/>
      <c r="H2950" s="36">
        <f t="shared" si="137"/>
        <v>33506.360999999997</v>
      </c>
      <c r="I2950" s="37">
        <f t="shared" ref="I2950:I3013" si="138">H2950*$H$4</f>
        <v>33506.360999999997</v>
      </c>
      <c r="J2950" s="4"/>
      <c r="K2950" s="38">
        <f t="shared" ref="K2950:K3013" si="139">J2950*I2950</f>
        <v>0</v>
      </c>
    </row>
    <row r="2951" spans="1:11">
      <c r="A2951" t="s">
        <v>4982</v>
      </c>
      <c r="B2951" t="s">
        <v>10176</v>
      </c>
      <c r="C2951" t="s">
        <v>5923</v>
      </c>
      <c r="D2951" t="s">
        <v>10714</v>
      </c>
      <c r="E2951">
        <v>21262.17</v>
      </c>
      <c r="G2951" s="35"/>
      <c r="H2951" s="36">
        <f t="shared" ref="H2951:H3014" si="140">+E2951*$H$1*(1-G2951)</f>
        <v>13395.167099999999</v>
      </c>
      <c r="I2951" s="37">
        <f t="shared" si="138"/>
        <v>13395.167099999999</v>
      </c>
      <c r="J2951" s="4"/>
      <c r="K2951" s="38">
        <f t="shared" si="139"/>
        <v>0</v>
      </c>
    </row>
    <row r="2952" spans="1:11">
      <c r="A2952" t="s">
        <v>4983</v>
      </c>
      <c r="B2952" t="s">
        <v>10176</v>
      </c>
      <c r="C2952" t="s">
        <v>5923</v>
      </c>
      <c r="D2952" t="s">
        <v>10715</v>
      </c>
      <c r="E2952">
        <v>5992.16</v>
      </c>
      <c r="G2952" s="35"/>
      <c r="H2952" s="36">
        <f t="shared" si="140"/>
        <v>3775.0607999999997</v>
      </c>
      <c r="I2952" s="37">
        <f t="shared" si="138"/>
        <v>3775.0607999999997</v>
      </c>
      <c r="J2952" s="4"/>
      <c r="K2952" s="38">
        <f t="shared" si="139"/>
        <v>0</v>
      </c>
    </row>
    <row r="2953" spans="1:11">
      <c r="A2953" t="s">
        <v>4984</v>
      </c>
      <c r="B2953" t="s">
        <v>10176</v>
      </c>
      <c r="C2953" t="s">
        <v>5924</v>
      </c>
      <c r="D2953" t="s">
        <v>10716</v>
      </c>
      <c r="E2953">
        <v>1408.98</v>
      </c>
      <c r="G2953" s="35"/>
      <c r="H2953" s="36">
        <f t="shared" si="140"/>
        <v>887.65740000000005</v>
      </c>
      <c r="I2953" s="37">
        <f t="shared" si="138"/>
        <v>887.65740000000005</v>
      </c>
      <c r="J2953" s="4"/>
      <c r="K2953" s="38">
        <f t="shared" si="139"/>
        <v>0</v>
      </c>
    </row>
    <row r="2954" spans="1:11">
      <c r="A2954" t="s">
        <v>4985</v>
      </c>
      <c r="B2954" t="s">
        <v>10176</v>
      </c>
      <c r="C2954" t="s">
        <v>5925</v>
      </c>
      <c r="D2954" t="s">
        <v>10717</v>
      </c>
      <c r="E2954">
        <v>3375.35</v>
      </c>
      <c r="G2954" s="35"/>
      <c r="H2954" s="36">
        <f t="shared" si="140"/>
        <v>2126.4704999999999</v>
      </c>
      <c r="I2954" s="37">
        <f t="shared" si="138"/>
        <v>2126.4704999999999</v>
      </c>
      <c r="J2954" s="4"/>
      <c r="K2954" s="38">
        <f t="shared" si="139"/>
        <v>0</v>
      </c>
    </row>
    <row r="2955" spans="1:11">
      <c r="A2955" t="s">
        <v>4986</v>
      </c>
      <c r="B2955" t="s">
        <v>10176</v>
      </c>
      <c r="C2955" t="s">
        <v>5925</v>
      </c>
      <c r="D2955" t="s">
        <v>10718</v>
      </c>
      <c r="E2955">
        <v>3375.35</v>
      </c>
      <c r="G2955" s="35"/>
      <c r="H2955" s="36">
        <f t="shared" si="140"/>
        <v>2126.4704999999999</v>
      </c>
      <c r="I2955" s="37">
        <f t="shared" si="138"/>
        <v>2126.4704999999999</v>
      </c>
      <c r="J2955" s="4"/>
      <c r="K2955" s="38">
        <f t="shared" si="139"/>
        <v>0</v>
      </c>
    </row>
    <row r="2956" spans="1:11">
      <c r="A2956" t="s">
        <v>4987</v>
      </c>
      <c r="B2956" t="s">
        <v>10176</v>
      </c>
      <c r="C2956" t="s">
        <v>5925</v>
      </c>
      <c r="D2956" t="s">
        <v>10719</v>
      </c>
      <c r="E2956">
        <v>5777.36</v>
      </c>
      <c r="G2956" s="35"/>
      <c r="H2956" s="36">
        <f t="shared" si="140"/>
        <v>3639.7367999999997</v>
      </c>
      <c r="I2956" s="37">
        <f t="shared" si="138"/>
        <v>3639.7367999999997</v>
      </c>
      <c r="J2956" s="4"/>
      <c r="K2956" s="38">
        <f t="shared" si="139"/>
        <v>0</v>
      </c>
    </row>
    <row r="2957" spans="1:11">
      <c r="A2957" t="s">
        <v>4988</v>
      </c>
      <c r="B2957" t="s">
        <v>10176</v>
      </c>
      <c r="C2957" t="s">
        <v>5925</v>
      </c>
      <c r="D2957" t="s">
        <v>10512</v>
      </c>
      <c r="E2957">
        <v>5289.54</v>
      </c>
      <c r="G2957" s="35"/>
      <c r="H2957" s="36">
        <f t="shared" si="140"/>
        <v>3332.4101999999998</v>
      </c>
      <c r="I2957" s="37">
        <f t="shared" si="138"/>
        <v>3332.4101999999998</v>
      </c>
      <c r="J2957" s="4"/>
      <c r="K2957" s="38">
        <f t="shared" si="139"/>
        <v>0</v>
      </c>
    </row>
    <row r="2958" spans="1:11">
      <c r="A2958" t="s">
        <v>4989</v>
      </c>
      <c r="B2958" t="s">
        <v>10176</v>
      </c>
      <c r="C2958" t="s">
        <v>5925</v>
      </c>
      <c r="D2958" t="s">
        <v>10720</v>
      </c>
      <c r="E2958">
        <v>2890.21</v>
      </c>
      <c r="G2958" s="35"/>
      <c r="H2958" s="36">
        <f t="shared" si="140"/>
        <v>1820.8323</v>
      </c>
      <c r="I2958" s="37">
        <f t="shared" si="138"/>
        <v>1820.8323</v>
      </c>
      <c r="J2958" s="4"/>
      <c r="K2958" s="38">
        <f t="shared" si="139"/>
        <v>0</v>
      </c>
    </row>
    <row r="2959" spans="1:11">
      <c r="A2959" t="s">
        <v>4990</v>
      </c>
      <c r="B2959" t="s">
        <v>10176</v>
      </c>
      <c r="C2959" t="s">
        <v>5925</v>
      </c>
      <c r="D2959" t="s">
        <v>10513</v>
      </c>
      <c r="E2959">
        <v>4987.0600000000004</v>
      </c>
      <c r="G2959" s="35"/>
      <c r="H2959" s="36">
        <f t="shared" si="140"/>
        <v>3141.8478000000005</v>
      </c>
      <c r="I2959" s="37">
        <f t="shared" si="138"/>
        <v>3141.8478000000005</v>
      </c>
      <c r="J2959" s="4"/>
      <c r="K2959" s="38">
        <f t="shared" si="139"/>
        <v>0</v>
      </c>
    </row>
    <row r="2960" spans="1:11">
      <c r="A2960" t="s">
        <v>4991</v>
      </c>
      <c r="B2960" t="s">
        <v>10176</v>
      </c>
      <c r="C2960" t="s">
        <v>5925</v>
      </c>
      <c r="D2960" t="s">
        <v>10721</v>
      </c>
      <c r="E2960">
        <v>3064.44</v>
      </c>
      <c r="G2960" s="35"/>
      <c r="H2960" s="36">
        <f t="shared" si="140"/>
        <v>1930.5972000000002</v>
      </c>
      <c r="I2960" s="37">
        <f t="shared" si="138"/>
        <v>1930.5972000000002</v>
      </c>
      <c r="J2960" s="4"/>
      <c r="K2960" s="38">
        <f t="shared" si="139"/>
        <v>0</v>
      </c>
    </row>
    <row r="2961" spans="1:11">
      <c r="A2961" t="s">
        <v>4992</v>
      </c>
      <c r="B2961" t="s">
        <v>10176</v>
      </c>
      <c r="C2961" t="s">
        <v>5925</v>
      </c>
      <c r="D2961" t="s">
        <v>10722</v>
      </c>
      <c r="E2961">
        <v>24317.1</v>
      </c>
      <c r="G2961" s="35"/>
      <c r="H2961" s="36">
        <f t="shared" si="140"/>
        <v>15319.772999999999</v>
      </c>
      <c r="I2961" s="37">
        <f t="shared" si="138"/>
        <v>15319.772999999999</v>
      </c>
      <c r="J2961" s="4"/>
      <c r="K2961" s="38">
        <f t="shared" si="139"/>
        <v>0</v>
      </c>
    </row>
    <row r="2962" spans="1:11">
      <c r="A2962" t="s">
        <v>4993</v>
      </c>
      <c r="B2962" t="s">
        <v>10176</v>
      </c>
      <c r="C2962" t="s">
        <v>5925</v>
      </c>
      <c r="D2962" t="s">
        <v>10723</v>
      </c>
      <c r="E2962">
        <v>58329.599999999999</v>
      </c>
      <c r="G2962" s="35"/>
      <c r="H2962" s="36">
        <f t="shared" si="140"/>
        <v>36747.648000000001</v>
      </c>
      <c r="I2962" s="37">
        <f t="shared" si="138"/>
        <v>36747.648000000001</v>
      </c>
      <c r="J2962" s="4"/>
      <c r="K2962" s="38">
        <f t="shared" si="139"/>
        <v>0</v>
      </c>
    </row>
    <row r="2963" spans="1:11">
      <c r="A2963" t="s">
        <v>4995</v>
      </c>
      <c r="B2963" t="s">
        <v>10176</v>
      </c>
      <c r="C2963" t="s">
        <v>5925</v>
      </c>
      <c r="D2963" t="s">
        <v>10725</v>
      </c>
      <c r="E2963">
        <v>17455.490000000002</v>
      </c>
      <c r="G2963" s="35"/>
      <c r="H2963" s="36">
        <f t="shared" si="140"/>
        <v>10996.958700000001</v>
      </c>
      <c r="I2963" s="37">
        <f t="shared" si="138"/>
        <v>10996.958700000001</v>
      </c>
      <c r="J2963" s="4"/>
      <c r="K2963" s="38">
        <f t="shared" si="139"/>
        <v>0</v>
      </c>
    </row>
    <row r="2964" spans="1:11">
      <c r="A2964" t="s">
        <v>4994</v>
      </c>
      <c r="B2964" t="s">
        <v>10176</v>
      </c>
      <c r="C2964" t="s">
        <v>5925</v>
      </c>
      <c r="D2964" t="s">
        <v>10724</v>
      </c>
      <c r="E2964">
        <v>11281.72</v>
      </c>
      <c r="G2964" s="35"/>
      <c r="H2964" s="36">
        <f t="shared" si="140"/>
        <v>7107.4835999999996</v>
      </c>
      <c r="I2964" s="37">
        <f t="shared" si="138"/>
        <v>7107.4835999999996</v>
      </c>
      <c r="J2964" s="4"/>
      <c r="K2964" s="38">
        <f t="shared" si="139"/>
        <v>0</v>
      </c>
    </row>
    <row r="2965" spans="1:11">
      <c r="A2965" t="s">
        <v>4996</v>
      </c>
      <c r="B2965" t="s">
        <v>10176</v>
      </c>
      <c r="C2965" t="s">
        <v>5925</v>
      </c>
      <c r="D2965" t="s">
        <v>10726</v>
      </c>
      <c r="E2965">
        <v>20510.43</v>
      </c>
      <c r="G2965" s="35"/>
      <c r="H2965" s="36">
        <f t="shared" si="140"/>
        <v>12921.570900000001</v>
      </c>
      <c r="I2965" s="37">
        <f t="shared" si="138"/>
        <v>12921.570900000001</v>
      </c>
      <c r="J2965" s="4"/>
      <c r="K2965" s="38">
        <f t="shared" si="139"/>
        <v>0</v>
      </c>
    </row>
    <row r="2966" spans="1:11">
      <c r="A2966" t="s">
        <v>4997</v>
      </c>
      <c r="B2966" t="s">
        <v>10176</v>
      </c>
      <c r="C2966" t="s">
        <v>5925</v>
      </c>
      <c r="D2966" t="s">
        <v>10727</v>
      </c>
      <c r="E2966">
        <v>31540.880000000001</v>
      </c>
      <c r="G2966" s="35"/>
      <c r="H2966" s="36">
        <f t="shared" si="140"/>
        <v>19870.754400000002</v>
      </c>
      <c r="I2966" s="37">
        <f t="shared" si="138"/>
        <v>19870.754400000002</v>
      </c>
      <c r="J2966" s="4"/>
      <c r="K2966" s="38">
        <f t="shared" si="139"/>
        <v>0</v>
      </c>
    </row>
    <row r="2967" spans="1:11">
      <c r="A2967" t="s">
        <v>4998</v>
      </c>
      <c r="B2967" t="s">
        <v>10176</v>
      </c>
      <c r="C2967" t="s">
        <v>5925</v>
      </c>
      <c r="D2967" t="s">
        <v>10728</v>
      </c>
      <c r="E2967">
        <v>9882.26</v>
      </c>
      <c r="G2967" s="35"/>
      <c r="H2967" s="36">
        <f t="shared" si="140"/>
        <v>6225.8238000000001</v>
      </c>
      <c r="I2967" s="37">
        <f t="shared" si="138"/>
        <v>6225.8238000000001</v>
      </c>
      <c r="J2967" s="4"/>
      <c r="K2967" s="38">
        <f t="shared" si="139"/>
        <v>0</v>
      </c>
    </row>
    <row r="2968" spans="1:11">
      <c r="A2968" t="s">
        <v>4999</v>
      </c>
      <c r="B2968" t="s">
        <v>10176</v>
      </c>
      <c r="C2968" t="s">
        <v>5925</v>
      </c>
      <c r="D2968" t="s">
        <v>10729</v>
      </c>
      <c r="E2968">
        <v>19901.77</v>
      </c>
      <c r="G2968" s="35"/>
      <c r="H2968" s="36">
        <f t="shared" si="140"/>
        <v>12538.115100000001</v>
      </c>
      <c r="I2968" s="37">
        <f t="shared" si="138"/>
        <v>12538.115100000001</v>
      </c>
      <c r="J2968" s="4"/>
      <c r="K2968" s="38">
        <f t="shared" si="139"/>
        <v>0</v>
      </c>
    </row>
    <row r="2969" spans="1:11">
      <c r="A2969" t="s">
        <v>5000</v>
      </c>
      <c r="B2969" t="s">
        <v>10176</v>
      </c>
      <c r="C2969" t="s">
        <v>5925</v>
      </c>
      <c r="D2969" t="s">
        <v>10514</v>
      </c>
      <c r="E2969">
        <v>4987.0600000000004</v>
      </c>
      <c r="G2969" s="35"/>
      <c r="H2969" s="36">
        <f t="shared" si="140"/>
        <v>3141.8478000000005</v>
      </c>
      <c r="I2969" s="37">
        <f t="shared" si="138"/>
        <v>3141.8478000000005</v>
      </c>
      <c r="J2969" s="4"/>
      <c r="K2969" s="38">
        <f t="shared" si="139"/>
        <v>0</v>
      </c>
    </row>
    <row r="2970" spans="1:11">
      <c r="A2970" t="s">
        <v>5001</v>
      </c>
      <c r="B2970" t="s">
        <v>10176</v>
      </c>
      <c r="C2970" t="s">
        <v>5925</v>
      </c>
      <c r="D2970" t="s">
        <v>10730</v>
      </c>
      <c r="E2970">
        <v>32892.82</v>
      </c>
      <c r="G2970" s="35"/>
      <c r="H2970" s="36">
        <f t="shared" si="140"/>
        <v>20722.476600000002</v>
      </c>
      <c r="I2970" s="37">
        <f t="shared" si="138"/>
        <v>20722.476600000002</v>
      </c>
      <c r="J2970" s="4"/>
      <c r="K2970" s="38">
        <f t="shared" si="139"/>
        <v>0</v>
      </c>
    </row>
    <row r="2971" spans="1:11">
      <c r="A2971" t="s">
        <v>4411</v>
      </c>
      <c r="B2971" t="s">
        <v>10176</v>
      </c>
      <c r="C2971" t="s">
        <v>5740</v>
      </c>
      <c r="D2971" t="s">
        <v>10588</v>
      </c>
      <c r="E2971">
        <v>9937.24</v>
      </c>
      <c r="G2971" s="35"/>
      <c r="H2971" s="36">
        <f t="shared" si="140"/>
        <v>6260.4611999999997</v>
      </c>
      <c r="I2971" s="37">
        <f t="shared" si="138"/>
        <v>6260.4611999999997</v>
      </c>
      <c r="J2971" s="4"/>
      <c r="K2971" s="38">
        <f t="shared" si="139"/>
        <v>0</v>
      </c>
    </row>
    <row r="2972" spans="1:11">
      <c r="A2972" t="s">
        <v>4412</v>
      </c>
      <c r="B2972" t="s">
        <v>10176</v>
      </c>
      <c r="C2972" t="s">
        <v>5740</v>
      </c>
      <c r="D2972" t="s">
        <v>10589</v>
      </c>
      <c r="E2972">
        <v>12125.96</v>
      </c>
      <c r="G2972" s="35"/>
      <c r="H2972" s="36">
        <f t="shared" si="140"/>
        <v>7639.3547999999992</v>
      </c>
      <c r="I2972" s="37">
        <f t="shared" si="138"/>
        <v>7639.3547999999992</v>
      </c>
      <c r="J2972" s="4"/>
      <c r="K2972" s="38">
        <f t="shared" si="139"/>
        <v>0</v>
      </c>
    </row>
    <row r="2973" spans="1:11">
      <c r="A2973" t="s">
        <v>4413</v>
      </c>
      <c r="B2973" t="s">
        <v>10176</v>
      </c>
      <c r="C2973" t="s">
        <v>5740</v>
      </c>
      <c r="D2973" t="s">
        <v>10590</v>
      </c>
      <c r="E2973">
        <v>19854.830000000002</v>
      </c>
      <c r="G2973" s="35"/>
      <c r="H2973" s="36">
        <f t="shared" si="140"/>
        <v>12508.5429</v>
      </c>
      <c r="I2973" s="37">
        <f t="shared" si="138"/>
        <v>12508.5429</v>
      </c>
      <c r="J2973" s="4"/>
      <c r="K2973" s="38">
        <f t="shared" si="139"/>
        <v>0</v>
      </c>
    </row>
    <row r="2974" spans="1:11">
      <c r="A2974" t="s">
        <v>4414</v>
      </c>
      <c r="B2974" t="s">
        <v>10176</v>
      </c>
      <c r="C2974" t="s">
        <v>5740</v>
      </c>
      <c r="D2974" t="s">
        <v>10275</v>
      </c>
      <c r="E2974">
        <v>25452.77</v>
      </c>
      <c r="G2974" s="35"/>
      <c r="H2974" s="36">
        <f t="shared" si="140"/>
        <v>16035.2451</v>
      </c>
      <c r="I2974" s="37">
        <f t="shared" si="138"/>
        <v>16035.2451</v>
      </c>
      <c r="J2974" s="4"/>
      <c r="K2974" s="38">
        <f t="shared" si="139"/>
        <v>0</v>
      </c>
    </row>
    <row r="2975" spans="1:11">
      <c r="A2975" t="s">
        <v>4415</v>
      </c>
      <c r="B2975" t="s">
        <v>10176</v>
      </c>
      <c r="C2975" t="s">
        <v>5740</v>
      </c>
      <c r="D2975" t="s">
        <v>10272</v>
      </c>
      <c r="E2975">
        <v>9937.24</v>
      </c>
      <c r="G2975" s="35"/>
      <c r="H2975" s="36">
        <f t="shared" si="140"/>
        <v>6260.4611999999997</v>
      </c>
      <c r="I2975" s="37">
        <f t="shared" si="138"/>
        <v>6260.4611999999997</v>
      </c>
      <c r="J2975" s="4"/>
      <c r="K2975" s="38">
        <f t="shared" si="139"/>
        <v>0</v>
      </c>
    </row>
    <row r="2976" spans="1:11">
      <c r="A2976" t="s">
        <v>4416</v>
      </c>
      <c r="B2976" t="s">
        <v>10176</v>
      </c>
      <c r="C2976" t="s">
        <v>5740</v>
      </c>
      <c r="D2976" t="s">
        <v>10273</v>
      </c>
      <c r="E2976">
        <v>12125.96</v>
      </c>
      <c r="G2976" s="35"/>
      <c r="H2976" s="36">
        <f t="shared" si="140"/>
        <v>7639.3547999999992</v>
      </c>
      <c r="I2976" s="37">
        <f t="shared" si="138"/>
        <v>7639.3547999999992</v>
      </c>
      <c r="J2976" s="4"/>
      <c r="K2976" s="38">
        <f t="shared" si="139"/>
        <v>0</v>
      </c>
    </row>
    <row r="2977" spans="1:11">
      <c r="A2977" t="s">
        <v>4417</v>
      </c>
      <c r="B2977" t="s">
        <v>10176</v>
      </c>
      <c r="C2977" t="s">
        <v>5740</v>
      </c>
      <c r="D2977" t="s">
        <v>10274</v>
      </c>
      <c r="E2977">
        <v>19854.830000000002</v>
      </c>
      <c r="G2977" s="35"/>
      <c r="H2977" s="36">
        <f t="shared" si="140"/>
        <v>12508.5429</v>
      </c>
      <c r="I2977" s="37">
        <f t="shared" si="138"/>
        <v>12508.5429</v>
      </c>
      <c r="J2977" s="4"/>
      <c r="K2977" s="38">
        <f t="shared" si="139"/>
        <v>0</v>
      </c>
    </row>
    <row r="2978" spans="1:11">
      <c r="A2978" t="s">
        <v>4418</v>
      </c>
      <c r="B2978" t="s">
        <v>10176</v>
      </c>
      <c r="C2978" t="s">
        <v>5740</v>
      </c>
      <c r="D2978" t="s">
        <v>10276</v>
      </c>
      <c r="E2978">
        <v>5754.79</v>
      </c>
      <c r="G2978" s="35"/>
      <c r="H2978" s="36">
        <f t="shared" si="140"/>
        <v>3625.5176999999999</v>
      </c>
      <c r="I2978" s="37">
        <f t="shared" si="138"/>
        <v>3625.5176999999999</v>
      </c>
      <c r="J2978" s="4"/>
      <c r="K2978" s="38">
        <f t="shared" si="139"/>
        <v>0</v>
      </c>
    </row>
    <row r="2979" spans="1:11">
      <c r="A2979" t="s">
        <v>4419</v>
      </c>
      <c r="B2979" t="s">
        <v>10176</v>
      </c>
      <c r="C2979" t="s">
        <v>5740</v>
      </c>
      <c r="D2979" t="s">
        <v>10277</v>
      </c>
      <c r="E2979">
        <v>16487.16</v>
      </c>
      <c r="G2979" s="35"/>
      <c r="H2979" s="36">
        <f t="shared" si="140"/>
        <v>10386.9108</v>
      </c>
      <c r="I2979" s="37">
        <f t="shared" si="138"/>
        <v>10386.9108</v>
      </c>
      <c r="J2979" s="4"/>
      <c r="K2979" s="38">
        <f t="shared" si="139"/>
        <v>0</v>
      </c>
    </row>
    <row r="2980" spans="1:11">
      <c r="A2980" t="s">
        <v>4420</v>
      </c>
      <c r="B2980" t="s">
        <v>10176</v>
      </c>
      <c r="C2980" t="s">
        <v>5740</v>
      </c>
      <c r="D2980" t="s">
        <v>10278</v>
      </c>
      <c r="E2980">
        <v>22897.43</v>
      </c>
      <c r="G2980" s="35"/>
      <c r="H2980" s="36">
        <f t="shared" si="140"/>
        <v>14425.3809</v>
      </c>
      <c r="I2980" s="37">
        <f t="shared" si="138"/>
        <v>14425.3809</v>
      </c>
      <c r="J2980" s="4"/>
      <c r="K2980" s="38">
        <f t="shared" si="139"/>
        <v>0</v>
      </c>
    </row>
    <row r="2981" spans="1:11">
      <c r="A2981" t="s">
        <v>4532</v>
      </c>
      <c r="B2981" t="s">
        <v>10176</v>
      </c>
      <c r="C2981" t="s">
        <v>5754</v>
      </c>
      <c r="D2981" t="s">
        <v>10338</v>
      </c>
      <c r="E2981">
        <v>42877.24</v>
      </c>
      <c r="G2981" s="35"/>
      <c r="H2981" s="36">
        <f t="shared" si="140"/>
        <v>27012.661199999999</v>
      </c>
      <c r="I2981" s="37">
        <f t="shared" si="138"/>
        <v>27012.661199999999</v>
      </c>
      <c r="J2981" s="4"/>
      <c r="K2981" s="38">
        <f t="shared" si="139"/>
        <v>0</v>
      </c>
    </row>
    <row r="2982" spans="1:11">
      <c r="A2982" t="s">
        <v>4533</v>
      </c>
      <c r="B2982" t="s">
        <v>10176</v>
      </c>
      <c r="C2982" t="s">
        <v>5754</v>
      </c>
      <c r="D2982" t="s">
        <v>10339</v>
      </c>
      <c r="E2982">
        <v>44662.91</v>
      </c>
      <c r="G2982" s="35"/>
      <c r="H2982" s="36">
        <f t="shared" si="140"/>
        <v>28137.633300000001</v>
      </c>
      <c r="I2982" s="37">
        <f t="shared" si="138"/>
        <v>28137.633300000001</v>
      </c>
      <c r="J2982" s="4"/>
      <c r="K2982" s="38">
        <f t="shared" si="139"/>
        <v>0</v>
      </c>
    </row>
    <row r="2983" spans="1:11">
      <c r="A2983" t="s">
        <v>4534</v>
      </c>
      <c r="B2983" t="s">
        <v>10176</v>
      </c>
      <c r="C2983" t="s">
        <v>5754</v>
      </c>
      <c r="D2983" t="s">
        <v>10340</v>
      </c>
      <c r="E2983">
        <v>50045.29</v>
      </c>
      <c r="G2983" s="35"/>
      <c r="H2983" s="36">
        <f t="shared" si="140"/>
        <v>31528.5327</v>
      </c>
      <c r="I2983" s="37">
        <f t="shared" si="138"/>
        <v>31528.5327</v>
      </c>
      <c r="J2983" s="4"/>
      <c r="K2983" s="38">
        <f t="shared" si="139"/>
        <v>0</v>
      </c>
    </row>
    <row r="2984" spans="1:11">
      <c r="A2984" t="s">
        <v>4568</v>
      </c>
      <c r="B2984" t="s">
        <v>10176</v>
      </c>
      <c r="C2984" t="s">
        <v>5762</v>
      </c>
      <c r="D2984" t="s">
        <v>10369</v>
      </c>
      <c r="E2984">
        <v>55523.69</v>
      </c>
      <c r="G2984" s="35"/>
      <c r="H2984" s="36">
        <f t="shared" si="140"/>
        <v>34979.924700000003</v>
      </c>
      <c r="I2984" s="37">
        <f t="shared" si="138"/>
        <v>34979.924700000003</v>
      </c>
      <c r="J2984" s="4"/>
      <c r="K2984" s="38">
        <f t="shared" si="139"/>
        <v>0</v>
      </c>
    </row>
    <row r="2985" spans="1:11">
      <c r="A2985" t="s">
        <v>4571</v>
      </c>
      <c r="B2985" t="s">
        <v>10176</v>
      </c>
      <c r="C2985" t="s">
        <v>5762</v>
      </c>
      <c r="D2985" t="s">
        <v>10372</v>
      </c>
      <c r="E2985">
        <v>52398.79</v>
      </c>
      <c r="G2985" s="35"/>
      <c r="H2985" s="36">
        <f t="shared" si="140"/>
        <v>33011.237699999998</v>
      </c>
      <c r="I2985" s="37">
        <f t="shared" si="138"/>
        <v>33011.237699999998</v>
      </c>
      <c r="J2985" s="4"/>
      <c r="K2985" s="38">
        <f t="shared" si="139"/>
        <v>0</v>
      </c>
    </row>
    <row r="2986" spans="1:11">
      <c r="A2986" t="s">
        <v>4569</v>
      </c>
      <c r="B2986" t="s">
        <v>10176</v>
      </c>
      <c r="C2986" t="s">
        <v>5762</v>
      </c>
      <c r="D2986" t="s">
        <v>10370</v>
      </c>
      <c r="E2986">
        <v>65129.57</v>
      </c>
      <c r="G2986" s="35"/>
      <c r="H2986" s="36">
        <f t="shared" si="140"/>
        <v>41031.629099999998</v>
      </c>
      <c r="I2986" s="37">
        <f t="shared" si="138"/>
        <v>41031.629099999998</v>
      </c>
      <c r="J2986" s="4"/>
      <c r="K2986" s="38">
        <f t="shared" si="139"/>
        <v>0</v>
      </c>
    </row>
    <row r="2987" spans="1:11">
      <c r="A2987" t="s">
        <v>4570</v>
      </c>
      <c r="B2987" t="s">
        <v>10176</v>
      </c>
      <c r="C2987" t="s">
        <v>5762</v>
      </c>
      <c r="D2987" t="s">
        <v>10371</v>
      </c>
      <c r="E2987">
        <v>69328.399999999994</v>
      </c>
      <c r="G2987" s="35"/>
      <c r="H2987" s="36">
        <f t="shared" si="140"/>
        <v>43676.892</v>
      </c>
      <c r="I2987" s="37">
        <f t="shared" si="138"/>
        <v>43676.892</v>
      </c>
      <c r="J2987" s="4"/>
      <c r="K2987" s="38">
        <f t="shared" si="139"/>
        <v>0</v>
      </c>
    </row>
    <row r="2988" spans="1:11">
      <c r="A2988" t="s">
        <v>4572</v>
      </c>
      <c r="B2988" t="s">
        <v>10176</v>
      </c>
      <c r="C2988" t="s">
        <v>5762</v>
      </c>
      <c r="D2988" t="s">
        <v>10619</v>
      </c>
      <c r="E2988">
        <v>65061.65</v>
      </c>
      <c r="G2988" s="35"/>
      <c r="H2988" s="36">
        <f t="shared" si="140"/>
        <v>40988.839500000002</v>
      </c>
      <c r="I2988" s="37">
        <f t="shared" si="138"/>
        <v>40988.839500000002</v>
      </c>
      <c r="J2988" s="4"/>
      <c r="K2988" s="38">
        <f t="shared" si="139"/>
        <v>0</v>
      </c>
    </row>
    <row r="2989" spans="1:11">
      <c r="A2989" t="s">
        <v>4573</v>
      </c>
      <c r="B2989" t="s">
        <v>10176</v>
      </c>
      <c r="C2989" t="s">
        <v>5762</v>
      </c>
      <c r="D2989" t="s">
        <v>11386</v>
      </c>
      <c r="E2989">
        <v>21156.25</v>
      </c>
      <c r="G2989" s="35"/>
      <c r="H2989" s="36">
        <f t="shared" si="140"/>
        <v>13328.4375</v>
      </c>
      <c r="I2989" s="37">
        <f t="shared" si="138"/>
        <v>13328.4375</v>
      </c>
      <c r="J2989" s="4"/>
      <c r="K2989" s="38">
        <f t="shared" si="139"/>
        <v>0</v>
      </c>
    </row>
    <row r="2990" spans="1:11">
      <c r="A2990" t="s">
        <v>4574</v>
      </c>
      <c r="B2990" t="s">
        <v>10176</v>
      </c>
      <c r="C2990" t="s">
        <v>5762</v>
      </c>
      <c r="D2990" t="s">
        <v>11387</v>
      </c>
      <c r="E2990">
        <v>23541.26</v>
      </c>
      <c r="G2990" s="35"/>
      <c r="H2990" s="36">
        <f t="shared" si="140"/>
        <v>14830.993799999998</v>
      </c>
      <c r="I2990" s="37">
        <f t="shared" si="138"/>
        <v>14830.993799999998</v>
      </c>
      <c r="J2990" s="4"/>
      <c r="K2990" s="38">
        <f t="shared" si="139"/>
        <v>0</v>
      </c>
    </row>
    <row r="2991" spans="1:11">
      <c r="A2991" t="s">
        <v>4575</v>
      </c>
      <c r="B2991" t="s">
        <v>10176</v>
      </c>
      <c r="C2991" t="s">
        <v>5762</v>
      </c>
      <c r="D2991" t="s">
        <v>11388</v>
      </c>
      <c r="E2991">
        <v>23926.82</v>
      </c>
      <c r="G2991" s="35"/>
      <c r="H2991" s="36">
        <f t="shared" si="140"/>
        <v>15073.8966</v>
      </c>
      <c r="I2991" s="37">
        <f t="shared" si="138"/>
        <v>15073.8966</v>
      </c>
      <c r="J2991" s="4"/>
      <c r="K2991" s="38">
        <f t="shared" si="139"/>
        <v>0</v>
      </c>
    </row>
    <row r="2992" spans="1:11">
      <c r="A2992" t="s">
        <v>4576</v>
      </c>
      <c r="B2992" t="s">
        <v>10176</v>
      </c>
      <c r="C2992" t="s">
        <v>5762</v>
      </c>
      <c r="D2992" t="s">
        <v>11389</v>
      </c>
      <c r="E2992">
        <v>24064.62</v>
      </c>
      <c r="G2992" s="35"/>
      <c r="H2992" s="36">
        <f t="shared" si="140"/>
        <v>15160.7106</v>
      </c>
      <c r="I2992" s="37">
        <f t="shared" si="138"/>
        <v>15160.7106</v>
      </c>
      <c r="J2992" s="4"/>
      <c r="K2992" s="38">
        <f t="shared" si="139"/>
        <v>0</v>
      </c>
    </row>
    <row r="2993" spans="1:11">
      <c r="A2993" t="s">
        <v>4577</v>
      </c>
      <c r="B2993" t="s">
        <v>10176</v>
      </c>
      <c r="C2993" t="s">
        <v>5762</v>
      </c>
      <c r="D2993" t="s">
        <v>10373</v>
      </c>
      <c r="E2993">
        <v>63406.96</v>
      </c>
      <c r="G2993" s="35"/>
      <c r="H2993" s="36">
        <f t="shared" si="140"/>
        <v>39946.3848</v>
      </c>
      <c r="I2993" s="37">
        <f t="shared" si="138"/>
        <v>39946.3848</v>
      </c>
      <c r="J2993" s="4"/>
      <c r="K2993" s="38">
        <f t="shared" si="139"/>
        <v>0</v>
      </c>
    </row>
    <row r="2994" spans="1:11">
      <c r="A2994" t="s">
        <v>4578</v>
      </c>
      <c r="B2994" t="s">
        <v>10176</v>
      </c>
      <c r="C2994" t="s">
        <v>5762</v>
      </c>
      <c r="D2994" t="s">
        <v>10374</v>
      </c>
      <c r="E2994">
        <v>46224.92</v>
      </c>
      <c r="G2994" s="35"/>
      <c r="H2994" s="36">
        <f t="shared" si="140"/>
        <v>29121.6996</v>
      </c>
      <c r="I2994" s="37">
        <f t="shared" si="138"/>
        <v>29121.6996</v>
      </c>
      <c r="J2994" s="4"/>
      <c r="K2994" s="38">
        <f t="shared" si="139"/>
        <v>0</v>
      </c>
    </row>
    <row r="2995" spans="1:11">
      <c r="A2995" t="s">
        <v>4579</v>
      </c>
      <c r="B2995" t="s">
        <v>10176</v>
      </c>
      <c r="C2995" t="s">
        <v>5762</v>
      </c>
      <c r="D2995" t="s">
        <v>11390</v>
      </c>
      <c r="E2995">
        <v>35839.57</v>
      </c>
      <c r="G2995" s="35"/>
      <c r="H2995" s="36">
        <f t="shared" si="140"/>
        <v>22578.929100000001</v>
      </c>
      <c r="I2995" s="37">
        <f t="shared" si="138"/>
        <v>22578.929100000001</v>
      </c>
      <c r="J2995" s="4"/>
      <c r="K2995" s="38">
        <f t="shared" si="139"/>
        <v>0</v>
      </c>
    </row>
    <row r="2996" spans="1:11">
      <c r="A2996" t="s">
        <v>4584</v>
      </c>
      <c r="B2996" t="s">
        <v>10176</v>
      </c>
      <c r="C2996" t="s">
        <v>5762</v>
      </c>
      <c r="D2996" t="s">
        <v>10379</v>
      </c>
      <c r="E2996">
        <v>27318.63</v>
      </c>
      <c r="G2996" s="35"/>
      <c r="H2996" s="36">
        <f t="shared" si="140"/>
        <v>17210.7369</v>
      </c>
      <c r="I2996" s="37">
        <f t="shared" si="138"/>
        <v>17210.7369</v>
      </c>
      <c r="J2996" s="4"/>
      <c r="K2996" s="38">
        <f t="shared" si="139"/>
        <v>0</v>
      </c>
    </row>
    <row r="2997" spans="1:11">
      <c r="A2997" t="s">
        <v>4585</v>
      </c>
      <c r="B2997" t="s">
        <v>10176</v>
      </c>
      <c r="C2997" t="s">
        <v>5762</v>
      </c>
      <c r="D2997" t="s">
        <v>10380</v>
      </c>
      <c r="E2997">
        <v>37818.239999999998</v>
      </c>
      <c r="G2997" s="35"/>
      <c r="H2997" s="36">
        <f t="shared" si="140"/>
        <v>23825.4912</v>
      </c>
      <c r="I2997" s="37">
        <f t="shared" si="138"/>
        <v>23825.4912</v>
      </c>
      <c r="J2997" s="4"/>
      <c r="K2997" s="38">
        <f t="shared" si="139"/>
        <v>0</v>
      </c>
    </row>
    <row r="2998" spans="1:11">
      <c r="A2998" t="s">
        <v>4580</v>
      </c>
      <c r="B2998" t="s">
        <v>10176</v>
      </c>
      <c r="C2998" t="s">
        <v>5762</v>
      </c>
      <c r="D2998" t="s">
        <v>10375</v>
      </c>
      <c r="E2998">
        <v>21072.38</v>
      </c>
      <c r="G2998" s="35"/>
      <c r="H2998" s="36">
        <f t="shared" si="140"/>
        <v>13275.599400000001</v>
      </c>
      <c r="I2998" s="37">
        <f t="shared" si="138"/>
        <v>13275.599400000001</v>
      </c>
      <c r="J2998" s="4"/>
      <c r="K2998" s="38">
        <f t="shared" si="139"/>
        <v>0</v>
      </c>
    </row>
    <row r="2999" spans="1:11">
      <c r="A2999" t="s">
        <v>4581</v>
      </c>
      <c r="B2999" t="s">
        <v>10176</v>
      </c>
      <c r="C2999" t="s">
        <v>5762</v>
      </c>
      <c r="D2999" t="s">
        <v>10376</v>
      </c>
      <c r="E2999">
        <v>24821.439999999999</v>
      </c>
      <c r="G2999" s="35"/>
      <c r="H2999" s="36">
        <f t="shared" si="140"/>
        <v>15637.5072</v>
      </c>
      <c r="I2999" s="37">
        <f t="shared" si="138"/>
        <v>15637.5072</v>
      </c>
      <c r="J2999" s="4"/>
      <c r="K2999" s="38">
        <f t="shared" si="139"/>
        <v>0</v>
      </c>
    </row>
    <row r="3000" spans="1:11">
      <c r="A3000" t="s">
        <v>4582</v>
      </c>
      <c r="B3000" t="s">
        <v>10176</v>
      </c>
      <c r="C3000" t="s">
        <v>5762</v>
      </c>
      <c r="D3000" t="s">
        <v>10377</v>
      </c>
      <c r="E3000">
        <v>40474.21</v>
      </c>
      <c r="G3000" s="35"/>
      <c r="H3000" s="36">
        <f t="shared" si="140"/>
        <v>25498.7523</v>
      </c>
      <c r="I3000" s="37">
        <f t="shared" si="138"/>
        <v>25498.7523</v>
      </c>
      <c r="J3000" s="4"/>
      <c r="K3000" s="38">
        <f t="shared" si="139"/>
        <v>0</v>
      </c>
    </row>
    <row r="3001" spans="1:11">
      <c r="A3001" t="s">
        <v>4583</v>
      </c>
      <c r="B3001" t="s">
        <v>10176</v>
      </c>
      <c r="C3001" t="s">
        <v>5762</v>
      </c>
      <c r="D3001" t="s">
        <v>10378</v>
      </c>
      <c r="E3001">
        <v>47264.03</v>
      </c>
      <c r="G3001" s="35"/>
      <c r="H3001" s="36">
        <f t="shared" si="140"/>
        <v>29776.338899999999</v>
      </c>
      <c r="I3001" s="37">
        <f t="shared" si="138"/>
        <v>29776.338899999999</v>
      </c>
      <c r="J3001" s="4"/>
      <c r="K3001" s="38">
        <f t="shared" si="139"/>
        <v>0</v>
      </c>
    </row>
    <row r="3002" spans="1:11">
      <c r="A3002" t="s">
        <v>5002</v>
      </c>
      <c r="B3002" t="s">
        <v>10176</v>
      </c>
      <c r="C3002" t="s">
        <v>5926</v>
      </c>
      <c r="D3002" t="s">
        <v>10731</v>
      </c>
      <c r="E3002">
        <v>27516.18</v>
      </c>
      <c r="G3002" s="35"/>
      <c r="H3002" s="36">
        <f t="shared" si="140"/>
        <v>17335.1934</v>
      </c>
      <c r="I3002" s="37">
        <f t="shared" si="138"/>
        <v>17335.1934</v>
      </c>
      <c r="J3002" s="4"/>
      <c r="K3002" s="38">
        <f t="shared" si="139"/>
        <v>0</v>
      </c>
    </row>
    <row r="3003" spans="1:11">
      <c r="A3003" t="s">
        <v>5003</v>
      </c>
      <c r="B3003" t="s">
        <v>10176</v>
      </c>
      <c r="C3003" t="s">
        <v>5927</v>
      </c>
      <c r="D3003" t="s">
        <v>10732</v>
      </c>
      <c r="E3003">
        <v>10464.540000000001</v>
      </c>
      <c r="G3003" s="35"/>
      <c r="H3003" s="36">
        <f t="shared" si="140"/>
        <v>6592.6602000000003</v>
      </c>
      <c r="I3003" s="37">
        <f t="shared" si="138"/>
        <v>6592.6602000000003</v>
      </c>
      <c r="J3003" s="4"/>
      <c r="K3003" s="38">
        <f t="shared" si="139"/>
        <v>0</v>
      </c>
    </row>
    <row r="3004" spans="1:11">
      <c r="A3004" t="s">
        <v>5004</v>
      </c>
      <c r="B3004" t="s">
        <v>10176</v>
      </c>
      <c r="C3004" t="s">
        <v>5927</v>
      </c>
      <c r="D3004" t="s">
        <v>10733</v>
      </c>
      <c r="E3004">
        <v>27813.39</v>
      </c>
      <c r="G3004" s="35"/>
      <c r="H3004" s="36">
        <f t="shared" si="140"/>
        <v>17522.435699999998</v>
      </c>
      <c r="I3004" s="37">
        <f t="shared" si="138"/>
        <v>17522.435699999998</v>
      </c>
      <c r="J3004" s="4"/>
      <c r="K3004" s="38">
        <f t="shared" si="139"/>
        <v>0</v>
      </c>
    </row>
    <row r="3005" spans="1:11">
      <c r="A3005" t="s">
        <v>5005</v>
      </c>
      <c r="B3005" t="s">
        <v>10176</v>
      </c>
      <c r="C3005" t="s">
        <v>5927</v>
      </c>
      <c r="D3005" t="s">
        <v>10734</v>
      </c>
      <c r="E3005">
        <v>9705.9</v>
      </c>
      <c r="G3005" s="35"/>
      <c r="H3005" s="36">
        <f t="shared" si="140"/>
        <v>6114.7169999999996</v>
      </c>
      <c r="I3005" s="37">
        <f t="shared" si="138"/>
        <v>6114.7169999999996</v>
      </c>
      <c r="J3005" s="4"/>
      <c r="K3005" s="38">
        <f t="shared" si="139"/>
        <v>0</v>
      </c>
    </row>
    <row r="3006" spans="1:11">
      <c r="A3006" t="s">
        <v>5006</v>
      </c>
      <c r="B3006" t="s">
        <v>10176</v>
      </c>
      <c r="C3006" t="s">
        <v>5927</v>
      </c>
      <c r="D3006" t="s">
        <v>10735</v>
      </c>
      <c r="E3006">
        <v>13809.82</v>
      </c>
      <c r="G3006" s="35"/>
      <c r="H3006" s="36">
        <f t="shared" si="140"/>
        <v>8700.1865999999991</v>
      </c>
      <c r="I3006" s="37">
        <f t="shared" si="138"/>
        <v>8700.1865999999991</v>
      </c>
      <c r="J3006" s="4"/>
      <c r="K3006" s="38">
        <f t="shared" si="139"/>
        <v>0</v>
      </c>
    </row>
    <row r="3007" spans="1:11">
      <c r="A3007" t="s">
        <v>5007</v>
      </c>
      <c r="B3007" t="s">
        <v>10176</v>
      </c>
      <c r="C3007" t="s">
        <v>5927</v>
      </c>
      <c r="D3007" t="s">
        <v>10736</v>
      </c>
      <c r="E3007">
        <v>9929.19</v>
      </c>
      <c r="G3007" s="35"/>
      <c r="H3007" s="36">
        <f t="shared" si="140"/>
        <v>6255.3897000000006</v>
      </c>
      <c r="I3007" s="37">
        <f t="shared" si="138"/>
        <v>6255.3897000000006</v>
      </c>
      <c r="J3007" s="4"/>
      <c r="K3007" s="38">
        <f t="shared" si="139"/>
        <v>0</v>
      </c>
    </row>
    <row r="3008" spans="1:11">
      <c r="A3008" t="s">
        <v>5008</v>
      </c>
      <c r="B3008" t="s">
        <v>10176</v>
      </c>
      <c r="C3008" t="s">
        <v>5927</v>
      </c>
      <c r="D3008" t="s">
        <v>10737</v>
      </c>
      <c r="E3008">
        <v>4107.5600000000004</v>
      </c>
      <c r="G3008" s="35"/>
      <c r="H3008" s="36">
        <f t="shared" si="140"/>
        <v>2587.7628000000004</v>
      </c>
      <c r="I3008" s="37">
        <f t="shared" si="138"/>
        <v>2587.7628000000004</v>
      </c>
      <c r="J3008" s="4"/>
      <c r="K3008" s="38">
        <f t="shared" si="139"/>
        <v>0</v>
      </c>
    </row>
    <row r="3009" spans="1:11">
      <c r="A3009" t="s">
        <v>5009</v>
      </c>
      <c r="B3009" t="s">
        <v>10176</v>
      </c>
      <c r="C3009" t="s">
        <v>5927</v>
      </c>
      <c r="D3009" t="s">
        <v>10738</v>
      </c>
      <c r="E3009">
        <v>4107.5600000000004</v>
      </c>
      <c r="G3009" s="35"/>
      <c r="H3009" s="36">
        <f t="shared" si="140"/>
        <v>2587.7628000000004</v>
      </c>
      <c r="I3009" s="37">
        <f t="shared" si="138"/>
        <v>2587.7628000000004</v>
      </c>
      <c r="J3009" s="4"/>
      <c r="K3009" s="38">
        <f t="shared" si="139"/>
        <v>0</v>
      </c>
    </row>
    <row r="3010" spans="1:11">
      <c r="A3010" t="s">
        <v>5010</v>
      </c>
      <c r="B3010" t="s">
        <v>10176</v>
      </c>
      <c r="C3010" t="s">
        <v>5927</v>
      </c>
      <c r="D3010" t="s">
        <v>10739</v>
      </c>
      <c r="E3010">
        <v>9929.19</v>
      </c>
      <c r="G3010" s="35"/>
      <c r="H3010" s="36">
        <f t="shared" si="140"/>
        <v>6255.3897000000006</v>
      </c>
      <c r="I3010" s="37">
        <f t="shared" si="138"/>
        <v>6255.3897000000006</v>
      </c>
      <c r="J3010" s="4"/>
      <c r="K3010" s="38">
        <f t="shared" si="139"/>
        <v>0</v>
      </c>
    </row>
    <row r="3011" spans="1:11">
      <c r="A3011" t="s">
        <v>5011</v>
      </c>
      <c r="B3011" t="s">
        <v>10176</v>
      </c>
      <c r="C3011" t="s">
        <v>5929</v>
      </c>
      <c r="D3011" t="s">
        <v>10740</v>
      </c>
      <c r="E3011">
        <v>54631.15</v>
      </c>
      <c r="G3011" s="35"/>
      <c r="H3011" s="36">
        <f t="shared" si="140"/>
        <v>34417.624499999998</v>
      </c>
      <c r="I3011" s="37">
        <f t="shared" si="138"/>
        <v>34417.624499999998</v>
      </c>
      <c r="J3011" s="4"/>
      <c r="K3011" s="38">
        <f t="shared" si="139"/>
        <v>0</v>
      </c>
    </row>
    <row r="3012" spans="1:11">
      <c r="A3012" t="s">
        <v>5012</v>
      </c>
      <c r="B3012" t="s">
        <v>10176</v>
      </c>
      <c r="C3012" t="s">
        <v>5929</v>
      </c>
      <c r="D3012" t="s">
        <v>10741</v>
      </c>
      <c r="E3012">
        <v>22959.35</v>
      </c>
      <c r="G3012" s="35"/>
      <c r="H3012" s="36">
        <f t="shared" si="140"/>
        <v>14464.3905</v>
      </c>
      <c r="I3012" s="37">
        <f t="shared" si="138"/>
        <v>14464.3905</v>
      </c>
      <c r="J3012" s="4"/>
      <c r="K3012" s="38">
        <f t="shared" si="139"/>
        <v>0</v>
      </c>
    </row>
    <row r="3013" spans="1:11">
      <c r="A3013" t="s">
        <v>5013</v>
      </c>
      <c r="B3013" t="s">
        <v>10176</v>
      </c>
      <c r="C3013" t="s">
        <v>5929</v>
      </c>
      <c r="D3013" t="s">
        <v>10742</v>
      </c>
      <c r="E3013">
        <v>22615.16</v>
      </c>
      <c r="G3013" s="35"/>
      <c r="H3013" s="36">
        <f t="shared" si="140"/>
        <v>14247.550800000001</v>
      </c>
      <c r="I3013" s="37">
        <f t="shared" si="138"/>
        <v>14247.550800000001</v>
      </c>
      <c r="J3013" s="4"/>
      <c r="K3013" s="38">
        <f t="shared" si="139"/>
        <v>0</v>
      </c>
    </row>
    <row r="3014" spans="1:11">
      <c r="A3014" t="s">
        <v>5014</v>
      </c>
      <c r="B3014" t="s">
        <v>10176</v>
      </c>
      <c r="C3014" t="s">
        <v>5929</v>
      </c>
      <c r="D3014" t="s">
        <v>10743</v>
      </c>
      <c r="E3014">
        <v>22615.16</v>
      </c>
      <c r="G3014" s="35"/>
      <c r="H3014" s="36">
        <f t="shared" si="140"/>
        <v>14247.550800000001</v>
      </c>
      <c r="I3014" s="37">
        <f t="shared" ref="I3014:I3077" si="141">H3014*$H$4</f>
        <v>14247.550800000001</v>
      </c>
      <c r="J3014" s="4"/>
      <c r="K3014" s="38">
        <f t="shared" ref="K3014:K3077" si="142">J3014*I3014</f>
        <v>0</v>
      </c>
    </row>
    <row r="3015" spans="1:11">
      <c r="A3015" t="s">
        <v>5015</v>
      </c>
      <c r="B3015" t="s">
        <v>10176</v>
      </c>
      <c r="C3015" t="s">
        <v>5929</v>
      </c>
      <c r="D3015" t="s">
        <v>5930</v>
      </c>
      <c r="E3015">
        <v>34583.68</v>
      </c>
      <c r="G3015" s="35"/>
      <c r="H3015" s="36">
        <f t="shared" ref="H3015:H3078" si="143">+E3015*$H$1*(1-G3015)</f>
        <v>21787.718400000002</v>
      </c>
      <c r="I3015" s="37">
        <f t="shared" si="141"/>
        <v>21787.718400000002</v>
      </c>
      <c r="J3015" s="4"/>
      <c r="K3015" s="38">
        <f t="shared" si="142"/>
        <v>0</v>
      </c>
    </row>
    <row r="3016" spans="1:11">
      <c r="A3016" t="s">
        <v>5016</v>
      </c>
      <c r="B3016" t="s">
        <v>10176</v>
      </c>
      <c r="C3016" t="s">
        <v>5929</v>
      </c>
      <c r="D3016" t="s">
        <v>10744</v>
      </c>
      <c r="E3016">
        <v>22615.16</v>
      </c>
      <c r="G3016" s="35"/>
      <c r="H3016" s="36">
        <f t="shared" si="143"/>
        <v>14247.550800000001</v>
      </c>
      <c r="I3016" s="37">
        <f t="shared" si="141"/>
        <v>14247.550800000001</v>
      </c>
      <c r="J3016" s="4"/>
      <c r="K3016" s="38">
        <f t="shared" si="142"/>
        <v>0</v>
      </c>
    </row>
    <row r="3017" spans="1:11">
      <c r="A3017" t="s">
        <v>5017</v>
      </c>
      <c r="B3017" t="s">
        <v>10176</v>
      </c>
      <c r="C3017" t="s">
        <v>5929</v>
      </c>
      <c r="D3017" t="s">
        <v>10515</v>
      </c>
      <c r="E3017">
        <v>223841.59</v>
      </c>
      <c r="G3017" s="35"/>
      <c r="H3017" s="36">
        <f t="shared" si="143"/>
        <v>141020.20170000001</v>
      </c>
      <c r="I3017" s="37">
        <f t="shared" si="141"/>
        <v>141020.20170000001</v>
      </c>
      <c r="J3017" s="4"/>
      <c r="K3017" s="38">
        <f t="shared" si="142"/>
        <v>0</v>
      </c>
    </row>
    <row r="3018" spans="1:11">
      <c r="A3018" t="s">
        <v>5018</v>
      </c>
      <c r="B3018" t="s">
        <v>10176</v>
      </c>
      <c r="C3018" t="s">
        <v>5929</v>
      </c>
      <c r="D3018" t="s">
        <v>10745</v>
      </c>
      <c r="E3018">
        <v>335839.46</v>
      </c>
      <c r="G3018" s="35"/>
      <c r="H3018" s="36">
        <f t="shared" si="143"/>
        <v>211578.85980000001</v>
      </c>
      <c r="I3018" s="37">
        <f t="shared" si="141"/>
        <v>211578.85980000001</v>
      </c>
      <c r="J3018" s="4"/>
      <c r="K3018" s="38">
        <f t="shared" si="142"/>
        <v>0</v>
      </c>
    </row>
    <row r="3019" spans="1:11">
      <c r="A3019" t="s">
        <v>5019</v>
      </c>
      <c r="B3019" t="s">
        <v>10176</v>
      </c>
      <c r="C3019" t="s">
        <v>5929</v>
      </c>
      <c r="D3019" t="s">
        <v>10516</v>
      </c>
      <c r="E3019">
        <v>88211.82</v>
      </c>
      <c r="G3019" s="35"/>
      <c r="H3019" s="36">
        <f t="shared" si="143"/>
        <v>55573.446600000003</v>
      </c>
      <c r="I3019" s="37">
        <f t="shared" si="141"/>
        <v>55573.446600000003</v>
      </c>
      <c r="J3019" s="4"/>
      <c r="K3019" s="38">
        <f t="shared" si="142"/>
        <v>0</v>
      </c>
    </row>
    <row r="3020" spans="1:11">
      <c r="A3020" t="s">
        <v>5020</v>
      </c>
      <c r="B3020" t="s">
        <v>10176</v>
      </c>
      <c r="C3020" t="s">
        <v>5929</v>
      </c>
      <c r="D3020" t="s">
        <v>10517</v>
      </c>
      <c r="E3020">
        <v>104425.69</v>
      </c>
      <c r="G3020" s="35"/>
      <c r="H3020" s="36">
        <f t="shared" si="143"/>
        <v>65788.184699999998</v>
      </c>
      <c r="I3020" s="37">
        <f t="shared" si="141"/>
        <v>65788.184699999998</v>
      </c>
      <c r="J3020" s="4"/>
      <c r="K3020" s="38">
        <f t="shared" si="142"/>
        <v>0</v>
      </c>
    </row>
    <row r="3021" spans="1:11">
      <c r="A3021" t="s">
        <v>9848</v>
      </c>
      <c r="B3021" t="s">
        <v>10176</v>
      </c>
      <c r="C3021" t="s">
        <v>5929</v>
      </c>
      <c r="D3021" t="s">
        <v>10746</v>
      </c>
      <c r="E3021">
        <v>50068.53</v>
      </c>
      <c r="G3021" s="35"/>
      <c r="H3021" s="36">
        <f t="shared" si="143"/>
        <v>31543.173899999998</v>
      </c>
      <c r="I3021" s="37">
        <f t="shared" si="141"/>
        <v>31543.173899999998</v>
      </c>
      <c r="J3021" s="4"/>
      <c r="K3021" s="38">
        <f t="shared" si="142"/>
        <v>0</v>
      </c>
    </row>
    <row r="3022" spans="1:11">
      <c r="A3022" t="s">
        <v>5021</v>
      </c>
      <c r="B3022" t="s">
        <v>10176</v>
      </c>
      <c r="C3022" t="s">
        <v>5929</v>
      </c>
      <c r="D3022" t="s">
        <v>10747</v>
      </c>
      <c r="E3022">
        <v>79232.27</v>
      </c>
      <c r="G3022" s="35"/>
      <c r="H3022" s="36">
        <f t="shared" si="143"/>
        <v>49916.330100000006</v>
      </c>
      <c r="I3022" s="37">
        <f t="shared" si="141"/>
        <v>49916.330100000006</v>
      </c>
      <c r="J3022" s="4"/>
      <c r="K3022" s="38">
        <f t="shared" si="142"/>
        <v>0</v>
      </c>
    </row>
    <row r="3023" spans="1:11">
      <c r="A3023" t="s">
        <v>5022</v>
      </c>
      <c r="B3023" t="s">
        <v>10176</v>
      </c>
      <c r="C3023" t="s">
        <v>5929</v>
      </c>
      <c r="D3023" t="s">
        <v>10518</v>
      </c>
      <c r="E3023">
        <v>203944.05</v>
      </c>
      <c r="G3023" s="35"/>
      <c r="H3023" s="36">
        <f t="shared" si="143"/>
        <v>128484.7515</v>
      </c>
      <c r="I3023" s="37">
        <f t="shared" si="141"/>
        <v>128484.7515</v>
      </c>
      <c r="J3023" s="4"/>
      <c r="K3023" s="38">
        <f t="shared" si="142"/>
        <v>0</v>
      </c>
    </row>
    <row r="3024" spans="1:11">
      <c r="A3024" t="s">
        <v>5023</v>
      </c>
      <c r="B3024" t="s">
        <v>10176</v>
      </c>
      <c r="C3024" t="s">
        <v>5929</v>
      </c>
      <c r="D3024" t="s">
        <v>10519</v>
      </c>
      <c r="E3024">
        <v>22959.35</v>
      </c>
      <c r="G3024" s="35"/>
      <c r="H3024" s="36">
        <f t="shared" si="143"/>
        <v>14464.3905</v>
      </c>
      <c r="I3024" s="37">
        <f t="shared" si="141"/>
        <v>14464.3905</v>
      </c>
      <c r="J3024" s="4"/>
      <c r="K3024" s="38">
        <f t="shared" si="142"/>
        <v>0</v>
      </c>
    </row>
    <row r="3025" spans="1:11">
      <c r="A3025" t="s">
        <v>12298</v>
      </c>
      <c r="B3025" t="s">
        <v>10176</v>
      </c>
      <c r="C3025" t="s">
        <v>5929</v>
      </c>
      <c r="D3025" t="s">
        <v>12299</v>
      </c>
      <c r="E3025">
        <v>12956.74</v>
      </c>
      <c r="G3025" s="35"/>
      <c r="H3025" s="36">
        <f t="shared" si="143"/>
        <v>8162.7461999999996</v>
      </c>
      <c r="I3025" s="37">
        <f t="shared" si="141"/>
        <v>8162.7461999999996</v>
      </c>
      <c r="J3025" s="4"/>
      <c r="K3025" s="38">
        <f t="shared" si="142"/>
        <v>0</v>
      </c>
    </row>
    <row r="3026" spans="1:11">
      <c r="A3026" t="s">
        <v>5024</v>
      </c>
      <c r="B3026" t="s">
        <v>10176</v>
      </c>
      <c r="C3026" t="s">
        <v>5929</v>
      </c>
      <c r="D3026" t="s">
        <v>10520</v>
      </c>
      <c r="E3026">
        <v>17096.53</v>
      </c>
      <c r="G3026" s="35"/>
      <c r="H3026" s="36">
        <f t="shared" si="143"/>
        <v>10770.813899999999</v>
      </c>
      <c r="I3026" s="37">
        <f t="shared" si="141"/>
        <v>10770.813899999999</v>
      </c>
      <c r="J3026" s="4"/>
      <c r="K3026" s="38">
        <f t="shared" si="142"/>
        <v>0</v>
      </c>
    </row>
    <row r="3027" spans="1:11">
      <c r="A3027" t="s">
        <v>5025</v>
      </c>
      <c r="B3027" t="s">
        <v>10176</v>
      </c>
      <c r="C3027" t="s">
        <v>5929</v>
      </c>
      <c r="D3027" t="s">
        <v>10521</v>
      </c>
      <c r="E3027">
        <v>22032.89</v>
      </c>
      <c r="G3027" s="35"/>
      <c r="H3027" s="36">
        <f t="shared" si="143"/>
        <v>13880.7207</v>
      </c>
      <c r="I3027" s="37">
        <f t="shared" si="141"/>
        <v>13880.7207</v>
      </c>
      <c r="J3027" s="4"/>
      <c r="K3027" s="38">
        <f t="shared" si="142"/>
        <v>0</v>
      </c>
    </row>
    <row r="3028" spans="1:11">
      <c r="A3028" t="s">
        <v>5026</v>
      </c>
      <c r="B3028" t="s">
        <v>10176</v>
      </c>
      <c r="C3028" t="s">
        <v>5929</v>
      </c>
      <c r="D3028" t="s">
        <v>10748</v>
      </c>
      <c r="E3028">
        <v>23146.76</v>
      </c>
      <c r="G3028" s="35"/>
      <c r="H3028" s="36">
        <f t="shared" si="143"/>
        <v>14582.458799999999</v>
      </c>
      <c r="I3028" s="37">
        <f t="shared" si="141"/>
        <v>14582.458799999999</v>
      </c>
      <c r="J3028" s="4"/>
      <c r="K3028" s="38">
        <f t="shared" si="142"/>
        <v>0</v>
      </c>
    </row>
    <row r="3029" spans="1:11">
      <c r="A3029" t="s">
        <v>5027</v>
      </c>
      <c r="B3029" t="s">
        <v>10176</v>
      </c>
      <c r="C3029" t="s">
        <v>5929</v>
      </c>
      <c r="D3029" t="s">
        <v>10749</v>
      </c>
      <c r="E3029">
        <v>45984.17</v>
      </c>
      <c r="G3029" s="35"/>
      <c r="H3029" s="36">
        <f t="shared" si="143"/>
        <v>28970.027099999999</v>
      </c>
      <c r="I3029" s="37">
        <f t="shared" si="141"/>
        <v>28970.027099999999</v>
      </c>
      <c r="J3029" s="4"/>
      <c r="K3029" s="38">
        <f t="shared" si="142"/>
        <v>0</v>
      </c>
    </row>
    <row r="3030" spans="1:11">
      <c r="A3030" t="s">
        <v>11764</v>
      </c>
      <c r="B3030" t="s">
        <v>10176</v>
      </c>
      <c r="C3030" t="s">
        <v>5929</v>
      </c>
      <c r="D3030" t="s">
        <v>11765</v>
      </c>
      <c r="E3030">
        <v>45984.17</v>
      </c>
      <c r="G3030" s="35"/>
      <c r="H3030" s="36">
        <f t="shared" si="143"/>
        <v>28970.027099999999</v>
      </c>
      <c r="I3030" s="37">
        <f t="shared" si="141"/>
        <v>28970.027099999999</v>
      </c>
      <c r="J3030" s="4"/>
      <c r="K3030" s="38">
        <f t="shared" si="142"/>
        <v>0</v>
      </c>
    </row>
    <row r="3031" spans="1:11">
      <c r="A3031" t="s">
        <v>13115</v>
      </c>
      <c r="B3031" t="s">
        <v>10176</v>
      </c>
      <c r="C3031" t="s">
        <v>5929</v>
      </c>
      <c r="D3031" t="s">
        <v>13116</v>
      </c>
      <c r="E3031">
        <v>4340.97</v>
      </c>
      <c r="G3031" s="35"/>
      <c r="H3031" s="36">
        <f t="shared" si="143"/>
        <v>2734.8111000000004</v>
      </c>
      <c r="I3031" s="37">
        <f t="shared" si="141"/>
        <v>2734.8111000000004</v>
      </c>
      <c r="J3031" s="4"/>
      <c r="K3031" s="38">
        <f t="shared" si="142"/>
        <v>0</v>
      </c>
    </row>
    <row r="3032" spans="1:11">
      <c r="A3032" t="s">
        <v>5028</v>
      </c>
      <c r="B3032" t="s">
        <v>10176</v>
      </c>
      <c r="C3032" t="s">
        <v>5931</v>
      </c>
      <c r="D3032" t="s">
        <v>10750</v>
      </c>
      <c r="E3032">
        <v>66343.64</v>
      </c>
      <c r="G3032" s="35"/>
      <c r="H3032" s="36">
        <f t="shared" si="143"/>
        <v>41796.493199999997</v>
      </c>
      <c r="I3032" s="37">
        <f t="shared" si="141"/>
        <v>41796.493199999997</v>
      </c>
      <c r="J3032" s="4"/>
      <c r="K3032" s="38">
        <f t="shared" si="142"/>
        <v>0</v>
      </c>
    </row>
    <row r="3033" spans="1:11">
      <c r="A3033" t="s">
        <v>5029</v>
      </c>
      <c r="B3033" t="s">
        <v>10176</v>
      </c>
      <c r="C3033" t="s">
        <v>5931</v>
      </c>
      <c r="D3033" t="s">
        <v>10751</v>
      </c>
      <c r="E3033">
        <v>6824.13</v>
      </c>
      <c r="G3033" s="35"/>
      <c r="H3033" s="36">
        <f t="shared" si="143"/>
        <v>4299.2019</v>
      </c>
      <c r="I3033" s="37">
        <f t="shared" si="141"/>
        <v>4299.2019</v>
      </c>
      <c r="J3033" s="4"/>
      <c r="K3033" s="38">
        <f t="shared" si="142"/>
        <v>0</v>
      </c>
    </row>
    <row r="3034" spans="1:11">
      <c r="A3034" t="s">
        <v>5030</v>
      </c>
      <c r="B3034" t="s">
        <v>10176</v>
      </c>
      <c r="C3034" t="s">
        <v>5931</v>
      </c>
      <c r="D3034" t="s">
        <v>10752</v>
      </c>
      <c r="E3034">
        <v>5548.75</v>
      </c>
      <c r="G3034" s="35"/>
      <c r="H3034" s="36">
        <f t="shared" si="143"/>
        <v>3495.7125000000001</v>
      </c>
      <c r="I3034" s="37">
        <f t="shared" si="141"/>
        <v>3495.7125000000001</v>
      </c>
      <c r="J3034" s="4"/>
      <c r="K3034" s="38">
        <f t="shared" si="142"/>
        <v>0</v>
      </c>
    </row>
    <row r="3035" spans="1:11">
      <c r="A3035" t="s">
        <v>5031</v>
      </c>
      <c r="B3035" t="s">
        <v>10176</v>
      </c>
      <c r="C3035" t="s">
        <v>5931</v>
      </c>
      <c r="D3035" t="s">
        <v>10522</v>
      </c>
      <c r="E3035">
        <v>33190.019999999997</v>
      </c>
      <c r="G3035" s="35"/>
      <c r="H3035" s="36">
        <f t="shared" si="143"/>
        <v>20909.712599999999</v>
      </c>
      <c r="I3035" s="37">
        <f t="shared" si="141"/>
        <v>20909.712599999999</v>
      </c>
      <c r="J3035" s="4"/>
      <c r="K3035" s="38">
        <f t="shared" si="142"/>
        <v>0</v>
      </c>
    </row>
    <row r="3036" spans="1:11">
      <c r="A3036" t="s">
        <v>5032</v>
      </c>
      <c r="B3036" t="s">
        <v>10176</v>
      </c>
      <c r="C3036" t="s">
        <v>5931</v>
      </c>
      <c r="D3036" t="s">
        <v>10753</v>
      </c>
      <c r="E3036">
        <v>8623.18</v>
      </c>
      <c r="G3036" s="35"/>
      <c r="H3036" s="36">
        <f t="shared" si="143"/>
        <v>5432.6034</v>
      </c>
      <c r="I3036" s="37">
        <f t="shared" si="141"/>
        <v>5432.6034</v>
      </c>
      <c r="J3036" s="4"/>
      <c r="K3036" s="38">
        <f t="shared" si="142"/>
        <v>0</v>
      </c>
    </row>
    <row r="3037" spans="1:11">
      <c r="A3037" t="s">
        <v>4479</v>
      </c>
      <c r="B3037" t="s">
        <v>10176</v>
      </c>
      <c r="C3037" t="s">
        <v>5747</v>
      </c>
      <c r="D3037" t="s">
        <v>10316</v>
      </c>
      <c r="E3037">
        <v>827.64</v>
      </c>
      <c r="G3037" s="35"/>
      <c r="H3037" s="36">
        <f t="shared" si="143"/>
        <v>521.41319999999996</v>
      </c>
      <c r="I3037" s="37">
        <f t="shared" si="141"/>
        <v>521.41319999999996</v>
      </c>
      <c r="J3037" s="4"/>
      <c r="K3037" s="38">
        <f t="shared" si="142"/>
        <v>0</v>
      </c>
    </row>
    <row r="3038" spans="1:11">
      <c r="A3038" t="s">
        <v>4480</v>
      </c>
      <c r="B3038" t="s">
        <v>10176</v>
      </c>
      <c r="C3038" t="s">
        <v>5747</v>
      </c>
      <c r="D3038" t="s">
        <v>10317</v>
      </c>
      <c r="E3038">
        <v>1910.23</v>
      </c>
      <c r="G3038" s="35"/>
      <c r="H3038" s="36">
        <f t="shared" si="143"/>
        <v>1203.4449</v>
      </c>
      <c r="I3038" s="37">
        <f t="shared" si="141"/>
        <v>1203.4449</v>
      </c>
      <c r="J3038" s="4"/>
      <c r="K3038" s="38">
        <f t="shared" si="142"/>
        <v>0</v>
      </c>
    </row>
    <row r="3039" spans="1:11">
      <c r="A3039" t="s">
        <v>4481</v>
      </c>
      <c r="B3039" t="s">
        <v>10176</v>
      </c>
      <c r="C3039" t="s">
        <v>5747</v>
      </c>
      <c r="D3039" t="s">
        <v>10318</v>
      </c>
      <c r="E3039">
        <v>2656.24</v>
      </c>
      <c r="G3039" s="35"/>
      <c r="H3039" s="36">
        <f t="shared" si="143"/>
        <v>1673.4311999999998</v>
      </c>
      <c r="I3039" s="37">
        <f t="shared" si="141"/>
        <v>1673.4311999999998</v>
      </c>
      <c r="J3039" s="4"/>
      <c r="K3039" s="38">
        <f t="shared" si="142"/>
        <v>0</v>
      </c>
    </row>
    <row r="3040" spans="1:11">
      <c r="A3040" t="s">
        <v>123</v>
      </c>
      <c r="B3040" t="s">
        <v>10176</v>
      </c>
      <c r="C3040" t="s">
        <v>5676</v>
      </c>
      <c r="D3040" t="s">
        <v>10211</v>
      </c>
      <c r="E3040">
        <v>134333.44</v>
      </c>
      <c r="G3040" s="35"/>
      <c r="H3040" s="36">
        <f t="shared" si="143"/>
        <v>84630.067200000005</v>
      </c>
      <c r="I3040" s="37">
        <f t="shared" si="141"/>
        <v>84630.067200000005</v>
      </c>
      <c r="J3040" s="4"/>
      <c r="K3040" s="38">
        <f t="shared" si="142"/>
        <v>0</v>
      </c>
    </row>
    <row r="3041" spans="1:11">
      <c r="A3041" t="s">
        <v>124</v>
      </c>
      <c r="B3041" t="s">
        <v>10176</v>
      </c>
      <c r="C3041" t="s">
        <v>5676</v>
      </c>
      <c r="D3041" t="s">
        <v>10212</v>
      </c>
      <c r="E3041">
        <v>159965.18</v>
      </c>
      <c r="G3041" s="35"/>
      <c r="H3041" s="36">
        <f t="shared" si="143"/>
        <v>100778.0634</v>
      </c>
      <c r="I3041" s="37">
        <f t="shared" si="141"/>
        <v>100778.0634</v>
      </c>
      <c r="J3041" s="4"/>
      <c r="K3041" s="38">
        <f t="shared" si="142"/>
        <v>0</v>
      </c>
    </row>
    <row r="3042" spans="1:11">
      <c r="A3042" t="s">
        <v>125</v>
      </c>
      <c r="B3042" t="s">
        <v>10176</v>
      </c>
      <c r="C3042" t="s">
        <v>5676</v>
      </c>
      <c r="D3042" t="s">
        <v>11311</v>
      </c>
      <c r="E3042">
        <v>176266.3</v>
      </c>
      <c r="G3042" s="35"/>
      <c r="H3042" s="36">
        <f t="shared" si="143"/>
        <v>111047.769</v>
      </c>
      <c r="I3042" s="37">
        <f t="shared" si="141"/>
        <v>111047.769</v>
      </c>
      <c r="J3042" s="4"/>
      <c r="K3042" s="38">
        <f t="shared" si="142"/>
        <v>0</v>
      </c>
    </row>
    <row r="3043" spans="1:11">
      <c r="A3043" t="s">
        <v>126</v>
      </c>
      <c r="B3043" t="s">
        <v>10176</v>
      </c>
      <c r="C3043" t="s">
        <v>5676</v>
      </c>
      <c r="D3043" t="s">
        <v>11727</v>
      </c>
      <c r="E3043">
        <v>153623.38</v>
      </c>
      <c r="G3043" s="35"/>
      <c r="H3043" s="36">
        <f t="shared" si="143"/>
        <v>96782.729399999997</v>
      </c>
      <c r="I3043" s="37">
        <f t="shared" si="141"/>
        <v>96782.729399999997</v>
      </c>
      <c r="J3043" s="4"/>
      <c r="K3043" s="38">
        <f t="shared" si="142"/>
        <v>0</v>
      </c>
    </row>
    <row r="3044" spans="1:11">
      <c r="A3044" t="s">
        <v>127</v>
      </c>
      <c r="B3044" t="s">
        <v>10176</v>
      </c>
      <c r="C3044" t="s">
        <v>5676</v>
      </c>
      <c r="D3044" t="s">
        <v>11728</v>
      </c>
      <c r="E3044">
        <v>161057.16</v>
      </c>
      <c r="G3044" s="35"/>
      <c r="H3044" s="36">
        <f t="shared" si="143"/>
        <v>101466.0108</v>
      </c>
      <c r="I3044" s="37">
        <f t="shared" si="141"/>
        <v>101466.0108</v>
      </c>
      <c r="J3044" s="4"/>
      <c r="K3044" s="38">
        <f t="shared" si="142"/>
        <v>0</v>
      </c>
    </row>
    <row r="3045" spans="1:11">
      <c r="A3045" t="s">
        <v>128</v>
      </c>
      <c r="B3045" t="s">
        <v>10176</v>
      </c>
      <c r="C3045" t="s">
        <v>5676</v>
      </c>
      <c r="D3045" t="s">
        <v>11729</v>
      </c>
      <c r="E3045">
        <v>131504.91</v>
      </c>
      <c r="G3045" s="35"/>
      <c r="H3045" s="36">
        <f t="shared" si="143"/>
        <v>82848.093300000008</v>
      </c>
      <c r="I3045" s="37">
        <f t="shared" si="141"/>
        <v>82848.093300000008</v>
      </c>
      <c r="J3045" s="4"/>
      <c r="K3045" s="38">
        <f t="shared" si="142"/>
        <v>0</v>
      </c>
    </row>
    <row r="3046" spans="1:11">
      <c r="A3046" t="s">
        <v>129</v>
      </c>
      <c r="B3046" t="s">
        <v>10176</v>
      </c>
      <c r="C3046" t="s">
        <v>5676</v>
      </c>
      <c r="D3046" t="s">
        <v>11730</v>
      </c>
      <c r="E3046">
        <v>150318.51</v>
      </c>
      <c r="G3046" s="35"/>
      <c r="H3046" s="36">
        <f t="shared" si="143"/>
        <v>94700.661300000007</v>
      </c>
      <c r="I3046" s="37">
        <f t="shared" si="141"/>
        <v>94700.661300000007</v>
      </c>
      <c r="J3046" s="4"/>
      <c r="K3046" s="38">
        <f t="shared" si="142"/>
        <v>0</v>
      </c>
    </row>
    <row r="3047" spans="1:11">
      <c r="A3047" t="s">
        <v>130</v>
      </c>
      <c r="B3047" t="s">
        <v>10176</v>
      </c>
      <c r="C3047" t="s">
        <v>5676</v>
      </c>
      <c r="D3047" t="s">
        <v>11312</v>
      </c>
      <c r="E3047">
        <v>101154.62</v>
      </c>
      <c r="G3047" s="35"/>
      <c r="H3047" s="36">
        <f t="shared" si="143"/>
        <v>63727.410599999996</v>
      </c>
      <c r="I3047" s="37">
        <f t="shared" si="141"/>
        <v>63727.410599999996</v>
      </c>
      <c r="J3047" s="4"/>
      <c r="K3047" s="38">
        <f t="shared" si="142"/>
        <v>0</v>
      </c>
    </row>
    <row r="3048" spans="1:11">
      <c r="A3048" t="s">
        <v>131</v>
      </c>
      <c r="B3048" t="s">
        <v>10176</v>
      </c>
      <c r="C3048" t="s">
        <v>5676</v>
      </c>
      <c r="D3048" t="s">
        <v>11313</v>
      </c>
      <c r="E3048">
        <v>72863.899999999994</v>
      </c>
      <c r="G3048" s="35"/>
      <c r="H3048" s="36">
        <f t="shared" si="143"/>
        <v>45904.256999999998</v>
      </c>
      <c r="I3048" s="37">
        <f t="shared" si="141"/>
        <v>45904.256999999998</v>
      </c>
      <c r="J3048" s="4"/>
      <c r="K3048" s="38">
        <f t="shared" si="142"/>
        <v>0</v>
      </c>
    </row>
    <row r="3049" spans="1:11">
      <c r="A3049" t="s">
        <v>132</v>
      </c>
      <c r="B3049" t="s">
        <v>10176</v>
      </c>
      <c r="C3049" t="s">
        <v>5676</v>
      </c>
      <c r="D3049" t="s">
        <v>11314</v>
      </c>
      <c r="E3049">
        <v>126452.76</v>
      </c>
      <c r="G3049" s="35"/>
      <c r="H3049" s="36">
        <f t="shared" si="143"/>
        <v>79665.238799999992</v>
      </c>
      <c r="I3049" s="37">
        <f t="shared" si="141"/>
        <v>79665.238799999992</v>
      </c>
      <c r="J3049" s="4"/>
      <c r="K3049" s="38">
        <f t="shared" si="142"/>
        <v>0</v>
      </c>
    </row>
    <row r="3050" spans="1:11">
      <c r="A3050" t="s">
        <v>133</v>
      </c>
      <c r="B3050" t="s">
        <v>10176</v>
      </c>
      <c r="C3050" t="s">
        <v>5676</v>
      </c>
      <c r="D3050" t="s">
        <v>11315</v>
      </c>
      <c r="E3050">
        <v>86478.69</v>
      </c>
      <c r="G3050" s="35"/>
      <c r="H3050" s="36">
        <f t="shared" si="143"/>
        <v>54481.574700000005</v>
      </c>
      <c r="I3050" s="37">
        <f t="shared" si="141"/>
        <v>54481.574700000005</v>
      </c>
      <c r="J3050" s="4"/>
      <c r="K3050" s="38">
        <f t="shared" si="142"/>
        <v>0</v>
      </c>
    </row>
    <row r="3051" spans="1:11">
      <c r="A3051" t="s">
        <v>134</v>
      </c>
      <c r="B3051" t="s">
        <v>10176</v>
      </c>
      <c r="C3051" t="s">
        <v>5676</v>
      </c>
      <c r="D3051" t="s">
        <v>11316</v>
      </c>
      <c r="E3051">
        <v>175856.23</v>
      </c>
      <c r="G3051" s="35"/>
      <c r="H3051" s="36">
        <f t="shared" si="143"/>
        <v>110789.42490000001</v>
      </c>
      <c r="I3051" s="37">
        <f t="shared" si="141"/>
        <v>110789.42490000001</v>
      </c>
      <c r="J3051" s="4"/>
      <c r="K3051" s="38">
        <f t="shared" si="142"/>
        <v>0</v>
      </c>
    </row>
    <row r="3052" spans="1:11">
      <c r="A3052" t="s">
        <v>135</v>
      </c>
      <c r="B3052" t="s">
        <v>10176</v>
      </c>
      <c r="C3052" t="s">
        <v>5676</v>
      </c>
      <c r="D3052" t="s">
        <v>11317</v>
      </c>
      <c r="E3052">
        <v>119660.88</v>
      </c>
      <c r="G3052" s="35"/>
      <c r="H3052" s="36">
        <f t="shared" si="143"/>
        <v>75386.354399999997</v>
      </c>
      <c r="I3052" s="37">
        <f t="shared" si="141"/>
        <v>75386.354399999997</v>
      </c>
      <c r="J3052" s="4"/>
      <c r="K3052" s="38">
        <f t="shared" si="142"/>
        <v>0</v>
      </c>
    </row>
    <row r="3053" spans="1:11">
      <c r="A3053" t="s">
        <v>136</v>
      </c>
      <c r="B3053" t="s">
        <v>10176</v>
      </c>
      <c r="C3053" t="s">
        <v>5676</v>
      </c>
      <c r="D3053" t="s">
        <v>10213</v>
      </c>
      <c r="E3053">
        <v>89713.02</v>
      </c>
      <c r="G3053" s="35"/>
      <c r="H3053" s="36">
        <f t="shared" si="143"/>
        <v>56519.202600000004</v>
      </c>
      <c r="I3053" s="37">
        <f t="shared" si="141"/>
        <v>56519.202600000004</v>
      </c>
      <c r="J3053" s="4"/>
      <c r="K3053" s="38">
        <f t="shared" si="142"/>
        <v>0</v>
      </c>
    </row>
    <row r="3054" spans="1:11">
      <c r="A3054" t="s">
        <v>137</v>
      </c>
      <c r="B3054" t="s">
        <v>10176</v>
      </c>
      <c r="C3054" t="s">
        <v>5676</v>
      </c>
      <c r="D3054" t="s">
        <v>10214</v>
      </c>
      <c r="E3054">
        <v>125845.02</v>
      </c>
      <c r="G3054" s="35"/>
      <c r="H3054" s="36">
        <f t="shared" si="143"/>
        <v>79282.362600000008</v>
      </c>
      <c r="I3054" s="37">
        <f t="shared" si="141"/>
        <v>79282.362600000008</v>
      </c>
      <c r="J3054" s="4"/>
      <c r="K3054" s="38">
        <f t="shared" si="142"/>
        <v>0</v>
      </c>
    </row>
    <row r="3055" spans="1:11">
      <c r="A3055" t="s">
        <v>138</v>
      </c>
      <c r="B3055" t="s">
        <v>10176</v>
      </c>
      <c r="C3055" t="s">
        <v>5676</v>
      </c>
      <c r="D3055" t="s">
        <v>10215</v>
      </c>
      <c r="E3055">
        <v>101969.65</v>
      </c>
      <c r="G3055" s="35"/>
      <c r="H3055" s="36">
        <f t="shared" si="143"/>
        <v>64240.879499999995</v>
      </c>
      <c r="I3055" s="37">
        <f t="shared" si="141"/>
        <v>64240.879499999995</v>
      </c>
      <c r="J3055" s="4"/>
      <c r="K3055" s="38">
        <f t="shared" si="142"/>
        <v>0</v>
      </c>
    </row>
    <row r="3056" spans="1:11">
      <c r="A3056" t="s">
        <v>139</v>
      </c>
      <c r="B3056" t="s">
        <v>10176</v>
      </c>
      <c r="C3056" t="s">
        <v>5676</v>
      </c>
      <c r="D3056" t="s">
        <v>11318</v>
      </c>
      <c r="E3056">
        <v>117500.5</v>
      </c>
      <c r="G3056" s="35"/>
      <c r="H3056" s="36">
        <f t="shared" si="143"/>
        <v>74025.315000000002</v>
      </c>
      <c r="I3056" s="37">
        <f t="shared" si="141"/>
        <v>74025.315000000002</v>
      </c>
      <c r="J3056" s="4"/>
      <c r="K3056" s="38">
        <f t="shared" si="142"/>
        <v>0</v>
      </c>
    </row>
    <row r="3057" spans="1:11">
      <c r="A3057" t="s">
        <v>5033</v>
      </c>
      <c r="B3057" t="s">
        <v>10176</v>
      </c>
      <c r="C3057" t="s">
        <v>5932</v>
      </c>
      <c r="D3057" t="s">
        <v>10754</v>
      </c>
      <c r="E3057">
        <v>23041.18</v>
      </c>
      <c r="G3057" s="35"/>
      <c r="H3057" s="36">
        <f t="shared" si="143"/>
        <v>14515.9434</v>
      </c>
      <c r="I3057" s="37">
        <f t="shared" si="141"/>
        <v>14515.9434</v>
      </c>
      <c r="J3057" s="4"/>
      <c r="K3057" s="38">
        <f t="shared" si="142"/>
        <v>0</v>
      </c>
    </row>
    <row r="3058" spans="1:11">
      <c r="A3058" t="s">
        <v>5034</v>
      </c>
      <c r="B3058" t="s">
        <v>10176</v>
      </c>
      <c r="C3058" t="s">
        <v>5932</v>
      </c>
      <c r="D3058" t="s">
        <v>10755</v>
      </c>
      <c r="E3058">
        <v>29570.77</v>
      </c>
      <c r="G3058" s="35"/>
      <c r="H3058" s="36">
        <f t="shared" si="143"/>
        <v>18629.5851</v>
      </c>
      <c r="I3058" s="37">
        <f t="shared" si="141"/>
        <v>18629.5851</v>
      </c>
      <c r="J3058" s="4"/>
      <c r="K3058" s="38">
        <f t="shared" si="142"/>
        <v>0</v>
      </c>
    </row>
    <row r="3059" spans="1:11">
      <c r="A3059" t="s">
        <v>5035</v>
      </c>
      <c r="B3059" t="s">
        <v>10176</v>
      </c>
      <c r="C3059" t="s">
        <v>5932</v>
      </c>
      <c r="D3059" t="s">
        <v>10756</v>
      </c>
      <c r="E3059">
        <v>29215.49</v>
      </c>
      <c r="G3059" s="35"/>
      <c r="H3059" s="36">
        <f t="shared" si="143"/>
        <v>18405.758700000002</v>
      </c>
      <c r="I3059" s="37">
        <f t="shared" si="141"/>
        <v>18405.758700000002</v>
      </c>
      <c r="J3059" s="4"/>
      <c r="K3059" s="38">
        <f t="shared" si="142"/>
        <v>0</v>
      </c>
    </row>
    <row r="3060" spans="1:11">
      <c r="A3060" t="s">
        <v>5036</v>
      </c>
      <c r="B3060" t="s">
        <v>10176</v>
      </c>
      <c r="C3060" t="s">
        <v>5932</v>
      </c>
      <c r="D3060" t="s">
        <v>10757</v>
      </c>
      <c r="E3060">
        <v>18375.099999999999</v>
      </c>
      <c r="G3060" s="35"/>
      <c r="H3060" s="36">
        <f t="shared" si="143"/>
        <v>11576.312999999998</v>
      </c>
      <c r="I3060" s="37">
        <f t="shared" si="141"/>
        <v>11576.312999999998</v>
      </c>
      <c r="J3060" s="4"/>
      <c r="K3060" s="38">
        <f t="shared" si="142"/>
        <v>0</v>
      </c>
    </row>
    <row r="3061" spans="1:11">
      <c r="A3061" t="s">
        <v>5037</v>
      </c>
      <c r="B3061" t="s">
        <v>10176</v>
      </c>
      <c r="C3061" t="s">
        <v>5932</v>
      </c>
      <c r="D3061" t="s">
        <v>10523</v>
      </c>
      <c r="E3061">
        <v>29012.77</v>
      </c>
      <c r="G3061" s="35"/>
      <c r="H3061" s="36">
        <f t="shared" si="143"/>
        <v>18278.045099999999</v>
      </c>
      <c r="I3061" s="37">
        <f t="shared" si="141"/>
        <v>18278.045099999999</v>
      </c>
      <c r="J3061" s="4"/>
      <c r="K3061" s="38">
        <f t="shared" si="142"/>
        <v>0</v>
      </c>
    </row>
    <row r="3062" spans="1:11">
      <c r="A3062" t="s">
        <v>11554</v>
      </c>
      <c r="B3062" t="s">
        <v>10176</v>
      </c>
      <c r="C3062" t="s">
        <v>5933</v>
      </c>
      <c r="D3062" t="s">
        <v>11555</v>
      </c>
      <c r="E3062">
        <v>7161</v>
      </c>
      <c r="G3062" s="35"/>
      <c r="H3062" s="36">
        <f t="shared" si="143"/>
        <v>4511.43</v>
      </c>
      <c r="I3062" s="37">
        <f t="shared" si="141"/>
        <v>4511.43</v>
      </c>
      <c r="J3062" s="4"/>
      <c r="K3062" s="38">
        <f t="shared" si="142"/>
        <v>0</v>
      </c>
    </row>
    <row r="3063" spans="1:11">
      <c r="A3063" t="s">
        <v>5038</v>
      </c>
      <c r="B3063" t="s">
        <v>10176</v>
      </c>
      <c r="C3063" t="s">
        <v>5933</v>
      </c>
      <c r="D3063" t="s">
        <v>10758</v>
      </c>
      <c r="E3063">
        <v>3451.91</v>
      </c>
      <c r="G3063" s="35"/>
      <c r="H3063" s="36">
        <f t="shared" si="143"/>
        <v>2174.7033000000001</v>
      </c>
      <c r="I3063" s="37">
        <f t="shared" si="141"/>
        <v>2174.7033000000001</v>
      </c>
      <c r="J3063" s="4"/>
      <c r="K3063" s="38">
        <f t="shared" si="142"/>
        <v>0</v>
      </c>
    </row>
    <row r="3064" spans="1:11">
      <c r="A3064" t="s">
        <v>5039</v>
      </c>
      <c r="B3064" t="s">
        <v>10176</v>
      </c>
      <c r="C3064" t="s">
        <v>5933</v>
      </c>
      <c r="D3064" t="s">
        <v>10759</v>
      </c>
      <c r="E3064">
        <v>55525.4</v>
      </c>
      <c r="G3064" s="35"/>
      <c r="H3064" s="36">
        <f t="shared" si="143"/>
        <v>34981.002</v>
      </c>
      <c r="I3064" s="37">
        <f t="shared" si="141"/>
        <v>34981.002</v>
      </c>
      <c r="J3064" s="4"/>
      <c r="K3064" s="38">
        <f t="shared" si="142"/>
        <v>0</v>
      </c>
    </row>
    <row r="3065" spans="1:11">
      <c r="A3065" t="s">
        <v>5040</v>
      </c>
      <c r="B3065" t="s">
        <v>10176</v>
      </c>
      <c r="C3065" t="s">
        <v>5933</v>
      </c>
      <c r="D3065" t="s">
        <v>10760</v>
      </c>
      <c r="E3065">
        <v>28915.64</v>
      </c>
      <c r="G3065" s="35"/>
      <c r="H3065" s="36">
        <f t="shared" si="143"/>
        <v>18216.853200000001</v>
      </c>
      <c r="I3065" s="37">
        <f t="shared" si="141"/>
        <v>18216.853200000001</v>
      </c>
      <c r="J3065" s="4"/>
      <c r="K3065" s="38">
        <f t="shared" si="142"/>
        <v>0</v>
      </c>
    </row>
    <row r="3066" spans="1:11">
      <c r="A3066" t="s">
        <v>4564</v>
      </c>
      <c r="B3066" t="s">
        <v>10176</v>
      </c>
      <c r="C3066" t="s">
        <v>5759</v>
      </c>
      <c r="D3066" t="s">
        <v>10367</v>
      </c>
      <c r="E3066">
        <v>39291.68</v>
      </c>
      <c r="G3066" s="35"/>
      <c r="H3066" s="36">
        <f t="shared" si="143"/>
        <v>24753.758399999999</v>
      </c>
      <c r="I3066" s="37">
        <f t="shared" si="141"/>
        <v>24753.758399999999</v>
      </c>
      <c r="J3066" s="4"/>
      <c r="K3066" s="38">
        <f t="shared" si="142"/>
        <v>0</v>
      </c>
    </row>
    <row r="3067" spans="1:11">
      <c r="A3067" t="s">
        <v>4566</v>
      </c>
      <c r="B3067" t="s">
        <v>10176</v>
      </c>
      <c r="C3067" t="s">
        <v>5759</v>
      </c>
      <c r="D3067" t="s">
        <v>10368</v>
      </c>
      <c r="E3067">
        <v>39291.68</v>
      </c>
      <c r="G3067" s="35"/>
      <c r="H3067" s="36">
        <f t="shared" si="143"/>
        <v>24753.758399999999</v>
      </c>
      <c r="I3067" s="37">
        <f t="shared" si="141"/>
        <v>24753.758399999999</v>
      </c>
      <c r="J3067" s="4"/>
      <c r="K3067" s="38">
        <f t="shared" si="142"/>
        <v>0</v>
      </c>
    </row>
    <row r="3068" spans="1:11">
      <c r="A3068" t="s">
        <v>4563</v>
      </c>
      <c r="B3068" t="s">
        <v>10176</v>
      </c>
      <c r="C3068" t="s">
        <v>5759</v>
      </c>
      <c r="D3068" t="s">
        <v>11385</v>
      </c>
      <c r="E3068">
        <v>17605.28</v>
      </c>
      <c r="G3068" s="35"/>
      <c r="H3068" s="36">
        <f t="shared" si="143"/>
        <v>11091.3264</v>
      </c>
      <c r="I3068" s="37">
        <f t="shared" si="141"/>
        <v>11091.3264</v>
      </c>
      <c r="J3068" s="4"/>
      <c r="K3068" s="38">
        <f t="shared" si="142"/>
        <v>0</v>
      </c>
    </row>
    <row r="3069" spans="1:11">
      <c r="A3069" t="s">
        <v>4565</v>
      </c>
      <c r="B3069" t="s">
        <v>10176</v>
      </c>
      <c r="C3069" t="s">
        <v>5759</v>
      </c>
      <c r="D3069" t="s">
        <v>10618</v>
      </c>
      <c r="E3069">
        <v>4807.7</v>
      </c>
      <c r="G3069" s="35"/>
      <c r="H3069" s="36">
        <f t="shared" si="143"/>
        <v>3028.8510000000001</v>
      </c>
      <c r="I3069" s="37">
        <f t="shared" si="141"/>
        <v>3028.8510000000001</v>
      </c>
      <c r="J3069" s="4"/>
      <c r="K3069" s="38">
        <f t="shared" si="142"/>
        <v>0</v>
      </c>
    </row>
    <row r="3070" spans="1:11">
      <c r="A3070" t="s">
        <v>5041</v>
      </c>
      <c r="B3070" t="s">
        <v>10176</v>
      </c>
      <c r="C3070" t="s">
        <v>5934</v>
      </c>
      <c r="D3070" t="s">
        <v>10761</v>
      </c>
      <c r="E3070">
        <v>34942.65</v>
      </c>
      <c r="G3070" s="35"/>
      <c r="H3070" s="36">
        <f t="shared" si="143"/>
        <v>22013.869500000001</v>
      </c>
      <c r="I3070" s="37">
        <f t="shared" si="141"/>
        <v>22013.869500000001</v>
      </c>
      <c r="J3070" s="4"/>
      <c r="K3070" s="38">
        <f t="shared" si="142"/>
        <v>0</v>
      </c>
    </row>
    <row r="3071" spans="1:11">
      <c r="A3071" t="s">
        <v>12961</v>
      </c>
      <c r="B3071" t="s">
        <v>10176</v>
      </c>
      <c r="C3071" t="s">
        <v>5934</v>
      </c>
      <c r="D3071" t="s">
        <v>12962</v>
      </c>
      <c r="E3071">
        <v>98158.19</v>
      </c>
      <c r="G3071" s="35"/>
      <c r="H3071" s="36">
        <f t="shared" si="143"/>
        <v>61839.659700000004</v>
      </c>
      <c r="I3071" s="37">
        <f t="shared" si="141"/>
        <v>61839.659700000004</v>
      </c>
      <c r="J3071" s="4"/>
      <c r="K3071" s="38">
        <f t="shared" si="142"/>
        <v>0</v>
      </c>
    </row>
    <row r="3072" spans="1:11">
      <c r="A3072" t="s">
        <v>5042</v>
      </c>
      <c r="B3072" t="s">
        <v>10176</v>
      </c>
      <c r="C3072" t="s">
        <v>5934</v>
      </c>
      <c r="D3072" t="s">
        <v>10762</v>
      </c>
      <c r="E3072">
        <v>33860.99</v>
      </c>
      <c r="G3072" s="35"/>
      <c r="H3072" s="36">
        <f t="shared" si="143"/>
        <v>21332.423699999999</v>
      </c>
      <c r="I3072" s="37">
        <f t="shared" si="141"/>
        <v>21332.423699999999</v>
      </c>
      <c r="J3072" s="4"/>
      <c r="K3072" s="38">
        <f t="shared" si="142"/>
        <v>0</v>
      </c>
    </row>
    <row r="3073" spans="1:11">
      <c r="A3073" t="s">
        <v>5043</v>
      </c>
      <c r="B3073" t="s">
        <v>10176</v>
      </c>
      <c r="C3073" t="s">
        <v>5934</v>
      </c>
      <c r="D3073" t="s">
        <v>10763</v>
      </c>
      <c r="E3073">
        <v>23629.26</v>
      </c>
      <c r="G3073" s="35"/>
      <c r="H3073" s="36">
        <f t="shared" si="143"/>
        <v>14886.433799999999</v>
      </c>
      <c r="I3073" s="37">
        <f t="shared" si="141"/>
        <v>14886.433799999999</v>
      </c>
      <c r="J3073" s="4"/>
      <c r="K3073" s="38">
        <f t="shared" si="142"/>
        <v>0</v>
      </c>
    </row>
    <row r="3074" spans="1:11">
      <c r="A3074" t="s">
        <v>5044</v>
      </c>
      <c r="B3074" t="s">
        <v>10176</v>
      </c>
      <c r="C3074" t="s">
        <v>5935</v>
      </c>
      <c r="D3074" t="s">
        <v>10764</v>
      </c>
      <c r="E3074">
        <v>11998.61</v>
      </c>
      <c r="G3074" s="35"/>
      <c r="H3074" s="36">
        <f t="shared" si="143"/>
        <v>7559.1243000000004</v>
      </c>
      <c r="I3074" s="37">
        <f t="shared" si="141"/>
        <v>7559.1243000000004</v>
      </c>
      <c r="J3074" s="4"/>
      <c r="K3074" s="38">
        <f t="shared" si="142"/>
        <v>0</v>
      </c>
    </row>
    <row r="3075" spans="1:11">
      <c r="A3075" t="s">
        <v>5045</v>
      </c>
      <c r="B3075" t="s">
        <v>10176</v>
      </c>
      <c r="C3075" t="s">
        <v>5935</v>
      </c>
      <c r="D3075" t="s">
        <v>10765</v>
      </c>
      <c r="E3075">
        <v>13836.22</v>
      </c>
      <c r="G3075" s="35"/>
      <c r="H3075" s="36">
        <f t="shared" si="143"/>
        <v>8716.8186000000005</v>
      </c>
      <c r="I3075" s="37">
        <f t="shared" si="141"/>
        <v>8716.8186000000005</v>
      </c>
      <c r="J3075" s="4"/>
      <c r="K3075" s="38">
        <f t="shared" si="142"/>
        <v>0</v>
      </c>
    </row>
    <row r="3076" spans="1:11">
      <c r="A3076" t="s">
        <v>5046</v>
      </c>
      <c r="B3076" t="s">
        <v>10176</v>
      </c>
      <c r="C3076" t="s">
        <v>5935</v>
      </c>
      <c r="D3076" t="s">
        <v>10766</v>
      </c>
      <c r="E3076">
        <v>10672.52</v>
      </c>
      <c r="G3076" s="35"/>
      <c r="H3076" s="36">
        <f t="shared" si="143"/>
        <v>6723.6876000000002</v>
      </c>
      <c r="I3076" s="37">
        <f t="shared" si="141"/>
        <v>6723.6876000000002</v>
      </c>
      <c r="J3076" s="4"/>
      <c r="K3076" s="38">
        <f t="shared" si="142"/>
        <v>0</v>
      </c>
    </row>
    <row r="3077" spans="1:11">
      <c r="A3077" t="s">
        <v>5047</v>
      </c>
      <c r="B3077" t="s">
        <v>10176</v>
      </c>
      <c r="C3077" t="s">
        <v>5935</v>
      </c>
      <c r="D3077" t="s">
        <v>10767</v>
      </c>
      <c r="E3077">
        <v>15006.56</v>
      </c>
      <c r="G3077" s="35"/>
      <c r="H3077" s="36">
        <f t="shared" si="143"/>
        <v>9454.1327999999994</v>
      </c>
      <c r="I3077" s="37">
        <f t="shared" si="141"/>
        <v>9454.1327999999994</v>
      </c>
      <c r="J3077" s="4"/>
      <c r="K3077" s="38">
        <f t="shared" si="142"/>
        <v>0</v>
      </c>
    </row>
    <row r="3078" spans="1:11">
      <c r="A3078" t="s">
        <v>5048</v>
      </c>
      <c r="B3078" t="s">
        <v>10176</v>
      </c>
      <c r="C3078" t="s">
        <v>5935</v>
      </c>
      <c r="D3078" t="s">
        <v>10768</v>
      </c>
      <c r="E3078">
        <v>12477.94</v>
      </c>
      <c r="G3078" s="35"/>
      <c r="H3078" s="36">
        <f t="shared" si="143"/>
        <v>7861.1022000000003</v>
      </c>
      <c r="I3078" s="37">
        <f t="shared" ref="I3078:I3141" si="144">H3078*$H$4</f>
        <v>7861.1022000000003</v>
      </c>
      <c r="J3078" s="4"/>
      <c r="K3078" s="38">
        <f t="shared" ref="K3078:K3141" si="145">J3078*I3078</f>
        <v>0</v>
      </c>
    </row>
    <row r="3079" spans="1:11">
      <c r="A3079" t="s">
        <v>5049</v>
      </c>
      <c r="B3079" t="s">
        <v>10176</v>
      </c>
      <c r="C3079" t="s">
        <v>5935</v>
      </c>
      <c r="D3079" t="s">
        <v>10769</v>
      </c>
      <c r="E3079">
        <v>8623.18</v>
      </c>
      <c r="G3079" s="35"/>
      <c r="H3079" s="36">
        <f t="shared" ref="H3079:H3142" si="146">+E3079*$H$1*(1-G3079)</f>
        <v>5432.6034</v>
      </c>
      <c r="I3079" s="37">
        <f t="shared" si="144"/>
        <v>5432.6034</v>
      </c>
      <c r="J3079" s="4"/>
      <c r="K3079" s="38">
        <f t="shared" si="145"/>
        <v>0</v>
      </c>
    </row>
    <row r="3080" spans="1:11">
      <c r="A3080" t="s">
        <v>5050</v>
      </c>
      <c r="B3080" t="s">
        <v>10176</v>
      </c>
      <c r="C3080" t="s">
        <v>5935</v>
      </c>
      <c r="D3080" t="s">
        <v>10770</v>
      </c>
      <c r="E3080">
        <v>10996.12</v>
      </c>
      <c r="G3080" s="35"/>
      <c r="H3080" s="36">
        <f t="shared" si="146"/>
        <v>6927.5556000000006</v>
      </c>
      <c r="I3080" s="37">
        <f t="shared" si="144"/>
        <v>6927.5556000000006</v>
      </c>
      <c r="J3080" s="4"/>
      <c r="K3080" s="38">
        <f t="shared" si="145"/>
        <v>0</v>
      </c>
    </row>
    <row r="3081" spans="1:11">
      <c r="A3081" t="s">
        <v>5051</v>
      </c>
      <c r="B3081" t="s">
        <v>10176</v>
      </c>
      <c r="C3081" t="s">
        <v>5935</v>
      </c>
      <c r="D3081" t="s">
        <v>10771</v>
      </c>
      <c r="E3081">
        <v>8623.18</v>
      </c>
      <c r="G3081" s="35"/>
      <c r="H3081" s="36">
        <f t="shared" si="146"/>
        <v>5432.6034</v>
      </c>
      <c r="I3081" s="37">
        <f t="shared" si="144"/>
        <v>5432.6034</v>
      </c>
      <c r="J3081" s="4"/>
      <c r="K3081" s="38">
        <f t="shared" si="145"/>
        <v>0</v>
      </c>
    </row>
    <row r="3082" spans="1:11">
      <c r="A3082" t="s">
        <v>5052</v>
      </c>
      <c r="B3082" t="s">
        <v>10176</v>
      </c>
      <c r="C3082" t="s">
        <v>5935</v>
      </c>
      <c r="D3082" t="s">
        <v>10772</v>
      </c>
      <c r="E3082">
        <v>29835.24</v>
      </c>
      <c r="G3082" s="35"/>
      <c r="H3082" s="36">
        <f t="shared" si="146"/>
        <v>18796.2012</v>
      </c>
      <c r="I3082" s="37">
        <f t="shared" si="144"/>
        <v>18796.2012</v>
      </c>
      <c r="J3082" s="4"/>
      <c r="K3082" s="38">
        <f t="shared" si="145"/>
        <v>0</v>
      </c>
    </row>
    <row r="3083" spans="1:11">
      <c r="A3083" t="s">
        <v>5053</v>
      </c>
      <c r="B3083" t="s">
        <v>10176</v>
      </c>
      <c r="C3083" t="s">
        <v>5935</v>
      </c>
      <c r="D3083" t="s">
        <v>10773</v>
      </c>
      <c r="E3083">
        <v>22661.62</v>
      </c>
      <c r="G3083" s="35"/>
      <c r="H3083" s="36">
        <f t="shared" si="146"/>
        <v>14276.820599999999</v>
      </c>
      <c r="I3083" s="37">
        <f t="shared" si="144"/>
        <v>14276.820599999999</v>
      </c>
      <c r="J3083" s="4"/>
      <c r="K3083" s="38">
        <f t="shared" si="145"/>
        <v>0</v>
      </c>
    </row>
    <row r="3084" spans="1:11">
      <c r="A3084" t="s">
        <v>5054</v>
      </c>
      <c r="B3084" t="s">
        <v>10176</v>
      </c>
      <c r="C3084" t="s">
        <v>5935</v>
      </c>
      <c r="D3084" t="s">
        <v>10774</v>
      </c>
      <c r="E3084">
        <v>9502.17</v>
      </c>
      <c r="G3084" s="35"/>
      <c r="H3084" s="36">
        <f t="shared" si="146"/>
        <v>5986.3671000000004</v>
      </c>
      <c r="I3084" s="37">
        <f t="shared" si="144"/>
        <v>5986.3671000000004</v>
      </c>
      <c r="J3084" s="4"/>
      <c r="K3084" s="38">
        <f t="shared" si="145"/>
        <v>0</v>
      </c>
    </row>
    <row r="3085" spans="1:11">
      <c r="A3085" t="s">
        <v>5055</v>
      </c>
      <c r="B3085" t="s">
        <v>10176</v>
      </c>
      <c r="C3085" t="s">
        <v>5936</v>
      </c>
      <c r="D3085" t="s">
        <v>10775</v>
      </c>
      <c r="E3085">
        <v>15650.08</v>
      </c>
      <c r="G3085" s="35"/>
      <c r="H3085" s="36">
        <f t="shared" si="146"/>
        <v>9859.5504000000001</v>
      </c>
      <c r="I3085" s="37">
        <f t="shared" si="144"/>
        <v>9859.5504000000001</v>
      </c>
      <c r="J3085" s="4"/>
      <c r="K3085" s="38">
        <f t="shared" si="145"/>
        <v>0</v>
      </c>
    </row>
    <row r="3086" spans="1:11">
      <c r="A3086" t="s">
        <v>5056</v>
      </c>
      <c r="B3086" t="s">
        <v>10176</v>
      </c>
      <c r="C3086" t="s">
        <v>5937</v>
      </c>
      <c r="D3086" t="s">
        <v>10776</v>
      </c>
      <c r="E3086">
        <v>8961.57</v>
      </c>
      <c r="G3086" s="35"/>
      <c r="H3086" s="36">
        <f t="shared" si="146"/>
        <v>5645.7891</v>
      </c>
      <c r="I3086" s="37">
        <f t="shared" si="144"/>
        <v>5645.7891</v>
      </c>
      <c r="J3086" s="4"/>
      <c r="K3086" s="38">
        <f t="shared" si="145"/>
        <v>0</v>
      </c>
    </row>
    <row r="3087" spans="1:11">
      <c r="A3087" t="s">
        <v>5057</v>
      </c>
      <c r="B3087" t="s">
        <v>10176</v>
      </c>
      <c r="C3087" t="s">
        <v>5937</v>
      </c>
      <c r="D3087" t="s">
        <v>10777</v>
      </c>
      <c r="E3087">
        <v>1923.65</v>
      </c>
      <c r="G3087" s="35"/>
      <c r="H3087" s="36">
        <f t="shared" si="146"/>
        <v>1211.8995</v>
      </c>
      <c r="I3087" s="37">
        <f t="shared" si="144"/>
        <v>1211.8995</v>
      </c>
      <c r="J3087" s="4"/>
      <c r="K3087" s="38">
        <f t="shared" si="145"/>
        <v>0</v>
      </c>
    </row>
    <row r="3088" spans="1:11">
      <c r="A3088" t="s">
        <v>5058</v>
      </c>
      <c r="B3088" t="s">
        <v>10176</v>
      </c>
      <c r="C3088" t="s">
        <v>5937</v>
      </c>
      <c r="D3088" t="s">
        <v>10778</v>
      </c>
      <c r="E3088">
        <v>5133.78</v>
      </c>
      <c r="G3088" s="35"/>
      <c r="H3088" s="36">
        <f t="shared" si="146"/>
        <v>3234.2813999999998</v>
      </c>
      <c r="I3088" s="37">
        <f t="shared" si="144"/>
        <v>3234.2813999999998</v>
      </c>
      <c r="J3088" s="4"/>
      <c r="K3088" s="38">
        <f t="shared" si="145"/>
        <v>0</v>
      </c>
    </row>
    <row r="3089" spans="1:11">
      <c r="A3089" t="s">
        <v>5059</v>
      </c>
      <c r="B3089" t="s">
        <v>10176</v>
      </c>
      <c r="C3089" t="s">
        <v>5937</v>
      </c>
      <c r="D3089" t="s">
        <v>10779</v>
      </c>
      <c r="E3089">
        <v>3451.91</v>
      </c>
      <c r="G3089" s="35"/>
      <c r="H3089" s="36">
        <f t="shared" si="146"/>
        <v>2174.7033000000001</v>
      </c>
      <c r="I3089" s="37">
        <f t="shared" si="144"/>
        <v>2174.7033000000001</v>
      </c>
      <c r="J3089" s="4"/>
      <c r="K3089" s="38">
        <f t="shared" si="145"/>
        <v>0</v>
      </c>
    </row>
    <row r="3090" spans="1:11">
      <c r="A3090" t="s">
        <v>5060</v>
      </c>
      <c r="B3090" t="s">
        <v>10176</v>
      </c>
      <c r="C3090" t="s">
        <v>5937</v>
      </c>
      <c r="D3090" t="s">
        <v>10780</v>
      </c>
      <c r="E3090">
        <v>4416.96</v>
      </c>
      <c r="G3090" s="35"/>
      <c r="H3090" s="36">
        <f t="shared" si="146"/>
        <v>2782.6848</v>
      </c>
      <c r="I3090" s="37">
        <f t="shared" si="144"/>
        <v>2782.6848</v>
      </c>
      <c r="J3090" s="4"/>
      <c r="K3090" s="38">
        <f t="shared" si="145"/>
        <v>0</v>
      </c>
    </row>
    <row r="3091" spans="1:11">
      <c r="A3091" t="s">
        <v>5061</v>
      </c>
      <c r="B3091" t="s">
        <v>10176</v>
      </c>
      <c r="C3091" t="s">
        <v>5937</v>
      </c>
      <c r="D3091" t="s">
        <v>10781</v>
      </c>
      <c r="E3091">
        <v>5866</v>
      </c>
      <c r="G3091" s="35"/>
      <c r="H3091" s="36">
        <f t="shared" si="146"/>
        <v>3695.58</v>
      </c>
      <c r="I3091" s="37">
        <f t="shared" si="144"/>
        <v>3695.58</v>
      </c>
      <c r="J3091" s="4"/>
      <c r="K3091" s="38">
        <f t="shared" si="145"/>
        <v>0</v>
      </c>
    </row>
    <row r="3092" spans="1:11">
      <c r="A3092" t="s">
        <v>9633</v>
      </c>
      <c r="B3092" t="s">
        <v>10176</v>
      </c>
      <c r="C3092" t="s">
        <v>9634</v>
      </c>
      <c r="D3092" t="s">
        <v>10250</v>
      </c>
      <c r="E3092">
        <v>12229.57</v>
      </c>
      <c r="G3092" s="35"/>
      <c r="H3092" s="36">
        <f t="shared" si="146"/>
        <v>7704.6291000000001</v>
      </c>
      <c r="I3092" s="37">
        <f t="shared" si="144"/>
        <v>7704.6291000000001</v>
      </c>
      <c r="J3092" s="4"/>
      <c r="K3092" s="38">
        <f t="shared" si="145"/>
        <v>0</v>
      </c>
    </row>
    <row r="3093" spans="1:11">
      <c r="A3093" t="s">
        <v>9635</v>
      </c>
      <c r="B3093" t="s">
        <v>10176</v>
      </c>
      <c r="C3093" t="s">
        <v>9634</v>
      </c>
      <c r="D3093" t="s">
        <v>10251</v>
      </c>
      <c r="E3093">
        <v>13432.04</v>
      </c>
      <c r="G3093" s="35"/>
      <c r="H3093" s="36">
        <f t="shared" si="146"/>
        <v>8462.1851999999999</v>
      </c>
      <c r="I3093" s="37">
        <f t="shared" si="144"/>
        <v>8462.1851999999999</v>
      </c>
      <c r="J3093" s="4"/>
      <c r="K3093" s="38">
        <f t="shared" si="145"/>
        <v>0</v>
      </c>
    </row>
    <row r="3094" spans="1:11">
      <c r="A3094" t="s">
        <v>9636</v>
      </c>
      <c r="B3094" t="s">
        <v>10176</v>
      </c>
      <c r="C3094" t="s">
        <v>9634</v>
      </c>
      <c r="D3094" t="s">
        <v>10252</v>
      </c>
      <c r="E3094">
        <v>14027.99</v>
      </c>
      <c r="G3094" s="35"/>
      <c r="H3094" s="36">
        <f t="shared" si="146"/>
        <v>8837.6337000000003</v>
      </c>
      <c r="I3094" s="37">
        <f t="shared" si="144"/>
        <v>8837.6337000000003</v>
      </c>
      <c r="J3094" s="4"/>
      <c r="K3094" s="38">
        <f t="shared" si="145"/>
        <v>0</v>
      </c>
    </row>
    <row r="3095" spans="1:11">
      <c r="A3095" t="s">
        <v>9637</v>
      </c>
      <c r="B3095" t="s">
        <v>10176</v>
      </c>
      <c r="C3095" t="s">
        <v>9634</v>
      </c>
      <c r="D3095" t="s">
        <v>10253</v>
      </c>
      <c r="E3095">
        <v>15235.58</v>
      </c>
      <c r="G3095" s="35"/>
      <c r="H3095" s="36">
        <f t="shared" si="146"/>
        <v>9598.4153999999999</v>
      </c>
      <c r="I3095" s="37">
        <f t="shared" si="144"/>
        <v>9598.4153999999999</v>
      </c>
      <c r="J3095" s="4"/>
      <c r="K3095" s="38">
        <f t="shared" si="145"/>
        <v>0</v>
      </c>
    </row>
    <row r="3096" spans="1:11">
      <c r="A3096" t="s">
        <v>9638</v>
      </c>
      <c r="B3096" t="s">
        <v>10176</v>
      </c>
      <c r="C3096" t="s">
        <v>9634</v>
      </c>
      <c r="D3096" t="s">
        <v>10254</v>
      </c>
      <c r="E3096">
        <v>15472.08</v>
      </c>
      <c r="G3096" s="35"/>
      <c r="H3096" s="36">
        <f t="shared" si="146"/>
        <v>9747.4104000000007</v>
      </c>
      <c r="I3096" s="37">
        <f t="shared" si="144"/>
        <v>9747.4104000000007</v>
      </c>
      <c r="J3096" s="4"/>
      <c r="K3096" s="38">
        <f t="shared" si="145"/>
        <v>0</v>
      </c>
    </row>
    <row r="3097" spans="1:11">
      <c r="A3097" t="s">
        <v>5062</v>
      </c>
      <c r="B3097" t="s">
        <v>10176</v>
      </c>
      <c r="C3097" t="s">
        <v>5938</v>
      </c>
      <c r="D3097" t="s">
        <v>10782</v>
      </c>
      <c r="E3097">
        <v>2282.64</v>
      </c>
      <c r="G3097" s="35"/>
      <c r="H3097" s="36">
        <f t="shared" si="146"/>
        <v>1438.0631999999998</v>
      </c>
      <c r="I3097" s="37">
        <f t="shared" si="144"/>
        <v>1438.0631999999998</v>
      </c>
      <c r="J3097" s="4"/>
      <c r="K3097" s="38">
        <f t="shared" si="145"/>
        <v>0</v>
      </c>
    </row>
    <row r="3098" spans="1:11">
      <c r="A3098" t="s">
        <v>5063</v>
      </c>
      <c r="B3098" t="s">
        <v>10176</v>
      </c>
      <c r="C3098" t="s">
        <v>5938</v>
      </c>
      <c r="D3098" t="s">
        <v>10783</v>
      </c>
      <c r="E3098">
        <v>1888.85</v>
      </c>
      <c r="G3098" s="35"/>
      <c r="H3098" s="36">
        <f t="shared" si="146"/>
        <v>1189.9755</v>
      </c>
      <c r="I3098" s="37">
        <f t="shared" si="144"/>
        <v>1189.9755</v>
      </c>
      <c r="J3098" s="4"/>
      <c r="K3098" s="38">
        <f t="shared" si="145"/>
        <v>0</v>
      </c>
    </row>
    <row r="3099" spans="1:11">
      <c r="A3099" t="s">
        <v>5064</v>
      </c>
      <c r="B3099" t="s">
        <v>10176</v>
      </c>
      <c r="C3099" t="s">
        <v>5938</v>
      </c>
      <c r="D3099" t="s">
        <v>10784</v>
      </c>
      <c r="E3099">
        <v>6433.5</v>
      </c>
      <c r="G3099" s="35"/>
      <c r="H3099" s="36">
        <f t="shared" si="146"/>
        <v>4053.105</v>
      </c>
      <c r="I3099" s="37">
        <f t="shared" si="144"/>
        <v>4053.105</v>
      </c>
      <c r="J3099" s="4"/>
      <c r="K3099" s="38">
        <f t="shared" si="145"/>
        <v>0</v>
      </c>
    </row>
    <row r="3100" spans="1:11">
      <c r="A3100" t="s">
        <v>5065</v>
      </c>
      <c r="B3100" t="s">
        <v>10176</v>
      </c>
      <c r="C3100" t="s">
        <v>5938</v>
      </c>
      <c r="D3100" t="s">
        <v>10785</v>
      </c>
      <c r="E3100">
        <v>1888.85</v>
      </c>
      <c r="G3100" s="35"/>
      <c r="H3100" s="36">
        <f t="shared" si="146"/>
        <v>1189.9755</v>
      </c>
      <c r="I3100" s="37">
        <f t="shared" si="144"/>
        <v>1189.9755</v>
      </c>
      <c r="J3100" s="4"/>
      <c r="K3100" s="38">
        <f t="shared" si="145"/>
        <v>0</v>
      </c>
    </row>
    <row r="3101" spans="1:11">
      <c r="A3101" t="s">
        <v>5066</v>
      </c>
      <c r="B3101" t="s">
        <v>10176</v>
      </c>
      <c r="C3101" t="s">
        <v>5939</v>
      </c>
      <c r="D3101" t="s">
        <v>10786</v>
      </c>
      <c r="E3101">
        <v>6662.08</v>
      </c>
      <c r="G3101" s="35"/>
      <c r="H3101" s="36">
        <f t="shared" si="146"/>
        <v>4197.1103999999996</v>
      </c>
      <c r="I3101" s="37">
        <f t="shared" si="144"/>
        <v>4197.1103999999996</v>
      </c>
      <c r="J3101" s="4"/>
      <c r="K3101" s="38">
        <f t="shared" si="145"/>
        <v>0</v>
      </c>
    </row>
    <row r="3102" spans="1:11">
      <c r="A3102" t="s">
        <v>5067</v>
      </c>
      <c r="B3102" t="s">
        <v>10176</v>
      </c>
      <c r="C3102" t="s">
        <v>5939</v>
      </c>
      <c r="D3102" t="s">
        <v>10787</v>
      </c>
      <c r="E3102">
        <v>32228.720000000001</v>
      </c>
      <c r="G3102" s="35"/>
      <c r="H3102" s="36">
        <f t="shared" si="146"/>
        <v>20304.0936</v>
      </c>
      <c r="I3102" s="37">
        <f t="shared" si="144"/>
        <v>20304.0936</v>
      </c>
      <c r="J3102" s="4"/>
      <c r="K3102" s="38">
        <f t="shared" si="145"/>
        <v>0</v>
      </c>
    </row>
    <row r="3103" spans="1:11">
      <c r="A3103" t="s">
        <v>5068</v>
      </c>
      <c r="B3103" t="s">
        <v>10176</v>
      </c>
      <c r="C3103" t="s">
        <v>5939</v>
      </c>
      <c r="D3103" t="s">
        <v>10788</v>
      </c>
      <c r="E3103">
        <v>3776.09</v>
      </c>
      <c r="G3103" s="35"/>
      <c r="H3103" s="36">
        <f t="shared" si="146"/>
        <v>2378.9367000000002</v>
      </c>
      <c r="I3103" s="37">
        <f t="shared" si="144"/>
        <v>2378.9367000000002</v>
      </c>
      <c r="J3103" s="4"/>
      <c r="K3103" s="38">
        <f t="shared" si="145"/>
        <v>0</v>
      </c>
    </row>
    <row r="3104" spans="1:11">
      <c r="A3104" t="s">
        <v>5069</v>
      </c>
      <c r="B3104" t="s">
        <v>10176</v>
      </c>
      <c r="C3104" t="s">
        <v>5939</v>
      </c>
      <c r="D3104" t="s">
        <v>10789</v>
      </c>
      <c r="E3104">
        <v>6433.5</v>
      </c>
      <c r="G3104" s="35"/>
      <c r="H3104" s="36">
        <f t="shared" si="146"/>
        <v>4053.105</v>
      </c>
      <c r="I3104" s="37">
        <f t="shared" si="144"/>
        <v>4053.105</v>
      </c>
      <c r="J3104" s="4"/>
      <c r="K3104" s="38">
        <f t="shared" si="145"/>
        <v>0</v>
      </c>
    </row>
    <row r="3105" spans="1:11">
      <c r="A3105" t="s">
        <v>5070</v>
      </c>
      <c r="B3105" t="s">
        <v>10176</v>
      </c>
      <c r="C3105" t="s">
        <v>5939</v>
      </c>
      <c r="D3105" t="s">
        <v>10790</v>
      </c>
      <c r="E3105">
        <v>4107.5600000000004</v>
      </c>
      <c r="G3105" s="35"/>
      <c r="H3105" s="36">
        <f t="shared" si="146"/>
        <v>2587.7628000000004</v>
      </c>
      <c r="I3105" s="37">
        <f t="shared" si="144"/>
        <v>2587.7628000000004</v>
      </c>
      <c r="J3105" s="4"/>
      <c r="K3105" s="38">
        <f t="shared" si="145"/>
        <v>0</v>
      </c>
    </row>
    <row r="3106" spans="1:11">
      <c r="A3106" t="s">
        <v>5071</v>
      </c>
      <c r="B3106" t="s">
        <v>10176</v>
      </c>
      <c r="C3106" t="s">
        <v>5939</v>
      </c>
      <c r="D3106" t="s">
        <v>10719</v>
      </c>
      <c r="E3106">
        <v>4987.0600000000004</v>
      </c>
      <c r="G3106" s="35"/>
      <c r="H3106" s="36">
        <f t="shared" si="146"/>
        <v>3141.8478000000005</v>
      </c>
      <c r="I3106" s="37">
        <f t="shared" si="144"/>
        <v>3141.8478000000005</v>
      </c>
      <c r="J3106" s="4"/>
      <c r="K3106" s="38">
        <f t="shared" si="145"/>
        <v>0</v>
      </c>
    </row>
    <row r="3107" spans="1:11">
      <c r="A3107" t="s">
        <v>5072</v>
      </c>
      <c r="B3107" t="s">
        <v>10176</v>
      </c>
      <c r="C3107" t="s">
        <v>5939</v>
      </c>
      <c r="D3107" t="s">
        <v>10791</v>
      </c>
      <c r="E3107">
        <v>7744.81</v>
      </c>
      <c r="G3107" s="35"/>
      <c r="H3107" s="36">
        <f t="shared" si="146"/>
        <v>4879.2303000000002</v>
      </c>
      <c r="I3107" s="37">
        <f t="shared" si="144"/>
        <v>4879.2303000000002</v>
      </c>
      <c r="J3107" s="4"/>
      <c r="K3107" s="38">
        <f t="shared" si="145"/>
        <v>0</v>
      </c>
    </row>
    <row r="3108" spans="1:11">
      <c r="A3108" t="s">
        <v>4535</v>
      </c>
      <c r="B3108" t="s">
        <v>10176</v>
      </c>
      <c r="C3108" t="s">
        <v>5755</v>
      </c>
      <c r="D3108" t="s">
        <v>10341</v>
      </c>
      <c r="E3108">
        <v>48169.4</v>
      </c>
      <c r="G3108" s="35"/>
      <c r="H3108" s="36">
        <f t="shared" si="146"/>
        <v>30346.722000000002</v>
      </c>
      <c r="I3108" s="37">
        <f t="shared" si="144"/>
        <v>30346.722000000002</v>
      </c>
      <c r="J3108" s="4"/>
      <c r="K3108" s="38">
        <f t="shared" si="145"/>
        <v>0</v>
      </c>
    </row>
    <row r="3109" spans="1:11">
      <c r="A3109" t="s">
        <v>4536</v>
      </c>
      <c r="B3109" t="s">
        <v>10176</v>
      </c>
      <c r="C3109" t="s">
        <v>5755</v>
      </c>
      <c r="D3109" t="s">
        <v>10342</v>
      </c>
      <c r="E3109">
        <v>24717.71</v>
      </c>
      <c r="G3109" s="35"/>
      <c r="H3109" s="36">
        <f t="shared" si="146"/>
        <v>15572.157299999999</v>
      </c>
      <c r="I3109" s="37">
        <f t="shared" si="144"/>
        <v>15572.157299999999</v>
      </c>
      <c r="J3109" s="4"/>
      <c r="K3109" s="38">
        <f t="shared" si="145"/>
        <v>0</v>
      </c>
    </row>
    <row r="3110" spans="1:11">
      <c r="A3110" t="s">
        <v>4537</v>
      </c>
      <c r="B3110" t="s">
        <v>10176</v>
      </c>
      <c r="C3110" t="s">
        <v>5755</v>
      </c>
      <c r="D3110" t="s">
        <v>10343</v>
      </c>
      <c r="E3110">
        <v>60146.81</v>
      </c>
      <c r="G3110" s="35"/>
      <c r="H3110" s="36">
        <f t="shared" si="146"/>
        <v>37892.490299999998</v>
      </c>
      <c r="I3110" s="37">
        <f t="shared" si="144"/>
        <v>37892.490299999998</v>
      </c>
      <c r="J3110" s="4"/>
      <c r="K3110" s="38">
        <f t="shared" si="145"/>
        <v>0</v>
      </c>
    </row>
    <row r="3111" spans="1:11">
      <c r="A3111" t="s">
        <v>4539</v>
      </c>
      <c r="B3111" t="s">
        <v>10176</v>
      </c>
      <c r="C3111" t="s">
        <v>5755</v>
      </c>
      <c r="D3111" t="s">
        <v>10345</v>
      </c>
      <c r="E3111">
        <v>206925.97</v>
      </c>
      <c r="G3111" s="35"/>
      <c r="H3111" s="36">
        <f t="shared" si="146"/>
        <v>130363.36109999999</v>
      </c>
      <c r="I3111" s="37">
        <f t="shared" si="144"/>
        <v>130363.36109999999</v>
      </c>
      <c r="J3111" s="4"/>
      <c r="K3111" s="38">
        <f t="shared" si="145"/>
        <v>0</v>
      </c>
    </row>
    <row r="3112" spans="1:11">
      <c r="A3112" t="s">
        <v>4540</v>
      </c>
      <c r="B3112" t="s">
        <v>10176</v>
      </c>
      <c r="C3112" t="s">
        <v>5755</v>
      </c>
      <c r="D3112" t="s">
        <v>10346</v>
      </c>
      <c r="E3112">
        <v>75088.160000000003</v>
      </c>
      <c r="G3112" s="35"/>
      <c r="H3112" s="36">
        <f t="shared" si="146"/>
        <v>47305.540800000002</v>
      </c>
      <c r="I3112" s="37">
        <f t="shared" si="144"/>
        <v>47305.540800000002</v>
      </c>
      <c r="J3112" s="4"/>
      <c r="K3112" s="38">
        <f t="shared" si="145"/>
        <v>0</v>
      </c>
    </row>
    <row r="3113" spans="1:11">
      <c r="A3113" t="s">
        <v>4541</v>
      </c>
      <c r="B3113" t="s">
        <v>10176</v>
      </c>
      <c r="C3113" t="s">
        <v>5755</v>
      </c>
      <c r="D3113" t="s">
        <v>10347</v>
      </c>
      <c r="E3113">
        <v>229427.81</v>
      </c>
      <c r="G3113" s="35"/>
      <c r="H3113" s="36">
        <f t="shared" si="146"/>
        <v>144539.5203</v>
      </c>
      <c r="I3113" s="37">
        <f t="shared" si="144"/>
        <v>144539.5203</v>
      </c>
      <c r="J3113" s="4"/>
      <c r="K3113" s="38">
        <f t="shared" si="145"/>
        <v>0</v>
      </c>
    </row>
    <row r="3114" spans="1:11">
      <c r="A3114" t="s">
        <v>4538</v>
      </c>
      <c r="B3114" t="s">
        <v>10176</v>
      </c>
      <c r="C3114" t="s">
        <v>5755</v>
      </c>
      <c r="D3114" t="s">
        <v>10344</v>
      </c>
      <c r="E3114">
        <v>169846.57</v>
      </c>
      <c r="G3114" s="35"/>
      <c r="H3114" s="36">
        <f t="shared" si="146"/>
        <v>107003.33910000001</v>
      </c>
      <c r="I3114" s="37">
        <f t="shared" si="144"/>
        <v>107003.33910000001</v>
      </c>
      <c r="J3114" s="4"/>
      <c r="K3114" s="38">
        <f t="shared" si="145"/>
        <v>0</v>
      </c>
    </row>
    <row r="3115" spans="1:11">
      <c r="A3115" t="s">
        <v>4542</v>
      </c>
      <c r="B3115" t="s">
        <v>10176</v>
      </c>
      <c r="C3115" t="s">
        <v>5755</v>
      </c>
      <c r="D3115" t="s">
        <v>10348</v>
      </c>
      <c r="E3115">
        <v>16741.5</v>
      </c>
      <c r="G3115" s="35"/>
      <c r="H3115" s="36">
        <f t="shared" si="146"/>
        <v>10547.145</v>
      </c>
      <c r="I3115" s="37">
        <f t="shared" si="144"/>
        <v>10547.145</v>
      </c>
      <c r="J3115" s="4"/>
      <c r="K3115" s="38">
        <f t="shared" si="145"/>
        <v>0</v>
      </c>
    </row>
    <row r="3116" spans="1:11">
      <c r="A3116" t="s">
        <v>4543</v>
      </c>
      <c r="B3116" t="s">
        <v>10176</v>
      </c>
      <c r="C3116" t="s">
        <v>5755</v>
      </c>
      <c r="D3116" t="s">
        <v>11384</v>
      </c>
      <c r="E3116">
        <v>19257.509999999998</v>
      </c>
      <c r="G3116" s="35"/>
      <c r="H3116" s="36">
        <f t="shared" si="146"/>
        <v>12132.231299999999</v>
      </c>
      <c r="I3116" s="37">
        <f t="shared" si="144"/>
        <v>12132.231299999999</v>
      </c>
      <c r="J3116" s="4"/>
      <c r="K3116" s="38">
        <f t="shared" si="145"/>
        <v>0</v>
      </c>
    </row>
    <row r="3117" spans="1:11">
      <c r="A3117" t="s">
        <v>4544</v>
      </c>
      <c r="B3117" t="s">
        <v>10176</v>
      </c>
      <c r="C3117" t="s">
        <v>5755</v>
      </c>
      <c r="D3117" t="s">
        <v>10349</v>
      </c>
      <c r="E3117">
        <v>19755.509999999998</v>
      </c>
      <c r="G3117" s="35"/>
      <c r="H3117" s="36">
        <f t="shared" si="146"/>
        <v>12445.971299999999</v>
      </c>
      <c r="I3117" s="37">
        <f t="shared" si="144"/>
        <v>12445.971299999999</v>
      </c>
      <c r="J3117" s="4"/>
      <c r="K3117" s="38">
        <f t="shared" si="145"/>
        <v>0</v>
      </c>
    </row>
    <row r="3118" spans="1:11">
      <c r="A3118" t="s">
        <v>4545</v>
      </c>
      <c r="B3118" t="s">
        <v>10176</v>
      </c>
      <c r="C3118" t="s">
        <v>5755</v>
      </c>
      <c r="D3118" t="s">
        <v>10350</v>
      </c>
      <c r="E3118">
        <v>7323.74</v>
      </c>
      <c r="G3118" s="35"/>
      <c r="H3118" s="36">
        <f t="shared" si="146"/>
        <v>4613.9561999999996</v>
      </c>
      <c r="I3118" s="37">
        <f t="shared" si="144"/>
        <v>4613.9561999999996</v>
      </c>
      <c r="J3118" s="4"/>
      <c r="K3118" s="38">
        <f t="shared" si="145"/>
        <v>0</v>
      </c>
    </row>
    <row r="3119" spans="1:11">
      <c r="A3119" t="s">
        <v>4546</v>
      </c>
      <c r="B3119" t="s">
        <v>10176</v>
      </c>
      <c r="C3119" t="s">
        <v>5755</v>
      </c>
      <c r="D3119" t="s">
        <v>10351</v>
      </c>
      <c r="E3119">
        <v>80554.55</v>
      </c>
      <c r="G3119" s="35"/>
      <c r="H3119" s="36">
        <f t="shared" si="146"/>
        <v>50749.366500000004</v>
      </c>
      <c r="I3119" s="37">
        <f t="shared" si="144"/>
        <v>50749.366500000004</v>
      </c>
      <c r="J3119" s="4"/>
      <c r="K3119" s="38">
        <f t="shared" si="145"/>
        <v>0</v>
      </c>
    </row>
    <row r="3120" spans="1:11">
      <c r="A3120" t="s">
        <v>4547</v>
      </c>
      <c r="B3120" t="s">
        <v>10176</v>
      </c>
      <c r="C3120" t="s">
        <v>5755</v>
      </c>
      <c r="D3120" t="s">
        <v>10352</v>
      </c>
      <c r="E3120">
        <v>28508.68</v>
      </c>
      <c r="G3120" s="35"/>
      <c r="H3120" s="36">
        <f t="shared" si="146"/>
        <v>17960.468400000002</v>
      </c>
      <c r="I3120" s="37">
        <f t="shared" si="144"/>
        <v>17960.468400000002</v>
      </c>
      <c r="J3120" s="4"/>
      <c r="K3120" s="38">
        <f t="shared" si="145"/>
        <v>0</v>
      </c>
    </row>
    <row r="3121" spans="1:11">
      <c r="A3121" t="s">
        <v>4548</v>
      </c>
      <c r="B3121" t="s">
        <v>10176</v>
      </c>
      <c r="C3121" t="s">
        <v>5755</v>
      </c>
      <c r="D3121" t="s">
        <v>10353</v>
      </c>
      <c r="E3121">
        <v>17319.21</v>
      </c>
      <c r="G3121" s="35"/>
      <c r="H3121" s="36">
        <f t="shared" si="146"/>
        <v>10911.102299999999</v>
      </c>
      <c r="I3121" s="37">
        <f t="shared" si="144"/>
        <v>10911.102299999999</v>
      </c>
      <c r="J3121" s="4"/>
      <c r="K3121" s="38">
        <f t="shared" si="145"/>
        <v>0</v>
      </c>
    </row>
    <row r="3122" spans="1:11">
      <c r="A3122" t="s">
        <v>4549</v>
      </c>
      <c r="B3122" t="s">
        <v>10176</v>
      </c>
      <c r="C3122" t="s">
        <v>5755</v>
      </c>
      <c r="D3122" t="s">
        <v>10354</v>
      </c>
      <c r="E3122">
        <v>255693.51</v>
      </c>
      <c r="G3122" s="35"/>
      <c r="H3122" s="36">
        <f t="shared" si="146"/>
        <v>161086.91130000001</v>
      </c>
      <c r="I3122" s="37">
        <f t="shared" si="144"/>
        <v>161086.91130000001</v>
      </c>
      <c r="J3122" s="4"/>
      <c r="K3122" s="38">
        <f t="shared" si="145"/>
        <v>0</v>
      </c>
    </row>
    <row r="3123" spans="1:11">
      <c r="A3123" t="s">
        <v>4550</v>
      </c>
      <c r="B3123" t="s">
        <v>10176</v>
      </c>
      <c r="C3123" t="s">
        <v>5755</v>
      </c>
      <c r="D3123" t="s">
        <v>10355</v>
      </c>
      <c r="E3123">
        <v>293002.21000000002</v>
      </c>
      <c r="G3123" s="35"/>
      <c r="H3123" s="36">
        <f t="shared" si="146"/>
        <v>184591.39230000001</v>
      </c>
      <c r="I3123" s="37">
        <f t="shared" si="144"/>
        <v>184591.39230000001</v>
      </c>
      <c r="J3123" s="4"/>
      <c r="K3123" s="38">
        <f t="shared" si="145"/>
        <v>0</v>
      </c>
    </row>
    <row r="3124" spans="1:11">
      <c r="A3124" t="s">
        <v>4551</v>
      </c>
      <c r="B3124" t="s">
        <v>10176</v>
      </c>
      <c r="C3124" t="s">
        <v>5755</v>
      </c>
      <c r="D3124" t="s">
        <v>10356</v>
      </c>
      <c r="E3124">
        <v>255693.51</v>
      </c>
      <c r="G3124" s="35"/>
      <c r="H3124" s="36">
        <f t="shared" si="146"/>
        <v>161086.91130000001</v>
      </c>
      <c r="I3124" s="37">
        <f t="shared" si="144"/>
        <v>161086.91130000001</v>
      </c>
      <c r="J3124" s="4"/>
      <c r="K3124" s="38">
        <f t="shared" si="145"/>
        <v>0</v>
      </c>
    </row>
    <row r="3125" spans="1:11">
      <c r="A3125" t="s">
        <v>4552</v>
      </c>
      <c r="B3125" t="s">
        <v>10176</v>
      </c>
      <c r="C3125" t="s">
        <v>5755</v>
      </c>
      <c r="D3125" t="s">
        <v>10357</v>
      </c>
      <c r="E3125">
        <v>293002.21000000002</v>
      </c>
      <c r="G3125" s="35"/>
      <c r="H3125" s="36">
        <f t="shared" si="146"/>
        <v>184591.39230000001</v>
      </c>
      <c r="I3125" s="37">
        <f t="shared" si="144"/>
        <v>184591.39230000001</v>
      </c>
      <c r="J3125" s="4"/>
      <c r="K3125" s="38">
        <f t="shared" si="145"/>
        <v>0</v>
      </c>
    </row>
    <row r="3126" spans="1:11">
      <c r="A3126" t="s">
        <v>4553</v>
      </c>
      <c r="B3126" t="s">
        <v>10176</v>
      </c>
      <c r="C3126" t="s">
        <v>5755</v>
      </c>
      <c r="D3126" t="s">
        <v>10358</v>
      </c>
      <c r="E3126">
        <v>45685.52</v>
      </c>
      <c r="G3126" s="35"/>
      <c r="H3126" s="36">
        <f t="shared" si="146"/>
        <v>28781.8776</v>
      </c>
      <c r="I3126" s="37">
        <f t="shared" si="144"/>
        <v>28781.8776</v>
      </c>
      <c r="J3126" s="4"/>
      <c r="K3126" s="38">
        <f t="shared" si="145"/>
        <v>0</v>
      </c>
    </row>
    <row r="3127" spans="1:11">
      <c r="A3127" t="s">
        <v>4554</v>
      </c>
      <c r="B3127" t="s">
        <v>10176</v>
      </c>
      <c r="C3127" t="s">
        <v>5755</v>
      </c>
      <c r="D3127" t="s">
        <v>10359</v>
      </c>
      <c r="E3127">
        <v>40210.480000000003</v>
      </c>
      <c r="G3127" s="35"/>
      <c r="H3127" s="36">
        <f t="shared" si="146"/>
        <v>25332.602400000003</v>
      </c>
      <c r="I3127" s="37">
        <f t="shared" si="144"/>
        <v>25332.602400000003</v>
      </c>
      <c r="J3127" s="4"/>
      <c r="K3127" s="38">
        <f t="shared" si="145"/>
        <v>0</v>
      </c>
    </row>
    <row r="3128" spans="1:11">
      <c r="A3128" t="s">
        <v>4555</v>
      </c>
      <c r="B3128" t="s">
        <v>10176</v>
      </c>
      <c r="C3128" t="s">
        <v>5755</v>
      </c>
      <c r="D3128" t="s">
        <v>10360</v>
      </c>
      <c r="E3128">
        <v>29604.54</v>
      </c>
      <c r="G3128" s="35"/>
      <c r="H3128" s="36">
        <f t="shared" si="146"/>
        <v>18650.860199999999</v>
      </c>
      <c r="I3128" s="37">
        <f t="shared" si="144"/>
        <v>18650.860199999999</v>
      </c>
      <c r="J3128" s="4"/>
      <c r="K3128" s="38">
        <f t="shared" si="145"/>
        <v>0</v>
      </c>
    </row>
    <row r="3129" spans="1:11">
      <c r="A3129" t="s">
        <v>4293</v>
      </c>
      <c r="B3129" t="s">
        <v>10176</v>
      </c>
      <c r="C3129" t="s">
        <v>5702</v>
      </c>
      <c r="D3129" t="s">
        <v>11326</v>
      </c>
      <c r="E3129">
        <v>63214.84</v>
      </c>
      <c r="G3129" s="35"/>
      <c r="H3129" s="36">
        <f t="shared" si="146"/>
        <v>39825.349199999997</v>
      </c>
      <c r="I3129" s="37">
        <f t="shared" si="144"/>
        <v>39825.349199999997</v>
      </c>
      <c r="J3129" s="4"/>
      <c r="K3129" s="38">
        <f t="shared" si="145"/>
        <v>0</v>
      </c>
    </row>
    <row r="3130" spans="1:11">
      <c r="A3130" t="s">
        <v>4294</v>
      </c>
      <c r="B3130" t="s">
        <v>10176</v>
      </c>
      <c r="C3130" t="s">
        <v>5702</v>
      </c>
      <c r="D3130" t="s">
        <v>10606</v>
      </c>
      <c r="E3130">
        <v>69542.490000000005</v>
      </c>
      <c r="G3130" s="35"/>
      <c r="H3130" s="36">
        <f t="shared" si="146"/>
        <v>43811.768700000001</v>
      </c>
      <c r="I3130" s="37">
        <f t="shared" si="144"/>
        <v>43811.768700000001</v>
      </c>
      <c r="J3130" s="4"/>
      <c r="K3130" s="38">
        <f t="shared" si="145"/>
        <v>0</v>
      </c>
    </row>
    <row r="3131" spans="1:11">
      <c r="A3131" t="s">
        <v>4295</v>
      </c>
      <c r="B3131" t="s">
        <v>10176</v>
      </c>
      <c r="C3131" t="s">
        <v>5702</v>
      </c>
      <c r="D3131" t="s">
        <v>10607</v>
      </c>
      <c r="E3131">
        <v>581549.43000000005</v>
      </c>
      <c r="G3131" s="35"/>
      <c r="H3131" s="36">
        <f t="shared" si="146"/>
        <v>366376.14090000006</v>
      </c>
      <c r="I3131" s="37">
        <f t="shared" si="144"/>
        <v>366376.14090000006</v>
      </c>
      <c r="J3131" s="4"/>
      <c r="K3131" s="38">
        <f t="shared" si="145"/>
        <v>0</v>
      </c>
    </row>
    <row r="3132" spans="1:11">
      <c r="A3132" t="s">
        <v>4296</v>
      </c>
      <c r="B3132" t="s">
        <v>10176</v>
      </c>
      <c r="C3132" t="s">
        <v>5702</v>
      </c>
      <c r="D3132" t="s">
        <v>10608</v>
      </c>
      <c r="E3132">
        <v>74584.399999999994</v>
      </c>
      <c r="G3132" s="35"/>
      <c r="H3132" s="36">
        <f t="shared" si="146"/>
        <v>46988.171999999999</v>
      </c>
      <c r="I3132" s="37">
        <f t="shared" si="144"/>
        <v>46988.171999999999</v>
      </c>
      <c r="J3132" s="4"/>
      <c r="K3132" s="38">
        <f t="shared" si="145"/>
        <v>0</v>
      </c>
    </row>
    <row r="3133" spans="1:11">
      <c r="A3133" t="s">
        <v>4297</v>
      </c>
      <c r="B3133" t="s">
        <v>10176</v>
      </c>
      <c r="C3133" t="s">
        <v>5702</v>
      </c>
      <c r="D3133" t="s">
        <v>10609</v>
      </c>
      <c r="E3133">
        <v>40820.49</v>
      </c>
      <c r="G3133" s="35"/>
      <c r="H3133" s="36">
        <f t="shared" si="146"/>
        <v>25716.9087</v>
      </c>
      <c r="I3133" s="37">
        <f t="shared" si="144"/>
        <v>25716.9087</v>
      </c>
      <c r="J3133" s="4"/>
      <c r="K3133" s="38">
        <f t="shared" si="145"/>
        <v>0</v>
      </c>
    </row>
    <row r="3134" spans="1:11">
      <c r="A3134" t="s">
        <v>4291</v>
      </c>
      <c r="B3134" t="s">
        <v>10176</v>
      </c>
      <c r="C3134" t="s">
        <v>5701</v>
      </c>
      <c r="D3134" t="s">
        <v>10604</v>
      </c>
      <c r="E3134">
        <v>289381.51</v>
      </c>
      <c r="G3134" s="35"/>
      <c r="H3134" s="36">
        <f t="shared" si="146"/>
        <v>182310.35130000001</v>
      </c>
      <c r="I3134" s="37">
        <f t="shared" si="144"/>
        <v>182310.35130000001</v>
      </c>
      <c r="J3134" s="4"/>
      <c r="K3134" s="38">
        <f t="shared" si="145"/>
        <v>0</v>
      </c>
    </row>
    <row r="3135" spans="1:11">
      <c r="A3135" t="s">
        <v>4292</v>
      </c>
      <c r="B3135" t="s">
        <v>10176</v>
      </c>
      <c r="C3135" t="s">
        <v>5701</v>
      </c>
      <c r="D3135" t="s">
        <v>10605</v>
      </c>
      <c r="E3135">
        <v>240524.14</v>
      </c>
      <c r="G3135" s="35"/>
      <c r="H3135" s="36">
        <f t="shared" si="146"/>
        <v>151530.20820000002</v>
      </c>
      <c r="I3135" s="37">
        <f t="shared" si="144"/>
        <v>151530.20820000002</v>
      </c>
      <c r="J3135" s="4"/>
      <c r="K3135" s="38">
        <f t="shared" si="145"/>
        <v>0</v>
      </c>
    </row>
    <row r="3136" spans="1:11">
      <c r="A3136" t="s">
        <v>4301</v>
      </c>
      <c r="B3136" t="s">
        <v>10176</v>
      </c>
      <c r="C3136" t="s">
        <v>5704</v>
      </c>
      <c r="D3136" t="s">
        <v>10610</v>
      </c>
      <c r="E3136">
        <v>26990.27</v>
      </c>
      <c r="G3136" s="35"/>
      <c r="H3136" s="36">
        <f t="shared" si="146"/>
        <v>17003.8701</v>
      </c>
      <c r="I3136" s="37">
        <f t="shared" si="144"/>
        <v>17003.8701</v>
      </c>
      <c r="J3136" s="4"/>
      <c r="K3136" s="38">
        <f t="shared" si="145"/>
        <v>0</v>
      </c>
    </row>
    <row r="3137" spans="1:11">
      <c r="A3137" t="s">
        <v>4303</v>
      </c>
      <c r="B3137" t="s">
        <v>10176</v>
      </c>
      <c r="C3137" t="s">
        <v>5704</v>
      </c>
      <c r="D3137" t="s">
        <v>10611</v>
      </c>
      <c r="E3137">
        <v>44320.12</v>
      </c>
      <c r="G3137" s="35"/>
      <c r="H3137" s="36">
        <f t="shared" si="146"/>
        <v>27921.675600000002</v>
      </c>
      <c r="I3137" s="37">
        <f t="shared" si="144"/>
        <v>27921.675600000002</v>
      </c>
      <c r="J3137" s="4"/>
      <c r="K3137" s="38">
        <f t="shared" si="145"/>
        <v>0</v>
      </c>
    </row>
    <row r="3138" spans="1:11">
      <c r="A3138" t="s">
        <v>4304</v>
      </c>
      <c r="B3138" t="s">
        <v>10176</v>
      </c>
      <c r="C3138" t="s">
        <v>5704</v>
      </c>
      <c r="D3138" t="s">
        <v>11331</v>
      </c>
      <c r="E3138">
        <v>174448.9</v>
      </c>
      <c r="G3138" s="35"/>
      <c r="H3138" s="36">
        <f t="shared" si="146"/>
        <v>109902.807</v>
      </c>
      <c r="I3138" s="37">
        <f t="shared" si="144"/>
        <v>109902.807</v>
      </c>
      <c r="J3138" s="4"/>
      <c r="K3138" s="38">
        <f t="shared" si="145"/>
        <v>0</v>
      </c>
    </row>
    <row r="3139" spans="1:11">
      <c r="A3139" t="s">
        <v>4305</v>
      </c>
      <c r="B3139" t="s">
        <v>10176</v>
      </c>
      <c r="C3139" t="s">
        <v>5704</v>
      </c>
      <c r="D3139" t="s">
        <v>11332</v>
      </c>
      <c r="E3139">
        <v>270324.28999999998</v>
      </c>
      <c r="G3139" s="35"/>
      <c r="H3139" s="36">
        <f t="shared" si="146"/>
        <v>170304.3027</v>
      </c>
      <c r="I3139" s="37">
        <f t="shared" si="144"/>
        <v>170304.3027</v>
      </c>
      <c r="J3139" s="4"/>
      <c r="K3139" s="38">
        <f t="shared" si="145"/>
        <v>0</v>
      </c>
    </row>
    <row r="3140" spans="1:11">
      <c r="A3140" t="s">
        <v>4306</v>
      </c>
      <c r="B3140" t="s">
        <v>10176</v>
      </c>
      <c r="C3140" t="s">
        <v>5704</v>
      </c>
      <c r="D3140" t="s">
        <v>11333</v>
      </c>
      <c r="E3140">
        <v>418604.78</v>
      </c>
      <c r="G3140" s="35"/>
      <c r="H3140" s="36">
        <f t="shared" si="146"/>
        <v>263721.01140000002</v>
      </c>
      <c r="I3140" s="37">
        <f t="shared" si="144"/>
        <v>263721.01140000002</v>
      </c>
      <c r="J3140" s="4"/>
      <c r="K3140" s="38">
        <f t="shared" si="145"/>
        <v>0</v>
      </c>
    </row>
    <row r="3141" spans="1:11">
      <c r="A3141" t="s">
        <v>4307</v>
      </c>
      <c r="B3141" t="s">
        <v>10176</v>
      </c>
      <c r="C3141" t="s">
        <v>5704</v>
      </c>
      <c r="D3141" t="s">
        <v>11334</v>
      </c>
      <c r="E3141">
        <v>156984.65</v>
      </c>
      <c r="G3141" s="35"/>
      <c r="H3141" s="36">
        <f t="shared" si="146"/>
        <v>98900.329499999993</v>
      </c>
      <c r="I3141" s="37">
        <f t="shared" si="144"/>
        <v>98900.329499999993</v>
      </c>
      <c r="J3141" s="4"/>
      <c r="K3141" s="38">
        <f t="shared" si="145"/>
        <v>0</v>
      </c>
    </row>
    <row r="3142" spans="1:11">
      <c r="A3142" t="s">
        <v>4308</v>
      </c>
      <c r="B3142" t="s">
        <v>10176</v>
      </c>
      <c r="C3142" t="s">
        <v>5704</v>
      </c>
      <c r="D3142" t="s">
        <v>11335</v>
      </c>
      <c r="E3142">
        <v>248558.2</v>
      </c>
      <c r="G3142" s="35"/>
      <c r="H3142" s="36">
        <f t="shared" si="146"/>
        <v>156591.666</v>
      </c>
      <c r="I3142" s="37">
        <f t="shared" ref="I3142:I3205" si="147">H3142*$H$4</f>
        <v>156591.666</v>
      </c>
      <c r="J3142" s="4"/>
      <c r="K3142" s="38">
        <f t="shared" ref="K3142:K3205" si="148">J3142*I3142</f>
        <v>0</v>
      </c>
    </row>
    <row r="3143" spans="1:11">
      <c r="A3143" t="s">
        <v>4309</v>
      </c>
      <c r="B3143" t="s">
        <v>10176</v>
      </c>
      <c r="C3143" t="s">
        <v>5704</v>
      </c>
      <c r="D3143" t="s">
        <v>11336</v>
      </c>
      <c r="E3143">
        <v>392420.25</v>
      </c>
      <c r="G3143" s="35"/>
      <c r="H3143" s="36">
        <f t="shared" ref="H3143:H3206" si="149">+E3143*$H$1*(1-G3143)</f>
        <v>247224.75750000001</v>
      </c>
      <c r="I3143" s="37">
        <f t="shared" si="147"/>
        <v>247224.75750000001</v>
      </c>
      <c r="J3143" s="4"/>
      <c r="K3143" s="38">
        <f t="shared" si="148"/>
        <v>0</v>
      </c>
    </row>
    <row r="3144" spans="1:11">
      <c r="A3144" t="s">
        <v>4310</v>
      </c>
      <c r="B3144" t="s">
        <v>10176</v>
      </c>
      <c r="C3144" t="s">
        <v>5704</v>
      </c>
      <c r="D3144" t="s">
        <v>11337</v>
      </c>
      <c r="E3144">
        <v>130780.6</v>
      </c>
      <c r="G3144" s="35"/>
      <c r="H3144" s="36">
        <f t="shared" si="149"/>
        <v>82391.778000000006</v>
      </c>
      <c r="I3144" s="37">
        <f t="shared" si="147"/>
        <v>82391.778000000006</v>
      </c>
      <c r="J3144" s="4"/>
      <c r="K3144" s="38">
        <f t="shared" si="148"/>
        <v>0</v>
      </c>
    </row>
    <row r="3145" spans="1:11">
      <c r="A3145" t="s">
        <v>4311</v>
      </c>
      <c r="B3145" t="s">
        <v>10176</v>
      </c>
      <c r="C3145" t="s">
        <v>5704</v>
      </c>
      <c r="D3145" t="s">
        <v>11338</v>
      </c>
      <c r="E3145">
        <v>209282.45</v>
      </c>
      <c r="G3145" s="35"/>
      <c r="H3145" s="36">
        <f t="shared" si="149"/>
        <v>131847.94349999999</v>
      </c>
      <c r="I3145" s="37">
        <f t="shared" si="147"/>
        <v>131847.94349999999</v>
      </c>
      <c r="J3145" s="4"/>
      <c r="K3145" s="38">
        <f t="shared" si="148"/>
        <v>0</v>
      </c>
    </row>
    <row r="3146" spans="1:11">
      <c r="A3146" t="s">
        <v>4312</v>
      </c>
      <c r="B3146" t="s">
        <v>10176</v>
      </c>
      <c r="C3146" t="s">
        <v>5704</v>
      </c>
      <c r="D3146" t="s">
        <v>11339</v>
      </c>
      <c r="E3146">
        <v>52363.97</v>
      </c>
      <c r="G3146" s="35"/>
      <c r="H3146" s="36">
        <f t="shared" si="149"/>
        <v>32989.301100000004</v>
      </c>
      <c r="I3146" s="37">
        <f t="shared" si="147"/>
        <v>32989.301100000004</v>
      </c>
      <c r="J3146" s="4"/>
      <c r="K3146" s="38">
        <f t="shared" si="148"/>
        <v>0</v>
      </c>
    </row>
    <row r="3147" spans="1:11">
      <c r="A3147" t="s">
        <v>4313</v>
      </c>
      <c r="B3147" t="s">
        <v>10176</v>
      </c>
      <c r="C3147" t="s">
        <v>5704</v>
      </c>
      <c r="D3147" t="s">
        <v>11340</v>
      </c>
      <c r="E3147">
        <v>69751.070000000007</v>
      </c>
      <c r="G3147" s="35"/>
      <c r="H3147" s="36">
        <f t="shared" si="149"/>
        <v>43943.174100000004</v>
      </c>
      <c r="I3147" s="37">
        <f t="shared" si="147"/>
        <v>43943.174100000004</v>
      </c>
      <c r="J3147" s="4"/>
      <c r="K3147" s="38">
        <f t="shared" si="148"/>
        <v>0</v>
      </c>
    </row>
    <row r="3148" spans="1:11">
      <c r="A3148" t="s">
        <v>4314</v>
      </c>
      <c r="B3148" t="s">
        <v>10176</v>
      </c>
      <c r="C3148" t="s">
        <v>5704</v>
      </c>
      <c r="D3148" t="s">
        <v>11341</v>
      </c>
      <c r="E3148">
        <v>113390.54</v>
      </c>
      <c r="G3148" s="35"/>
      <c r="H3148" s="36">
        <f t="shared" si="149"/>
        <v>71436.040200000003</v>
      </c>
      <c r="I3148" s="37">
        <f t="shared" si="147"/>
        <v>71436.040200000003</v>
      </c>
      <c r="J3148" s="4"/>
      <c r="K3148" s="38">
        <f t="shared" si="148"/>
        <v>0</v>
      </c>
    </row>
    <row r="3149" spans="1:11">
      <c r="A3149" t="s">
        <v>4315</v>
      </c>
      <c r="B3149" t="s">
        <v>10176</v>
      </c>
      <c r="C3149" t="s">
        <v>5704</v>
      </c>
      <c r="D3149" t="s">
        <v>11342</v>
      </c>
      <c r="E3149">
        <v>183138.21</v>
      </c>
      <c r="G3149" s="35"/>
      <c r="H3149" s="36">
        <f t="shared" si="149"/>
        <v>115377.0723</v>
      </c>
      <c r="I3149" s="37">
        <f t="shared" si="147"/>
        <v>115377.0723</v>
      </c>
      <c r="J3149" s="4"/>
      <c r="K3149" s="38">
        <f t="shared" si="148"/>
        <v>0</v>
      </c>
    </row>
    <row r="3150" spans="1:11">
      <c r="A3150" t="s">
        <v>4316</v>
      </c>
      <c r="B3150" t="s">
        <v>10176</v>
      </c>
      <c r="C3150" t="s">
        <v>5704</v>
      </c>
      <c r="D3150" t="s">
        <v>11343</v>
      </c>
      <c r="E3150">
        <v>47532.91</v>
      </c>
      <c r="G3150" s="35"/>
      <c r="H3150" s="36">
        <f t="shared" si="149"/>
        <v>29945.733300000004</v>
      </c>
      <c r="I3150" s="37">
        <f t="shared" si="147"/>
        <v>29945.733300000004</v>
      </c>
      <c r="J3150" s="4"/>
      <c r="K3150" s="38">
        <f t="shared" si="148"/>
        <v>0</v>
      </c>
    </row>
    <row r="3151" spans="1:11">
      <c r="A3151" t="s">
        <v>4302</v>
      </c>
      <c r="B3151" t="s">
        <v>10176</v>
      </c>
      <c r="C3151" t="s">
        <v>5704</v>
      </c>
      <c r="D3151" t="s">
        <v>11330</v>
      </c>
      <c r="E3151">
        <v>29914.28</v>
      </c>
      <c r="G3151" s="35"/>
      <c r="H3151" s="36">
        <f t="shared" si="149"/>
        <v>18845.9964</v>
      </c>
      <c r="I3151" s="37">
        <f t="shared" si="147"/>
        <v>18845.9964</v>
      </c>
      <c r="J3151" s="4"/>
      <c r="K3151" s="38">
        <f t="shared" si="148"/>
        <v>0</v>
      </c>
    </row>
    <row r="3152" spans="1:11">
      <c r="A3152" t="s">
        <v>4317</v>
      </c>
      <c r="B3152" t="s">
        <v>10176</v>
      </c>
      <c r="C3152" t="s">
        <v>5705</v>
      </c>
      <c r="D3152" t="s">
        <v>10612</v>
      </c>
      <c r="E3152">
        <v>130619.03</v>
      </c>
      <c r="G3152" s="35"/>
      <c r="H3152" s="36">
        <f t="shared" si="149"/>
        <v>82289.988899999997</v>
      </c>
      <c r="I3152" s="37">
        <f t="shared" si="147"/>
        <v>82289.988899999997</v>
      </c>
      <c r="J3152" s="4"/>
      <c r="K3152" s="38">
        <f t="shared" si="148"/>
        <v>0</v>
      </c>
    </row>
    <row r="3153" spans="1:11">
      <c r="A3153" t="s">
        <v>4318</v>
      </c>
      <c r="B3153" t="s">
        <v>10176</v>
      </c>
      <c r="C3153" t="s">
        <v>5705</v>
      </c>
      <c r="D3153" t="s">
        <v>10613</v>
      </c>
      <c r="E3153">
        <v>725612.42</v>
      </c>
      <c r="G3153" s="35"/>
      <c r="H3153" s="36">
        <f t="shared" si="149"/>
        <v>457135.82460000005</v>
      </c>
      <c r="I3153" s="37">
        <f t="shared" si="147"/>
        <v>457135.82460000005</v>
      </c>
      <c r="J3153" s="4"/>
      <c r="K3153" s="38">
        <f t="shared" si="148"/>
        <v>0</v>
      </c>
    </row>
    <row r="3154" spans="1:11">
      <c r="A3154" t="s">
        <v>4298</v>
      </c>
      <c r="B3154" t="s">
        <v>10176</v>
      </c>
      <c r="C3154" t="s">
        <v>5703</v>
      </c>
      <c r="D3154" t="s">
        <v>11327</v>
      </c>
      <c r="E3154">
        <v>23566.29</v>
      </c>
      <c r="G3154" s="35"/>
      <c r="H3154" s="36">
        <f t="shared" si="149"/>
        <v>14846.762700000001</v>
      </c>
      <c r="I3154" s="37">
        <f t="shared" si="147"/>
        <v>14846.762700000001</v>
      </c>
      <c r="J3154" s="4"/>
      <c r="K3154" s="38">
        <f t="shared" si="148"/>
        <v>0</v>
      </c>
    </row>
    <row r="3155" spans="1:11">
      <c r="A3155" t="s">
        <v>4299</v>
      </c>
      <c r="B3155" t="s">
        <v>10176</v>
      </c>
      <c r="C3155" t="s">
        <v>5703</v>
      </c>
      <c r="D3155" t="s">
        <v>11328</v>
      </c>
      <c r="E3155">
        <v>31402.36</v>
      </c>
      <c r="G3155" s="35"/>
      <c r="H3155" s="36">
        <f t="shared" si="149"/>
        <v>19783.486799999999</v>
      </c>
      <c r="I3155" s="37">
        <f t="shared" si="147"/>
        <v>19783.486799999999</v>
      </c>
      <c r="J3155" s="4"/>
      <c r="K3155" s="38">
        <f t="shared" si="148"/>
        <v>0</v>
      </c>
    </row>
    <row r="3156" spans="1:11">
      <c r="A3156" t="s">
        <v>4300</v>
      </c>
      <c r="B3156" t="s">
        <v>10176</v>
      </c>
      <c r="C3156" t="s">
        <v>5703</v>
      </c>
      <c r="D3156" t="s">
        <v>11329</v>
      </c>
      <c r="E3156">
        <v>36628.660000000003</v>
      </c>
      <c r="G3156" s="35"/>
      <c r="H3156" s="36">
        <f t="shared" si="149"/>
        <v>23076.055800000002</v>
      </c>
      <c r="I3156" s="37">
        <f t="shared" si="147"/>
        <v>23076.055800000002</v>
      </c>
      <c r="J3156" s="4"/>
      <c r="K3156" s="38">
        <f t="shared" si="148"/>
        <v>0</v>
      </c>
    </row>
    <row r="3157" spans="1:11">
      <c r="A3157" t="s">
        <v>5073</v>
      </c>
      <c r="B3157" t="s">
        <v>10176</v>
      </c>
      <c r="C3157" t="s">
        <v>5940</v>
      </c>
      <c r="D3157" t="s">
        <v>10792</v>
      </c>
      <c r="E3157">
        <v>29086.14</v>
      </c>
      <c r="G3157" s="35"/>
      <c r="H3157" s="36">
        <f t="shared" si="149"/>
        <v>18324.268199999999</v>
      </c>
      <c r="I3157" s="37">
        <f t="shared" si="147"/>
        <v>18324.268199999999</v>
      </c>
      <c r="J3157" s="4"/>
      <c r="K3157" s="38">
        <f t="shared" si="148"/>
        <v>0</v>
      </c>
    </row>
    <row r="3158" spans="1:11">
      <c r="A3158" t="s">
        <v>5074</v>
      </c>
      <c r="B3158" t="s">
        <v>10176</v>
      </c>
      <c r="C3158" t="s">
        <v>5940</v>
      </c>
      <c r="D3158" t="s">
        <v>10524</v>
      </c>
      <c r="E3158">
        <v>55525.4</v>
      </c>
      <c r="G3158" s="35"/>
      <c r="H3158" s="36">
        <f t="shared" si="149"/>
        <v>34981.002</v>
      </c>
      <c r="I3158" s="37">
        <f t="shared" si="147"/>
        <v>34981.002</v>
      </c>
      <c r="J3158" s="4"/>
      <c r="K3158" s="38">
        <f t="shared" si="148"/>
        <v>0</v>
      </c>
    </row>
    <row r="3159" spans="1:11">
      <c r="A3159" t="s">
        <v>5075</v>
      </c>
      <c r="B3159" t="s">
        <v>10176</v>
      </c>
      <c r="C3159" t="s">
        <v>5940</v>
      </c>
      <c r="D3159" t="s">
        <v>10793</v>
      </c>
      <c r="E3159">
        <v>158218.01</v>
      </c>
      <c r="G3159" s="35"/>
      <c r="H3159" s="36">
        <f t="shared" si="149"/>
        <v>99677.346300000005</v>
      </c>
      <c r="I3159" s="37">
        <f t="shared" si="147"/>
        <v>99677.346300000005</v>
      </c>
      <c r="J3159" s="4"/>
      <c r="K3159" s="38">
        <f t="shared" si="148"/>
        <v>0</v>
      </c>
    </row>
    <row r="3160" spans="1:11">
      <c r="A3160" t="s">
        <v>5076</v>
      </c>
      <c r="B3160" t="s">
        <v>10176</v>
      </c>
      <c r="C3160" t="s">
        <v>5940</v>
      </c>
      <c r="D3160" t="s">
        <v>10794</v>
      </c>
      <c r="E3160">
        <v>158218.01</v>
      </c>
      <c r="G3160" s="35"/>
      <c r="H3160" s="36">
        <f t="shared" si="149"/>
        <v>99677.346300000005</v>
      </c>
      <c r="I3160" s="37">
        <f t="shared" si="147"/>
        <v>99677.346300000005</v>
      </c>
      <c r="J3160" s="4"/>
      <c r="K3160" s="38">
        <f t="shared" si="148"/>
        <v>0</v>
      </c>
    </row>
    <row r="3161" spans="1:11">
      <c r="A3161" t="s">
        <v>5077</v>
      </c>
      <c r="B3161" t="s">
        <v>10176</v>
      </c>
      <c r="C3161" t="s">
        <v>5940</v>
      </c>
      <c r="D3161" t="s">
        <v>10795</v>
      </c>
      <c r="E3161">
        <v>47707.77</v>
      </c>
      <c r="G3161" s="35"/>
      <c r="H3161" s="36">
        <f t="shared" si="149"/>
        <v>30055.895099999998</v>
      </c>
      <c r="I3161" s="37">
        <f t="shared" si="147"/>
        <v>30055.895099999998</v>
      </c>
      <c r="J3161" s="4"/>
      <c r="K3161" s="38">
        <f t="shared" si="148"/>
        <v>0</v>
      </c>
    </row>
    <row r="3162" spans="1:11">
      <c r="A3162" t="s">
        <v>5078</v>
      </c>
      <c r="B3162" t="s">
        <v>10176</v>
      </c>
      <c r="C3162" t="s">
        <v>5940</v>
      </c>
      <c r="D3162" t="s">
        <v>10796</v>
      </c>
      <c r="E3162">
        <v>39316.82</v>
      </c>
      <c r="G3162" s="35"/>
      <c r="H3162" s="36">
        <f t="shared" si="149"/>
        <v>24769.596600000001</v>
      </c>
      <c r="I3162" s="37">
        <f t="shared" si="147"/>
        <v>24769.596600000001</v>
      </c>
      <c r="J3162" s="4"/>
      <c r="K3162" s="38">
        <f t="shared" si="148"/>
        <v>0</v>
      </c>
    </row>
    <row r="3163" spans="1:11">
      <c r="A3163" t="s">
        <v>5079</v>
      </c>
      <c r="B3163" t="s">
        <v>10176</v>
      </c>
      <c r="C3163" t="s">
        <v>5941</v>
      </c>
      <c r="D3163" t="s">
        <v>10525</v>
      </c>
      <c r="E3163">
        <v>12919.26</v>
      </c>
      <c r="G3163" s="35"/>
      <c r="H3163" s="36">
        <f t="shared" si="149"/>
        <v>8139.1338000000005</v>
      </c>
      <c r="I3163" s="37">
        <f t="shared" si="147"/>
        <v>8139.1338000000005</v>
      </c>
      <c r="J3163" s="4"/>
      <c r="K3163" s="38">
        <f t="shared" si="148"/>
        <v>0</v>
      </c>
    </row>
    <row r="3164" spans="1:11">
      <c r="A3164" t="s">
        <v>5080</v>
      </c>
      <c r="B3164" t="s">
        <v>10176</v>
      </c>
      <c r="C3164" t="s">
        <v>5942</v>
      </c>
      <c r="D3164" t="s">
        <v>10797</v>
      </c>
      <c r="E3164">
        <v>832.48</v>
      </c>
      <c r="G3164" s="35"/>
      <c r="H3164" s="36">
        <f t="shared" si="149"/>
        <v>524.4624</v>
      </c>
      <c r="I3164" s="37">
        <f t="shared" si="147"/>
        <v>524.4624</v>
      </c>
      <c r="J3164" s="4"/>
      <c r="K3164" s="38">
        <f t="shared" si="148"/>
        <v>0</v>
      </c>
    </row>
    <row r="3165" spans="1:11">
      <c r="A3165" t="s">
        <v>5081</v>
      </c>
      <c r="B3165" t="s">
        <v>10176</v>
      </c>
      <c r="C3165" t="s">
        <v>5942</v>
      </c>
      <c r="D3165" t="s">
        <v>10798</v>
      </c>
      <c r="E3165">
        <v>535.29</v>
      </c>
      <c r="G3165" s="35"/>
      <c r="H3165" s="36">
        <f t="shared" si="149"/>
        <v>337.23269999999997</v>
      </c>
      <c r="I3165" s="37">
        <f t="shared" si="147"/>
        <v>337.23269999999997</v>
      </c>
      <c r="J3165" s="4"/>
      <c r="K3165" s="38">
        <f t="shared" si="148"/>
        <v>0</v>
      </c>
    </row>
    <row r="3166" spans="1:11">
      <c r="A3166" t="s">
        <v>5082</v>
      </c>
      <c r="B3166" t="s">
        <v>10176</v>
      </c>
      <c r="C3166" t="s">
        <v>5942</v>
      </c>
      <c r="D3166" t="s">
        <v>10799</v>
      </c>
      <c r="E3166">
        <v>712.68</v>
      </c>
      <c r="G3166" s="35"/>
      <c r="H3166" s="36">
        <f t="shared" si="149"/>
        <v>448.98839999999996</v>
      </c>
      <c r="I3166" s="37">
        <f t="shared" si="147"/>
        <v>448.98839999999996</v>
      </c>
      <c r="J3166" s="4"/>
      <c r="K3166" s="38">
        <f t="shared" si="148"/>
        <v>0</v>
      </c>
    </row>
    <row r="3167" spans="1:11">
      <c r="A3167" t="s">
        <v>5083</v>
      </c>
      <c r="B3167" t="s">
        <v>10176</v>
      </c>
      <c r="C3167" t="s">
        <v>5942</v>
      </c>
      <c r="D3167" t="s">
        <v>10800</v>
      </c>
      <c r="E3167">
        <v>1280.17</v>
      </c>
      <c r="G3167" s="35"/>
      <c r="H3167" s="36">
        <f t="shared" si="149"/>
        <v>806.50710000000004</v>
      </c>
      <c r="I3167" s="37">
        <f t="shared" si="147"/>
        <v>806.50710000000004</v>
      </c>
      <c r="J3167" s="4"/>
      <c r="K3167" s="38">
        <f t="shared" si="148"/>
        <v>0</v>
      </c>
    </row>
    <row r="3168" spans="1:11">
      <c r="A3168" t="s">
        <v>5084</v>
      </c>
      <c r="B3168" t="s">
        <v>10176</v>
      </c>
      <c r="C3168" t="s">
        <v>5942</v>
      </c>
      <c r="D3168" t="s">
        <v>10801</v>
      </c>
      <c r="E3168">
        <v>1720.93</v>
      </c>
      <c r="G3168" s="35"/>
      <c r="H3168" s="36">
        <f t="shared" si="149"/>
        <v>1084.1858999999999</v>
      </c>
      <c r="I3168" s="37">
        <f t="shared" si="147"/>
        <v>1084.1858999999999</v>
      </c>
      <c r="J3168" s="4"/>
      <c r="K3168" s="38">
        <f t="shared" si="148"/>
        <v>0</v>
      </c>
    </row>
    <row r="3169" spans="1:11">
      <c r="A3169" t="s">
        <v>5085</v>
      </c>
      <c r="B3169" t="s">
        <v>10176</v>
      </c>
      <c r="C3169" t="s">
        <v>5943</v>
      </c>
      <c r="D3169" t="s">
        <v>10802</v>
      </c>
      <c r="E3169">
        <v>30364.71</v>
      </c>
      <c r="G3169" s="35"/>
      <c r="H3169" s="36">
        <f t="shared" si="149"/>
        <v>19129.7673</v>
      </c>
      <c r="I3169" s="37">
        <f t="shared" si="147"/>
        <v>19129.7673</v>
      </c>
      <c r="J3169" s="4"/>
      <c r="K3169" s="38">
        <f t="shared" si="148"/>
        <v>0</v>
      </c>
    </row>
    <row r="3170" spans="1:11">
      <c r="A3170" t="s">
        <v>5086</v>
      </c>
      <c r="B3170" t="s">
        <v>10176</v>
      </c>
      <c r="C3170" t="s">
        <v>5944</v>
      </c>
      <c r="D3170" t="s">
        <v>10803</v>
      </c>
      <c r="E3170">
        <v>180823.67999999999</v>
      </c>
      <c r="G3170" s="35"/>
      <c r="H3170" s="36">
        <f t="shared" si="149"/>
        <v>113918.9184</v>
      </c>
      <c r="I3170" s="37">
        <f t="shared" si="147"/>
        <v>113918.9184</v>
      </c>
      <c r="J3170" s="4"/>
      <c r="K3170" s="38">
        <f t="shared" si="148"/>
        <v>0</v>
      </c>
    </row>
    <row r="3171" spans="1:11">
      <c r="A3171" t="s">
        <v>5087</v>
      </c>
      <c r="B3171" t="s">
        <v>10176</v>
      </c>
      <c r="C3171" t="s">
        <v>5944</v>
      </c>
      <c r="D3171" t="s">
        <v>10804</v>
      </c>
      <c r="E3171">
        <v>170848.51</v>
      </c>
      <c r="G3171" s="35"/>
      <c r="H3171" s="36">
        <f t="shared" si="149"/>
        <v>107634.5613</v>
      </c>
      <c r="I3171" s="37">
        <f t="shared" si="147"/>
        <v>107634.5613</v>
      </c>
      <c r="J3171" s="4"/>
      <c r="K3171" s="38">
        <f t="shared" si="148"/>
        <v>0</v>
      </c>
    </row>
    <row r="3172" spans="1:11">
      <c r="A3172" t="s">
        <v>5088</v>
      </c>
      <c r="B3172" t="s">
        <v>10176</v>
      </c>
      <c r="C3172" t="s">
        <v>5944</v>
      </c>
      <c r="D3172" t="s">
        <v>10805</v>
      </c>
      <c r="E3172">
        <v>110349.78</v>
      </c>
      <c r="G3172" s="35"/>
      <c r="H3172" s="36">
        <f t="shared" si="149"/>
        <v>69520.361399999994</v>
      </c>
      <c r="I3172" s="37">
        <f t="shared" si="147"/>
        <v>69520.361399999994</v>
      </c>
      <c r="J3172" s="4"/>
      <c r="K3172" s="38">
        <f t="shared" si="148"/>
        <v>0</v>
      </c>
    </row>
    <row r="3173" spans="1:11">
      <c r="A3173" t="s">
        <v>5089</v>
      </c>
      <c r="B3173" t="s">
        <v>10176</v>
      </c>
      <c r="C3173" t="s">
        <v>5944</v>
      </c>
      <c r="D3173" t="s">
        <v>10806</v>
      </c>
      <c r="E3173">
        <v>146100.10999999999</v>
      </c>
      <c r="G3173" s="35"/>
      <c r="H3173" s="36">
        <f t="shared" si="149"/>
        <v>92043.069299999988</v>
      </c>
      <c r="I3173" s="37">
        <f t="shared" si="147"/>
        <v>92043.069299999988</v>
      </c>
      <c r="J3173" s="4"/>
      <c r="K3173" s="38">
        <f t="shared" si="148"/>
        <v>0</v>
      </c>
    </row>
    <row r="3174" spans="1:11">
      <c r="A3174" t="s">
        <v>5090</v>
      </c>
      <c r="B3174" t="s">
        <v>10176</v>
      </c>
      <c r="C3174" t="s">
        <v>5945</v>
      </c>
      <c r="D3174" t="s">
        <v>10807</v>
      </c>
      <c r="E3174">
        <v>58479.53</v>
      </c>
      <c r="G3174" s="35"/>
      <c r="H3174" s="36">
        <f t="shared" si="149"/>
        <v>36842.103900000002</v>
      </c>
      <c r="I3174" s="37">
        <f t="shared" si="147"/>
        <v>36842.103900000002</v>
      </c>
      <c r="J3174" s="4"/>
      <c r="K3174" s="38">
        <f t="shared" si="148"/>
        <v>0</v>
      </c>
    </row>
    <row r="3175" spans="1:11">
      <c r="A3175" t="s">
        <v>5091</v>
      </c>
      <c r="B3175" t="s">
        <v>10176</v>
      </c>
      <c r="C3175" t="s">
        <v>5945</v>
      </c>
      <c r="D3175" t="s">
        <v>10808</v>
      </c>
      <c r="E3175">
        <v>21950.01</v>
      </c>
      <c r="G3175" s="35"/>
      <c r="H3175" s="36">
        <f t="shared" si="149"/>
        <v>13828.506299999999</v>
      </c>
      <c r="I3175" s="37">
        <f t="shared" si="147"/>
        <v>13828.506299999999</v>
      </c>
      <c r="J3175" s="4"/>
      <c r="K3175" s="38">
        <f t="shared" si="148"/>
        <v>0</v>
      </c>
    </row>
    <row r="3176" spans="1:11">
      <c r="A3176" t="s">
        <v>5092</v>
      </c>
      <c r="B3176" t="s">
        <v>10176</v>
      </c>
      <c r="C3176" t="s">
        <v>5946</v>
      </c>
      <c r="D3176" t="s">
        <v>10809</v>
      </c>
      <c r="E3176">
        <v>18422.07</v>
      </c>
      <c r="G3176" s="35"/>
      <c r="H3176" s="36">
        <f t="shared" si="149"/>
        <v>11605.9041</v>
      </c>
      <c r="I3176" s="37">
        <f t="shared" si="147"/>
        <v>11605.9041</v>
      </c>
      <c r="J3176" s="4"/>
      <c r="K3176" s="38">
        <f t="shared" si="148"/>
        <v>0</v>
      </c>
    </row>
    <row r="3177" spans="1:11">
      <c r="A3177" t="s">
        <v>5093</v>
      </c>
      <c r="B3177" t="s">
        <v>10176</v>
      </c>
      <c r="C3177" t="s">
        <v>5946</v>
      </c>
      <c r="D3177" t="s">
        <v>10810</v>
      </c>
      <c r="E3177">
        <v>20951.23</v>
      </c>
      <c r="G3177" s="35"/>
      <c r="H3177" s="36">
        <f t="shared" si="149"/>
        <v>13199.2749</v>
      </c>
      <c r="I3177" s="37">
        <f t="shared" si="147"/>
        <v>13199.2749</v>
      </c>
      <c r="J3177" s="4"/>
      <c r="K3177" s="38">
        <f t="shared" si="148"/>
        <v>0</v>
      </c>
    </row>
    <row r="3178" spans="1:11">
      <c r="A3178" t="s">
        <v>5094</v>
      </c>
      <c r="B3178" t="s">
        <v>10176</v>
      </c>
      <c r="C3178" t="s">
        <v>5946</v>
      </c>
      <c r="D3178" t="s">
        <v>10526</v>
      </c>
      <c r="E3178">
        <v>24399.47</v>
      </c>
      <c r="G3178" s="35"/>
      <c r="H3178" s="36">
        <f t="shared" si="149"/>
        <v>15371.6661</v>
      </c>
      <c r="I3178" s="37">
        <f t="shared" si="147"/>
        <v>15371.6661</v>
      </c>
      <c r="J3178" s="4"/>
      <c r="K3178" s="38">
        <f t="shared" si="148"/>
        <v>0</v>
      </c>
    </row>
    <row r="3179" spans="1:11">
      <c r="A3179" t="s">
        <v>5095</v>
      </c>
      <c r="B3179" t="s">
        <v>10176</v>
      </c>
      <c r="C3179" t="s">
        <v>5946</v>
      </c>
      <c r="D3179" t="s">
        <v>10527</v>
      </c>
      <c r="E3179">
        <v>14250.62</v>
      </c>
      <c r="G3179" s="35"/>
      <c r="H3179" s="36">
        <f t="shared" si="149"/>
        <v>8977.8906000000006</v>
      </c>
      <c r="I3179" s="37">
        <f t="shared" si="147"/>
        <v>8977.8906000000006</v>
      </c>
      <c r="J3179" s="4"/>
      <c r="K3179" s="38">
        <f t="shared" si="148"/>
        <v>0</v>
      </c>
    </row>
    <row r="3180" spans="1:11">
      <c r="A3180" t="s">
        <v>5096</v>
      </c>
      <c r="B3180" t="s">
        <v>10176</v>
      </c>
      <c r="C3180" t="s">
        <v>5946</v>
      </c>
      <c r="D3180" t="s">
        <v>10811</v>
      </c>
      <c r="E3180">
        <v>18422.07</v>
      </c>
      <c r="G3180" s="35"/>
      <c r="H3180" s="36">
        <f t="shared" si="149"/>
        <v>11605.9041</v>
      </c>
      <c r="I3180" s="37">
        <f t="shared" si="147"/>
        <v>11605.9041</v>
      </c>
      <c r="J3180" s="4"/>
      <c r="K3180" s="38">
        <f t="shared" si="148"/>
        <v>0</v>
      </c>
    </row>
    <row r="3181" spans="1:11">
      <c r="A3181" t="s">
        <v>5097</v>
      </c>
      <c r="B3181" t="s">
        <v>10176</v>
      </c>
      <c r="C3181" t="s">
        <v>5946</v>
      </c>
      <c r="D3181" t="s">
        <v>10812</v>
      </c>
      <c r="E3181">
        <v>18422.07</v>
      </c>
      <c r="G3181" s="35"/>
      <c r="H3181" s="36">
        <f t="shared" si="149"/>
        <v>11605.9041</v>
      </c>
      <c r="I3181" s="37">
        <f t="shared" si="147"/>
        <v>11605.9041</v>
      </c>
      <c r="J3181" s="4"/>
      <c r="K3181" s="38">
        <f t="shared" si="148"/>
        <v>0</v>
      </c>
    </row>
    <row r="3182" spans="1:11">
      <c r="A3182" t="s">
        <v>5098</v>
      </c>
      <c r="B3182" t="s">
        <v>10176</v>
      </c>
      <c r="C3182" t="s">
        <v>5947</v>
      </c>
      <c r="D3182" t="s">
        <v>10813</v>
      </c>
      <c r="E3182">
        <v>53664.04</v>
      </c>
      <c r="G3182" s="35"/>
      <c r="H3182" s="36">
        <f t="shared" si="149"/>
        <v>33808.345200000003</v>
      </c>
      <c r="I3182" s="37">
        <f t="shared" si="147"/>
        <v>33808.345200000003</v>
      </c>
      <c r="J3182" s="4"/>
      <c r="K3182" s="38">
        <f t="shared" si="148"/>
        <v>0</v>
      </c>
    </row>
    <row r="3183" spans="1:11">
      <c r="A3183" t="s">
        <v>5099</v>
      </c>
      <c r="B3183" t="s">
        <v>10176</v>
      </c>
      <c r="C3183" t="s">
        <v>5948</v>
      </c>
      <c r="D3183" t="s">
        <v>10814</v>
      </c>
      <c r="E3183">
        <v>2579.31</v>
      </c>
      <c r="G3183" s="35"/>
      <c r="H3183" s="36">
        <f t="shared" si="149"/>
        <v>1624.9653000000001</v>
      </c>
      <c r="I3183" s="37">
        <f t="shared" si="147"/>
        <v>1624.9653000000001</v>
      </c>
      <c r="J3183" s="4"/>
      <c r="K3183" s="38">
        <f t="shared" si="148"/>
        <v>0</v>
      </c>
    </row>
    <row r="3184" spans="1:11">
      <c r="A3184" t="s">
        <v>5100</v>
      </c>
      <c r="B3184" t="s">
        <v>10176</v>
      </c>
      <c r="C3184" t="s">
        <v>5948</v>
      </c>
      <c r="D3184" t="s">
        <v>10815</v>
      </c>
      <c r="E3184">
        <v>1694.55</v>
      </c>
      <c r="G3184" s="35"/>
      <c r="H3184" s="36">
        <f t="shared" si="149"/>
        <v>1067.5664999999999</v>
      </c>
      <c r="I3184" s="37">
        <f t="shared" si="147"/>
        <v>1067.5664999999999</v>
      </c>
      <c r="J3184" s="4"/>
      <c r="K3184" s="38">
        <f t="shared" si="148"/>
        <v>0</v>
      </c>
    </row>
    <row r="3185" spans="1:11">
      <c r="A3185" t="s">
        <v>5101</v>
      </c>
      <c r="B3185" t="s">
        <v>10176</v>
      </c>
      <c r="C3185" t="s">
        <v>5948</v>
      </c>
      <c r="D3185" t="s">
        <v>10816</v>
      </c>
      <c r="E3185">
        <v>4821.8</v>
      </c>
      <c r="G3185" s="35"/>
      <c r="H3185" s="36">
        <f t="shared" si="149"/>
        <v>3037.7339999999999</v>
      </c>
      <c r="I3185" s="37">
        <f t="shared" si="147"/>
        <v>3037.7339999999999</v>
      </c>
      <c r="J3185" s="4"/>
      <c r="K3185" s="38">
        <f t="shared" si="148"/>
        <v>0</v>
      </c>
    </row>
    <row r="3186" spans="1:11">
      <c r="A3186" t="s">
        <v>5102</v>
      </c>
      <c r="B3186" t="s">
        <v>10176</v>
      </c>
      <c r="C3186" t="s">
        <v>5948</v>
      </c>
      <c r="D3186" t="s">
        <v>10817</v>
      </c>
      <c r="E3186">
        <v>3857.89</v>
      </c>
      <c r="G3186" s="35"/>
      <c r="H3186" s="36">
        <f t="shared" si="149"/>
        <v>2430.4706999999999</v>
      </c>
      <c r="I3186" s="37">
        <f t="shared" si="147"/>
        <v>2430.4706999999999</v>
      </c>
      <c r="J3186" s="4"/>
      <c r="K3186" s="38">
        <f t="shared" si="148"/>
        <v>0</v>
      </c>
    </row>
    <row r="3187" spans="1:11">
      <c r="A3187" t="s">
        <v>5103</v>
      </c>
      <c r="B3187" t="s">
        <v>10176</v>
      </c>
      <c r="C3187" t="s">
        <v>5948</v>
      </c>
      <c r="D3187" t="s">
        <v>10818</v>
      </c>
      <c r="E3187">
        <v>32972</v>
      </c>
      <c r="G3187" s="35"/>
      <c r="H3187" s="36">
        <f t="shared" si="149"/>
        <v>20772.36</v>
      </c>
      <c r="I3187" s="37">
        <f t="shared" si="147"/>
        <v>20772.36</v>
      </c>
      <c r="J3187" s="4"/>
      <c r="K3187" s="38">
        <f t="shared" si="148"/>
        <v>0</v>
      </c>
    </row>
    <row r="3188" spans="1:11">
      <c r="A3188" t="s">
        <v>5104</v>
      </c>
      <c r="B3188" t="s">
        <v>10176</v>
      </c>
      <c r="C3188" t="s">
        <v>5948</v>
      </c>
      <c r="D3188" t="s">
        <v>10819</v>
      </c>
      <c r="E3188">
        <v>1179.8599999999999</v>
      </c>
      <c r="G3188" s="35"/>
      <c r="H3188" s="36">
        <f t="shared" si="149"/>
        <v>743.31179999999995</v>
      </c>
      <c r="I3188" s="37">
        <f t="shared" si="147"/>
        <v>743.31179999999995</v>
      </c>
      <c r="J3188" s="4"/>
      <c r="K3188" s="38">
        <f t="shared" si="148"/>
        <v>0</v>
      </c>
    </row>
    <row r="3189" spans="1:11">
      <c r="A3189" t="s">
        <v>5105</v>
      </c>
      <c r="B3189" t="s">
        <v>10176</v>
      </c>
      <c r="C3189" t="s">
        <v>5948</v>
      </c>
      <c r="D3189" t="s">
        <v>10820</v>
      </c>
      <c r="E3189">
        <v>1490.78</v>
      </c>
      <c r="G3189" s="35"/>
      <c r="H3189" s="36">
        <f t="shared" si="149"/>
        <v>939.19140000000004</v>
      </c>
      <c r="I3189" s="37">
        <f t="shared" si="147"/>
        <v>939.19140000000004</v>
      </c>
      <c r="J3189" s="4"/>
      <c r="K3189" s="38">
        <f t="shared" si="148"/>
        <v>0</v>
      </c>
    </row>
    <row r="3190" spans="1:11">
      <c r="A3190" t="s">
        <v>5106</v>
      </c>
      <c r="B3190" t="s">
        <v>10176</v>
      </c>
      <c r="C3190" t="s">
        <v>5949</v>
      </c>
      <c r="D3190" t="s">
        <v>10528</v>
      </c>
      <c r="E3190">
        <v>7094.95</v>
      </c>
      <c r="G3190" s="35"/>
      <c r="H3190" s="36">
        <f t="shared" si="149"/>
        <v>4469.8185000000003</v>
      </c>
      <c r="I3190" s="37">
        <f t="shared" si="147"/>
        <v>4469.8185000000003</v>
      </c>
      <c r="J3190" s="4"/>
      <c r="K3190" s="38">
        <f t="shared" si="148"/>
        <v>0</v>
      </c>
    </row>
    <row r="3191" spans="1:11">
      <c r="A3191" t="s">
        <v>5107</v>
      </c>
      <c r="B3191" t="s">
        <v>10176</v>
      </c>
      <c r="C3191" t="s">
        <v>5950</v>
      </c>
      <c r="D3191" t="s">
        <v>10821</v>
      </c>
      <c r="E3191">
        <v>11234.21</v>
      </c>
      <c r="G3191" s="35"/>
      <c r="H3191" s="36">
        <f t="shared" si="149"/>
        <v>7077.5522999999994</v>
      </c>
      <c r="I3191" s="37">
        <f t="shared" si="147"/>
        <v>7077.5522999999994</v>
      </c>
      <c r="J3191" s="4"/>
      <c r="K3191" s="38">
        <f t="shared" si="148"/>
        <v>0</v>
      </c>
    </row>
    <row r="3192" spans="1:11">
      <c r="A3192" t="s">
        <v>5108</v>
      </c>
      <c r="B3192" t="s">
        <v>10176</v>
      </c>
      <c r="C3192" t="s">
        <v>5950</v>
      </c>
      <c r="D3192" t="s">
        <v>10822</v>
      </c>
      <c r="E3192">
        <v>3579.13</v>
      </c>
      <c r="G3192" s="35"/>
      <c r="H3192" s="36">
        <f t="shared" si="149"/>
        <v>2254.8519000000001</v>
      </c>
      <c r="I3192" s="37">
        <f t="shared" si="147"/>
        <v>2254.8519000000001</v>
      </c>
      <c r="J3192" s="4"/>
      <c r="K3192" s="38">
        <f t="shared" si="148"/>
        <v>0</v>
      </c>
    </row>
    <row r="3193" spans="1:11">
      <c r="A3193" t="s">
        <v>5109</v>
      </c>
      <c r="B3193" t="s">
        <v>10176</v>
      </c>
      <c r="C3193" t="s">
        <v>5950</v>
      </c>
      <c r="D3193" t="s">
        <v>10823</v>
      </c>
      <c r="E3193">
        <v>535.29</v>
      </c>
      <c r="G3193" s="35"/>
      <c r="H3193" s="36">
        <f t="shared" si="149"/>
        <v>337.23269999999997</v>
      </c>
      <c r="I3193" s="37">
        <f t="shared" si="147"/>
        <v>337.23269999999997</v>
      </c>
      <c r="J3193" s="4"/>
      <c r="K3193" s="38">
        <f t="shared" si="148"/>
        <v>0</v>
      </c>
    </row>
    <row r="3194" spans="1:11">
      <c r="A3194" t="s">
        <v>5110</v>
      </c>
      <c r="B3194" t="s">
        <v>10176</v>
      </c>
      <c r="C3194" t="s">
        <v>5950</v>
      </c>
      <c r="D3194" t="s">
        <v>10824</v>
      </c>
      <c r="E3194">
        <v>477.21</v>
      </c>
      <c r="G3194" s="35"/>
      <c r="H3194" s="36">
        <f t="shared" si="149"/>
        <v>300.64229999999998</v>
      </c>
      <c r="I3194" s="37">
        <f t="shared" si="147"/>
        <v>300.64229999999998</v>
      </c>
      <c r="J3194" s="4"/>
      <c r="K3194" s="38">
        <f t="shared" si="148"/>
        <v>0</v>
      </c>
    </row>
    <row r="3195" spans="1:11">
      <c r="A3195" t="s">
        <v>5111</v>
      </c>
      <c r="B3195" t="s">
        <v>10176</v>
      </c>
      <c r="C3195" t="s">
        <v>5950</v>
      </c>
      <c r="D3195" t="s">
        <v>10825</v>
      </c>
      <c r="E3195">
        <v>3017.49</v>
      </c>
      <c r="G3195" s="35"/>
      <c r="H3195" s="36">
        <f t="shared" si="149"/>
        <v>1901.0186999999999</v>
      </c>
      <c r="I3195" s="37">
        <f t="shared" si="147"/>
        <v>1901.0186999999999</v>
      </c>
      <c r="J3195" s="4"/>
      <c r="K3195" s="38">
        <f t="shared" si="148"/>
        <v>0</v>
      </c>
    </row>
    <row r="3196" spans="1:11">
      <c r="A3196" t="s">
        <v>5112</v>
      </c>
      <c r="B3196" t="s">
        <v>10176</v>
      </c>
      <c r="C3196" t="s">
        <v>5951</v>
      </c>
      <c r="D3196" t="s">
        <v>10826</v>
      </c>
      <c r="E3196">
        <v>55451.5</v>
      </c>
      <c r="G3196" s="35"/>
      <c r="H3196" s="36">
        <f t="shared" si="149"/>
        <v>34934.445</v>
      </c>
      <c r="I3196" s="37">
        <f t="shared" si="147"/>
        <v>34934.445</v>
      </c>
      <c r="J3196" s="4"/>
      <c r="K3196" s="38">
        <f t="shared" si="148"/>
        <v>0</v>
      </c>
    </row>
    <row r="3197" spans="1:11">
      <c r="A3197" t="s">
        <v>5113</v>
      </c>
      <c r="B3197" t="s">
        <v>10176</v>
      </c>
      <c r="C3197" t="s">
        <v>5951</v>
      </c>
      <c r="D3197" t="s">
        <v>10827</v>
      </c>
      <c r="E3197">
        <v>3017.49</v>
      </c>
      <c r="G3197" s="35"/>
      <c r="H3197" s="36">
        <f t="shared" si="149"/>
        <v>1901.0186999999999</v>
      </c>
      <c r="I3197" s="37">
        <f t="shared" si="147"/>
        <v>1901.0186999999999</v>
      </c>
      <c r="J3197" s="4"/>
      <c r="K3197" s="38">
        <f t="shared" si="148"/>
        <v>0</v>
      </c>
    </row>
    <row r="3198" spans="1:11">
      <c r="A3198" t="s">
        <v>5114</v>
      </c>
      <c r="B3198" t="s">
        <v>10176</v>
      </c>
      <c r="C3198" t="s">
        <v>5952</v>
      </c>
      <c r="D3198" t="s">
        <v>10828</v>
      </c>
      <c r="E3198">
        <v>3625.07</v>
      </c>
      <c r="G3198" s="35"/>
      <c r="H3198" s="36">
        <f t="shared" si="149"/>
        <v>2283.7941000000001</v>
      </c>
      <c r="I3198" s="37">
        <f t="shared" si="147"/>
        <v>2283.7941000000001</v>
      </c>
      <c r="J3198" s="4"/>
      <c r="K3198" s="38">
        <f t="shared" si="148"/>
        <v>0</v>
      </c>
    </row>
    <row r="3199" spans="1:11">
      <c r="A3199" t="s">
        <v>5115</v>
      </c>
      <c r="B3199" t="s">
        <v>10176</v>
      </c>
      <c r="C3199" t="s">
        <v>5952</v>
      </c>
      <c r="D3199" t="s">
        <v>10829</v>
      </c>
      <c r="E3199">
        <v>968.16</v>
      </c>
      <c r="G3199" s="35"/>
      <c r="H3199" s="36">
        <f t="shared" si="149"/>
        <v>609.94079999999997</v>
      </c>
      <c r="I3199" s="37">
        <f t="shared" si="147"/>
        <v>609.94079999999997</v>
      </c>
      <c r="J3199" s="4"/>
      <c r="K3199" s="38">
        <f t="shared" si="148"/>
        <v>0</v>
      </c>
    </row>
    <row r="3200" spans="1:11">
      <c r="A3200" t="s">
        <v>5116</v>
      </c>
      <c r="B3200" t="s">
        <v>10176</v>
      </c>
      <c r="C3200" t="s">
        <v>5952</v>
      </c>
      <c r="D3200" t="s">
        <v>10830</v>
      </c>
      <c r="E3200">
        <v>968.16</v>
      </c>
      <c r="G3200" s="35"/>
      <c r="H3200" s="36">
        <f t="shared" si="149"/>
        <v>609.94079999999997</v>
      </c>
      <c r="I3200" s="37">
        <f t="shared" si="147"/>
        <v>609.94079999999997</v>
      </c>
      <c r="J3200" s="4"/>
      <c r="K3200" s="38">
        <f t="shared" si="148"/>
        <v>0</v>
      </c>
    </row>
    <row r="3201" spans="1:11">
      <c r="A3201" t="s">
        <v>5117</v>
      </c>
      <c r="B3201" t="s">
        <v>10176</v>
      </c>
      <c r="C3201" t="s">
        <v>5952</v>
      </c>
      <c r="D3201" t="s">
        <v>10831</v>
      </c>
      <c r="E3201">
        <v>739.03</v>
      </c>
      <c r="G3201" s="35"/>
      <c r="H3201" s="36">
        <f t="shared" si="149"/>
        <v>465.58889999999997</v>
      </c>
      <c r="I3201" s="37">
        <f t="shared" si="147"/>
        <v>465.58889999999997</v>
      </c>
      <c r="J3201" s="4"/>
      <c r="K3201" s="38">
        <f t="shared" si="148"/>
        <v>0</v>
      </c>
    </row>
    <row r="3202" spans="1:11">
      <c r="A3202" t="s">
        <v>5118</v>
      </c>
      <c r="B3202" t="s">
        <v>10176</v>
      </c>
      <c r="C3202" t="s">
        <v>5952</v>
      </c>
      <c r="D3202" t="s">
        <v>10832</v>
      </c>
      <c r="E3202">
        <v>3017.49</v>
      </c>
      <c r="G3202" s="35"/>
      <c r="H3202" s="36">
        <f t="shared" si="149"/>
        <v>1901.0186999999999</v>
      </c>
      <c r="I3202" s="37">
        <f t="shared" si="147"/>
        <v>1901.0186999999999</v>
      </c>
      <c r="J3202" s="4"/>
      <c r="K3202" s="38">
        <f t="shared" si="148"/>
        <v>0</v>
      </c>
    </row>
    <row r="3203" spans="1:11">
      <c r="A3203" t="s">
        <v>5119</v>
      </c>
      <c r="B3203" t="s">
        <v>10176</v>
      </c>
      <c r="C3203" t="s">
        <v>5952</v>
      </c>
      <c r="D3203" t="s">
        <v>10833</v>
      </c>
      <c r="E3203">
        <v>3017.49</v>
      </c>
      <c r="G3203" s="35"/>
      <c r="H3203" s="36">
        <f t="shared" si="149"/>
        <v>1901.0186999999999</v>
      </c>
      <c r="I3203" s="37">
        <f t="shared" si="147"/>
        <v>1901.0186999999999</v>
      </c>
      <c r="J3203" s="4"/>
      <c r="K3203" s="38">
        <f t="shared" si="148"/>
        <v>0</v>
      </c>
    </row>
    <row r="3204" spans="1:11">
      <c r="A3204" t="s">
        <v>5120</v>
      </c>
      <c r="B3204" t="s">
        <v>10176</v>
      </c>
      <c r="C3204" t="s">
        <v>5952</v>
      </c>
      <c r="D3204" t="s">
        <v>10834</v>
      </c>
      <c r="E3204">
        <v>3017.49</v>
      </c>
      <c r="G3204" s="35"/>
      <c r="H3204" s="36">
        <f t="shared" si="149"/>
        <v>1901.0186999999999</v>
      </c>
      <c r="I3204" s="37">
        <f t="shared" si="147"/>
        <v>1901.0186999999999</v>
      </c>
      <c r="J3204" s="4"/>
      <c r="K3204" s="38">
        <f t="shared" si="148"/>
        <v>0</v>
      </c>
    </row>
    <row r="3205" spans="1:11">
      <c r="A3205" t="s">
        <v>11912</v>
      </c>
      <c r="B3205" t="s">
        <v>10176</v>
      </c>
      <c r="C3205" t="s">
        <v>5952</v>
      </c>
      <c r="D3205" t="s">
        <v>11913</v>
      </c>
      <c r="E3205">
        <v>1690.33</v>
      </c>
      <c r="G3205" s="35"/>
      <c r="H3205" s="36">
        <f t="shared" si="149"/>
        <v>1064.9078999999999</v>
      </c>
      <c r="I3205" s="37">
        <f t="shared" si="147"/>
        <v>1064.9078999999999</v>
      </c>
      <c r="J3205" s="4"/>
      <c r="K3205" s="38">
        <f t="shared" si="148"/>
        <v>0</v>
      </c>
    </row>
    <row r="3206" spans="1:11">
      <c r="A3206" t="s">
        <v>5121</v>
      </c>
      <c r="B3206" t="s">
        <v>10176</v>
      </c>
      <c r="C3206" t="s">
        <v>5952</v>
      </c>
      <c r="D3206" t="s">
        <v>10835</v>
      </c>
      <c r="E3206">
        <v>11499.21</v>
      </c>
      <c r="G3206" s="35"/>
      <c r="H3206" s="36">
        <f t="shared" si="149"/>
        <v>7244.5022999999992</v>
      </c>
      <c r="I3206" s="37">
        <f t="shared" ref="I3206:I3269" si="150">H3206*$H$4</f>
        <v>7244.5022999999992</v>
      </c>
      <c r="J3206" s="4"/>
      <c r="K3206" s="38">
        <f t="shared" ref="K3206:K3269" si="151">J3206*I3206</f>
        <v>0</v>
      </c>
    </row>
    <row r="3207" spans="1:11">
      <c r="A3207" t="s">
        <v>5122</v>
      </c>
      <c r="B3207" t="s">
        <v>10176</v>
      </c>
      <c r="C3207" t="s">
        <v>5952</v>
      </c>
      <c r="D3207" t="s">
        <v>10836</v>
      </c>
      <c r="E3207">
        <v>19245.599999999999</v>
      </c>
      <c r="G3207" s="35"/>
      <c r="H3207" s="36">
        <f t="shared" ref="H3207:H3270" si="152">+E3207*$H$1*(1-G3207)</f>
        <v>12124.727999999999</v>
      </c>
      <c r="I3207" s="37">
        <f t="shared" si="150"/>
        <v>12124.727999999999</v>
      </c>
      <c r="J3207" s="4"/>
      <c r="K3207" s="38">
        <f t="shared" si="151"/>
        <v>0</v>
      </c>
    </row>
    <row r="3208" spans="1:11">
      <c r="A3208" t="s">
        <v>5123</v>
      </c>
      <c r="B3208" t="s">
        <v>10176</v>
      </c>
      <c r="C3208" t="s">
        <v>5952</v>
      </c>
      <c r="D3208" t="s">
        <v>10837</v>
      </c>
      <c r="E3208">
        <v>19374.93</v>
      </c>
      <c r="G3208" s="35"/>
      <c r="H3208" s="36">
        <f t="shared" si="152"/>
        <v>12206.205900000001</v>
      </c>
      <c r="I3208" s="37">
        <f t="shared" si="150"/>
        <v>12206.205900000001</v>
      </c>
      <c r="J3208" s="4"/>
      <c r="K3208" s="38">
        <f t="shared" si="151"/>
        <v>0</v>
      </c>
    </row>
    <row r="3209" spans="1:11">
      <c r="A3209" t="s">
        <v>5124</v>
      </c>
      <c r="B3209" t="s">
        <v>10176</v>
      </c>
      <c r="C3209" t="s">
        <v>5953</v>
      </c>
      <c r="D3209" t="s">
        <v>10838</v>
      </c>
      <c r="E3209">
        <v>32331.66</v>
      </c>
      <c r="G3209" s="35"/>
      <c r="H3209" s="36">
        <f t="shared" si="152"/>
        <v>20368.945800000001</v>
      </c>
      <c r="I3209" s="37">
        <f t="shared" si="150"/>
        <v>20368.945800000001</v>
      </c>
      <c r="J3209" s="4"/>
      <c r="K3209" s="38">
        <f t="shared" si="151"/>
        <v>0</v>
      </c>
    </row>
    <row r="3210" spans="1:11">
      <c r="A3210" t="s">
        <v>5125</v>
      </c>
      <c r="B3210" t="s">
        <v>10176</v>
      </c>
      <c r="C3210" t="s">
        <v>5953</v>
      </c>
      <c r="D3210" t="s">
        <v>10839</v>
      </c>
      <c r="E3210">
        <v>13168.96</v>
      </c>
      <c r="G3210" s="35"/>
      <c r="H3210" s="36">
        <f t="shared" si="152"/>
        <v>8296.4447999999993</v>
      </c>
      <c r="I3210" s="37">
        <f t="shared" si="150"/>
        <v>8296.4447999999993</v>
      </c>
      <c r="J3210" s="4"/>
      <c r="K3210" s="38">
        <f t="shared" si="151"/>
        <v>0</v>
      </c>
    </row>
    <row r="3211" spans="1:11">
      <c r="A3211" t="s">
        <v>5126</v>
      </c>
      <c r="B3211" t="s">
        <v>10176</v>
      </c>
      <c r="C3211" t="s">
        <v>5953</v>
      </c>
      <c r="D3211" t="s">
        <v>10840</v>
      </c>
      <c r="E3211">
        <v>23526.84</v>
      </c>
      <c r="G3211" s="35"/>
      <c r="H3211" s="36">
        <f t="shared" si="152"/>
        <v>14821.9092</v>
      </c>
      <c r="I3211" s="37">
        <f t="shared" si="150"/>
        <v>14821.9092</v>
      </c>
      <c r="J3211" s="4"/>
      <c r="K3211" s="38">
        <f t="shared" si="151"/>
        <v>0</v>
      </c>
    </row>
    <row r="3212" spans="1:11">
      <c r="A3212" t="s">
        <v>5127</v>
      </c>
      <c r="B3212" t="s">
        <v>10176</v>
      </c>
      <c r="C3212" t="s">
        <v>5953</v>
      </c>
      <c r="D3212" t="s">
        <v>10841</v>
      </c>
      <c r="E3212">
        <v>14959.05</v>
      </c>
      <c r="G3212" s="35"/>
      <c r="H3212" s="36">
        <f t="shared" si="152"/>
        <v>9424.2014999999992</v>
      </c>
      <c r="I3212" s="37">
        <f t="shared" si="150"/>
        <v>9424.2014999999992</v>
      </c>
      <c r="J3212" s="4"/>
      <c r="K3212" s="38">
        <f t="shared" si="151"/>
        <v>0</v>
      </c>
    </row>
    <row r="3213" spans="1:11">
      <c r="A3213" t="s">
        <v>5128</v>
      </c>
      <c r="B3213" t="s">
        <v>10176</v>
      </c>
      <c r="C3213" t="s">
        <v>5953</v>
      </c>
      <c r="D3213" t="s">
        <v>10842</v>
      </c>
      <c r="E3213">
        <v>56112.959999999999</v>
      </c>
      <c r="G3213" s="35"/>
      <c r="H3213" s="36">
        <f t="shared" si="152"/>
        <v>35351.164799999999</v>
      </c>
      <c r="I3213" s="37">
        <f t="shared" si="150"/>
        <v>35351.164799999999</v>
      </c>
      <c r="J3213" s="4"/>
      <c r="K3213" s="38">
        <f t="shared" si="151"/>
        <v>0</v>
      </c>
    </row>
    <row r="3214" spans="1:11">
      <c r="A3214" t="s">
        <v>5129</v>
      </c>
      <c r="B3214" t="s">
        <v>10176</v>
      </c>
      <c r="C3214" t="s">
        <v>5953</v>
      </c>
      <c r="D3214" t="s">
        <v>10843</v>
      </c>
      <c r="E3214">
        <v>149651.26999999999</v>
      </c>
      <c r="G3214" s="35"/>
      <c r="H3214" s="36">
        <f t="shared" si="152"/>
        <v>94280.300099999993</v>
      </c>
      <c r="I3214" s="37">
        <f t="shared" si="150"/>
        <v>94280.300099999993</v>
      </c>
      <c r="J3214" s="4"/>
      <c r="K3214" s="38">
        <f t="shared" si="151"/>
        <v>0</v>
      </c>
    </row>
    <row r="3215" spans="1:11">
      <c r="A3215" t="s">
        <v>5130</v>
      </c>
      <c r="B3215" t="s">
        <v>10176</v>
      </c>
      <c r="C3215" t="s">
        <v>5953</v>
      </c>
      <c r="D3215" t="s">
        <v>10844</v>
      </c>
      <c r="E3215">
        <v>121013.32</v>
      </c>
      <c r="G3215" s="35"/>
      <c r="H3215" s="36">
        <f t="shared" si="152"/>
        <v>76238.391600000003</v>
      </c>
      <c r="I3215" s="37">
        <f t="shared" si="150"/>
        <v>76238.391600000003</v>
      </c>
      <c r="J3215" s="4"/>
      <c r="K3215" s="38">
        <f t="shared" si="151"/>
        <v>0</v>
      </c>
    </row>
    <row r="3216" spans="1:11">
      <c r="A3216" t="s">
        <v>5131</v>
      </c>
      <c r="B3216" t="s">
        <v>10176</v>
      </c>
      <c r="C3216" t="s">
        <v>5954</v>
      </c>
      <c r="D3216" t="s">
        <v>10845</v>
      </c>
      <c r="E3216">
        <v>1327.13</v>
      </c>
      <c r="G3216" s="35"/>
      <c r="H3216" s="36">
        <f t="shared" si="152"/>
        <v>836.09190000000012</v>
      </c>
      <c r="I3216" s="37">
        <f t="shared" si="150"/>
        <v>836.09190000000012</v>
      </c>
      <c r="J3216" s="4"/>
      <c r="K3216" s="38">
        <f t="shared" si="151"/>
        <v>0</v>
      </c>
    </row>
    <row r="3217" spans="1:11">
      <c r="A3217" t="s">
        <v>5132</v>
      </c>
      <c r="B3217" t="s">
        <v>10176</v>
      </c>
      <c r="C3217" t="s">
        <v>5954</v>
      </c>
      <c r="D3217" t="s">
        <v>10846</v>
      </c>
      <c r="E3217">
        <v>3249.2</v>
      </c>
      <c r="G3217" s="35"/>
      <c r="H3217" s="36">
        <f t="shared" si="152"/>
        <v>2046.9959999999999</v>
      </c>
      <c r="I3217" s="37">
        <f t="shared" si="150"/>
        <v>2046.9959999999999</v>
      </c>
      <c r="J3217" s="4"/>
      <c r="K3217" s="38">
        <f t="shared" si="151"/>
        <v>0</v>
      </c>
    </row>
    <row r="3218" spans="1:11">
      <c r="A3218" t="s">
        <v>5133</v>
      </c>
      <c r="B3218" t="s">
        <v>10176</v>
      </c>
      <c r="C3218" t="s">
        <v>5954</v>
      </c>
      <c r="D3218" t="s">
        <v>10847</v>
      </c>
      <c r="E3218">
        <v>1132.8900000000001</v>
      </c>
      <c r="G3218" s="35"/>
      <c r="H3218" s="36">
        <f t="shared" si="152"/>
        <v>713.72070000000008</v>
      </c>
      <c r="I3218" s="37">
        <f t="shared" si="150"/>
        <v>713.72070000000008</v>
      </c>
      <c r="J3218" s="4"/>
      <c r="K3218" s="38">
        <f t="shared" si="151"/>
        <v>0</v>
      </c>
    </row>
    <row r="3219" spans="1:11">
      <c r="A3219" t="s">
        <v>5134</v>
      </c>
      <c r="B3219" t="s">
        <v>10176</v>
      </c>
      <c r="C3219" t="s">
        <v>5954</v>
      </c>
      <c r="D3219" t="s">
        <v>10848</v>
      </c>
      <c r="E3219">
        <v>1132.8900000000001</v>
      </c>
      <c r="G3219" s="35"/>
      <c r="H3219" s="36">
        <f t="shared" si="152"/>
        <v>713.72070000000008</v>
      </c>
      <c r="I3219" s="37">
        <f t="shared" si="150"/>
        <v>713.72070000000008</v>
      </c>
      <c r="J3219" s="4"/>
      <c r="K3219" s="38">
        <f t="shared" si="151"/>
        <v>0</v>
      </c>
    </row>
    <row r="3220" spans="1:11">
      <c r="A3220" t="s">
        <v>5135</v>
      </c>
      <c r="B3220" t="s">
        <v>10176</v>
      </c>
      <c r="C3220" t="s">
        <v>5954</v>
      </c>
      <c r="D3220" t="s">
        <v>10849</v>
      </c>
      <c r="E3220">
        <v>1132.8900000000001</v>
      </c>
      <c r="G3220" s="35"/>
      <c r="H3220" s="36">
        <f t="shared" si="152"/>
        <v>713.72070000000008</v>
      </c>
      <c r="I3220" s="37">
        <f t="shared" si="150"/>
        <v>713.72070000000008</v>
      </c>
      <c r="J3220" s="4"/>
      <c r="K3220" s="38">
        <f t="shared" si="151"/>
        <v>0</v>
      </c>
    </row>
    <row r="3221" spans="1:11">
      <c r="A3221" t="s">
        <v>5136</v>
      </c>
      <c r="B3221" t="s">
        <v>10176</v>
      </c>
      <c r="C3221" t="s">
        <v>5954</v>
      </c>
      <c r="D3221" t="s">
        <v>10850</v>
      </c>
      <c r="E3221">
        <v>3681.54</v>
      </c>
      <c r="G3221" s="35"/>
      <c r="H3221" s="36">
        <f t="shared" si="152"/>
        <v>2319.3701999999998</v>
      </c>
      <c r="I3221" s="37">
        <f t="shared" si="150"/>
        <v>2319.3701999999998</v>
      </c>
      <c r="J3221" s="4"/>
      <c r="K3221" s="38">
        <f t="shared" si="151"/>
        <v>0</v>
      </c>
    </row>
    <row r="3222" spans="1:11">
      <c r="A3222" t="s">
        <v>5137</v>
      </c>
      <c r="B3222" t="s">
        <v>10176</v>
      </c>
      <c r="C3222" t="s">
        <v>5954</v>
      </c>
      <c r="D3222" t="s">
        <v>10851</v>
      </c>
      <c r="E3222">
        <v>3498.91</v>
      </c>
      <c r="G3222" s="35"/>
      <c r="H3222" s="36">
        <f t="shared" si="152"/>
        <v>2204.3132999999998</v>
      </c>
      <c r="I3222" s="37">
        <f t="shared" si="150"/>
        <v>2204.3132999999998</v>
      </c>
      <c r="J3222" s="4"/>
      <c r="K3222" s="38">
        <f t="shared" si="151"/>
        <v>0</v>
      </c>
    </row>
    <row r="3223" spans="1:11">
      <c r="A3223" t="s">
        <v>5138</v>
      </c>
      <c r="B3223" t="s">
        <v>10176</v>
      </c>
      <c r="C3223" t="s">
        <v>5954</v>
      </c>
      <c r="D3223" t="s">
        <v>10852</v>
      </c>
      <c r="E3223">
        <v>4727.87</v>
      </c>
      <c r="G3223" s="35"/>
      <c r="H3223" s="36">
        <f t="shared" si="152"/>
        <v>2978.5580999999997</v>
      </c>
      <c r="I3223" s="37">
        <f t="shared" si="150"/>
        <v>2978.5580999999997</v>
      </c>
      <c r="J3223" s="4"/>
      <c r="K3223" s="38">
        <f t="shared" si="151"/>
        <v>0</v>
      </c>
    </row>
    <row r="3224" spans="1:11">
      <c r="A3224" t="s">
        <v>5139</v>
      </c>
      <c r="B3224" t="s">
        <v>10176</v>
      </c>
      <c r="C3224" t="s">
        <v>5954</v>
      </c>
      <c r="D3224" t="s">
        <v>10853</v>
      </c>
      <c r="E3224">
        <v>7703.6</v>
      </c>
      <c r="G3224" s="35"/>
      <c r="H3224" s="36">
        <f t="shared" si="152"/>
        <v>4853.268</v>
      </c>
      <c r="I3224" s="37">
        <f t="shared" si="150"/>
        <v>4853.268</v>
      </c>
      <c r="J3224" s="4"/>
      <c r="K3224" s="38">
        <f t="shared" si="151"/>
        <v>0</v>
      </c>
    </row>
    <row r="3225" spans="1:11">
      <c r="A3225" t="s">
        <v>5140</v>
      </c>
      <c r="B3225" t="s">
        <v>10176</v>
      </c>
      <c r="C3225" t="s">
        <v>5954</v>
      </c>
      <c r="D3225" t="s">
        <v>10853</v>
      </c>
      <c r="E3225">
        <v>12607.27</v>
      </c>
      <c r="G3225" s="35"/>
      <c r="H3225" s="36">
        <f t="shared" si="152"/>
        <v>7942.5801000000001</v>
      </c>
      <c r="I3225" s="37">
        <f t="shared" si="150"/>
        <v>7942.5801000000001</v>
      </c>
      <c r="J3225" s="4"/>
      <c r="K3225" s="38">
        <f t="shared" si="151"/>
        <v>0</v>
      </c>
    </row>
    <row r="3226" spans="1:11">
      <c r="A3226" t="s">
        <v>5141</v>
      </c>
      <c r="B3226" t="s">
        <v>10176</v>
      </c>
      <c r="C3226" t="s">
        <v>5954</v>
      </c>
      <c r="D3226" t="s">
        <v>10854</v>
      </c>
      <c r="E3226">
        <v>5648.5</v>
      </c>
      <c r="G3226" s="35"/>
      <c r="H3226" s="36">
        <f t="shared" si="152"/>
        <v>3558.5549999999998</v>
      </c>
      <c r="I3226" s="37">
        <f t="shared" si="150"/>
        <v>3558.5549999999998</v>
      </c>
      <c r="J3226" s="4"/>
      <c r="K3226" s="38">
        <f t="shared" si="151"/>
        <v>0</v>
      </c>
    </row>
    <row r="3227" spans="1:11">
      <c r="A3227" t="s">
        <v>5142</v>
      </c>
      <c r="B3227" t="s">
        <v>10176</v>
      </c>
      <c r="C3227" t="s">
        <v>5954</v>
      </c>
      <c r="D3227" t="s">
        <v>10855</v>
      </c>
      <c r="E3227">
        <v>13607.11</v>
      </c>
      <c r="G3227" s="35"/>
      <c r="H3227" s="36">
        <f t="shared" si="152"/>
        <v>8572.4793000000009</v>
      </c>
      <c r="I3227" s="37">
        <f t="shared" si="150"/>
        <v>8572.4793000000009</v>
      </c>
      <c r="J3227" s="4"/>
      <c r="K3227" s="38">
        <f t="shared" si="151"/>
        <v>0</v>
      </c>
    </row>
    <row r="3228" spans="1:11">
      <c r="A3228" t="s">
        <v>5143</v>
      </c>
      <c r="B3228" t="s">
        <v>10176</v>
      </c>
      <c r="C3228" t="s">
        <v>5954</v>
      </c>
      <c r="D3228" t="s">
        <v>10856</v>
      </c>
      <c r="E3228">
        <v>1408.98</v>
      </c>
      <c r="G3228" s="35"/>
      <c r="H3228" s="36">
        <f t="shared" si="152"/>
        <v>887.65740000000005</v>
      </c>
      <c r="I3228" s="37">
        <f t="shared" si="150"/>
        <v>887.65740000000005</v>
      </c>
      <c r="J3228" s="4"/>
      <c r="K3228" s="38">
        <f t="shared" si="151"/>
        <v>0</v>
      </c>
    </row>
    <row r="3229" spans="1:11">
      <c r="A3229" t="s">
        <v>5144</v>
      </c>
      <c r="B3229" t="s">
        <v>10176</v>
      </c>
      <c r="C3229" t="s">
        <v>5954</v>
      </c>
      <c r="D3229" t="s">
        <v>10857</v>
      </c>
      <c r="E3229">
        <v>1408.98</v>
      </c>
      <c r="G3229" s="35"/>
      <c r="H3229" s="36">
        <f t="shared" si="152"/>
        <v>887.65740000000005</v>
      </c>
      <c r="I3229" s="37">
        <f t="shared" si="150"/>
        <v>887.65740000000005</v>
      </c>
      <c r="J3229" s="4"/>
      <c r="K3229" s="38">
        <f t="shared" si="151"/>
        <v>0</v>
      </c>
    </row>
    <row r="3230" spans="1:11">
      <c r="A3230" t="s">
        <v>5145</v>
      </c>
      <c r="B3230" t="s">
        <v>10176</v>
      </c>
      <c r="C3230" t="s">
        <v>5954</v>
      </c>
      <c r="D3230" t="s">
        <v>10858</v>
      </c>
      <c r="E3230">
        <v>1408.98</v>
      </c>
      <c r="G3230" s="35"/>
      <c r="H3230" s="36">
        <f t="shared" si="152"/>
        <v>887.65740000000005</v>
      </c>
      <c r="I3230" s="37">
        <f t="shared" si="150"/>
        <v>887.65740000000005</v>
      </c>
      <c r="J3230" s="4"/>
      <c r="K3230" s="38">
        <f t="shared" si="151"/>
        <v>0</v>
      </c>
    </row>
    <row r="3231" spans="1:11">
      <c r="A3231" t="s">
        <v>5146</v>
      </c>
      <c r="B3231" t="s">
        <v>10176</v>
      </c>
      <c r="C3231" t="s">
        <v>5954</v>
      </c>
      <c r="D3231" t="s">
        <v>10859</v>
      </c>
      <c r="E3231">
        <v>3498.91</v>
      </c>
      <c r="G3231" s="35"/>
      <c r="H3231" s="36">
        <f t="shared" si="152"/>
        <v>2204.3132999999998</v>
      </c>
      <c r="I3231" s="37">
        <f t="shared" si="150"/>
        <v>2204.3132999999998</v>
      </c>
      <c r="J3231" s="4"/>
      <c r="K3231" s="38">
        <f t="shared" si="151"/>
        <v>0</v>
      </c>
    </row>
    <row r="3232" spans="1:11">
      <c r="A3232" t="s">
        <v>5147</v>
      </c>
      <c r="B3232" t="s">
        <v>10176</v>
      </c>
      <c r="C3232" t="s">
        <v>5954</v>
      </c>
      <c r="D3232" t="s">
        <v>10860</v>
      </c>
      <c r="E3232">
        <v>8832.32</v>
      </c>
      <c r="G3232" s="35"/>
      <c r="H3232" s="36">
        <f t="shared" si="152"/>
        <v>5564.3616000000002</v>
      </c>
      <c r="I3232" s="37">
        <f t="shared" si="150"/>
        <v>5564.3616000000002</v>
      </c>
      <c r="J3232" s="4"/>
      <c r="K3232" s="38">
        <f t="shared" si="151"/>
        <v>0</v>
      </c>
    </row>
    <row r="3233" spans="1:11">
      <c r="A3233" t="s">
        <v>5148</v>
      </c>
      <c r="B3233" t="s">
        <v>10176</v>
      </c>
      <c r="C3233" t="s">
        <v>5954</v>
      </c>
      <c r="D3233" t="s">
        <v>10861</v>
      </c>
      <c r="E3233">
        <v>10543.72</v>
      </c>
      <c r="G3233" s="35"/>
      <c r="H3233" s="36">
        <f t="shared" si="152"/>
        <v>6642.5436</v>
      </c>
      <c r="I3233" s="37">
        <f t="shared" si="150"/>
        <v>6642.5436</v>
      </c>
      <c r="J3233" s="4"/>
      <c r="K3233" s="38">
        <f t="shared" si="151"/>
        <v>0</v>
      </c>
    </row>
    <row r="3234" spans="1:11">
      <c r="A3234" t="s">
        <v>11664</v>
      </c>
      <c r="B3234" t="s">
        <v>10176</v>
      </c>
      <c r="C3234" t="s">
        <v>5954</v>
      </c>
      <c r="D3234" t="s">
        <v>11665</v>
      </c>
      <c r="E3234">
        <v>1361.98</v>
      </c>
      <c r="G3234" s="35"/>
      <c r="H3234" s="36">
        <f t="shared" si="152"/>
        <v>858.04740000000004</v>
      </c>
      <c r="I3234" s="37">
        <f t="shared" si="150"/>
        <v>858.04740000000004</v>
      </c>
      <c r="J3234" s="4"/>
      <c r="K3234" s="38">
        <f t="shared" si="151"/>
        <v>0</v>
      </c>
    </row>
    <row r="3235" spans="1:11">
      <c r="A3235" t="s">
        <v>5149</v>
      </c>
      <c r="B3235" t="s">
        <v>10176</v>
      </c>
      <c r="C3235" t="s">
        <v>5954</v>
      </c>
      <c r="D3235" t="s">
        <v>10862</v>
      </c>
      <c r="E3235">
        <v>4987.0600000000004</v>
      </c>
      <c r="G3235" s="35"/>
      <c r="H3235" s="36">
        <f t="shared" si="152"/>
        <v>3141.8478000000005</v>
      </c>
      <c r="I3235" s="37">
        <f t="shared" si="150"/>
        <v>3141.8478000000005</v>
      </c>
      <c r="J3235" s="4"/>
      <c r="K3235" s="38">
        <f t="shared" si="151"/>
        <v>0</v>
      </c>
    </row>
    <row r="3236" spans="1:11">
      <c r="A3236" t="s">
        <v>4751</v>
      </c>
      <c r="B3236" t="s">
        <v>10176</v>
      </c>
      <c r="C3236" t="s">
        <v>5802</v>
      </c>
      <c r="D3236" t="s">
        <v>10191</v>
      </c>
      <c r="E3236">
        <v>254240.13</v>
      </c>
      <c r="G3236" s="35"/>
      <c r="H3236" s="36">
        <f t="shared" si="152"/>
        <v>160171.2819</v>
      </c>
      <c r="I3236" s="37">
        <f t="shared" si="150"/>
        <v>160171.2819</v>
      </c>
      <c r="J3236" s="4"/>
      <c r="K3236" s="38">
        <f t="shared" si="151"/>
        <v>0</v>
      </c>
    </row>
    <row r="3237" spans="1:11">
      <c r="A3237" t="s">
        <v>4752</v>
      </c>
      <c r="B3237" t="s">
        <v>10176</v>
      </c>
      <c r="C3237" t="s">
        <v>5802</v>
      </c>
      <c r="D3237" t="s">
        <v>10192</v>
      </c>
      <c r="E3237">
        <v>167702.35</v>
      </c>
      <c r="G3237" s="35"/>
      <c r="H3237" s="36">
        <f t="shared" si="152"/>
        <v>105652.48050000001</v>
      </c>
      <c r="I3237" s="37">
        <f t="shared" si="150"/>
        <v>105652.48050000001</v>
      </c>
      <c r="J3237" s="4"/>
      <c r="K3237" s="38">
        <f t="shared" si="151"/>
        <v>0</v>
      </c>
    </row>
    <row r="3238" spans="1:11">
      <c r="A3238" t="s">
        <v>4753</v>
      </c>
      <c r="B3238" t="s">
        <v>10176</v>
      </c>
      <c r="C3238" t="s">
        <v>5802</v>
      </c>
      <c r="D3238" t="s">
        <v>10193</v>
      </c>
      <c r="E3238">
        <v>291721.11</v>
      </c>
      <c r="G3238" s="35"/>
      <c r="H3238" s="36">
        <f t="shared" si="152"/>
        <v>183784.29929999998</v>
      </c>
      <c r="I3238" s="37">
        <f t="shared" si="150"/>
        <v>183784.29929999998</v>
      </c>
      <c r="J3238" s="4"/>
      <c r="K3238" s="38">
        <f t="shared" si="151"/>
        <v>0</v>
      </c>
    </row>
    <row r="3239" spans="1:11">
      <c r="A3239" t="s">
        <v>4754</v>
      </c>
      <c r="B3239" t="s">
        <v>10176</v>
      </c>
      <c r="C3239" t="s">
        <v>5802</v>
      </c>
      <c r="D3239" t="s">
        <v>11406</v>
      </c>
      <c r="E3239">
        <v>171750.49</v>
      </c>
      <c r="G3239" s="35"/>
      <c r="H3239" s="36">
        <f t="shared" si="152"/>
        <v>108202.80869999999</v>
      </c>
      <c r="I3239" s="37">
        <f t="shared" si="150"/>
        <v>108202.80869999999</v>
      </c>
      <c r="J3239" s="4"/>
      <c r="K3239" s="38">
        <f t="shared" si="151"/>
        <v>0</v>
      </c>
    </row>
    <row r="3240" spans="1:11">
      <c r="A3240" t="s">
        <v>4755</v>
      </c>
      <c r="B3240" t="s">
        <v>10176</v>
      </c>
      <c r="C3240" t="s">
        <v>5802</v>
      </c>
      <c r="D3240" t="s">
        <v>7067</v>
      </c>
      <c r="E3240">
        <v>224780.54</v>
      </c>
      <c r="G3240" s="35"/>
      <c r="H3240" s="36">
        <f t="shared" si="152"/>
        <v>141611.7402</v>
      </c>
      <c r="I3240" s="37">
        <f t="shared" si="150"/>
        <v>141611.7402</v>
      </c>
      <c r="J3240" s="4"/>
      <c r="K3240" s="38">
        <f t="shared" si="151"/>
        <v>0</v>
      </c>
    </row>
    <row r="3241" spans="1:11">
      <c r="A3241" t="s">
        <v>4756</v>
      </c>
      <c r="B3241" t="s">
        <v>10176</v>
      </c>
      <c r="C3241" t="s">
        <v>5802</v>
      </c>
      <c r="D3241" t="s">
        <v>7068</v>
      </c>
      <c r="E3241">
        <v>240809.91</v>
      </c>
      <c r="G3241" s="35"/>
      <c r="H3241" s="36">
        <f t="shared" si="152"/>
        <v>151710.2433</v>
      </c>
      <c r="I3241" s="37">
        <f t="shared" si="150"/>
        <v>151710.2433</v>
      </c>
      <c r="J3241" s="4"/>
      <c r="K3241" s="38">
        <f t="shared" si="151"/>
        <v>0</v>
      </c>
    </row>
    <row r="3242" spans="1:11">
      <c r="A3242" t="s">
        <v>4596</v>
      </c>
      <c r="B3242" t="s">
        <v>10176</v>
      </c>
      <c r="C3242" t="s">
        <v>10153</v>
      </c>
      <c r="D3242" t="s">
        <v>5787</v>
      </c>
      <c r="E3242">
        <v>54139.29</v>
      </c>
      <c r="G3242" s="35"/>
      <c r="H3242" s="36">
        <f t="shared" si="152"/>
        <v>34107.752699999997</v>
      </c>
      <c r="I3242" s="37">
        <f t="shared" si="150"/>
        <v>34107.752699999997</v>
      </c>
      <c r="J3242" s="4"/>
      <c r="K3242" s="38">
        <f t="shared" si="151"/>
        <v>0</v>
      </c>
    </row>
    <row r="3243" spans="1:11">
      <c r="A3243" t="s">
        <v>4597</v>
      </c>
      <c r="B3243" t="s">
        <v>10176</v>
      </c>
      <c r="C3243" t="s">
        <v>10153</v>
      </c>
      <c r="D3243" t="s">
        <v>5716</v>
      </c>
      <c r="E3243">
        <v>70635.149999999994</v>
      </c>
      <c r="G3243" s="35"/>
      <c r="H3243" s="36">
        <f t="shared" si="152"/>
        <v>44500.144499999995</v>
      </c>
      <c r="I3243" s="37">
        <f t="shared" si="150"/>
        <v>44500.144499999995</v>
      </c>
      <c r="J3243" s="4"/>
      <c r="K3243" s="38">
        <f t="shared" si="151"/>
        <v>0</v>
      </c>
    </row>
    <row r="3244" spans="1:11">
      <c r="A3244" t="s">
        <v>4598</v>
      </c>
      <c r="B3244" t="s">
        <v>10176</v>
      </c>
      <c r="C3244" t="s">
        <v>10153</v>
      </c>
      <c r="D3244" t="s">
        <v>5788</v>
      </c>
      <c r="E3244">
        <v>24645.66</v>
      </c>
      <c r="G3244" s="35"/>
      <c r="H3244" s="36">
        <f t="shared" si="152"/>
        <v>15526.765799999999</v>
      </c>
      <c r="I3244" s="37">
        <f t="shared" si="150"/>
        <v>15526.765799999999</v>
      </c>
      <c r="J3244" s="4"/>
      <c r="K3244" s="38">
        <f t="shared" si="151"/>
        <v>0</v>
      </c>
    </row>
    <row r="3245" spans="1:11">
      <c r="A3245" t="s">
        <v>4599</v>
      </c>
      <c r="B3245" t="s">
        <v>10176</v>
      </c>
      <c r="C3245" t="s">
        <v>10153</v>
      </c>
      <c r="D3245" t="s">
        <v>5789</v>
      </c>
      <c r="E3245">
        <v>34477.39</v>
      </c>
      <c r="G3245" s="35"/>
      <c r="H3245" s="36">
        <f t="shared" si="152"/>
        <v>21720.755700000002</v>
      </c>
      <c r="I3245" s="37">
        <f t="shared" si="150"/>
        <v>21720.755700000002</v>
      </c>
      <c r="J3245" s="4"/>
      <c r="K3245" s="38">
        <f t="shared" si="151"/>
        <v>0</v>
      </c>
    </row>
    <row r="3246" spans="1:11">
      <c r="A3246" t="s">
        <v>4600</v>
      </c>
      <c r="B3246" t="s">
        <v>10176</v>
      </c>
      <c r="C3246" t="s">
        <v>10153</v>
      </c>
      <c r="D3246" t="s">
        <v>5790</v>
      </c>
      <c r="E3246">
        <v>33572.879999999997</v>
      </c>
      <c r="G3246" s="35"/>
      <c r="H3246" s="36">
        <f t="shared" si="152"/>
        <v>21150.914399999998</v>
      </c>
      <c r="I3246" s="37">
        <f t="shared" si="150"/>
        <v>21150.914399999998</v>
      </c>
      <c r="J3246" s="4"/>
      <c r="K3246" s="38">
        <f t="shared" si="151"/>
        <v>0</v>
      </c>
    </row>
    <row r="3247" spans="1:11">
      <c r="A3247" t="s">
        <v>4601</v>
      </c>
      <c r="B3247" t="s">
        <v>10176</v>
      </c>
      <c r="C3247" t="s">
        <v>10153</v>
      </c>
      <c r="D3247" t="s">
        <v>10239</v>
      </c>
      <c r="E3247">
        <v>39026.58</v>
      </c>
      <c r="G3247" s="35"/>
      <c r="H3247" s="36">
        <f t="shared" si="152"/>
        <v>24586.7454</v>
      </c>
      <c r="I3247" s="37">
        <f t="shared" si="150"/>
        <v>24586.7454</v>
      </c>
      <c r="J3247" s="4"/>
      <c r="K3247" s="38">
        <f t="shared" si="151"/>
        <v>0</v>
      </c>
    </row>
    <row r="3248" spans="1:11">
      <c r="A3248" t="s">
        <v>4602</v>
      </c>
      <c r="B3248" t="s">
        <v>10176</v>
      </c>
      <c r="C3248" t="s">
        <v>10153</v>
      </c>
      <c r="D3248" t="s">
        <v>10241</v>
      </c>
      <c r="E3248">
        <v>215171.69</v>
      </c>
      <c r="G3248" s="35"/>
      <c r="H3248" s="36">
        <f t="shared" si="152"/>
        <v>135558.16469999999</v>
      </c>
      <c r="I3248" s="37">
        <f t="shared" si="150"/>
        <v>135558.16469999999</v>
      </c>
      <c r="J3248" s="4"/>
      <c r="K3248" s="38">
        <f t="shared" si="151"/>
        <v>0</v>
      </c>
    </row>
    <row r="3249" spans="1:11">
      <c r="A3249" t="s">
        <v>4746</v>
      </c>
      <c r="B3249" t="s">
        <v>10176</v>
      </c>
      <c r="C3249" t="s">
        <v>10173</v>
      </c>
      <c r="D3249" t="s">
        <v>11405</v>
      </c>
      <c r="E3249">
        <v>188118.5</v>
      </c>
      <c r="G3249" s="35"/>
      <c r="H3249" s="36">
        <f t="shared" si="152"/>
        <v>118514.655</v>
      </c>
      <c r="I3249" s="37">
        <f t="shared" si="150"/>
        <v>118514.655</v>
      </c>
      <c r="J3249" s="4"/>
      <c r="K3249" s="38">
        <f t="shared" si="151"/>
        <v>0</v>
      </c>
    </row>
    <row r="3250" spans="1:11">
      <c r="A3250" t="s">
        <v>4747</v>
      </c>
      <c r="B3250" t="s">
        <v>10176</v>
      </c>
      <c r="C3250" t="s">
        <v>10173</v>
      </c>
      <c r="D3250" t="s">
        <v>11392</v>
      </c>
      <c r="E3250">
        <v>193978.14</v>
      </c>
      <c r="G3250" s="35"/>
      <c r="H3250" s="36">
        <f t="shared" si="152"/>
        <v>122206.22820000001</v>
      </c>
      <c r="I3250" s="37">
        <f t="shared" si="150"/>
        <v>122206.22820000001</v>
      </c>
      <c r="J3250" s="4"/>
      <c r="K3250" s="38">
        <f t="shared" si="151"/>
        <v>0</v>
      </c>
    </row>
    <row r="3251" spans="1:11">
      <c r="A3251" t="s">
        <v>4748</v>
      </c>
      <c r="B3251" t="s">
        <v>10176</v>
      </c>
      <c r="C3251" t="s">
        <v>10173</v>
      </c>
      <c r="D3251" t="s">
        <v>10203</v>
      </c>
      <c r="E3251">
        <v>193978.14</v>
      </c>
      <c r="G3251" s="35"/>
      <c r="H3251" s="36">
        <f t="shared" si="152"/>
        <v>122206.22820000001</v>
      </c>
      <c r="I3251" s="37">
        <f t="shared" si="150"/>
        <v>122206.22820000001</v>
      </c>
      <c r="J3251" s="4"/>
      <c r="K3251" s="38">
        <f t="shared" si="151"/>
        <v>0</v>
      </c>
    </row>
    <row r="3252" spans="1:11">
      <c r="A3252" t="s">
        <v>4749</v>
      </c>
      <c r="B3252" t="s">
        <v>10176</v>
      </c>
      <c r="C3252" t="s">
        <v>10173</v>
      </c>
      <c r="D3252" t="s">
        <v>11392</v>
      </c>
      <c r="E3252">
        <v>235139.21</v>
      </c>
      <c r="G3252" s="35"/>
      <c r="H3252" s="36">
        <f t="shared" si="152"/>
        <v>148137.7023</v>
      </c>
      <c r="I3252" s="37">
        <f t="shared" si="150"/>
        <v>148137.7023</v>
      </c>
      <c r="J3252" s="4"/>
      <c r="K3252" s="38">
        <f t="shared" si="151"/>
        <v>0</v>
      </c>
    </row>
    <row r="3253" spans="1:11">
      <c r="A3253" t="s">
        <v>4750</v>
      </c>
      <c r="B3253" t="s">
        <v>10176</v>
      </c>
      <c r="C3253" t="s">
        <v>10173</v>
      </c>
      <c r="D3253" t="s">
        <v>10381</v>
      </c>
      <c r="E3253">
        <v>203195.8</v>
      </c>
      <c r="G3253" s="35"/>
      <c r="H3253" s="36">
        <f t="shared" si="152"/>
        <v>128013.35399999999</v>
      </c>
      <c r="I3253" s="37">
        <f t="shared" si="150"/>
        <v>128013.35399999999</v>
      </c>
      <c r="J3253" s="4"/>
      <c r="K3253" s="38">
        <f t="shared" si="151"/>
        <v>0</v>
      </c>
    </row>
    <row r="3254" spans="1:11">
      <c r="A3254" t="s">
        <v>40</v>
      </c>
      <c r="B3254" t="s">
        <v>10176</v>
      </c>
      <c r="C3254" t="s">
        <v>5646</v>
      </c>
      <c r="D3254" t="s">
        <v>10191</v>
      </c>
      <c r="E3254">
        <v>319435.26</v>
      </c>
      <c r="G3254" s="35"/>
      <c r="H3254" s="36">
        <f t="shared" si="152"/>
        <v>201244.2138</v>
      </c>
      <c r="I3254" s="37">
        <f t="shared" si="150"/>
        <v>201244.2138</v>
      </c>
      <c r="J3254" s="4"/>
      <c r="K3254" s="38">
        <f t="shared" si="151"/>
        <v>0</v>
      </c>
    </row>
    <row r="3255" spans="1:11">
      <c r="A3255" t="s">
        <v>41</v>
      </c>
      <c r="B3255" t="s">
        <v>10176</v>
      </c>
      <c r="C3255" t="s">
        <v>5646</v>
      </c>
      <c r="D3255" t="s">
        <v>10192</v>
      </c>
      <c r="E3255">
        <v>211267.09</v>
      </c>
      <c r="G3255" s="35"/>
      <c r="H3255" s="36">
        <f t="shared" si="152"/>
        <v>133098.26670000001</v>
      </c>
      <c r="I3255" s="37">
        <f t="shared" si="150"/>
        <v>133098.26670000001</v>
      </c>
      <c r="J3255" s="4"/>
      <c r="K3255" s="38">
        <f t="shared" si="151"/>
        <v>0</v>
      </c>
    </row>
    <row r="3256" spans="1:11">
      <c r="A3256" t="s">
        <v>42</v>
      </c>
      <c r="B3256" t="s">
        <v>10176</v>
      </c>
      <c r="C3256" t="s">
        <v>5646</v>
      </c>
      <c r="D3256" t="s">
        <v>10193</v>
      </c>
      <c r="E3256">
        <v>345169.84</v>
      </c>
      <c r="G3256" s="35"/>
      <c r="H3256" s="36">
        <f t="shared" si="152"/>
        <v>217456.99920000002</v>
      </c>
      <c r="I3256" s="37">
        <f t="shared" si="150"/>
        <v>217456.99920000002</v>
      </c>
      <c r="J3256" s="4"/>
      <c r="K3256" s="38">
        <f t="shared" si="151"/>
        <v>0</v>
      </c>
    </row>
    <row r="3257" spans="1:11">
      <c r="A3257" t="s">
        <v>43</v>
      </c>
      <c r="B3257" t="s">
        <v>10176</v>
      </c>
      <c r="C3257" t="s">
        <v>5646</v>
      </c>
      <c r="D3257" t="s">
        <v>10194</v>
      </c>
      <c r="E3257">
        <v>314136.02</v>
      </c>
      <c r="G3257" s="35"/>
      <c r="H3257" s="36">
        <f t="shared" si="152"/>
        <v>197905.69260000001</v>
      </c>
      <c r="I3257" s="37">
        <f t="shared" si="150"/>
        <v>197905.69260000001</v>
      </c>
      <c r="J3257" s="4"/>
      <c r="K3257" s="38">
        <f t="shared" si="151"/>
        <v>0</v>
      </c>
    </row>
    <row r="3258" spans="1:11">
      <c r="A3258" t="s">
        <v>44</v>
      </c>
      <c r="B3258" t="s">
        <v>10176</v>
      </c>
      <c r="C3258" t="s">
        <v>5646</v>
      </c>
      <c r="D3258" t="s">
        <v>7067</v>
      </c>
      <c r="E3258">
        <v>248663.51</v>
      </c>
      <c r="G3258" s="35"/>
      <c r="H3258" s="36">
        <f t="shared" si="152"/>
        <v>156658.01130000001</v>
      </c>
      <c r="I3258" s="37">
        <f t="shared" si="150"/>
        <v>156658.01130000001</v>
      </c>
      <c r="J3258" s="4"/>
      <c r="K3258" s="38">
        <f t="shared" si="151"/>
        <v>0</v>
      </c>
    </row>
    <row r="3259" spans="1:11">
      <c r="A3259" t="s">
        <v>45</v>
      </c>
      <c r="B3259" t="s">
        <v>10176</v>
      </c>
      <c r="C3259" t="s">
        <v>5646</v>
      </c>
      <c r="D3259" t="s">
        <v>10195</v>
      </c>
      <c r="E3259">
        <v>275594.69</v>
      </c>
      <c r="G3259" s="35"/>
      <c r="H3259" s="36">
        <f t="shared" si="152"/>
        <v>173624.65470000001</v>
      </c>
      <c r="I3259" s="37">
        <f t="shared" si="150"/>
        <v>173624.65470000001</v>
      </c>
      <c r="J3259" s="4"/>
      <c r="K3259" s="38">
        <f t="shared" si="151"/>
        <v>0</v>
      </c>
    </row>
    <row r="3260" spans="1:11">
      <c r="A3260" t="s">
        <v>202</v>
      </c>
      <c r="B3260" t="s">
        <v>10176</v>
      </c>
      <c r="C3260" t="s">
        <v>10150</v>
      </c>
      <c r="D3260" t="s">
        <v>11392</v>
      </c>
      <c r="E3260">
        <v>263401.94</v>
      </c>
      <c r="G3260" s="35"/>
      <c r="H3260" s="36">
        <f t="shared" si="152"/>
        <v>165943.22219999999</v>
      </c>
      <c r="I3260" s="37">
        <f t="shared" si="150"/>
        <v>165943.22219999999</v>
      </c>
      <c r="J3260" s="4"/>
      <c r="K3260" s="38">
        <f t="shared" si="151"/>
        <v>0</v>
      </c>
    </row>
    <row r="3261" spans="1:11">
      <c r="A3261" t="s">
        <v>203</v>
      </c>
      <c r="B3261" t="s">
        <v>10176</v>
      </c>
      <c r="C3261" t="s">
        <v>10150</v>
      </c>
      <c r="D3261" t="s">
        <v>10381</v>
      </c>
      <c r="E3261">
        <v>261130.97</v>
      </c>
      <c r="G3261" s="35"/>
      <c r="H3261" s="36">
        <f t="shared" si="152"/>
        <v>164512.5111</v>
      </c>
      <c r="I3261" s="37">
        <f t="shared" si="150"/>
        <v>164512.5111</v>
      </c>
      <c r="J3261" s="4"/>
      <c r="K3261" s="38">
        <f t="shared" si="151"/>
        <v>0</v>
      </c>
    </row>
    <row r="3262" spans="1:11">
      <c r="A3262" t="s">
        <v>46</v>
      </c>
      <c r="B3262" t="s">
        <v>10176</v>
      </c>
      <c r="C3262" t="s">
        <v>5647</v>
      </c>
      <c r="D3262" t="s">
        <v>10191</v>
      </c>
      <c r="E3262">
        <v>226707.94</v>
      </c>
      <c r="G3262" s="35"/>
      <c r="H3262" s="36">
        <f t="shared" si="152"/>
        <v>142826.00219999999</v>
      </c>
      <c r="I3262" s="37">
        <f t="shared" si="150"/>
        <v>142826.00219999999</v>
      </c>
      <c r="J3262" s="4"/>
      <c r="K3262" s="38">
        <f t="shared" si="151"/>
        <v>0</v>
      </c>
    </row>
    <row r="3263" spans="1:11">
      <c r="A3263" t="s">
        <v>47</v>
      </c>
      <c r="B3263" t="s">
        <v>10176</v>
      </c>
      <c r="C3263" t="s">
        <v>5647</v>
      </c>
      <c r="D3263" t="s">
        <v>10192</v>
      </c>
      <c r="E3263">
        <v>154503.54999999999</v>
      </c>
      <c r="G3263" s="35"/>
      <c r="H3263" s="36">
        <f t="shared" si="152"/>
        <v>97337.236499999999</v>
      </c>
      <c r="I3263" s="37">
        <f t="shared" si="150"/>
        <v>97337.236499999999</v>
      </c>
      <c r="J3263" s="4"/>
      <c r="K3263" s="38">
        <f t="shared" si="151"/>
        <v>0</v>
      </c>
    </row>
    <row r="3264" spans="1:11">
      <c r="A3264" t="s">
        <v>48</v>
      </c>
      <c r="B3264" t="s">
        <v>10176</v>
      </c>
      <c r="C3264" t="s">
        <v>5647</v>
      </c>
      <c r="D3264" t="s">
        <v>7067</v>
      </c>
      <c r="E3264">
        <v>198505.33</v>
      </c>
      <c r="G3264" s="35"/>
      <c r="H3264" s="36">
        <f t="shared" si="152"/>
        <v>125058.35789999999</v>
      </c>
      <c r="I3264" s="37">
        <f t="shared" si="150"/>
        <v>125058.35789999999</v>
      </c>
      <c r="J3264" s="4"/>
      <c r="K3264" s="38">
        <f t="shared" si="151"/>
        <v>0</v>
      </c>
    </row>
    <row r="3265" spans="1:11">
      <c r="A3265" t="s">
        <v>49</v>
      </c>
      <c r="B3265" t="s">
        <v>10176</v>
      </c>
      <c r="C3265" t="s">
        <v>5647</v>
      </c>
      <c r="D3265" t="s">
        <v>10195</v>
      </c>
      <c r="E3265">
        <v>216534.68</v>
      </c>
      <c r="G3265" s="35"/>
      <c r="H3265" s="36">
        <f t="shared" si="152"/>
        <v>136416.84839999999</v>
      </c>
      <c r="I3265" s="37">
        <f t="shared" si="150"/>
        <v>136416.84839999999</v>
      </c>
      <c r="J3265" s="4"/>
      <c r="K3265" s="38">
        <f t="shared" si="151"/>
        <v>0</v>
      </c>
    </row>
    <row r="3266" spans="1:11">
      <c r="A3266" t="s">
        <v>4603</v>
      </c>
      <c r="B3266" t="s">
        <v>10176</v>
      </c>
      <c r="C3266" t="s">
        <v>12690</v>
      </c>
      <c r="D3266" t="s">
        <v>5787</v>
      </c>
      <c r="E3266">
        <v>40491.21</v>
      </c>
      <c r="G3266" s="35"/>
      <c r="H3266" s="36">
        <f t="shared" si="152"/>
        <v>25509.462299999999</v>
      </c>
      <c r="I3266" s="37">
        <f t="shared" si="150"/>
        <v>25509.462299999999</v>
      </c>
      <c r="J3266" s="4"/>
      <c r="K3266" s="38">
        <f t="shared" si="151"/>
        <v>0</v>
      </c>
    </row>
    <row r="3267" spans="1:11">
      <c r="A3267" t="s">
        <v>4604</v>
      </c>
      <c r="B3267" t="s">
        <v>10176</v>
      </c>
      <c r="C3267" t="s">
        <v>12690</v>
      </c>
      <c r="D3267" t="s">
        <v>5716</v>
      </c>
      <c r="E3267">
        <v>86375.13</v>
      </c>
      <c r="G3267" s="35"/>
      <c r="H3267" s="36">
        <f t="shared" si="152"/>
        <v>54416.331900000005</v>
      </c>
      <c r="I3267" s="37">
        <f t="shared" si="150"/>
        <v>54416.331900000005</v>
      </c>
      <c r="J3267" s="4"/>
      <c r="K3267" s="38">
        <f t="shared" si="151"/>
        <v>0</v>
      </c>
    </row>
    <row r="3268" spans="1:11">
      <c r="A3268" t="s">
        <v>4605</v>
      </c>
      <c r="B3268" t="s">
        <v>10176</v>
      </c>
      <c r="C3268" t="s">
        <v>12690</v>
      </c>
      <c r="D3268" t="s">
        <v>5788</v>
      </c>
      <c r="E3268">
        <v>29362.94</v>
      </c>
      <c r="G3268" s="35"/>
      <c r="H3268" s="36">
        <f t="shared" si="152"/>
        <v>18498.6522</v>
      </c>
      <c r="I3268" s="37">
        <f t="shared" si="150"/>
        <v>18498.6522</v>
      </c>
      <c r="J3268" s="4"/>
      <c r="K3268" s="38">
        <f t="shared" si="151"/>
        <v>0</v>
      </c>
    </row>
    <row r="3269" spans="1:11">
      <c r="A3269" t="s">
        <v>4606</v>
      </c>
      <c r="B3269" t="s">
        <v>10176</v>
      </c>
      <c r="C3269" t="s">
        <v>12690</v>
      </c>
      <c r="D3269" t="s">
        <v>5789</v>
      </c>
      <c r="E3269">
        <v>41036.47</v>
      </c>
      <c r="G3269" s="35"/>
      <c r="H3269" s="36">
        <f t="shared" si="152"/>
        <v>25852.9761</v>
      </c>
      <c r="I3269" s="37">
        <f t="shared" si="150"/>
        <v>25852.9761</v>
      </c>
      <c r="J3269" s="4"/>
      <c r="K3269" s="38">
        <f t="shared" si="151"/>
        <v>0</v>
      </c>
    </row>
    <row r="3270" spans="1:11">
      <c r="A3270" t="s">
        <v>4607</v>
      </c>
      <c r="B3270" t="s">
        <v>10176</v>
      </c>
      <c r="C3270" t="s">
        <v>12690</v>
      </c>
      <c r="D3270" t="s">
        <v>5790</v>
      </c>
      <c r="E3270">
        <v>41475.15</v>
      </c>
      <c r="G3270" s="35"/>
      <c r="H3270" s="36">
        <f t="shared" si="152"/>
        <v>26129.344500000003</v>
      </c>
      <c r="I3270" s="37">
        <f t="shared" ref="I3270:I3333" si="153">H3270*$H$4</f>
        <v>26129.344500000003</v>
      </c>
      <c r="J3270" s="4"/>
      <c r="K3270" s="38">
        <f t="shared" ref="K3270:K3333" si="154">J3270*I3270</f>
        <v>0</v>
      </c>
    </row>
    <row r="3271" spans="1:11">
      <c r="A3271" t="s">
        <v>4608</v>
      </c>
      <c r="B3271" t="s">
        <v>10176</v>
      </c>
      <c r="C3271" t="s">
        <v>12690</v>
      </c>
      <c r="D3271" t="s">
        <v>10239</v>
      </c>
      <c r="E3271">
        <v>46464.33</v>
      </c>
      <c r="G3271" s="35"/>
      <c r="H3271" s="36">
        <f t="shared" ref="H3271:H3334" si="155">+E3271*$H$1*(1-G3271)</f>
        <v>29272.527900000001</v>
      </c>
      <c r="I3271" s="37">
        <f t="shared" si="153"/>
        <v>29272.527900000001</v>
      </c>
      <c r="J3271" s="4"/>
      <c r="K3271" s="38">
        <f t="shared" si="154"/>
        <v>0</v>
      </c>
    </row>
    <row r="3272" spans="1:11">
      <c r="A3272" t="s">
        <v>4609</v>
      </c>
      <c r="B3272" t="s">
        <v>10176</v>
      </c>
      <c r="C3272" t="s">
        <v>12690</v>
      </c>
      <c r="D3272" t="s">
        <v>10389</v>
      </c>
      <c r="E3272">
        <v>98585.74</v>
      </c>
      <c r="G3272" s="35"/>
      <c r="H3272" s="36">
        <f t="shared" si="155"/>
        <v>62109.016200000005</v>
      </c>
      <c r="I3272" s="37">
        <f t="shared" si="153"/>
        <v>62109.016200000005</v>
      </c>
      <c r="J3272" s="4"/>
      <c r="K3272" s="38">
        <f t="shared" si="154"/>
        <v>0</v>
      </c>
    </row>
    <row r="3273" spans="1:11">
      <c r="A3273" t="s">
        <v>4610</v>
      </c>
      <c r="B3273" t="s">
        <v>10176</v>
      </c>
      <c r="C3273" t="s">
        <v>12690</v>
      </c>
      <c r="D3273" t="s">
        <v>10240</v>
      </c>
      <c r="E3273">
        <v>229942.83</v>
      </c>
      <c r="G3273" s="35"/>
      <c r="H3273" s="36">
        <f t="shared" si="155"/>
        <v>144863.9829</v>
      </c>
      <c r="I3273" s="37">
        <f t="shared" si="153"/>
        <v>144863.9829</v>
      </c>
      <c r="J3273" s="4"/>
      <c r="K3273" s="38">
        <f t="shared" si="154"/>
        <v>0</v>
      </c>
    </row>
    <row r="3274" spans="1:11">
      <c r="A3274" t="s">
        <v>204</v>
      </c>
      <c r="B3274" t="s">
        <v>10176</v>
      </c>
      <c r="C3274" t="s">
        <v>10151</v>
      </c>
      <c r="D3274" t="s">
        <v>10202</v>
      </c>
      <c r="E3274">
        <v>185073.33</v>
      </c>
      <c r="G3274" s="35"/>
      <c r="H3274" s="36">
        <f t="shared" si="155"/>
        <v>116596.1979</v>
      </c>
      <c r="I3274" s="37">
        <f t="shared" si="153"/>
        <v>116596.1979</v>
      </c>
      <c r="J3274" s="4"/>
      <c r="K3274" s="38">
        <f t="shared" si="154"/>
        <v>0</v>
      </c>
    </row>
    <row r="3275" spans="1:11">
      <c r="A3275" t="s">
        <v>205</v>
      </c>
      <c r="B3275" t="s">
        <v>10176</v>
      </c>
      <c r="C3275" t="s">
        <v>10151</v>
      </c>
      <c r="D3275" t="s">
        <v>11392</v>
      </c>
      <c r="E3275">
        <v>206104.15</v>
      </c>
      <c r="G3275" s="35"/>
      <c r="H3275" s="36">
        <f t="shared" si="155"/>
        <v>129845.6145</v>
      </c>
      <c r="I3275" s="37">
        <f t="shared" si="153"/>
        <v>129845.6145</v>
      </c>
      <c r="J3275" s="4"/>
      <c r="K3275" s="38">
        <f t="shared" si="154"/>
        <v>0</v>
      </c>
    </row>
    <row r="3276" spans="1:11">
      <c r="A3276" t="s">
        <v>206</v>
      </c>
      <c r="B3276" t="s">
        <v>10176</v>
      </c>
      <c r="C3276" t="s">
        <v>10151</v>
      </c>
      <c r="D3276" t="s">
        <v>10203</v>
      </c>
      <c r="E3276">
        <v>206104.15</v>
      </c>
      <c r="G3276" s="35"/>
      <c r="H3276" s="36">
        <f t="shared" si="155"/>
        <v>129845.6145</v>
      </c>
      <c r="I3276" s="37">
        <f t="shared" si="153"/>
        <v>129845.6145</v>
      </c>
      <c r="J3276" s="4"/>
      <c r="K3276" s="38">
        <f t="shared" si="154"/>
        <v>0</v>
      </c>
    </row>
    <row r="3277" spans="1:11">
      <c r="A3277" t="s">
        <v>207</v>
      </c>
      <c r="B3277" t="s">
        <v>10176</v>
      </c>
      <c r="C3277" t="s">
        <v>10151</v>
      </c>
      <c r="D3277" t="s">
        <v>10381</v>
      </c>
      <c r="E3277">
        <v>227317.77</v>
      </c>
      <c r="G3277" s="35"/>
      <c r="H3277" s="36">
        <f t="shared" si="155"/>
        <v>143210.19509999998</v>
      </c>
      <c r="I3277" s="37">
        <f t="shared" si="153"/>
        <v>143210.19509999998</v>
      </c>
      <c r="J3277" s="4"/>
      <c r="K3277" s="38">
        <f t="shared" si="154"/>
        <v>0</v>
      </c>
    </row>
    <row r="3278" spans="1:11">
      <c r="A3278" t="s">
        <v>4611</v>
      </c>
      <c r="B3278" t="s">
        <v>10176</v>
      </c>
      <c r="C3278" t="s">
        <v>10154</v>
      </c>
      <c r="D3278" t="s">
        <v>5791</v>
      </c>
      <c r="E3278">
        <v>24308.85</v>
      </c>
      <c r="G3278" s="35"/>
      <c r="H3278" s="36">
        <f t="shared" si="155"/>
        <v>15314.575499999999</v>
      </c>
      <c r="I3278" s="37">
        <f t="shared" si="153"/>
        <v>15314.575499999999</v>
      </c>
      <c r="J3278" s="4"/>
      <c r="K3278" s="38">
        <f t="shared" si="154"/>
        <v>0</v>
      </c>
    </row>
    <row r="3279" spans="1:11">
      <c r="A3279" t="s">
        <v>4612</v>
      </c>
      <c r="B3279" t="s">
        <v>10176</v>
      </c>
      <c r="C3279" t="s">
        <v>10154</v>
      </c>
      <c r="D3279" t="s">
        <v>5716</v>
      </c>
      <c r="E3279">
        <v>59128.160000000003</v>
      </c>
      <c r="G3279" s="35"/>
      <c r="H3279" s="36">
        <f t="shared" si="155"/>
        <v>37250.7408</v>
      </c>
      <c r="I3279" s="37">
        <f t="shared" si="153"/>
        <v>37250.7408</v>
      </c>
      <c r="J3279" s="4"/>
      <c r="K3279" s="38">
        <f t="shared" si="154"/>
        <v>0</v>
      </c>
    </row>
    <row r="3280" spans="1:11">
      <c r="A3280" t="s">
        <v>4613</v>
      </c>
      <c r="B3280" t="s">
        <v>10176</v>
      </c>
      <c r="C3280" t="s">
        <v>10154</v>
      </c>
      <c r="D3280" t="s">
        <v>5788</v>
      </c>
      <c r="E3280">
        <v>12223.93</v>
      </c>
      <c r="G3280" s="35"/>
      <c r="H3280" s="36">
        <f t="shared" si="155"/>
        <v>7701.0758999999998</v>
      </c>
      <c r="I3280" s="37">
        <f t="shared" si="153"/>
        <v>7701.0758999999998</v>
      </c>
      <c r="J3280" s="4"/>
      <c r="K3280" s="38">
        <f t="shared" si="154"/>
        <v>0</v>
      </c>
    </row>
    <row r="3281" spans="1:11">
      <c r="A3281" t="s">
        <v>4614</v>
      </c>
      <c r="B3281" t="s">
        <v>10176</v>
      </c>
      <c r="C3281" t="s">
        <v>10154</v>
      </c>
      <c r="D3281" t="s">
        <v>5789</v>
      </c>
      <c r="E3281">
        <v>19525.07</v>
      </c>
      <c r="G3281" s="35"/>
      <c r="H3281" s="36">
        <f t="shared" si="155"/>
        <v>12300.794099999999</v>
      </c>
      <c r="I3281" s="37">
        <f t="shared" si="153"/>
        <v>12300.794099999999</v>
      </c>
      <c r="J3281" s="4"/>
      <c r="K3281" s="38">
        <f t="shared" si="154"/>
        <v>0</v>
      </c>
    </row>
    <row r="3282" spans="1:11">
      <c r="A3282" t="s">
        <v>4615</v>
      </c>
      <c r="B3282" t="s">
        <v>10176</v>
      </c>
      <c r="C3282" t="s">
        <v>10154</v>
      </c>
      <c r="D3282" t="s">
        <v>5790</v>
      </c>
      <c r="E3282">
        <v>15204.36</v>
      </c>
      <c r="G3282" s="35"/>
      <c r="H3282" s="36">
        <f t="shared" si="155"/>
        <v>9578.7468000000008</v>
      </c>
      <c r="I3282" s="37">
        <f t="shared" si="153"/>
        <v>9578.7468000000008</v>
      </c>
      <c r="J3282" s="4"/>
      <c r="K3282" s="38">
        <f t="shared" si="154"/>
        <v>0</v>
      </c>
    </row>
    <row r="3283" spans="1:11">
      <c r="A3283" t="s">
        <v>4616</v>
      </c>
      <c r="B3283" t="s">
        <v>10176</v>
      </c>
      <c r="C3283" t="s">
        <v>10154</v>
      </c>
      <c r="D3283" t="s">
        <v>10239</v>
      </c>
      <c r="E3283">
        <v>14279.37</v>
      </c>
      <c r="G3283" s="35"/>
      <c r="H3283" s="36">
        <f t="shared" si="155"/>
        <v>8996.0030999999999</v>
      </c>
      <c r="I3283" s="37">
        <f t="shared" si="153"/>
        <v>8996.0030999999999</v>
      </c>
      <c r="J3283" s="4"/>
      <c r="K3283" s="38">
        <f t="shared" si="154"/>
        <v>0</v>
      </c>
    </row>
    <row r="3284" spans="1:11">
      <c r="A3284" t="s">
        <v>4617</v>
      </c>
      <c r="B3284" t="s">
        <v>10176</v>
      </c>
      <c r="C3284" t="s">
        <v>10154</v>
      </c>
      <c r="D3284" t="s">
        <v>10240</v>
      </c>
      <c r="E3284">
        <v>76757.25</v>
      </c>
      <c r="G3284" s="35"/>
      <c r="H3284" s="36">
        <f t="shared" si="155"/>
        <v>48357.067499999997</v>
      </c>
      <c r="I3284" s="37">
        <f t="shared" si="153"/>
        <v>48357.067499999997</v>
      </c>
      <c r="J3284" s="4"/>
      <c r="K3284" s="38">
        <f t="shared" si="154"/>
        <v>0</v>
      </c>
    </row>
    <row r="3285" spans="1:11">
      <c r="A3285" t="s">
        <v>4719</v>
      </c>
      <c r="B3285" t="s">
        <v>10176</v>
      </c>
      <c r="C3285" t="s">
        <v>10171</v>
      </c>
      <c r="D3285" t="s">
        <v>5790</v>
      </c>
      <c r="E3285">
        <v>165463.32999999999</v>
      </c>
      <c r="G3285" s="35"/>
      <c r="H3285" s="36">
        <f t="shared" si="155"/>
        <v>104241.8979</v>
      </c>
      <c r="I3285" s="37">
        <f t="shared" si="153"/>
        <v>104241.8979</v>
      </c>
      <c r="J3285" s="4"/>
      <c r="K3285" s="38">
        <f t="shared" si="154"/>
        <v>0</v>
      </c>
    </row>
    <row r="3286" spans="1:11">
      <c r="A3286" t="s">
        <v>4720</v>
      </c>
      <c r="B3286" t="s">
        <v>10176</v>
      </c>
      <c r="C3286" t="s">
        <v>10171</v>
      </c>
      <c r="D3286" t="s">
        <v>5792</v>
      </c>
      <c r="E3286">
        <v>81245.05</v>
      </c>
      <c r="G3286" s="35"/>
      <c r="H3286" s="36">
        <f t="shared" si="155"/>
        <v>51184.381500000003</v>
      </c>
      <c r="I3286" s="37">
        <f t="shared" si="153"/>
        <v>51184.381500000003</v>
      </c>
      <c r="J3286" s="4"/>
      <c r="K3286" s="38">
        <f t="shared" si="154"/>
        <v>0</v>
      </c>
    </row>
    <row r="3287" spans="1:11">
      <c r="A3287" t="s">
        <v>4721</v>
      </c>
      <c r="B3287" t="s">
        <v>10176</v>
      </c>
      <c r="C3287" t="s">
        <v>10171</v>
      </c>
      <c r="D3287" t="s">
        <v>5793</v>
      </c>
      <c r="E3287">
        <v>96881.27</v>
      </c>
      <c r="G3287" s="35"/>
      <c r="H3287" s="36">
        <f t="shared" si="155"/>
        <v>61035.200100000002</v>
      </c>
      <c r="I3287" s="37">
        <f t="shared" si="153"/>
        <v>61035.200100000002</v>
      </c>
      <c r="J3287" s="4"/>
      <c r="K3287" s="38">
        <f t="shared" si="154"/>
        <v>0</v>
      </c>
    </row>
    <row r="3288" spans="1:11">
      <c r="A3288" t="s">
        <v>4722</v>
      </c>
      <c r="B3288" t="s">
        <v>10176</v>
      </c>
      <c r="C3288" t="s">
        <v>10171</v>
      </c>
      <c r="D3288" t="s">
        <v>5794</v>
      </c>
      <c r="E3288">
        <v>133650.73000000001</v>
      </c>
      <c r="G3288" s="35"/>
      <c r="H3288" s="36">
        <f t="shared" si="155"/>
        <v>84199.959900000002</v>
      </c>
      <c r="I3288" s="37">
        <f t="shared" si="153"/>
        <v>84199.959900000002</v>
      </c>
      <c r="J3288" s="4"/>
      <c r="K3288" s="38">
        <f t="shared" si="154"/>
        <v>0</v>
      </c>
    </row>
    <row r="3289" spans="1:11">
      <c r="A3289" t="s">
        <v>4723</v>
      </c>
      <c r="B3289" t="s">
        <v>10176</v>
      </c>
      <c r="C3289" t="s">
        <v>10171</v>
      </c>
      <c r="D3289" t="s">
        <v>5791</v>
      </c>
      <c r="E3289">
        <v>198051.77</v>
      </c>
      <c r="G3289" s="35"/>
      <c r="H3289" s="36">
        <f t="shared" si="155"/>
        <v>124772.6151</v>
      </c>
      <c r="I3289" s="37">
        <f t="shared" si="153"/>
        <v>124772.6151</v>
      </c>
      <c r="J3289" s="4"/>
      <c r="K3289" s="38">
        <f t="shared" si="154"/>
        <v>0</v>
      </c>
    </row>
    <row r="3290" spans="1:11">
      <c r="A3290" t="s">
        <v>4724</v>
      </c>
      <c r="B3290" t="s">
        <v>10176</v>
      </c>
      <c r="C3290" t="s">
        <v>10171</v>
      </c>
      <c r="D3290" t="s">
        <v>5795</v>
      </c>
      <c r="E3290">
        <v>581054.24</v>
      </c>
      <c r="G3290" s="35"/>
      <c r="H3290" s="36">
        <f t="shared" si="155"/>
        <v>366064.17119999998</v>
      </c>
      <c r="I3290" s="37">
        <f t="shared" si="153"/>
        <v>366064.17119999998</v>
      </c>
      <c r="J3290" s="4"/>
      <c r="K3290" s="38">
        <f t="shared" si="154"/>
        <v>0</v>
      </c>
    </row>
    <row r="3291" spans="1:11">
      <c r="A3291" t="s">
        <v>4725</v>
      </c>
      <c r="B3291" t="s">
        <v>10176</v>
      </c>
      <c r="C3291" t="s">
        <v>10171</v>
      </c>
      <c r="D3291" t="s">
        <v>10395</v>
      </c>
      <c r="E3291">
        <v>307053.59000000003</v>
      </c>
      <c r="G3291" s="35"/>
      <c r="H3291" s="36">
        <f t="shared" si="155"/>
        <v>193443.76170000003</v>
      </c>
      <c r="I3291" s="37">
        <f t="shared" si="153"/>
        <v>193443.76170000003</v>
      </c>
      <c r="J3291" s="4"/>
      <c r="K3291" s="38">
        <f t="shared" si="154"/>
        <v>0</v>
      </c>
    </row>
    <row r="3292" spans="1:11">
      <c r="A3292" t="s">
        <v>4726</v>
      </c>
      <c r="B3292" t="s">
        <v>10176</v>
      </c>
      <c r="C3292" t="s">
        <v>10171</v>
      </c>
      <c r="D3292" t="s">
        <v>10396</v>
      </c>
      <c r="E3292">
        <v>185080.46</v>
      </c>
      <c r="G3292" s="35"/>
      <c r="H3292" s="36">
        <f t="shared" si="155"/>
        <v>116600.68979999999</v>
      </c>
      <c r="I3292" s="37">
        <f t="shared" si="153"/>
        <v>116600.68979999999</v>
      </c>
      <c r="J3292" s="4"/>
      <c r="K3292" s="38">
        <f t="shared" si="154"/>
        <v>0</v>
      </c>
    </row>
    <row r="3293" spans="1:11">
      <c r="A3293" t="s">
        <v>4727</v>
      </c>
      <c r="B3293" t="s">
        <v>10176</v>
      </c>
      <c r="C3293" t="s">
        <v>10171</v>
      </c>
      <c r="D3293" t="s">
        <v>5796</v>
      </c>
      <c r="E3293">
        <v>182294.5</v>
      </c>
      <c r="G3293" s="35"/>
      <c r="H3293" s="36">
        <f t="shared" si="155"/>
        <v>114845.535</v>
      </c>
      <c r="I3293" s="37">
        <f t="shared" si="153"/>
        <v>114845.535</v>
      </c>
      <c r="J3293" s="4"/>
      <c r="K3293" s="38">
        <f t="shared" si="154"/>
        <v>0</v>
      </c>
    </row>
    <row r="3294" spans="1:11">
      <c r="A3294" t="s">
        <v>4728</v>
      </c>
      <c r="B3294" t="s">
        <v>10176</v>
      </c>
      <c r="C3294" t="s">
        <v>10171</v>
      </c>
      <c r="D3294" t="s">
        <v>5797</v>
      </c>
      <c r="E3294">
        <v>198051.77</v>
      </c>
      <c r="G3294" s="35"/>
      <c r="H3294" s="36">
        <f t="shared" si="155"/>
        <v>124772.6151</v>
      </c>
      <c r="I3294" s="37">
        <f t="shared" si="153"/>
        <v>124772.6151</v>
      </c>
      <c r="J3294" s="4"/>
      <c r="K3294" s="38">
        <f t="shared" si="154"/>
        <v>0</v>
      </c>
    </row>
    <row r="3295" spans="1:11">
      <c r="A3295" t="s">
        <v>4729</v>
      </c>
      <c r="B3295" t="s">
        <v>10176</v>
      </c>
      <c r="C3295" t="s">
        <v>10171</v>
      </c>
      <c r="D3295" t="s">
        <v>10397</v>
      </c>
      <c r="E3295">
        <v>131815.35999999999</v>
      </c>
      <c r="G3295" s="35"/>
      <c r="H3295" s="36">
        <f t="shared" si="155"/>
        <v>83043.676799999987</v>
      </c>
      <c r="I3295" s="37">
        <f t="shared" si="153"/>
        <v>83043.676799999987</v>
      </c>
      <c r="J3295" s="4"/>
      <c r="K3295" s="38">
        <f t="shared" si="154"/>
        <v>0</v>
      </c>
    </row>
    <row r="3296" spans="1:11">
      <c r="A3296" t="s">
        <v>4730</v>
      </c>
      <c r="B3296" t="s">
        <v>10176</v>
      </c>
      <c r="C3296" t="s">
        <v>10171</v>
      </c>
      <c r="D3296" t="s">
        <v>10398</v>
      </c>
      <c r="E3296">
        <v>141035.35</v>
      </c>
      <c r="G3296" s="35"/>
      <c r="H3296" s="36">
        <f t="shared" si="155"/>
        <v>88852.270499999999</v>
      </c>
      <c r="I3296" s="37">
        <f t="shared" si="153"/>
        <v>88852.270499999999</v>
      </c>
      <c r="J3296" s="4"/>
      <c r="K3296" s="38">
        <f t="shared" si="154"/>
        <v>0</v>
      </c>
    </row>
    <row r="3297" spans="1:11">
      <c r="A3297" t="s">
        <v>4731</v>
      </c>
      <c r="B3297" t="s">
        <v>10176</v>
      </c>
      <c r="C3297" t="s">
        <v>10171</v>
      </c>
      <c r="D3297" t="s">
        <v>5798</v>
      </c>
      <c r="E3297">
        <v>101754.93</v>
      </c>
      <c r="G3297" s="35"/>
      <c r="H3297" s="36">
        <f t="shared" si="155"/>
        <v>64105.605899999995</v>
      </c>
      <c r="I3297" s="37">
        <f t="shared" si="153"/>
        <v>64105.605899999995</v>
      </c>
      <c r="J3297" s="4"/>
      <c r="K3297" s="38">
        <f t="shared" si="154"/>
        <v>0</v>
      </c>
    </row>
    <row r="3298" spans="1:11">
      <c r="A3298" t="s">
        <v>4732</v>
      </c>
      <c r="B3298" t="s">
        <v>10176</v>
      </c>
      <c r="C3298" t="s">
        <v>10171</v>
      </c>
      <c r="D3298" t="s">
        <v>10399</v>
      </c>
      <c r="E3298">
        <v>107016.29</v>
      </c>
      <c r="G3298" s="35"/>
      <c r="H3298" s="36">
        <f t="shared" si="155"/>
        <v>67420.262699999992</v>
      </c>
      <c r="I3298" s="37">
        <f t="shared" si="153"/>
        <v>67420.262699999992</v>
      </c>
      <c r="J3298" s="4"/>
      <c r="K3298" s="38">
        <f t="shared" si="154"/>
        <v>0</v>
      </c>
    </row>
    <row r="3299" spans="1:11">
      <c r="A3299" t="s">
        <v>4207</v>
      </c>
      <c r="B3299" t="s">
        <v>10176</v>
      </c>
      <c r="C3299" t="s">
        <v>5682</v>
      </c>
      <c r="D3299" t="s">
        <v>10191</v>
      </c>
      <c r="E3299">
        <v>525243.47</v>
      </c>
      <c r="G3299" s="35"/>
      <c r="H3299" s="36">
        <f t="shared" si="155"/>
        <v>330903.3861</v>
      </c>
      <c r="I3299" s="37">
        <f t="shared" si="153"/>
        <v>330903.3861</v>
      </c>
      <c r="J3299" s="4"/>
      <c r="K3299" s="38">
        <f t="shared" si="154"/>
        <v>0</v>
      </c>
    </row>
    <row r="3300" spans="1:11">
      <c r="A3300" t="s">
        <v>4208</v>
      </c>
      <c r="B3300" t="s">
        <v>10176</v>
      </c>
      <c r="C3300" t="s">
        <v>5682</v>
      </c>
      <c r="D3300" t="s">
        <v>10192</v>
      </c>
      <c r="E3300">
        <v>409366.08</v>
      </c>
      <c r="G3300" s="35"/>
      <c r="H3300" s="36">
        <f t="shared" si="155"/>
        <v>257900.63040000002</v>
      </c>
      <c r="I3300" s="37">
        <f t="shared" si="153"/>
        <v>257900.63040000002</v>
      </c>
      <c r="J3300" s="4"/>
      <c r="K3300" s="38">
        <f t="shared" si="154"/>
        <v>0</v>
      </c>
    </row>
    <row r="3301" spans="1:11">
      <c r="A3301" t="s">
        <v>4209</v>
      </c>
      <c r="B3301" t="s">
        <v>10176</v>
      </c>
      <c r="C3301" t="s">
        <v>5682</v>
      </c>
      <c r="D3301" t="s">
        <v>10193</v>
      </c>
      <c r="E3301">
        <v>566145.87</v>
      </c>
      <c r="G3301" s="35"/>
      <c r="H3301" s="36">
        <f t="shared" si="155"/>
        <v>356671.89809999999</v>
      </c>
      <c r="I3301" s="37">
        <f t="shared" si="153"/>
        <v>356671.89809999999</v>
      </c>
      <c r="J3301" s="4"/>
      <c r="K3301" s="38">
        <f t="shared" si="154"/>
        <v>0</v>
      </c>
    </row>
    <row r="3302" spans="1:11">
      <c r="A3302" t="s">
        <v>4210</v>
      </c>
      <c r="B3302" t="s">
        <v>10176</v>
      </c>
      <c r="C3302" t="s">
        <v>5682</v>
      </c>
      <c r="D3302" t="s">
        <v>10194</v>
      </c>
      <c r="E3302">
        <v>461996.79999999999</v>
      </c>
      <c r="G3302" s="35"/>
      <c r="H3302" s="36">
        <f t="shared" si="155"/>
        <v>291057.984</v>
      </c>
      <c r="I3302" s="37">
        <f t="shared" si="153"/>
        <v>291057.984</v>
      </c>
      <c r="J3302" s="4"/>
      <c r="K3302" s="38">
        <f t="shared" si="154"/>
        <v>0</v>
      </c>
    </row>
    <row r="3303" spans="1:11">
      <c r="A3303" t="s">
        <v>4211</v>
      </c>
      <c r="B3303" t="s">
        <v>10176</v>
      </c>
      <c r="C3303" t="s">
        <v>5682</v>
      </c>
      <c r="D3303" t="s">
        <v>7067</v>
      </c>
      <c r="E3303">
        <v>379365.46</v>
      </c>
      <c r="G3303" s="35"/>
      <c r="H3303" s="36">
        <f t="shared" si="155"/>
        <v>239000.23980000001</v>
      </c>
      <c r="I3303" s="37">
        <f t="shared" si="153"/>
        <v>239000.23980000001</v>
      </c>
      <c r="J3303" s="4"/>
      <c r="K3303" s="38">
        <f t="shared" si="154"/>
        <v>0</v>
      </c>
    </row>
    <row r="3304" spans="1:11">
      <c r="A3304" t="s">
        <v>4212</v>
      </c>
      <c r="B3304" t="s">
        <v>10176</v>
      </c>
      <c r="C3304" t="s">
        <v>5682</v>
      </c>
      <c r="D3304" t="s">
        <v>10195</v>
      </c>
      <c r="E3304">
        <v>389082.08</v>
      </c>
      <c r="G3304" s="35"/>
      <c r="H3304" s="36">
        <f t="shared" si="155"/>
        <v>245121.71040000001</v>
      </c>
      <c r="I3304" s="37">
        <f t="shared" si="153"/>
        <v>245121.71040000001</v>
      </c>
      <c r="J3304" s="4"/>
      <c r="K3304" s="38">
        <f t="shared" si="154"/>
        <v>0</v>
      </c>
    </row>
    <row r="3305" spans="1:11">
      <c r="A3305" t="s">
        <v>4712</v>
      </c>
      <c r="B3305" t="s">
        <v>10176</v>
      </c>
      <c r="C3305" t="s">
        <v>10170</v>
      </c>
      <c r="D3305" t="s">
        <v>5791</v>
      </c>
      <c r="E3305">
        <v>75373.429999999993</v>
      </c>
      <c r="G3305" s="35"/>
      <c r="H3305" s="36">
        <f t="shared" si="155"/>
        <v>47485.260899999994</v>
      </c>
      <c r="I3305" s="37">
        <f t="shared" si="153"/>
        <v>47485.260899999994</v>
      </c>
      <c r="J3305" s="4"/>
      <c r="K3305" s="38">
        <f t="shared" si="154"/>
        <v>0</v>
      </c>
    </row>
    <row r="3306" spans="1:11">
      <c r="A3306" t="s">
        <v>4713</v>
      </c>
      <c r="B3306" t="s">
        <v>10176</v>
      </c>
      <c r="C3306" t="s">
        <v>10170</v>
      </c>
      <c r="D3306" t="s">
        <v>5716</v>
      </c>
      <c r="E3306">
        <v>96892.02</v>
      </c>
      <c r="G3306" s="35"/>
      <c r="H3306" s="36">
        <f t="shared" si="155"/>
        <v>61041.972600000001</v>
      </c>
      <c r="I3306" s="37">
        <f t="shared" si="153"/>
        <v>61041.972600000001</v>
      </c>
      <c r="J3306" s="4"/>
      <c r="K3306" s="38">
        <f t="shared" si="154"/>
        <v>0</v>
      </c>
    </row>
    <row r="3307" spans="1:11">
      <c r="A3307" t="s">
        <v>4714</v>
      </c>
      <c r="B3307" t="s">
        <v>10176</v>
      </c>
      <c r="C3307" t="s">
        <v>10170</v>
      </c>
      <c r="D3307" t="s">
        <v>5788</v>
      </c>
      <c r="E3307">
        <v>40379.300000000003</v>
      </c>
      <c r="G3307" s="35"/>
      <c r="H3307" s="36">
        <f t="shared" si="155"/>
        <v>25438.959000000003</v>
      </c>
      <c r="I3307" s="37">
        <f t="shared" si="153"/>
        <v>25438.959000000003</v>
      </c>
      <c r="J3307" s="4"/>
      <c r="K3307" s="38">
        <f t="shared" si="154"/>
        <v>0</v>
      </c>
    </row>
    <row r="3308" spans="1:11">
      <c r="A3308" t="s">
        <v>4715</v>
      </c>
      <c r="B3308" t="s">
        <v>10176</v>
      </c>
      <c r="C3308" t="s">
        <v>10170</v>
      </c>
      <c r="D3308" t="s">
        <v>5789</v>
      </c>
      <c r="E3308">
        <v>62455.12</v>
      </c>
      <c r="G3308" s="35"/>
      <c r="H3308" s="36">
        <f t="shared" si="155"/>
        <v>39346.725600000005</v>
      </c>
      <c r="I3308" s="37">
        <f t="shared" si="153"/>
        <v>39346.725600000005</v>
      </c>
      <c r="J3308" s="4"/>
      <c r="K3308" s="38">
        <f t="shared" si="154"/>
        <v>0</v>
      </c>
    </row>
    <row r="3309" spans="1:11">
      <c r="A3309" t="s">
        <v>4716</v>
      </c>
      <c r="B3309" t="s">
        <v>10176</v>
      </c>
      <c r="C3309" t="s">
        <v>10170</v>
      </c>
      <c r="D3309" t="s">
        <v>5790</v>
      </c>
      <c r="E3309">
        <v>54261.77</v>
      </c>
      <c r="G3309" s="35"/>
      <c r="H3309" s="36">
        <f t="shared" si="155"/>
        <v>34184.915099999998</v>
      </c>
      <c r="I3309" s="37">
        <f t="shared" si="153"/>
        <v>34184.915099999998</v>
      </c>
      <c r="J3309" s="4"/>
      <c r="K3309" s="38">
        <f t="shared" si="154"/>
        <v>0</v>
      </c>
    </row>
    <row r="3310" spans="1:11">
      <c r="A3310" t="s">
        <v>4717</v>
      </c>
      <c r="B3310" t="s">
        <v>10176</v>
      </c>
      <c r="C3310" t="s">
        <v>10170</v>
      </c>
      <c r="D3310" t="s">
        <v>10239</v>
      </c>
      <c r="E3310">
        <v>53836.160000000003</v>
      </c>
      <c r="G3310" s="35"/>
      <c r="H3310" s="36">
        <f t="shared" si="155"/>
        <v>33916.7808</v>
      </c>
      <c r="I3310" s="37">
        <f t="shared" si="153"/>
        <v>33916.7808</v>
      </c>
      <c r="J3310" s="4"/>
      <c r="K3310" s="38">
        <f t="shared" si="154"/>
        <v>0</v>
      </c>
    </row>
    <row r="3311" spans="1:11">
      <c r="A3311" t="s">
        <v>4718</v>
      </c>
      <c r="B3311" t="s">
        <v>10176</v>
      </c>
      <c r="C3311" t="s">
        <v>10170</v>
      </c>
      <c r="D3311" t="s">
        <v>10241</v>
      </c>
      <c r="E3311">
        <v>304809.45</v>
      </c>
      <c r="G3311" s="35"/>
      <c r="H3311" s="36">
        <f t="shared" si="155"/>
        <v>192029.9535</v>
      </c>
      <c r="I3311" s="37">
        <f t="shared" si="153"/>
        <v>192029.9535</v>
      </c>
      <c r="J3311" s="4"/>
      <c r="K3311" s="38">
        <f t="shared" si="154"/>
        <v>0</v>
      </c>
    </row>
    <row r="3312" spans="1:11">
      <c r="A3312" t="s">
        <v>4648</v>
      </c>
      <c r="B3312" t="s">
        <v>10176</v>
      </c>
      <c r="C3312" t="s">
        <v>10159</v>
      </c>
      <c r="D3312" t="s">
        <v>10191</v>
      </c>
      <c r="E3312">
        <v>590796.38</v>
      </c>
      <c r="G3312" s="35"/>
      <c r="H3312" s="36">
        <f t="shared" si="155"/>
        <v>372201.7194</v>
      </c>
      <c r="I3312" s="37">
        <f t="shared" si="153"/>
        <v>372201.7194</v>
      </c>
      <c r="J3312" s="4"/>
      <c r="K3312" s="38">
        <f t="shared" si="154"/>
        <v>0</v>
      </c>
    </row>
    <row r="3313" spans="1:11">
      <c r="A3313" t="s">
        <v>4649</v>
      </c>
      <c r="B3313" t="s">
        <v>10176</v>
      </c>
      <c r="C3313" t="s">
        <v>10159</v>
      </c>
      <c r="D3313" t="s">
        <v>10192</v>
      </c>
      <c r="E3313">
        <v>423961.5</v>
      </c>
      <c r="G3313" s="35"/>
      <c r="H3313" s="36">
        <f t="shared" si="155"/>
        <v>267095.745</v>
      </c>
      <c r="I3313" s="37">
        <f t="shared" si="153"/>
        <v>267095.745</v>
      </c>
      <c r="J3313" s="4"/>
      <c r="K3313" s="38">
        <f t="shared" si="154"/>
        <v>0</v>
      </c>
    </row>
    <row r="3314" spans="1:11">
      <c r="A3314" t="s">
        <v>4650</v>
      </c>
      <c r="B3314" t="s">
        <v>10176</v>
      </c>
      <c r="C3314" t="s">
        <v>10159</v>
      </c>
      <c r="D3314" t="s">
        <v>7067</v>
      </c>
      <c r="E3314">
        <v>400572.71</v>
      </c>
      <c r="G3314" s="35"/>
      <c r="H3314" s="36">
        <f t="shared" si="155"/>
        <v>252360.80730000001</v>
      </c>
      <c r="I3314" s="37">
        <f t="shared" si="153"/>
        <v>252360.80730000001</v>
      </c>
      <c r="J3314" s="4"/>
      <c r="K3314" s="38">
        <f t="shared" si="154"/>
        <v>0</v>
      </c>
    </row>
    <row r="3315" spans="1:11">
      <c r="A3315" t="s">
        <v>4651</v>
      </c>
      <c r="B3315" t="s">
        <v>10176</v>
      </c>
      <c r="C3315" t="s">
        <v>10159</v>
      </c>
      <c r="D3315" t="s">
        <v>7067</v>
      </c>
      <c r="E3315">
        <v>365740.87</v>
      </c>
      <c r="G3315" s="35"/>
      <c r="H3315" s="36">
        <f t="shared" si="155"/>
        <v>230416.7481</v>
      </c>
      <c r="I3315" s="37">
        <f t="shared" si="153"/>
        <v>230416.7481</v>
      </c>
      <c r="J3315" s="4"/>
      <c r="K3315" s="38">
        <f t="shared" si="154"/>
        <v>0</v>
      </c>
    </row>
    <row r="3316" spans="1:11">
      <c r="A3316" t="s">
        <v>4652</v>
      </c>
      <c r="B3316" t="s">
        <v>10176</v>
      </c>
      <c r="C3316" t="s">
        <v>10159</v>
      </c>
      <c r="D3316" t="s">
        <v>7068</v>
      </c>
      <c r="E3316">
        <v>384707.03</v>
      </c>
      <c r="G3316" s="35"/>
      <c r="H3316" s="36">
        <f t="shared" si="155"/>
        <v>242365.42890000003</v>
      </c>
      <c r="I3316" s="37">
        <f t="shared" si="153"/>
        <v>242365.42890000003</v>
      </c>
      <c r="J3316" s="4"/>
      <c r="K3316" s="38">
        <f t="shared" si="154"/>
        <v>0</v>
      </c>
    </row>
    <row r="3317" spans="1:11">
      <c r="A3317" t="s">
        <v>4653</v>
      </c>
      <c r="B3317" t="s">
        <v>10176</v>
      </c>
      <c r="C3317" t="s">
        <v>10159</v>
      </c>
      <c r="D3317" t="s">
        <v>10194</v>
      </c>
      <c r="E3317">
        <v>387872.06</v>
      </c>
      <c r="G3317" s="35"/>
      <c r="H3317" s="36">
        <f t="shared" si="155"/>
        <v>244359.39780000001</v>
      </c>
      <c r="I3317" s="37">
        <f t="shared" si="153"/>
        <v>244359.39780000001</v>
      </c>
      <c r="J3317" s="4"/>
      <c r="K3317" s="38">
        <f t="shared" si="154"/>
        <v>0</v>
      </c>
    </row>
    <row r="3318" spans="1:11">
      <c r="A3318" t="s">
        <v>4654</v>
      </c>
      <c r="B3318" t="s">
        <v>10176</v>
      </c>
      <c r="C3318" t="s">
        <v>10159</v>
      </c>
      <c r="D3318" t="s">
        <v>10197</v>
      </c>
      <c r="E3318">
        <v>558222.5</v>
      </c>
      <c r="G3318" s="35"/>
      <c r="H3318" s="36">
        <f t="shared" si="155"/>
        <v>351680.17499999999</v>
      </c>
      <c r="I3318" s="37">
        <f t="shared" si="153"/>
        <v>351680.17499999999</v>
      </c>
      <c r="J3318" s="4"/>
      <c r="K3318" s="38">
        <f t="shared" si="154"/>
        <v>0</v>
      </c>
    </row>
    <row r="3319" spans="1:11">
      <c r="A3319" t="s">
        <v>4655</v>
      </c>
      <c r="B3319" t="s">
        <v>10176</v>
      </c>
      <c r="C3319" t="s">
        <v>10159</v>
      </c>
      <c r="D3319" t="s">
        <v>10384</v>
      </c>
      <c r="E3319">
        <v>681314.05</v>
      </c>
      <c r="G3319" s="35"/>
      <c r="H3319" s="36">
        <f t="shared" si="155"/>
        <v>429227.85150000005</v>
      </c>
      <c r="I3319" s="37">
        <f t="shared" si="153"/>
        <v>429227.85150000005</v>
      </c>
      <c r="J3319" s="4"/>
      <c r="K3319" s="38">
        <f t="shared" si="154"/>
        <v>0</v>
      </c>
    </row>
    <row r="3320" spans="1:11">
      <c r="A3320" t="s">
        <v>4656</v>
      </c>
      <c r="B3320" t="s">
        <v>10176</v>
      </c>
      <c r="C3320" t="s">
        <v>10159</v>
      </c>
      <c r="D3320" t="s">
        <v>10384</v>
      </c>
      <c r="E3320">
        <v>681314.05</v>
      </c>
      <c r="G3320" s="35"/>
      <c r="H3320" s="36">
        <f t="shared" si="155"/>
        <v>429227.85150000005</v>
      </c>
      <c r="I3320" s="37">
        <f t="shared" si="153"/>
        <v>429227.85150000005</v>
      </c>
      <c r="J3320" s="4"/>
      <c r="K3320" s="38">
        <f t="shared" si="154"/>
        <v>0</v>
      </c>
    </row>
    <row r="3321" spans="1:11">
      <c r="A3321" t="s">
        <v>4657</v>
      </c>
      <c r="B3321" t="s">
        <v>10176</v>
      </c>
      <c r="C3321" t="s">
        <v>10159</v>
      </c>
      <c r="D3321" t="s">
        <v>10196</v>
      </c>
      <c r="E3321">
        <v>621352.06000000006</v>
      </c>
      <c r="G3321" s="35"/>
      <c r="H3321" s="36">
        <f t="shared" si="155"/>
        <v>391451.79780000006</v>
      </c>
      <c r="I3321" s="37">
        <f t="shared" si="153"/>
        <v>391451.79780000006</v>
      </c>
      <c r="J3321" s="4"/>
      <c r="K3321" s="38">
        <f t="shared" si="154"/>
        <v>0</v>
      </c>
    </row>
    <row r="3322" spans="1:11">
      <c r="A3322" t="s">
        <v>215</v>
      </c>
      <c r="B3322" t="s">
        <v>10176</v>
      </c>
      <c r="C3322" t="s">
        <v>10159</v>
      </c>
      <c r="D3322" t="s">
        <v>11396</v>
      </c>
      <c r="E3322">
        <v>1037806.9</v>
      </c>
      <c r="G3322" s="35"/>
      <c r="H3322" s="36">
        <f t="shared" si="155"/>
        <v>653818.34700000007</v>
      </c>
      <c r="I3322" s="37">
        <f t="shared" si="153"/>
        <v>653818.34700000007</v>
      </c>
      <c r="J3322" s="4"/>
      <c r="K3322" s="38">
        <f t="shared" si="154"/>
        <v>0</v>
      </c>
    </row>
    <row r="3323" spans="1:11">
      <c r="A3323" t="s">
        <v>4213</v>
      </c>
      <c r="B3323" t="s">
        <v>10176</v>
      </c>
      <c r="C3323" t="s">
        <v>12816</v>
      </c>
      <c r="D3323" t="s">
        <v>11325</v>
      </c>
      <c r="E3323">
        <v>695938.78</v>
      </c>
      <c r="G3323" s="35"/>
      <c r="H3323" s="36">
        <f t="shared" si="155"/>
        <v>438441.4314</v>
      </c>
      <c r="I3323" s="37">
        <f t="shared" si="153"/>
        <v>438441.4314</v>
      </c>
      <c r="J3323" s="4"/>
      <c r="K3323" s="38">
        <f t="shared" si="154"/>
        <v>0</v>
      </c>
    </row>
    <row r="3324" spans="1:11">
      <c r="A3324" t="s">
        <v>4214</v>
      </c>
      <c r="B3324" t="s">
        <v>10176</v>
      </c>
      <c r="C3324" t="s">
        <v>12816</v>
      </c>
      <c r="D3324" t="s">
        <v>10216</v>
      </c>
      <c r="E3324">
        <v>869920.09</v>
      </c>
      <c r="G3324" s="35"/>
      <c r="H3324" s="36">
        <f t="shared" si="155"/>
        <v>548049.65669999993</v>
      </c>
      <c r="I3324" s="37">
        <f t="shared" si="153"/>
        <v>548049.65669999993</v>
      </c>
      <c r="J3324" s="4"/>
      <c r="K3324" s="38">
        <f t="shared" si="154"/>
        <v>0</v>
      </c>
    </row>
    <row r="3325" spans="1:11">
      <c r="A3325" t="s">
        <v>4215</v>
      </c>
      <c r="B3325" t="s">
        <v>10176</v>
      </c>
      <c r="C3325" t="s">
        <v>12816</v>
      </c>
      <c r="D3325" t="s">
        <v>11322</v>
      </c>
      <c r="E3325">
        <v>526657.53</v>
      </c>
      <c r="G3325" s="35"/>
      <c r="H3325" s="36">
        <f t="shared" si="155"/>
        <v>331794.2439</v>
      </c>
      <c r="I3325" s="37">
        <f t="shared" si="153"/>
        <v>331794.2439</v>
      </c>
      <c r="J3325" s="4"/>
      <c r="K3325" s="38">
        <f t="shared" si="154"/>
        <v>0</v>
      </c>
    </row>
    <row r="3326" spans="1:11">
      <c r="A3326" t="s">
        <v>4216</v>
      </c>
      <c r="B3326" t="s">
        <v>10176</v>
      </c>
      <c r="C3326" t="s">
        <v>12816</v>
      </c>
      <c r="D3326" t="s">
        <v>10217</v>
      </c>
      <c r="E3326">
        <v>658320.59</v>
      </c>
      <c r="G3326" s="35"/>
      <c r="H3326" s="36">
        <f t="shared" si="155"/>
        <v>414741.97169999999</v>
      </c>
      <c r="I3326" s="37">
        <f t="shared" si="153"/>
        <v>414741.97169999999</v>
      </c>
      <c r="J3326" s="4"/>
      <c r="K3326" s="38">
        <f t="shared" si="154"/>
        <v>0</v>
      </c>
    </row>
    <row r="3327" spans="1:11">
      <c r="A3327" t="s">
        <v>4217</v>
      </c>
      <c r="B3327" t="s">
        <v>10176</v>
      </c>
      <c r="C3327" t="s">
        <v>12816</v>
      </c>
      <c r="D3327" t="s">
        <v>7054</v>
      </c>
      <c r="E3327">
        <v>466468.8</v>
      </c>
      <c r="G3327" s="35"/>
      <c r="H3327" s="36">
        <f t="shared" si="155"/>
        <v>293875.34399999998</v>
      </c>
      <c r="I3327" s="37">
        <f t="shared" si="153"/>
        <v>293875.34399999998</v>
      </c>
      <c r="J3327" s="4"/>
      <c r="K3327" s="38">
        <f t="shared" si="154"/>
        <v>0</v>
      </c>
    </row>
    <row r="3328" spans="1:11">
      <c r="A3328" t="s">
        <v>4218</v>
      </c>
      <c r="B3328" t="s">
        <v>10176</v>
      </c>
      <c r="C3328" t="s">
        <v>12816</v>
      </c>
      <c r="D3328" t="s">
        <v>10218</v>
      </c>
      <c r="E3328">
        <v>583084.80000000005</v>
      </c>
      <c r="G3328" s="35"/>
      <c r="H3328" s="36">
        <f t="shared" si="155"/>
        <v>367343.42400000006</v>
      </c>
      <c r="I3328" s="37">
        <f t="shared" si="153"/>
        <v>367343.42400000006</v>
      </c>
      <c r="J3328" s="4"/>
      <c r="K3328" s="38">
        <f t="shared" si="154"/>
        <v>0</v>
      </c>
    </row>
    <row r="3329" spans="1:11">
      <c r="A3329" t="s">
        <v>4219</v>
      </c>
      <c r="B3329" t="s">
        <v>10176</v>
      </c>
      <c r="C3329" t="s">
        <v>12816</v>
      </c>
      <c r="D3329" t="s">
        <v>7055</v>
      </c>
      <c r="E3329">
        <v>545466.63</v>
      </c>
      <c r="G3329" s="35"/>
      <c r="H3329" s="36">
        <f t="shared" si="155"/>
        <v>343643.97690000001</v>
      </c>
      <c r="I3329" s="37">
        <f t="shared" si="153"/>
        <v>343643.97690000001</v>
      </c>
      <c r="J3329" s="4"/>
      <c r="K3329" s="38">
        <f t="shared" si="154"/>
        <v>0</v>
      </c>
    </row>
    <row r="3330" spans="1:11">
      <c r="A3330" t="s">
        <v>4220</v>
      </c>
      <c r="B3330" t="s">
        <v>10176</v>
      </c>
      <c r="C3330" t="s">
        <v>12816</v>
      </c>
      <c r="D3330" t="s">
        <v>10226</v>
      </c>
      <c r="E3330">
        <v>681829.75</v>
      </c>
      <c r="G3330" s="35"/>
      <c r="H3330" s="36">
        <f t="shared" si="155"/>
        <v>429552.74249999999</v>
      </c>
      <c r="I3330" s="37">
        <f t="shared" si="153"/>
        <v>429552.74249999999</v>
      </c>
      <c r="J3330" s="4"/>
      <c r="K3330" s="38">
        <f t="shared" si="154"/>
        <v>0</v>
      </c>
    </row>
    <row r="3331" spans="1:11">
      <c r="A3331" t="s">
        <v>4221</v>
      </c>
      <c r="B3331" t="s">
        <v>10176</v>
      </c>
      <c r="C3331" t="s">
        <v>5683</v>
      </c>
      <c r="D3331" t="s">
        <v>10191</v>
      </c>
      <c r="E3331">
        <v>953108.75</v>
      </c>
      <c r="G3331" s="35"/>
      <c r="H3331" s="36">
        <f t="shared" si="155"/>
        <v>600458.51249999995</v>
      </c>
      <c r="I3331" s="37">
        <f t="shared" si="153"/>
        <v>600458.51249999995</v>
      </c>
      <c r="J3331" s="4"/>
      <c r="K3331" s="38">
        <f t="shared" si="154"/>
        <v>0</v>
      </c>
    </row>
    <row r="3332" spans="1:11">
      <c r="A3332" t="s">
        <v>4222</v>
      </c>
      <c r="B3332" t="s">
        <v>10176</v>
      </c>
      <c r="C3332" t="s">
        <v>5683</v>
      </c>
      <c r="D3332" t="s">
        <v>10192</v>
      </c>
      <c r="E3332">
        <v>792669.07</v>
      </c>
      <c r="G3332" s="35"/>
      <c r="H3332" s="36">
        <f t="shared" si="155"/>
        <v>499381.51409999997</v>
      </c>
      <c r="I3332" s="37">
        <f t="shared" si="153"/>
        <v>499381.51409999997</v>
      </c>
      <c r="J3332" s="4"/>
      <c r="K3332" s="38">
        <f t="shared" si="154"/>
        <v>0</v>
      </c>
    </row>
    <row r="3333" spans="1:11">
      <c r="A3333" t="s">
        <v>4223</v>
      </c>
      <c r="B3333" t="s">
        <v>10176</v>
      </c>
      <c r="C3333" t="s">
        <v>5683</v>
      </c>
      <c r="D3333" t="s">
        <v>10194</v>
      </c>
      <c r="E3333">
        <v>603629.56000000006</v>
      </c>
      <c r="G3333" s="35"/>
      <c r="H3333" s="36">
        <f t="shared" si="155"/>
        <v>380286.62280000001</v>
      </c>
      <c r="I3333" s="37">
        <f t="shared" si="153"/>
        <v>380286.62280000001</v>
      </c>
      <c r="J3333" s="4"/>
      <c r="K3333" s="38">
        <f t="shared" si="154"/>
        <v>0</v>
      </c>
    </row>
    <row r="3334" spans="1:11">
      <c r="A3334" t="s">
        <v>4224</v>
      </c>
      <c r="B3334" t="s">
        <v>10176</v>
      </c>
      <c r="C3334" t="s">
        <v>5683</v>
      </c>
      <c r="D3334" t="s">
        <v>7067</v>
      </c>
      <c r="E3334">
        <v>579305.72</v>
      </c>
      <c r="G3334" s="35"/>
      <c r="H3334" s="36">
        <f t="shared" si="155"/>
        <v>364962.60359999997</v>
      </c>
      <c r="I3334" s="37">
        <f t="shared" ref="I3334:I3397" si="156">H3334*$H$4</f>
        <v>364962.60359999997</v>
      </c>
      <c r="J3334" s="4"/>
      <c r="K3334" s="38">
        <f t="shared" ref="K3334:K3397" si="157">J3334*I3334</f>
        <v>0</v>
      </c>
    </row>
    <row r="3335" spans="1:11">
      <c r="A3335" t="s">
        <v>4225</v>
      </c>
      <c r="B3335" t="s">
        <v>10176</v>
      </c>
      <c r="C3335" t="s">
        <v>5683</v>
      </c>
      <c r="D3335" t="s">
        <v>10219</v>
      </c>
      <c r="E3335">
        <v>1783973.98</v>
      </c>
      <c r="G3335" s="35"/>
      <c r="H3335" s="36">
        <f t="shared" ref="H3335:H3398" si="158">+E3335*$H$1*(1-G3335)</f>
        <v>1123903.6074000001</v>
      </c>
      <c r="I3335" s="37">
        <f t="shared" si="156"/>
        <v>1123903.6074000001</v>
      </c>
      <c r="J3335" s="4"/>
      <c r="K3335" s="38">
        <f t="shared" si="157"/>
        <v>0</v>
      </c>
    </row>
    <row r="3336" spans="1:11">
      <c r="A3336" t="s">
        <v>4226</v>
      </c>
      <c r="B3336" t="s">
        <v>10176</v>
      </c>
      <c r="C3336" t="s">
        <v>5683</v>
      </c>
      <c r="D3336" t="s">
        <v>10195</v>
      </c>
      <c r="E3336">
        <v>632972.4</v>
      </c>
      <c r="G3336" s="35"/>
      <c r="H3336" s="36">
        <f t="shared" si="158"/>
        <v>398772.61200000002</v>
      </c>
      <c r="I3336" s="37">
        <f t="shared" si="156"/>
        <v>398772.61200000002</v>
      </c>
      <c r="J3336" s="4"/>
      <c r="K3336" s="38">
        <f t="shared" si="157"/>
        <v>0</v>
      </c>
    </row>
    <row r="3337" spans="1:11">
      <c r="A3337" t="s">
        <v>4360</v>
      </c>
      <c r="B3337" t="s">
        <v>10176</v>
      </c>
      <c r="C3337" t="s">
        <v>10144</v>
      </c>
      <c r="D3337" t="s">
        <v>5791</v>
      </c>
      <c r="E3337">
        <v>148427.96</v>
      </c>
      <c r="G3337" s="35"/>
      <c r="H3337" s="36">
        <f t="shared" si="158"/>
        <v>93509.614799999996</v>
      </c>
      <c r="I3337" s="37">
        <f t="shared" si="156"/>
        <v>93509.614799999996</v>
      </c>
      <c r="J3337" s="4"/>
      <c r="K3337" s="38">
        <f t="shared" si="157"/>
        <v>0</v>
      </c>
    </row>
    <row r="3338" spans="1:11">
      <c r="A3338" t="s">
        <v>4361</v>
      </c>
      <c r="B3338" t="s">
        <v>10176</v>
      </c>
      <c r="C3338" t="s">
        <v>10144</v>
      </c>
      <c r="D3338" t="s">
        <v>5716</v>
      </c>
      <c r="E3338">
        <v>223772.09</v>
      </c>
      <c r="G3338" s="35"/>
      <c r="H3338" s="36">
        <f t="shared" si="158"/>
        <v>140976.4167</v>
      </c>
      <c r="I3338" s="37">
        <f t="shared" si="156"/>
        <v>140976.4167</v>
      </c>
      <c r="J3338" s="4"/>
      <c r="K3338" s="38">
        <f t="shared" si="157"/>
        <v>0</v>
      </c>
    </row>
    <row r="3339" spans="1:11">
      <c r="A3339" t="s">
        <v>4362</v>
      </c>
      <c r="B3339" t="s">
        <v>10176</v>
      </c>
      <c r="C3339" t="s">
        <v>10144</v>
      </c>
      <c r="D3339" t="s">
        <v>5788</v>
      </c>
      <c r="E3339">
        <v>94801.75</v>
      </c>
      <c r="G3339" s="35"/>
      <c r="H3339" s="36">
        <f t="shared" si="158"/>
        <v>59725.102500000001</v>
      </c>
      <c r="I3339" s="37">
        <f t="shared" si="156"/>
        <v>59725.102500000001</v>
      </c>
      <c r="J3339" s="4"/>
      <c r="K3339" s="38">
        <f t="shared" si="157"/>
        <v>0</v>
      </c>
    </row>
    <row r="3340" spans="1:11">
      <c r="A3340" t="s">
        <v>4363</v>
      </c>
      <c r="B3340" t="s">
        <v>10176</v>
      </c>
      <c r="C3340" t="s">
        <v>10144</v>
      </c>
      <c r="D3340" t="s">
        <v>5789</v>
      </c>
      <c r="E3340">
        <v>151515.35</v>
      </c>
      <c r="G3340" s="35"/>
      <c r="H3340" s="36">
        <f t="shared" si="158"/>
        <v>95454.670500000007</v>
      </c>
      <c r="I3340" s="37">
        <f t="shared" si="156"/>
        <v>95454.670500000007</v>
      </c>
      <c r="J3340" s="4"/>
      <c r="K3340" s="38">
        <f t="shared" si="157"/>
        <v>0</v>
      </c>
    </row>
    <row r="3341" spans="1:11">
      <c r="A3341" t="s">
        <v>4364</v>
      </c>
      <c r="B3341" t="s">
        <v>10176</v>
      </c>
      <c r="C3341" t="s">
        <v>10144</v>
      </c>
      <c r="D3341" t="s">
        <v>5790</v>
      </c>
      <c r="E3341">
        <v>119955.04</v>
      </c>
      <c r="G3341" s="35"/>
      <c r="H3341" s="36">
        <f t="shared" si="158"/>
        <v>75571.675199999998</v>
      </c>
      <c r="I3341" s="37">
        <f t="shared" si="156"/>
        <v>75571.675199999998</v>
      </c>
      <c r="J3341" s="4"/>
      <c r="K3341" s="38">
        <f t="shared" si="157"/>
        <v>0</v>
      </c>
    </row>
    <row r="3342" spans="1:11">
      <c r="A3342" t="s">
        <v>4365</v>
      </c>
      <c r="B3342" t="s">
        <v>10176</v>
      </c>
      <c r="C3342" t="s">
        <v>10144</v>
      </c>
      <c r="D3342" t="s">
        <v>10239</v>
      </c>
      <c r="E3342">
        <v>123542.2</v>
      </c>
      <c r="G3342" s="35"/>
      <c r="H3342" s="36">
        <f t="shared" si="158"/>
        <v>77831.585999999996</v>
      </c>
      <c r="I3342" s="37">
        <f t="shared" si="156"/>
        <v>77831.585999999996</v>
      </c>
      <c r="J3342" s="4"/>
      <c r="K3342" s="38">
        <f t="shared" si="157"/>
        <v>0</v>
      </c>
    </row>
    <row r="3343" spans="1:11">
      <c r="A3343" t="s">
        <v>4227</v>
      </c>
      <c r="B3343" t="s">
        <v>10176</v>
      </c>
      <c r="C3343" t="s">
        <v>5684</v>
      </c>
      <c r="D3343" t="s">
        <v>10191</v>
      </c>
      <c r="E3343">
        <v>953108.75</v>
      </c>
      <c r="G3343" s="35"/>
      <c r="H3343" s="36">
        <f t="shared" si="158"/>
        <v>600458.51249999995</v>
      </c>
      <c r="I3343" s="37">
        <f t="shared" si="156"/>
        <v>600458.51249999995</v>
      </c>
      <c r="J3343" s="4"/>
      <c r="K3343" s="38">
        <f t="shared" si="157"/>
        <v>0</v>
      </c>
    </row>
    <row r="3344" spans="1:11">
      <c r="A3344" t="s">
        <v>4228</v>
      </c>
      <c r="B3344" t="s">
        <v>10176</v>
      </c>
      <c r="C3344" t="s">
        <v>5684</v>
      </c>
      <c r="D3344" t="s">
        <v>10192</v>
      </c>
      <c r="E3344">
        <v>792669.07</v>
      </c>
      <c r="G3344" s="35"/>
      <c r="H3344" s="36">
        <f t="shared" si="158"/>
        <v>499381.51409999997</v>
      </c>
      <c r="I3344" s="37">
        <f t="shared" si="156"/>
        <v>499381.51409999997</v>
      </c>
      <c r="J3344" s="4"/>
      <c r="K3344" s="38">
        <f t="shared" si="157"/>
        <v>0</v>
      </c>
    </row>
    <row r="3345" spans="1:11">
      <c r="A3345" t="s">
        <v>4229</v>
      </c>
      <c r="B3345" t="s">
        <v>10176</v>
      </c>
      <c r="C3345" t="s">
        <v>5684</v>
      </c>
      <c r="D3345" t="s">
        <v>10194</v>
      </c>
      <c r="E3345">
        <v>603629.56000000006</v>
      </c>
      <c r="G3345" s="35"/>
      <c r="H3345" s="36">
        <f t="shared" si="158"/>
        <v>380286.62280000001</v>
      </c>
      <c r="I3345" s="37">
        <f t="shared" si="156"/>
        <v>380286.62280000001</v>
      </c>
      <c r="J3345" s="4"/>
      <c r="K3345" s="38">
        <f t="shared" si="157"/>
        <v>0</v>
      </c>
    </row>
    <row r="3346" spans="1:11">
      <c r="A3346" t="s">
        <v>4230</v>
      </c>
      <c r="B3346" t="s">
        <v>10176</v>
      </c>
      <c r="C3346" t="s">
        <v>5684</v>
      </c>
      <c r="D3346" t="s">
        <v>7067</v>
      </c>
      <c r="E3346">
        <v>579305.72</v>
      </c>
      <c r="G3346" s="35"/>
      <c r="H3346" s="36">
        <f t="shared" si="158"/>
        <v>364962.60359999997</v>
      </c>
      <c r="I3346" s="37">
        <f t="shared" si="156"/>
        <v>364962.60359999997</v>
      </c>
      <c r="J3346" s="4"/>
      <c r="K3346" s="38">
        <f t="shared" si="157"/>
        <v>0</v>
      </c>
    </row>
    <row r="3347" spans="1:11">
      <c r="A3347" t="s">
        <v>4231</v>
      </c>
      <c r="B3347" t="s">
        <v>10176</v>
      </c>
      <c r="C3347" t="s">
        <v>5684</v>
      </c>
      <c r="D3347" t="s">
        <v>10219</v>
      </c>
      <c r="E3347">
        <v>1783973.98</v>
      </c>
      <c r="G3347" s="35"/>
      <c r="H3347" s="36">
        <f t="shared" si="158"/>
        <v>1123903.6074000001</v>
      </c>
      <c r="I3347" s="37">
        <f t="shared" si="156"/>
        <v>1123903.6074000001</v>
      </c>
      <c r="J3347" s="4"/>
      <c r="K3347" s="38">
        <f t="shared" si="157"/>
        <v>0</v>
      </c>
    </row>
    <row r="3348" spans="1:11">
      <c r="A3348" t="s">
        <v>4232</v>
      </c>
      <c r="B3348" t="s">
        <v>10176</v>
      </c>
      <c r="C3348" t="s">
        <v>5684</v>
      </c>
      <c r="D3348" t="s">
        <v>10195</v>
      </c>
      <c r="E3348">
        <v>632972.4</v>
      </c>
      <c r="G3348" s="35"/>
      <c r="H3348" s="36">
        <f t="shared" si="158"/>
        <v>398772.61200000002</v>
      </c>
      <c r="I3348" s="37">
        <f t="shared" si="156"/>
        <v>398772.61200000002</v>
      </c>
      <c r="J3348" s="4"/>
      <c r="K3348" s="38">
        <f t="shared" si="157"/>
        <v>0</v>
      </c>
    </row>
    <row r="3349" spans="1:11">
      <c r="A3349" t="s">
        <v>4233</v>
      </c>
      <c r="B3349" t="s">
        <v>10176</v>
      </c>
      <c r="C3349" t="s">
        <v>5685</v>
      </c>
      <c r="D3349" t="s">
        <v>10191</v>
      </c>
      <c r="E3349">
        <v>452353.3</v>
      </c>
      <c r="G3349" s="35"/>
      <c r="H3349" s="36">
        <f t="shared" si="158"/>
        <v>284982.57899999997</v>
      </c>
      <c r="I3349" s="37">
        <f t="shared" si="156"/>
        <v>284982.57899999997</v>
      </c>
      <c r="J3349" s="4"/>
      <c r="K3349" s="38">
        <f t="shared" si="157"/>
        <v>0</v>
      </c>
    </row>
    <row r="3350" spans="1:11">
      <c r="A3350" t="s">
        <v>4234</v>
      </c>
      <c r="B3350" t="s">
        <v>10176</v>
      </c>
      <c r="C3350" t="s">
        <v>5685</v>
      </c>
      <c r="D3350" t="s">
        <v>10192</v>
      </c>
      <c r="E3350">
        <v>285417.39</v>
      </c>
      <c r="G3350" s="35"/>
      <c r="H3350" s="36">
        <f t="shared" si="158"/>
        <v>179812.95570000002</v>
      </c>
      <c r="I3350" s="37">
        <f t="shared" si="156"/>
        <v>179812.95570000002</v>
      </c>
      <c r="J3350" s="4"/>
      <c r="K3350" s="38">
        <f t="shared" si="157"/>
        <v>0</v>
      </c>
    </row>
    <row r="3351" spans="1:11">
      <c r="A3351" t="s">
        <v>4235</v>
      </c>
      <c r="B3351" t="s">
        <v>10176</v>
      </c>
      <c r="C3351" t="s">
        <v>5685</v>
      </c>
      <c r="D3351" t="s">
        <v>10194</v>
      </c>
      <c r="E3351">
        <v>347045.76</v>
      </c>
      <c r="G3351" s="35"/>
      <c r="H3351" s="36">
        <f t="shared" si="158"/>
        <v>218638.82880000002</v>
      </c>
      <c r="I3351" s="37">
        <f t="shared" si="156"/>
        <v>218638.82880000002</v>
      </c>
      <c r="J3351" s="4"/>
      <c r="K3351" s="38">
        <f t="shared" si="157"/>
        <v>0</v>
      </c>
    </row>
    <row r="3352" spans="1:11">
      <c r="A3352" t="s">
        <v>4236</v>
      </c>
      <c r="B3352" t="s">
        <v>10176</v>
      </c>
      <c r="C3352" t="s">
        <v>5685</v>
      </c>
      <c r="D3352" t="s">
        <v>7067</v>
      </c>
      <c r="E3352">
        <v>305476.39</v>
      </c>
      <c r="G3352" s="35"/>
      <c r="H3352" s="36">
        <f t="shared" si="158"/>
        <v>192450.1257</v>
      </c>
      <c r="I3352" s="37">
        <f t="shared" si="156"/>
        <v>192450.1257</v>
      </c>
      <c r="J3352" s="4"/>
      <c r="K3352" s="38">
        <f t="shared" si="157"/>
        <v>0</v>
      </c>
    </row>
    <row r="3353" spans="1:11">
      <c r="A3353" t="s">
        <v>4237</v>
      </c>
      <c r="B3353" t="s">
        <v>10176</v>
      </c>
      <c r="C3353" t="s">
        <v>5685</v>
      </c>
      <c r="D3353" t="s">
        <v>10195</v>
      </c>
      <c r="E3353">
        <v>345262.53</v>
      </c>
      <c r="G3353" s="35"/>
      <c r="H3353" s="36">
        <f t="shared" si="158"/>
        <v>217515.39390000002</v>
      </c>
      <c r="I3353" s="37">
        <f t="shared" si="156"/>
        <v>217515.39390000002</v>
      </c>
      <c r="J3353" s="4"/>
      <c r="K3353" s="38">
        <f t="shared" si="157"/>
        <v>0</v>
      </c>
    </row>
    <row r="3354" spans="1:11">
      <c r="A3354" t="s">
        <v>4339</v>
      </c>
      <c r="B3354" t="s">
        <v>10176</v>
      </c>
      <c r="C3354" t="s">
        <v>10141</v>
      </c>
      <c r="D3354" t="s">
        <v>5791</v>
      </c>
      <c r="E3354">
        <v>58105.49</v>
      </c>
      <c r="G3354" s="35"/>
      <c r="H3354" s="36">
        <f t="shared" si="158"/>
        <v>36606.458699999996</v>
      </c>
      <c r="I3354" s="37">
        <f t="shared" si="156"/>
        <v>36606.458699999996</v>
      </c>
      <c r="J3354" s="4"/>
      <c r="K3354" s="38">
        <f t="shared" si="157"/>
        <v>0</v>
      </c>
    </row>
    <row r="3355" spans="1:11">
      <c r="A3355" t="s">
        <v>4340</v>
      </c>
      <c r="B3355" t="s">
        <v>10176</v>
      </c>
      <c r="C3355" t="s">
        <v>10141</v>
      </c>
      <c r="D3355" t="s">
        <v>5716</v>
      </c>
      <c r="E3355">
        <v>77511.34</v>
      </c>
      <c r="G3355" s="35"/>
      <c r="H3355" s="36">
        <f t="shared" si="158"/>
        <v>48832.144199999995</v>
      </c>
      <c r="I3355" s="37">
        <f t="shared" si="156"/>
        <v>48832.144199999995</v>
      </c>
      <c r="J3355" s="4"/>
      <c r="K3355" s="38">
        <f t="shared" si="157"/>
        <v>0</v>
      </c>
    </row>
    <row r="3356" spans="1:11">
      <c r="A3356" t="s">
        <v>4341</v>
      </c>
      <c r="B3356" t="s">
        <v>10176</v>
      </c>
      <c r="C3356" t="s">
        <v>10141</v>
      </c>
      <c r="D3356" t="s">
        <v>5788</v>
      </c>
      <c r="E3356">
        <v>30631.119999999999</v>
      </c>
      <c r="G3356" s="35"/>
      <c r="H3356" s="36">
        <f t="shared" si="158"/>
        <v>19297.605599999999</v>
      </c>
      <c r="I3356" s="37">
        <f t="shared" si="156"/>
        <v>19297.605599999999</v>
      </c>
      <c r="J3356" s="4"/>
      <c r="K3356" s="38">
        <f t="shared" si="157"/>
        <v>0</v>
      </c>
    </row>
    <row r="3357" spans="1:11">
      <c r="A3357" t="s">
        <v>4342</v>
      </c>
      <c r="B3357" t="s">
        <v>10176</v>
      </c>
      <c r="C3357" t="s">
        <v>10141</v>
      </c>
      <c r="D3357" t="s">
        <v>5789</v>
      </c>
      <c r="E3357">
        <v>48056.84</v>
      </c>
      <c r="G3357" s="35"/>
      <c r="H3357" s="36">
        <f t="shared" si="158"/>
        <v>30275.8092</v>
      </c>
      <c r="I3357" s="37">
        <f t="shared" si="156"/>
        <v>30275.8092</v>
      </c>
      <c r="J3357" s="4"/>
      <c r="K3357" s="38">
        <f t="shared" si="157"/>
        <v>0</v>
      </c>
    </row>
    <row r="3358" spans="1:11">
      <c r="A3358" t="s">
        <v>4343</v>
      </c>
      <c r="B3358" t="s">
        <v>10176</v>
      </c>
      <c r="C3358" t="s">
        <v>10141</v>
      </c>
      <c r="D3358" t="s">
        <v>5790</v>
      </c>
      <c r="E3358">
        <v>31829.67</v>
      </c>
      <c r="G3358" s="35"/>
      <c r="H3358" s="36">
        <f t="shared" si="158"/>
        <v>20052.6921</v>
      </c>
      <c r="I3358" s="37">
        <f t="shared" si="156"/>
        <v>20052.6921</v>
      </c>
      <c r="J3358" s="4"/>
      <c r="K3358" s="38">
        <f t="shared" si="157"/>
        <v>0</v>
      </c>
    </row>
    <row r="3359" spans="1:11">
      <c r="A3359" t="s">
        <v>4344</v>
      </c>
      <c r="B3359" t="s">
        <v>10176</v>
      </c>
      <c r="C3359" t="s">
        <v>10141</v>
      </c>
      <c r="D3359" t="s">
        <v>10239</v>
      </c>
      <c r="E3359">
        <v>35237.01</v>
      </c>
      <c r="G3359" s="35"/>
      <c r="H3359" s="36">
        <f t="shared" si="158"/>
        <v>22199.316300000002</v>
      </c>
      <c r="I3359" s="37">
        <f t="shared" si="156"/>
        <v>22199.316300000002</v>
      </c>
      <c r="J3359" s="4"/>
      <c r="K3359" s="38">
        <f t="shared" si="157"/>
        <v>0</v>
      </c>
    </row>
    <row r="3360" spans="1:11">
      <c r="A3360" t="s">
        <v>4345</v>
      </c>
      <c r="B3360" t="s">
        <v>10176</v>
      </c>
      <c r="C3360" t="s">
        <v>10141</v>
      </c>
      <c r="D3360" t="s">
        <v>10240</v>
      </c>
      <c r="E3360">
        <v>227848.12</v>
      </c>
      <c r="G3360" s="35"/>
      <c r="H3360" s="36">
        <f t="shared" si="158"/>
        <v>143544.3156</v>
      </c>
      <c r="I3360" s="37">
        <f t="shared" si="156"/>
        <v>143544.3156</v>
      </c>
      <c r="J3360" s="4"/>
      <c r="K3360" s="38">
        <f t="shared" si="157"/>
        <v>0</v>
      </c>
    </row>
    <row r="3361" spans="1:11">
      <c r="A3361" t="s">
        <v>4238</v>
      </c>
      <c r="B3361" t="s">
        <v>10176</v>
      </c>
      <c r="C3361" t="s">
        <v>5686</v>
      </c>
      <c r="D3361" t="s">
        <v>10191</v>
      </c>
      <c r="E3361">
        <v>452353.3</v>
      </c>
      <c r="G3361" s="35"/>
      <c r="H3361" s="36">
        <f t="shared" si="158"/>
        <v>284982.57899999997</v>
      </c>
      <c r="I3361" s="37">
        <f t="shared" si="156"/>
        <v>284982.57899999997</v>
      </c>
      <c r="J3361" s="4"/>
      <c r="K3361" s="38">
        <f t="shared" si="157"/>
        <v>0</v>
      </c>
    </row>
    <row r="3362" spans="1:11">
      <c r="A3362" t="s">
        <v>4239</v>
      </c>
      <c r="B3362" t="s">
        <v>10176</v>
      </c>
      <c r="C3362" t="s">
        <v>5686</v>
      </c>
      <c r="D3362" t="s">
        <v>10192</v>
      </c>
      <c r="E3362">
        <v>285417.39</v>
      </c>
      <c r="G3362" s="35"/>
      <c r="H3362" s="36">
        <f t="shared" si="158"/>
        <v>179812.95570000002</v>
      </c>
      <c r="I3362" s="37">
        <f t="shared" si="156"/>
        <v>179812.95570000002</v>
      </c>
      <c r="J3362" s="4"/>
      <c r="K3362" s="38">
        <f t="shared" si="157"/>
        <v>0</v>
      </c>
    </row>
    <row r="3363" spans="1:11">
      <c r="A3363" t="s">
        <v>4240</v>
      </c>
      <c r="B3363" t="s">
        <v>10176</v>
      </c>
      <c r="C3363" t="s">
        <v>5686</v>
      </c>
      <c r="D3363" t="s">
        <v>10194</v>
      </c>
      <c r="E3363">
        <v>347045.76</v>
      </c>
      <c r="G3363" s="35"/>
      <c r="H3363" s="36">
        <f t="shared" si="158"/>
        <v>218638.82880000002</v>
      </c>
      <c r="I3363" s="37">
        <f t="shared" si="156"/>
        <v>218638.82880000002</v>
      </c>
      <c r="J3363" s="4"/>
      <c r="K3363" s="38">
        <f t="shared" si="157"/>
        <v>0</v>
      </c>
    </row>
    <row r="3364" spans="1:11">
      <c r="A3364" t="s">
        <v>4241</v>
      </c>
      <c r="B3364" t="s">
        <v>10176</v>
      </c>
      <c r="C3364" t="s">
        <v>5686</v>
      </c>
      <c r="D3364" t="s">
        <v>7067</v>
      </c>
      <c r="E3364">
        <v>305476.39</v>
      </c>
      <c r="G3364" s="35"/>
      <c r="H3364" s="36">
        <f t="shared" si="158"/>
        <v>192450.1257</v>
      </c>
      <c r="I3364" s="37">
        <f t="shared" si="156"/>
        <v>192450.1257</v>
      </c>
      <c r="J3364" s="4"/>
      <c r="K3364" s="38">
        <f t="shared" si="157"/>
        <v>0</v>
      </c>
    </row>
    <row r="3365" spans="1:11">
      <c r="A3365" t="s">
        <v>4242</v>
      </c>
      <c r="B3365" t="s">
        <v>10176</v>
      </c>
      <c r="C3365" t="s">
        <v>5686</v>
      </c>
      <c r="D3365" t="s">
        <v>10195</v>
      </c>
      <c r="E3365">
        <v>345262.53</v>
      </c>
      <c r="G3365" s="35"/>
      <c r="H3365" s="36">
        <f t="shared" si="158"/>
        <v>217515.39390000002</v>
      </c>
      <c r="I3365" s="37">
        <f t="shared" si="156"/>
        <v>217515.39390000002</v>
      </c>
      <c r="J3365" s="4"/>
      <c r="K3365" s="38">
        <f t="shared" si="157"/>
        <v>0</v>
      </c>
    </row>
    <row r="3366" spans="1:11">
      <c r="A3366" t="s">
        <v>4243</v>
      </c>
      <c r="B3366" t="s">
        <v>10176</v>
      </c>
      <c r="C3366" t="s">
        <v>5690</v>
      </c>
      <c r="D3366" t="s">
        <v>10191</v>
      </c>
      <c r="E3366">
        <v>675798.14</v>
      </c>
      <c r="G3366" s="35"/>
      <c r="H3366" s="36">
        <f t="shared" si="158"/>
        <v>425752.82819999999</v>
      </c>
      <c r="I3366" s="37">
        <f t="shared" si="156"/>
        <v>425752.82819999999</v>
      </c>
      <c r="J3366" s="4"/>
      <c r="K3366" s="38">
        <f t="shared" si="157"/>
        <v>0</v>
      </c>
    </row>
    <row r="3367" spans="1:11">
      <c r="A3367" t="s">
        <v>4244</v>
      </c>
      <c r="B3367" t="s">
        <v>10176</v>
      </c>
      <c r="C3367" t="s">
        <v>5690</v>
      </c>
      <c r="D3367" t="s">
        <v>10194</v>
      </c>
      <c r="E3367">
        <v>265810.65999999997</v>
      </c>
      <c r="G3367" s="35"/>
      <c r="H3367" s="36">
        <f t="shared" si="158"/>
        <v>167460.71579999998</v>
      </c>
      <c r="I3367" s="37">
        <f t="shared" si="156"/>
        <v>167460.71579999998</v>
      </c>
      <c r="J3367" s="4"/>
      <c r="K3367" s="38">
        <f t="shared" si="157"/>
        <v>0</v>
      </c>
    </row>
    <row r="3368" spans="1:11">
      <c r="A3368" t="s">
        <v>4245</v>
      </c>
      <c r="B3368" t="s">
        <v>10176</v>
      </c>
      <c r="C3368" t="s">
        <v>5690</v>
      </c>
      <c r="D3368" t="s">
        <v>7067</v>
      </c>
      <c r="E3368">
        <v>254952.69</v>
      </c>
      <c r="G3368" s="35"/>
      <c r="H3368" s="36">
        <f t="shared" si="158"/>
        <v>160620.19469999999</v>
      </c>
      <c r="I3368" s="37">
        <f t="shared" si="156"/>
        <v>160620.19469999999</v>
      </c>
      <c r="J3368" s="4"/>
      <c r="K3368" s="38">
        <f t="shared" si="157"/>
        <v>0</v>
      </c>
    </row>
    <row r="3369" spans="1:11">
      <c r="A3369" t="s">
        <v>4246</v>
      </c>
      <c r="B3369" t="s">
        <v>10176</v>
      </c>
      <c r="C3369" t="s">
        <v>5690</v>
      </c>
      <c r="D3369" t="s">
        <v>10195</v>
      </c>
      <c r="E3369">
        <v>295386.69</v>
      </c>
      <c r="G3369" s="35"/>
      <c r="H3369" s="36">
        <f t="shared" si="158"/>
        <v>186093.61470000001</v>
      </c>
      <c r="I3369" s="37">
        <f t="shared" si="156"/>
        <v>186093.61470000001</v>
      </c>
      <c r="J3369" s="4"/>
      <c r="K3369" s="38">
        <f t="shared" si="157"/>
        <v>0</v>
      </c>
    </row>
    <row r="3370" spans="1:11">
      <c r="A3370" t="s">
        <v>4346</v>
      </c>
      <c r="B3370" t="s">
        <v>10176</v>
      </c>
      <c r="C3370" t="s">
        <v>10142</v>
      </c>
      <c r="D3370" t="s">
        <v>5791</v>
      </c>
      <c r="E3370">
        <v>104130.88</v>
      </c>
      <c r="G3370" s="35"/>
      <c r="H3370" s="36">
        <f t="shared" si="158"/>
        <v>65602.454400000002</v>
      </c>
      <c r="I3370" s="37">
        <f t="shared" si="156"/>
        <v>65602.454400000002</v>
      </c>
      <c r="J3370" s="4"/>
      <c r="K3370" s="38">
        <f t="shared" si="157"/>
        <v>0</v>
      </c>
    </row>
    <row r="3371" spans="1:11">
      <c r="A3371" t="s">
        <v>4347</v>
      </c>
      <c r="B3371" t="s">
        <v>10176</v>
      </c>
      <c r="C3371" t="s">
        <v>10142</v>
      </c>
      <c r="D3371" t="s">
        <v>5716</v>
      </c>
      <c r="E3371">
        <v>121403.26</v>
      </c>
      <c r="G3371" s="35"/>
      <c r="H3371" s="36">
        <f t="shared" si="158"/>
        <v>76484.053799999994</v>
      </c>
      <c r="I3371" s="37">
        <f t="shared" si="156"/>
        <v>76484.053799999994</v>
      </c>
      <c r="J3371" s="4"/>
      <c r="K3371" s="38">
        <f t="shared" si="157"/>
        <v>0</v>
      </c>
    </row>
    <row r="3372" spans="1:11">
      <c r="A3372" t="s">
        <v>4348</v>
      </c>
      <c r="B3372" t="s">
        <v>10176</v>
      </c>
      <c r="C3372" t="s">
        <v>10142</v>
      </c>
      <c r="D3372" t="s">
        <v>5788</v>
      </c>
      <c r="E3372">
        <v>87926.71</v>
      </c>
      <c r="G3372" s="35"/>
      <c r="H3372" s="36">
        <f t="shared" si="158"/>
        <v>55393.827300000004</v>
      </c>
      <c r="I3372" s="37">
        <f t="shared" si="156"/>
        <v>55393.827300000004</v>
      </c>
      <c r="J3372" s="4"/>
      <c r="K3372" s="38">
        <f t="shared" si="157"/>
        <v>0</v>
      </c>
    </row>
    <row r="3373" spans="1:11">
      <c r="A3373" t="s">
        <v>4349</v>
      </c>
      <c r="B3373" t="s">
        <v>10176</v>
      </c>
      <c r="C3373" t="s">
        <v>10142</v>
      </c>
      <c r="D3373" t="s">
        <v>5789</v>
      </c>
      <c r="E3373">
        <v>90253.48</v>
      </c>
      <c r="G3373" s="35"/>
      <c r="H3373" s="36">
        <f t="shared" si="158"/>
        <v>56859.6924</v>
      </c>
      <c r="I3373" s="37">
        <f t="shared" si="156"/>
        <v>56859.6924</v>
      </c>
      <c r="J3373" s="4"/>
      <c r="K3373" s="38">
        <f t="shared" si="157"/>
        <v>0</v>
      </c>
    </row>
    <row r="3374" spans="1:11">
      <c r="A3374" t="s">
        <v>4350</v>
      </c>
      <c r="B3374" t="s">
        <v>10176</v>
      </c>
      <c r="C3374" t="s">
        <v>10142</v>
      </c>
      <c r="D3374" t="s">
        <v>5790</v>
      </c>
      <c r="E3374">
        <v>83304.31</v>
      </c>
      <c r="G3374" s="35"/>
      <c r="H3374" s="36">
        <f t="shared" si="158"/>
        <v>52481.715299999996</v>
      </c>
      <c r="I3374" s="37">
        <f t="shared" si="156"/>
        <v>52481.715299999996</v>
      </c>
      <c r="J3374" s="4"/>
      <c r="K3374" s="38">
        <f t="shared" si="157"/>
        <v>0</v>
      </c>
    </row>
    <row r="3375" spans="1:11">
      <c r="A3375" t="s">
        <v>4351</v>
      </c>
      <c r="B3375" t="s">
        <v>10176</v>
      </c>
      <c r="C3375" t="s">
        <v>10142</v>
      </c>
      <c r="D3375" t="s">
        <v>10239</v>
      </c>
      <c r="E3375">
        <v>77281.2</v>
      </c>
      <c r="G3375" s="35"/>
      <c r="H3375" s="36">
        <f t="shared" si="158"/>
        <v>48687.155999999995</v>
      </c>
      <c r="I3375" s="37">
        <f t="shared" si="156"/>
        <v>48687.155999999995</v>
      </c>
      <c r="J3375" s="4"/>
      <c r="K3375" s="38">
        <f t="shared" si="157"/>
        <v>0</v>
      </c>
    </row>
    <row r="3376" spans="1:11">
      <c r="A3376" t="s">
        <v>4352</v>
      </c>
      <c r="B3376" t="s">
        <v>10176</v>
      </c>
      <c r="C3376" t="s">
        <v>10142</v>
      </c>
      <c r="D3376" t="s">
        <v>10240</v>
      </c>
      <c r="E3376">
        <v>516172.09</v>
      </c>
      <c r="G3376" s="35"/>
      <c r="H3376" s="36">
        <f t="shared" si="158"/>
        <v>325188.4167</v>
      </c>
      <c r="I3376" s="37">
        <f t="shared" si="156"/>
        <v>325188.4167</v>
      </c>
      <c r="J3376" s="4"/>
      <c r="K3376" s="38">
        <f t="shared" si="157"/>
        <v>0</v>
      </c>
    </row>
    <row r="3377" spans="1:11">
      <c r="A3377" t="s">
        <v>4247</v>
      </c>
      <c r="B3377" t="s">
        <v>10176</v>
      </c>
      <c r="C3377" t="s">
        <v>5691</v>
      </c>
      <c r="D3377" t="s">
        <v>10191</v>
      </c>
      <c r="E3377">
        <v>378598.25</v>
      </c>
      <c r="G3377" s="35"/>
      <c r="H3377" s="36">
        <f t="shared" si="158"/>
        <v>238516.89749999999</v>
      </c>
      <c r="I3377" s="37">
        <f t="shared" si="156"/>
        <v>238516.89749999999</v>
      </c>
      <c r="J3377" s="4"/>
      <c r="K3377" s="38">
        <f t="shared" si="157"/>
        <v>0</v>
      </c>
    </row>
    <row r="3378" spans="1:11">
      <c r="A3378" t="s">
        <v>4248</v>
      </c>
      <c r="B3378" t="s">
        <v>10176</v>
      </c>
      <c r="C3378" t="s">
        <v>5691</v>
      </c>
      <c r="D3378" t="s">
        <v>10194</v>
      </c>
      <c r="E3378">
        <v>265810.65999999997</v>
      </c>
      <c r="G3378" s="35"/>
      <c r="H3378" s="36">
        <f t="shared" si="158"/>
        <v>167460.71579999998</v>
      </c>
      <c r="I3378" s="37">
        <f t="shared" si="156"/>
        <v>167460.71579999998</v>
      </c>
      <c r="J3378" s="4"/>
      <c r="K3378" s="38">
        <f t="shared" si="157"/>
        <v>0</v>
      </c>
    </row>
    <row r="3379" spans="1:11">
      <c r="A3379" t="s">
        <v>4249</v>
      </c>
      <c r="B3379" t="s">
        <v>10176</v>
      </c>
      <c r="C3379" t="s">
        <v>5691</v>
      </c>
      <c r="D3379" t="s">
        <v>7067</v>
      </c>
      <c r="E3379">
        <v>254952.69</v>
      </c>
      <c r="G3379" s="35"/>
      <c r="H3379" s="36">
        <f t="shared" si="158"/>
        <v>160620.19469999999</v>
      </c>
      <c r="I3379" s="37">
        <f t="shared" si="156"/>
        <v>160620.19469999999</v>
      </c>
      <c r="J3379" s="4"/>
      <c r="K3379" s="38">
        <f t="shared" si="157"/>
        <v>0</v>
      </c>
    </row>
    <row r="3380" spans="1:11">
      <c r="A3380" t="s">
        <v>4250</v>
      </c>
      <c r="B3380" t="s">
        <v>10176</v>
      </c>
      <c r="C3380" t="s">
        <v>5692</v>
      </c>
      <c r="D3380" t="s">
        <v>10191</v>
      </c>
      <c r="E3380">
        <v>1017985.25</v>
      </c>
      <c r="G3380" s="35"/>
      <c r="H3380" s="36">
        <f t="shared" si="158"/>
        <v>641330.70750000002</v>
      </c>
      <c r="I3380" s="37">
        <f t="shared" si="156"/>
        <v>641330.70750000002</v>
      </c>
      <c r="J3380" s="4"/>
      <c r="K3380" s="38">
        <f t="shared" si="157"/>
        <v>0</v>
      </c>
    </row>
    <row r="3381" spans="1:11">
      <c r="A3381" t="s">
        <v>4251</v>
      </c>
      <c r="B3381" t="s">
        <v>10176</v>
      </c>
      <c r="C3381" t="s">
        <v>5692</v>
      </c>
      <c r="D3381" t="s">
        <v>10194</v>
      </c>
      <c r="E3381">
        <v>822914.69</v>
      </c>
      <c r="G3381" s="35"/>
      <c r="H3381" s="36">
        <f t="shared" si="158"/>
        <v>518436.25469999999</v>
      </c>
      <c r="I3381" s="37">
        <f t="shared" si="156"/>
        <v>518436.25469999999</v>
      </c>
      <c r="J3381" s="4"/>
      <c r="K3381" s="38">
        <f t="shared" si="157"/>
        <v>0</v>
      </c>
    </row>
    <row r="3382" spans="1:11">
      <c r="A3382" t="s">
        <v>4252</v>
      </c>
      <c r="B3382" t="s">
        <v>10176</v>
      </c>
      <c r="C3382" t="s">
        <v>5692</v>
      </c>
      <c r="D3382" t="s">
        <v>7067</v>
      </c>
      <c r="E3382">
        <v>822914.69</v>
      </c>
      <c r="G3382" s="35"/>
      <c r="H3382" s="36">
        <f t="shared" si="158"/>
        <v>518436.25469999999</v>
      </c>
      <c r="I3382" s="37">
        <f t="shared" si="156"/>
        <v>518436.25469999999</v>
      </c>
      <c r="J3382" s="4"/>
      <c r="K3382" s="38">
        <f t="shared" si="157"/>
        <v>0</v>
      </c>
    </row>
    <row r="3383" spans="1:11">
      <c r="A3383" t="s">
        <v>4253</v>
      </c>
      <c r="B3383" t="s">
        <v>10176</v>
      </c>
      <c r="C3383" t="s">
        <v>5692</v>
      </c>
      <c r="D3383" t="s">
        <v>10195</v>
      </c>
      <c r="E3383">
        <v>701760.71</v>
      </c>
      <c r="G3383" s="35"/>
      <c r="H3383" s="36">
        <f t="shared" si="158"/>
        <v>442109.24729999999</v>
      </c>
      <c r="I3383" s="37">
        <f t="shared" si="156"/>
        <v>442109.24729999999</v>
      </c>
      <c r="J3383" s="4"/>
      <c r="K3383" s="38">
        <f t="shared" si="157"/>
        <v>0</v>
      </c>
    </row>
    <row r="3384" spans="1:11">
      <c r="A3384" t="s">
        <v>4366</v>
      </c>
      <c r="B3384" t="s">
        <v>10176</v>
      </c>
      <c r="C3384" t="s">
        <v>10145</v>
      </c>
      <c r="D3384" t="s">
        <v>5791</v>
      </c>
      <c r="E3384">
        <v>182168.75</v>
      </c>
      <c r="G3384" s="35"/>
      <c r="H3384" s="36">
        <f t="shared" si="158"/>
        <v>114766.3125</v>
      </c>
      <c r="I3384" s="37">
        <f t="shared" si="156"/>
        <v>114766.3125</v>
      </c>
      <c r="J3384" s="4"/>
      <c r="K3384" s="38">
        <f t="shared" si="157"/>
        <v>0</v>
      </c>
    </row>
    <row r="3385" spans="1:11">
      <c r="A3385" t="s">
        <v>4367</v>
      </c>
      <c r="B3385" t="s">
        <v>10176</v>
      </c>
      <c r="C3385" t="s">
        <v>10145</v>
      </c>
      <c r="D3385" t="s">
        <v>5716</v>
      </c>
      <c r="E3385">
        <v>279976.65000000002</v>
      </c>
      <c r="G3385" s="35"/>
      <c r="H3385" s="36">
        <f t="shared" si="158"/>
        <v>176385.28950000001</v>
      </c>
      <c r="I3385" s="37">
        <f t="shared" si="156"/>
        <v>176385.28950000001</v>
      </c>
      <c r="J3385" s="4"/>
      <c r="K3385" s="38">
        <f t="shared" si="157"/>
        <v>0</v>
      </c>
    </row>
    <row r="3386" spans="1:11">
      <c r="A3386" t="s">
        <v>4368</v>
      </c>
      <c r="B3386" t="s">
        <v>10176</v>
      </c>
      <c r="C3386" t="s">
        <v>10145</v>
      </c>
      <c r="D3386" t="s">
        <v>5788</v>
      </c>
      <c r="E3386">
        <v>169431.62</v>
      </c>
      <c r="G3386" s="35"/>
      <c r="H3386" s="36">
        <f t="shared" si="158"/>
        <v>106741.9206</v>
      </c>
      <c r="I3386" s="37">
        <f t="shared" si="156"/>
        <v>106741.9206</v>
      </c>
      <c r="J3386" s="4"/>
      <c r="K3386" s="38">
        <f t="shared" si="157"/>
        <v>0</v>
      </c>
    </row>
    <row r="3387" spans="1:11">
      <c r="A3387" t="s">
        <v>4369</v>
      </c>
      <c r="B3387" t="s">
        <v>10176</v>
      </c>
      <c r="C3387" t="s">
        <v>10145</v>
      </c>
      <c r="D3387" t="s">
        <v>5789</v>
      </c>
      <c r="E3387">
        <v>170103.12</v>
      </c>
      <c r="G3387" s="35"/>
      <c r="H3387" s="36">
        <f t="shared" si="158"/>
        <v>107164.9656</v>
      </c>
      <c r="I3387" s="37">
        <f t="shared" si="156"/>
        <v>107164.9656</v>
      </c>
      <c r="J3387" s="4"/>
      <c r="K3387" s="38">
        <f t="shared" si="157"/>
        <v>0</v>
      </c>
    </row>
    <row r="3388" spans="1:11">
      <c r="A3388" t="s">
        <v>4370</v>
      </c>
      <c r="B3388" t="s">
        <v>10176</v>
      </c>
      <c r="C3388" t="s">
        <v>10145</v>
      </c>
      <c r="D3388" t="s">
        <v>5790</v>
      </c>
      <c r="E3388">
        <v>309028.14</v>
      </c>
      <c r="G3388" s="35"/>
      <c r="H3388" s="36">
        <f t="shared" si="158"/>
        <v>194687.72820000001</v>
      </c>
      <c r="I3388" s="37">
        <f t="shared" si="156"/>
        <v>194687.72820000001</v>
      </c>
      <c r="J3388" s="4"/>
      <c r="K3388" s="38">
        <f t="shared" si="157"/>
        <v>0</v>
      </c>
    </row>
    <row r="3389" spans="1:11">
      <c r="A3389" t="s">
        <v>4371</v>
      </c>
      <c r="B3389" t="s">
        <v>10176</v>
      </c>
      <c r="C3389" t="s">
        <v>10145</v>
      </c>
      <c r="D3389" t="s">
        <v>10239</v>
      </c>
      <c r="E3389">
        <v>216300.36</v>
      </c>
      <c r="G3389" s="35"/>
      <c r="H3389" s="36">
        <f t="shared" si="158"/>
        <v>136269.2268</v>
      </c>
      <c r="I3389" s="37">
        <f t="shared" si="156"/>
        <v>136269.2268</v>
      </c>
      <c r="J3389" s="4"/>
      <c r="K3389" s="38">
        <f t="shared" si="157"/>
        <v>0</v>
      </c>
    </row>
    <row r="3390" spans="1:11">
      <c r="A3390" t="s">
        <v>4254</v>
      </c>
      <c r="B3390" t="s">
        <v>10176</v>
      </c>
      <c r="C3390" t="s">
        <v>5693</v>
      </c>
      <c r="D3390" t="s">
        <v>10191</v>
      </c>
      <c r="E3390">
        <v>1017985.25</v>
      </c>
      <c r="G3390" s="35"/>
      <c r="H3390" s="36">
        <f t="shared" si="158"/>
        <v>641330.70750000002</v>
      </c>
      <c r="I3390" s="37">
        <f t="shared" si="156"/>
        <v>641330.70750000002</v>
      </c>
      <c r="J3390" s="4"/>
      <c r="K3390" s="38">
        <f t="shared" si="157"/>
        <v>0</v>
      </c>
    </row>
    <row r="3391" spans="1:11">
      <c r="A3391" t="s">
        <v>4255</v>
      </c>
      <c r="B3391" t="s">
        <v>10176</v>
      </c>
      <c r="C3391" t="s">
        <v>5693</v>
      </c>
      <c r="D3391" t="s">
        <v>10194</v>
      </c>
      <c r="E3391">
        <v>822914.69</v>
      </c>
      <c r="G3391" s="35"/>
      <c r="H3391" s="36">
        <f t="shared" si="158"/>
        <v>518436.25469999999</v>
      </c>
      <c r="I3391" s="37">
        <f t="shared" si="156"/>
        <v>518436.25469999999</v>
      </c>
      <c r="J3391" s="4"/>
      <c r="K3391" s="38">
        <f t="shared" si="157"/>
        <v>0</v>
      </c>
    </row>
    <row r="3392" spans="1:11">
      <c r="A3392" t="s">
        <v>4256</v>
      </c>
      <c r="B3392" t="s">
        <v>10176</v>
      </c>
      <c r="C3392" t="s">
        <v>5693</v>
      </c>
      <c r="D3392" t="s">
        <v>7067</v>
      </c>
      <c r="E3392">
        <v>822914.69</v>
      </c>
      <c r="G3392" s="35"/>
      <c r="H3392" s="36">
        <f t="shared" si="158"/>
        <v>518436.25469999999</v>
      </c>
      <c r="I3392" s="37">
        <f t="shared" si="156"/>
        <v>518436.25469999999</v>
      </c>
      <c r="J3392" s="4"/>
      <c r="K3392" s="38">
        <f t="shared" si="157"/>
        <v>0</v>
      </c>
    </row>
    <row r="3393" spans="1:11">
      <c r="A3393" t="s">
        <v>4257</v>
      </c>
      <c r="B3393" t="s">
        <v>10176</v>
      </c>
      <c r="C3393" t="s">
        <v>5693</v>
      </c>
      <c r="D3393" t="s">
        <v>10195</v>
      </c>
      <c r="E3393">
        <v>701760.71</v>
      </c>
      <c r="G3393" s="35"/>
      <c r="H3393" s="36">
        <f t="shared" si="158"/>
        <v>442109.24729999999</v>
      </c>
      <c r="I3393" s="37">
        <f t="shared" si="156"/>
        <v>442109.24729999999</v>
      </c>
      <c r="J3393" s="4"/>
      <c r="K3393" s="38">
        <f t="shared" si="157"/>
        <v>0</v>
      </c>
    </row>
    <row r="3394" spans="1:11">
      <c r="A3394" t="s">
        <v>4711</v>
      </c>
      <c r="B3394" t="s">
        <v>10176</v>
      </c>
      <c r="C3394" t="s">
        <v>10169</v>
      </c>
      <c r="D3394" t="s">
        <v>10394</v>
      </c>
      <c r="E3394">
        <v>2697798.32</v>
      </c>
      <c r="G3394" s="35"/>
      <c r="H3394" s="36">
        <f t="shared" si="158"/>
        <v>1699612.9416</v>
      </c>
      <c r="I3394" s="37">
        <f t="shared" si="156"/>
        <v>1699612.9416</v>
      </c>
      <c r="J3394" s="4"/>
      <c r="K3394" s="38">
        <f t="shared" si="157"/>
        <v>0</v>
      </c>
    </row>
    <row r="3395" spans="1:11">
      <c r="A3395" t="s">
        <v>4692</v>
      </c>
      <c r="B3395" t="s">
        <v>10176</v>
      </c>
      <c r="C3395" t="s">
        <v>10164</v>
      </c>
      <c r="D3395" t="s">
        <v>10191</v>
      </c>
      <c r="E3395">
        <v>864773.81</v>
      </c>
      <c r="G3395" s="35"/>
      <c r="H3395" s="36">
        <f t="shared" si="158"/>
        <v>544807.50030000007</v>
      </c>
      <c r="I3395" s="37">
        <f t="shared" si="156"/>
        <v>544807.50030000007</v>
      </c>
      <c r="J3395" s="4"/>
      <c r="K3395" s="38">
        <f t="shared" si="157"/>
        <v>0</v>
      </c>
    </row>
    <row r="3396" spans="1:11">
      <c r="A3396" t="s">
        <v>4693</v>
      </c>
      <c r="B3396" t="s">
        <v>10176</v>
      </c>
      <c r="C3396" t="s">
        <v>10164</v>
      </c>
      <c r="D3396" t="s">
        <v>11293</v>
      </c>
      <c r="E3396">
        <v>645495.56000000006</v>
      </c>
      <c r="G3396" s="35"/>
      <c r="H3396" s="36">
        <f t="shared" si="158"/>
        <v>406662.20280000003</v>
      </c>
      <c r="I3396" s="37">
        <f t="shared" si="156"/>
        <v>406662.20280000003</v>
      </c>
      <c r="J3396" s="4"/>
      <c r="K3396" s="38">
        <f t="shared" si="157"/>
        <v>0</v>
      </c>
    </row>
    <row r="3397" spans="1:11">
      <c r="A3397" t="s">
        <v>4694</v>
      </c>
      <c r="B3397" t="s">
        <v>10176</v>
      </c>
      <c r="C3397" t="s">
        <v>10164</v>
      </c>
      <c r="D3397" t="s">
        <v>7067</v>
      </c>
      <c r="E3397">
        <v>518324.09</v>
      </c>
      <c r="G3397" s="35"/>
      <c r="H3397" s="36">
        <f t="shared" si="158"/>
        <v>326544.17670000001</v>
      </c>
      <c r="I3397" s="37">
        <f t="shared" si="156"/>
        <v>326544.17670000001</v>
      </c>
      <c r="J3397" s="4"/>
      <c r="K3397" s="38">
        <f t="shared" si="157"/>
        <v>0</v>
      </c>
    </row>
    <row r="3398" spans="1:11">
      <c r="A3398" t="s">
        <v>4695</v>
      </c>
      <c r="B3398" t="s">
        <v>10176</v>
      </c>
      <c r="C3398" t="s">
        <v>10164</v>
      </c>
      <c r="D3398" t="s">
        <v>7068</v>
      </c>
      <c r="E3398">
        <v>599550.26</v>
      </c>
      <c r="G3398" s="35"/>
      <c r="H3398" s="36">
        <f t="shared" si="158"/>
        <v>377716.66379999998</v>
      </c>
      <c r="I3398" s="37">
        <f t="shared" ref="I3398:I3461" si="159">H3398*$H$4</f>
        <v>377716.66379999998</v>
      </c>
      <c r="J3398" s="4"/>
      <c r="K3398" s="38">
        <f t="shared" ref="K3398:K3461" si="160">J3398*I3398</f>
        <v>0</v>
      </c>
    </row>
    <row r="3399" spans="1:11">
      <c r="A3399" t="s">
        <v>4696</v>
      </c>
      <c r="B3399" t="s">
        <v>10176</v>
      </c>
      <c r="C3399" t="s">
        <v>10164</v>
      </c>
      <c r="D3399" t="s">
        <v>10194</v>
      </c>
      <c r="E3399">
        <v>528035.48</v>
      </c>
      <c r="G3399" s="35"/>
      <c r="H3399" s="36">
        <f t="shared" ref="H3399:H3462" si="161">+E3399*$H$1*(1-G3399)</f>
        <v>332662.35239999997</v>
      </c>
      <c r="I3399" s="37">
        <f t="shared" si="159"/>
        <v>332662.35239999997</v>
      </c>
      <c r="J3399" s="4"/>
      <c r="K3399" s="38">
        <f t="shared" si="160"/>
        <v>0</v>
      </c>
    </row>
    <row r="3400" spans="1:11">
      <c r="A3400" t="s">
        <v>4271</v>
      </c>
      <c r="B3400" t="s">
        <v>10176</v>
      </c>
      <c r="C3400" t="s">
        <v>5696</v>
      </c>
      <c r="D3400" t="s">
        <v>10191</v>
      </c>
      <c r="E3400">
        <v>803680.61</v>
      </c>
      <c r="G3400" s="35"/>
      <c r="H3400" s="36">
        <f t="shared" si="161"/>
        <v>506318.7843</v>
      </c>
      <c r="I3400" s="37">
        <f t="shared" si="159"/>
        <v>506318.7843</v>
      </c>
      <c r="J3400" s="4"/>
      <c r="K3400" s="38">
        <f t="shared" si="160"/>
        <v>0</v>
      </c>
    </row>
    <row r="3401" spans="1:11">
      <c r="A3401" t="s">
        <v>4272</v>
      </c>
      <c r="B3401" t="s">
        <v>10176</v>
      </c>
      <c r="C3401" t="s">
        <v>5696</v>
      </c>
      <c r="D3401" t="s">
        <v>10192</v>
      </c>
      <c r="E3401">
        <v>550225.84</v>
      </c>
      <c r="G3401" s="35"/>
      <c r="H3401" s="36">
        <f t="shared" si="161"/>
        <v>346642.27919999999</v>
      </c>
      <c r="I3401" s="37">
        <f t="shared" si="159"/>
        <v>346642.27919999999</v>
      </c>
      <c r="J3401" s="4"/>
      <c r="K3401" s="38">
        <f t="shared" si="160"/>
        <v>0</v>
      </c>
    </row>
    <row r="3402" spans="1:11">
      <c r="A3402" t="s">
        <v>4273</v>
      </c>
      <c r="B3402" t="s">
        <v>10176</v>
      </c>
      <c r="C3402" t="s">
        <v>5696</v>
      </c>
      <c r="D3402" t="s">
        <v>10194</v>
      </c>
      <c r="E3402">
        <v>544070.29</v>
      </c>
      <c r="G3402" s="35"/>
      <c r="H3402" s="36">
        <f t="shared" si="161"/>
        <v>342764.28270000004</v>
      </c>
      <c r="I3402" s="37">
        <f t="shared" si="159"/>
        <v>342764.28270000004</v>
      </c>
      <c r="J3402" s="4"/>
      <c r="K3402" s="38">
        <f t="shared" si="160"/>
        <v>0</v>
      </c>
    </row>
    <row r="3403" spans="1:11">
      <c r="A3403" t="s">
        <v>4274</v>
      </c>
      <c r="B3403" t="s">
        <v>10176</v>
      </c>
      <c r="C3403" t="s">
        <v>5696</v>
      </c>
      <c r="D3403" t="s">
        <v>7067</v>
      </c>
      <c r="E3403">
        <v>544070.29</v>
      </c>
      <c r="G3403" s="35"/>
      <c r="H3403" s="36">
        <f t="shared" si="161"/>
        <v>342764.28270000004</v>
      </c>
      <c r="I3403" s="37">
        <f t="shared" si="159"/>
        <v>342764.28270000004</v>
      </c>
      <c r="J3403" s="4"/>
      <c r="K3403" s="38">
        <f t="shared" si="160"/>
        <v>0</v>
      </c>
    </row>
    <row r="3404" spans="1:11">
      <c r="A3404" t="s">
        <v>4275</v>
      </c>
      <c r="B3404" t="s">
        <v>10176</v>
      </c>
      <c r="C3404" t="s">
        <v>5696</v>
      </c>
      <c r="D3404" t="s">
        <v>10220</v>
      </c>
      <c r="E3404">
        <v>1997212.96</v>
      </c>
      <c r="G3404" s="35"/>
      <c r="H3404" s="36">
        <f t="shared" si="161"/>
        <v>1258244.1647999999</v>
      </c>
      <c r="I3404" s="37">
        <f t="shared" si="159"/>
        <v>1258244.1647999999</v>
      </c>
      <c r="J3404" s="4"/>
      <c r="K3404" s="38">
        <f t="shared" si="160"/>
        <v>0</v>
      </c>
    </row>
    <row r="3405" spans="1:11">
      <c r="A3405" t="s">
        <v>4276</v>
      </c>
      <c r="B3405" t="s">
        <v>10176</v>
      </c>
      <c r="C3405" t="s">
        <v>5696</v>
      </c>
      <c r="D3405" t="s">
        <v>10222</v>
      </c>
      <c r="E3405">
        <v>456595.93</v>
      </c>
      <c r="G3405" s="35"/>
      <c r="H3405" s="36">
        <f t="shared" si="161"/>
        <v>287655.43589999998</v>
      </c>
      <c r="I3405" s="37">
        <f t="shared" si="159"/>
        <v>287655.43589999998</v>
      </c>
      <c r="J3405" s="4"/>
      <c r="K3405" s="38">
        <f t="shared" si="160"/>
        <v>0</v>
      </c>
    </row>
    <row r="3406" spans="1:11">
      <c r="A3406" t="s">
        <v>4277</v>
      </c>
      <c r="B3406" t="s">
        <v>10176</v>
      </c>
      <c r="C3406" t="s">
        <v>5696</v>
      </c>
      <c r="D3406" t="s">
        <v>10195</v>
      </c>
      <c r="E3406">
        <v>594425.56999999995</v>
      </c>
      <c r="G3406" s="35"/>
      <c r="H3406" s="36">
        <f t="shared" si="161"/>
        <v>374488.10909999994</v>
      </c>
      <c r="I3406" s="37">
        <f t="shared" si="159"/>
        <v>374488.10909999994</v>
      </c>
      <c r="J3406" s="4"/>
      <c r="K3406" s="38">
        <f t="shared" si="160"/>
        <v>0</v>
      </c>
    </row>
    <row r="3407" spans="1:11">
      <c r="A3407" t="s">
        <v>4353</v>
      </c>
      <c r="B3407" t="s">
        <v>10176</v>
      </c>
      <c r="C3407" t="s">
        <v>10143</v>
      </c>
      <c r="D3407" t="s">
        <v>5791</v>
      </c>
      <c r="E3407">
        <v>173152.27</v>
      </c>
      <c r="G3407" s="35"/>
      <c r="H3407" s="36">
        <f t="shared" si="161"/>
        <v>109085.9301</v>
      </c>
      <c r="I3407" s="37">
        <f t="shared" si="159"/>
        <v>109085.9301</v>
      </c>
      <c r="J3407" s="4"/>
      <c r="K3407" s="38">
        <f t="shared" si="160"/>
        <v>0</v>
      </c>
    </row>
    <row r="3408" spans="1:11">
      <c r="A3408" t="s">
        <v>4354</v>
      </c>
      <c r="B3408" t="s">
        <v>10176</v>
      </c>
      <c r="C3408" t="s">
        <v>10143</v>
      </c>
      <c r="D3408" t="s">
        <v>5716</v>
      </c>
      <c r="E3408">
        <v>282062.38</v>
      </c>
      <c r="G3408" s="35"/>
      <c r="H3408" s="36">
        <f t="shared" si="161"/>
        <v>177699.29940000002</v>
      </c>
      <c r="I3408" s="37">
        <f t="shared" si="159"/>
        <v>177699.29940000002</v>
      </c>
      <c r="J3408" s="4"/>
      <c r="K3408" s="38">
        <f t="shared" si="160"/>
        <v>0</v>
      </c>
    </row>
    <row r="3409" spans="1:11">
      <c r="A3409" t="s">
        <v>4355</v>
      </c>
      <c r="B3409" t="s">
        <v>10176</v>
      </c>
      <c r="C3409" t="s">
        <v>10143</v>
      </c>
      <c r="D3409" t="s">
        <v>5788</v>
      </c>
      <c r="E3409">
        <v>121594.95</v>
      </c>
      <c r="G3409" s="35"/>
      <c r="H3409" s="36">
        <f t="shared" si="161"/>
        <v>76604.818499999994</v>
      </c>
      <c r="I3409" s="37">
        <f t="shared" si="159"/>
        <v>76604.818499999994</v>
      </c>
      <c r="J3409" s="4"/>
      <c r="K3409" s="38">
        <f t="shared" si="160"/>
        <v>0</v>
      </c>
    </row>
    <row r="3410" spans="1:11">
      <c r="A3410" t="s">
        <v>4356</v>
      </c>
      <c r="B3410" t="s">
        <v>10176</v>
      </c>
      <c r="C3410" t="s">
        <v>10143</v>
      </c>
      <c r="D3410" t="s">
        <v>5789</v>
      </c>
      <c r="E3410">
        <v>164679.76999999999</v>
      </c>
      <c r="G3410" s="35"/>
      <c r="H3410" s="36">
        <f t="shared" si="161"/>
        <v>103748.25509999999</v>
      </c>
      <c r="I3410" s="37">
        <f t="shared" si="159"/>
        <v>103748.25509999999</v>
      </c>
      <c r="J3410" s="4"/>
      <c r="K3410" s="38">
        <f t="shared" si="160"/>
        <v>0</v>
      </c>
    </row>
    <row r="3411" spans="1:11">
      <c r="A3411" t="s">
        <v>4357</v>
      </c>
      <c r="B3411" t="s">
        <v>10176</v>
      </c>
      <c r="C3411" t="s">
        <v>10143</v>
      </c>
      <c r="D3411" t="s">
        <v>5790</v>
      </c>
      <c r="E3411">
        <v>191440.29</v>
      </c>
      <c r="G3411" s="35"/>
      <c r="H3411" s="36">
        <f t="shared" si="161"/>
        <v>120607.3827</v>
      </c>
      <c r="I3411" s="37">
        <f t="shared" si="159"/>
        <v>120607.3827</v>
      </c>
      <c r="J3411" s="4"/>
      <c r="K3411" s="38">
        <f t="shared" si="160"/>
        <v>0</v>
      </c>
    </row>
    <row r="3412" spans="1:11">
      <c r="A3412" t="s">
        <v>4358</v>
      </c>
      <c r="B3412" t="s">
        <v>10176</v>
      </c>
      <c r="C3412" t="s">
        <v>10143</v>
      </c>
      <c r="D3412" t="s">
        <v>10239</v>
      </c>
      <c r="E3412">
        <v>161700.35999999999</v>
      </c>
      <c r="G3412" s="35"/>
      <c r="H3412" s="36">
        <f t="shared" si="161"/>
        <v>101871.22679999999</v>
      </c>
      <c r="I3412" s="37">
        <f t="shared" si="159"/>
        <v>101871.22679999999</v>
      </c>
      <c r="J3412" s="4"/>
      <c r="K3412" s="38">
        <f t="shared" si="160"/>
        <v>0</v>
      </c>
    </row>
    <row r="3413" spans="1:11">
      <c r="A3413" t="s">
        <v>4359</v>
      </c>
      <c r="B3413" t="s">
        <v>10176</v>
      </c>
      <c r="C3413" t="s">
        <v>10143</v>
      </c>
      <c r="D3413" t="s">
        <v>10241</v>
      </c>
      <c r="E3413">
        <v>906090.95</v>
      </c>
      <c r="G3413" s="35"/>
      <c r="H3413" s="36">
        <f t="shared" si="161"/>
        <v>570837.29849999992</v>
      </c>
      <c r="I3413" s="37">
        <f t="shared" si="159"/>
        <v>570837.29849999992</v>
      </c>
      <c r="J3413" s="4"/>
      <c r="K3413" s="38">
        <f t="shared" si="160"/>
        <v>0</v>
      </c>
    </row>
    <row r="3414" spans="1:11">
      <c r="A3414" t="s">
        <v>4278</v>
      </c>
      <c r="B3414" t="s">
        <v>10176</v>
      </c>
      <c r="C3414" t="s">
        <v>5697</v>
      </c>
      <c r="D3414" t="s">
        <v>10191</v>
      </c>
      <c r="E3414">
        <v>618843.66</v>
      </c>
      <c r="G3414" s="35"/>
      <c r="H3414" s="36">
        <f t="shared" si="161"/>
        <v>389871.50580000004</v>
      </c>
      <c r="I3414" s="37">
        <f t="shared" si="159"/>
        <v>389871.50580000004</v>
      </c>
      <c r="J3414" s="4"/>
      <c r="K3414" s="38">
        <f t="shared" si="160"/>
        <v>0</v>
      </c>
    </row>
    <row r="3415" spans="1:11">
      <c r="A3415" t="s">
        <v>4279</v>
      </c>
      <c r="B3415" t="s">
        <v>10176</v>
      </c>
      <c r="C3415" t="s">
        <v>5697</v>
      </c>
      <c r="D3415" t="s">
        <v>10192</v>
      </c>
      <c r="E3415">
        <v>419617.92</v>
      </c>
      <c r="G3415" s="35"/>
      <c r="H3415" s="36">
        <f t="shared" si="161"/>
        <v>264359.28960000002</v>
      </c>
      <c r="I3415" s="37">
        <f t="shared" si="159"/>
        <v>264359.28960000002</v>
      </c>
      <c r="J3415" s="4"/>
      <c r="K3415" s="38">
        <f t="shared" si="160"/>
        <v>0</v>
      </c>
    </row>
    <row r="3416" spans="1:11">
      <c r="A3416" t="s">
        <v>4280</v>
      </c>
      <c r="B3416" t="s">
        <v>10176</v>
      </c>
      <c r="C3416" t="s">
        <v>5697</v>
      </c>
      <c r="D3416" t="s">
        <v>11293</v>
      </c>
      <c r="E3416">
        <v>514558.69</v>
      </c>
      <c r="G3416" s="35"/>
      <c r="H3416" s="36">
        <f t="shared" si="161"/>
        <v>324171.97470000002</v>
      </c>
      <c r="I3416" s="37">
        <f t="shared" si="159"/>
        <v>324171.97470000002</v>
      </c>
      <c r="J3416" s="4"/>
      <c r="K3416" s="38">
        <f t="shared" si="160"/>
        <v>0</v>
      </c>
    </row>
    <row r="3417" spans="1:11">
      <c r="A3417" t="s">
        <v>4281</v>
      </c>
      <c r="B3417" t="s">
        <v>10176</v>
      </c>
      <c r="C3417" t="s">
        <v>5697</v>
      </c>
      <c r="D3417" t="s">
        <v>7067</v>
      </c>
      <c r="E3417">
        <v>381924.09</v>
      </c>
      <c r="G3417" s="35"/>
      <c r="H3417" s="36">
        <f t="shared" si="161"/>
        <v>240612.17670000001</v>
      </c>
      <c r="I3417" s="37">
        <f t="shared" si="159"/>
        <v>240612.17670000001</v>
      </c>
      <c r="J3417" s="4"/>
      <c r="K3417" s="38">
        <f t="shared" si="160"/>
        <v>0</v>
      </c>
    </row>
    <row r="3418" spans="1:11">
      <c r="A3418" t="s">
        <v>4282</v>
      </c>
      <c r="B3418" t="s">
        <v>10176</v>
      </c>
      <c r="C3418" t="s">
        <v>5697</v>
      </c>
      <c r="D3418" t="s">
        <v>7068</v>
      </c>
      <c r="E3418">
        <v>449320.58</v>
      </c>
      <c r="G3418" s="35"/>
      <c r="H3418" s="36">
        <f t="shared" si="161"/>
        <v>283071.96539999999</v>
      </c>
      <c r="I3418" s="37">
        <f t="shared" si="159"/>
        <v>283071.96539999999</v>
      </c>
      <c r="J3418" s="4"/>
      <c r="K3418" s="38">
        <f t="shared" si="160"/>
        <v>0</v>
      </c>
    </row>
    <row r="3419" spans="1:11">
      <c r="A3419" t="s">
        <v>4283</v>
      </c>
      <c r="B3419" t="s">
        <v>10176</v>
      </c>
      <c r="C3419" t="s">
        <v>5697</v>
      </c>
      <c r="D3419" t="s">
        <v>10194</v>
      </c>
      <c r="E3419">
        <v>423879.52</v>
      </c>
      <c r="G3419" s="35"/>
      <c r="H3419" s="36">
        <f t="shared" si="161"/>
        <v>267044.09760000004</v>
      </c>
      <c r="I3419" s="37">
        <f t="shared" si="159"/>
        <v>267044.09760000004</v>
      </c>
      <c r="J3419" s="4"/>
      <c r="K3419" s="38">
        <f t="shared" si="160"/>
        <v>0</v>
      </c>
    </row>
    <row r="3420" spans="1:11">
      <c r="A3420" t="s">
        <v>4284</v>
      </c>
      <c r="B3420" t="s">
        <v>10176</v>
      </c>
      <c r="C3420" t="s">
        <v>5697</v>
      </c>
      <c r="D3420" t="s">
        <v>10223</v>
      </c>
      <c r="E3420">
        <v>858956.04</v>
      </c>
      <c r="G3420" s="35"/>
      <c r="H3420" s="36">
        <f t="shared" si="161"/>
        <v>541142.30520000006</v>
      </c>
      <c r="I3420" s="37">
        <f t="shared" si="159"/>
        <v>541142.30520000006</v>
      </c>
      <c r="J3420" s="4"/>
      <c r="K3420" s="38">
        <f t="shared" si="160"/>
        <v>0</v>
      </c>
    </row>
    <row r="3421" spans="1:11">
      <c r="A3421" t="s">
        <v>11937</v>
      </c>
      <c r="B3421" t="s">
        <v>10176</v>
      </c>
      <c r="C3421" t="s">
        <v>11938</v>
      </c>
      <c r="D3421" t="s">
        <v>11939</v>
      </c>
      <c r="E3421">
        <v>247767.03</v>
      </c>
      <c r="G3421" s="35"/>
      <c r="H3421" s="36">
        <f t="shared" si="161"/>
        <v>156093.22889999999</v>
      </c>
      <c r="I3421" s="37">
        <f t="shared" si="159"/>
        <v>156093.22889999999</v>
      </c>
      <c r="J3421" s="4"/>
      <c r="K3421" s="38">
        <f t="shared" si="160"/>
        <v>0</v>
      </c>
    </row>
    <row r="3422" spans="1:11">
      <c r="A3422" t="s">
        <v>4618</v>
      </c>
      <c r="B3422" t="s">
        <v>10176</v>
      </c>
      <c r="C3422" t="s">
        <v>10155</v>
      </c>
      <c r="D3422" t="s">
        <v>5787</v>
      </c>
      <c r="E3422">
        <v>27085.53</v>
      </c>
      <c r="G3422" s="35"/>
      <c r="H3422" s="36">
        <f t="shared" si="161"/>
        <v>17063.883900000001</v>
      </c>
      <c r="I3422" s="37">
        <f t="shared" si="159"/>
        <v>17063.883900000001</v>
      </c>
      <c r="J3422" s="4"/>
      <c r="K3422" s="38">
        <f t="shared" si="160"/>
        <v>0</v>
      </c>
    </row>
    <row r="3423" spans="1:11">
      <c r="A3423" t="s">
        <v>4619</v>
      </c>
      <c r="B3423" t="s">
        <v>10176</v>
      </c>
      <c r="C3423" t="s">
        <v>10155</v>
      </c>
      <c r="D3423" t="s">
        <v>5716</v>
      </c>
      <c r="E3423">
        <v>52620.58</v>
      </c>
      <c r="G3423" s="35"/>
      <c r="H3423" s="36">
        <f t="shared" si="161"/>
        <v>33150.965400000001</v>
      </c>
      <c r="I3423" s="37">
        <f t="shared" si="159"/>
        <v>33150.965400000001</v>
      </c>
      <c r="J3423" s="4"/>
      <c r="K3423" s="38">
        <f t="shared" si="160"/>
        <v>0</v>
      </c>
    </row>
    <row r="3424" spans="1:11">
      <c r="A3424" t="s">
        <v>4620</v>
      </c>
      <c r="B3424" t="s">
        <v>10176</v>
      </c>
      <c r="C3424" t="s">
        <v>10155</v>
      </c>
      <c r="D3424" t="s">
        <v>5788</v>
      </c>
      <c r="E3424">
        <v>18974.169999999998</v>
      </c>
      <c r="G3424" s="35"/>
      <c r="H3424" s="36">
        <f t="shared" si="161"/>
        <v>11953.727099999998</v>
      </c>
      <c r="I3424" s="37">
        <f t="shared" si="159"/>
        <v>11953.727099999998</v>
      </c>
      <c r="J3424" s="4"/>
      <c r="K3424" s="38">
        <f t="shared" si="160"/>
        <v>0</v>
      </c>
    </row>
    <row r="3425" spans="1:11">
      <c r="A3425" t="s">
        <v>4621</v>
      </c>
      <c r="B3425" t="s">
        <v>10176</v>
      </c>
      <c r="C3425" t="s">
        <v>10155</v>
      </c>
      <c r="D3425" t="s">
        <v>5789</v>
      </c>
      <c r="E3425">
        <v>25650.1</v>
      </c>
      <c r="G3425" s="35"/>
      <c r="H3425" s="36">
        <f t="shared" si="161"/>
        <v>16159.563</v>
      </c>
      <c r="I3425" s="37">
        <f t="shared" si="159"/>
        <v>16159.563</v>
      </c>
      <c r="J3425" s="4"/>
      <c r="K3425" s="38">
        <f t="shared" si="160"/>
        <v>0</v>
      </c>
    </row>
    <row r="3426" spans="1:11">
      <c r="A3426" t="s">
        <v>4622</v>
      </c>
      <c r="B3426" t="s">
        <v>10176</v>
      </c>
      <c r="C3426" t="s">
        <v>10155</v>
      </c>
      <c r="D3426" t="s">
        <v>5790</v>
      </c>
      <c r="E3426">
        <v>25079.1</v>
      </c>
      <c r="G3426" s="35"/>
      <c r="H3426" s="36">
        <f t="shared" si="161"/>
        <v>15799.832999999999</v>
      </c>
      <c r="I3426" s="37">
        <f t="shared" si="159"/>
        <v>15799.832999999999</v>
      </c>
      <c r="J3426" s="4"/>
      <c r="K3426" s="38">
        <f t="shared" si="160"/>
        <v>0</v>
      </c>
    </row>
    <row r="3427" spans="1:11">
      <c r="A3427" t="s">
        <v>4623</v>
      </c>
      <c r="B3427" t="s">
        <v>10176</v>
      </c>
      <c r="C3427" t="s">
        <v>10155</v>
      </c>
      <c r="D3427" t="s">
        <v>10239</v>
      </c>
      <c r="E3427">
        <v>23718.080000000002</v>
      </c>
      <c r="G3427" s="35"/>
      <c r="H3427" s="36">
        <f t="shared" si="161"/>
        <v>14942.390400000002</v>
      </c>
      <c r="I3427" s="37">
        <f t="shared" si="159"/>
        <v>14942.390400000002</v>
      </c>
      <c r="J3427" s="4"/>
      <c r="K3427" s="38">
        <f t="shared" si="160"/>
        <v>0</v>
      </c>
    </row>
    <row r="3428" spans="1:11">
      <c r="A3428" t="s">
        <v>4624</v>
      </c>
      <c r="B3428" t="s">
        <v>10176</v>
      </c>
      <c r="C3428" t="s">
        <v>10155</v>
      </c>
      <c r="D3428" t="s">
        <v>10389</v>
      </c>
      <c r="E3428">
        <v>65101.5</v>
      </c>
      <c r="G3428" s="35"/>
      <c r="H3428" s="36">
        <f t="shared" si="161"/>
        <v>41013.945</v>
      </c>
      <c r="I3428" s="37">
        <f t="shared" si="159"/>
        <v>41013.945</v>
      </c>
      <c r="J3428" s="4"/>
      <c r="K3428" s="38">
        <f t="shared" si="160"/>
        <v>0</v>
      </c>
    </row>
    <row r="3429" spans="1:11">
      <c r="A3429" t="s">
        <v>4625</v>
      </c>
      <c r="B3429" t="s">
        <v>10176</v>
      </c>
      <c r="C3429" t="s">
        <v>10155</v>
      </c>
      <c r="D3429" t="s">
        <v>10390</v>
      </c>
      <c r="E3429">
        <v>114127.89</v>
      </c>
      <c r="G3429" s="35"/>
      <c r="H3429" s="36">
        <f t="shared" si="161"/>
        <v>71900.570699999997</v>
      </c>
      <c r="I3429" s="37">
        <f t="shared" si="159"/>
        <v>71900.570699999997</v>
      </c>
      <c r="J3429" s="4"/>
      <c r="K3429" s="38">
        <f t="shared" si="160"/>
        <v>0</v>
      </c>
    </row>
    <row r="3430" spans="1:11">
      <c r="A3430" t="s">
        <v>4626</v>
      </c>
      <c r="B3430" t="s">
        <v>10176</v>
      </c>
      <c r="C3430" t="s">
        <v>10155</v>
      </c>
      <c r="D3430" t="s">
        <v>10240</v>
      </c>
      <c r="E3430">
        <v>120635.74</v>
      </c>
      <c r="G3430" s="35"/>
      <c r="H3430" s="36">
        <f t="shared" si="161"/>
        <v>76000.516199999998</v>
      </c>
      <c r="I3430" s="37">
        <f t="shared" si="159"/>
        <v>76000.516199999998</v>
      </c>
      <c r="J3430" s="4"/>
      <c r="K3430" s="38">
        <f t="shared" si="160"/>
        <v>0</v>
      </c>
    </row>
    <row r="3431" spans="1:11">
      <c r="A3431" t="s">
        <v>4697</v>
      </c>
      <c r="B3431" t="s">
        <v>10176</v>
      </c>
      <c r="C3431" t="s">
        <v>10165</v>
      </c>
      <c r="D3431" t="s">
        <v>10191</v>
      </c>
      <c r="E3431">
        <v>231066.05</v>
      </c>
      <c r="G3431" s="35"/>
      <c r="H3431" s="36">
        <f t="shared" si="161"/>
        <v>145571.6115</v>
      </c>
      <c r="I3431" s="37">
        <f t="shared" si="159"/>
        <v>145571.6115</v>
      </c>
      <c r="J3431" s="4"/>
      <c r="K3431" s="38">
        <f t="shared" si="160"/>
        <v>0</v>
      </c>
    </row>
    <row r="3432" spans="1:11">
      <c r="A3432" t="s">
        <v>4698</v>
      </c>
      <c r="B3432" t="s">
        <v>10176</v>
      </c>
      <c r="C3432" t="s">
        <v>10165</v>
      </c>
      <c r="D3432" t="s">
        <v>10192</v>
      </c>
      <c r="E3432">
        <v>146848.18</v>
      </c>
      <c r="G3432" s="35"/>
      <c r="H3432" s="36">
        <f t="shared" si="161"/>
        <v>92514.353399999993</v>
      </c>
      <c r="I3432" s="37">
        <f t="shared" si="159"/>
        <v>92514.353399999993</v>
      </c>
      <c r="J3432" s="4"/>
      <c r="K3432" s="38">
        <f t="shared" si="160"/>
        <v>0</v>
      </c>
    </row>
    <row r="3433" spans="1:11">
      <c r="A3433" t="s">
        <v>4699</v>
      </c>
      <c r="B3433" t="s">
        <v>10176</v>
      </c>
      <c r="C3433" t="s">
        <v>10165</v>
      </c>
      <c r="D3433" t="s">
        <v>7067</v>
      </c>
      <c r="E3433">
        <v>105464.88</v>
      </c>
      <c r="G3433" s="35"/>
      <c r="H3433" s="36">
        <f t="shared" si="161"/>
        <v>66442.874400000001</v>
      </c>
      <c r="I3433" s="37">
        <f t="shared" si="159"/>
        <v>66442.874400000001</v>
      </c>
      <c r="J3433" s="4"/>
      <c r="K3433" s="38">
        <f t="shared" si="160"/>
        <v>0</v>
      </c>
    </row>
    <row r="3434" spans="1:11">
      <c r="A3434" t="s">
        <v>4700</v>
      </c>
      <c r="B3434" t="s">
        <v>10176</v>
      </c>
      <c r="C3434" t="s">
        <v>10165</v>
      </c>
      <c r="D3434" t="s">
        <v>7068</v>
      </c>
      <c r="E3434">
        <v>168724.84</v>
      </c>
      <c r="G3434" s="35"/>
      <c r="H3434" s="36">
        <f t="shared" si="161"/>
        <v>106296.6492</v>
      </c>
      <c r="I3434" s="37">
        <f t="shared" si="159"/>
        <v>106296.6492</v>
      </c>
      <c r="J3434" s="4"/>
      <c r="K3434" s="38">
        <f t="shared" si="160"/>
        <v>0</v>
      </c>
    </row>
    <row r="3435" spans="1:11">
      <c r="A3435" t="s">
        <v>4701</v>
      </c>
      <c r="B3435" t="s">
        <v>10176</v>
      </c>
      <c r="C3435" t="s">
        <v>10165</v>
      </c>
      <c r="D3435" t="s">
        <v>10197</v>
      </c>
      <c r="E3435">
        <v>168724.84</v>
      </c>
      <c r="G3435" s="35"/>
      <c r="H3435" s="36">
        <f t="shared" si="161"/>
        <v>106296.6492</v>
      </c>
      <c r="I3435" s="37">
        <f t="shared" si="159"/>
        <v>106296.6492</v>
      </c>
      <c r="J3435" s="4"/>
      <c r="K3435" s="38">
        <f t="shared" si="160"/>
        <v>0</v>
      </c>
    </row>
    <row r="3436" spans="1:11">
      <c r="A3436" t="s">
        <v>77</v>
      </c>
      <c r="B3436" t="s">
        <v>10176</v>
      </c>
      <c r="C3436" t="s">
        <v>5659</v>
      </c>
      <c r="D3436" t="s">
        <v>10191</v>
      </c>
      <c r="E3436">
        <v>131902.06</v>
      </c>
      <c r="G3436" s="35"/>
      <c r="H3436" s="36">
        <f t="shared" si="161"/>
        <v>83098.2978</v>
      </c>
      <c r="I3436" s="37">
        <f t="shared" si="159"/>
        <v>83098.2978</v>
      </c>
      <c r="J3436" s="4"/>
      <c r="K3436" s="38">
        <f t="shared" si="160"/>
        <v>0</v>
      </c>
    </row>
    <row r="3437" spans="1:11">
      <c r="A3437" t="s">
        <v>78</v>
      </c>
      <c r="B3437" t="s">
        <v>10176</v>
      </c>
      <c r="C3437" t="s">
        <v>5659</v>
      </c>
      <c r="D3437" t="s">
        <v>10192</v>
      </c>
      <c r="E3437">
        <v>88225.84</v>
      </c>
      <c r="G3437" s="35"/>
      <c r="H3437" s="36">
        <f t="shared" si="161"/>
        <v>55582.279199999997</v>
      </c>
      <c r="I3437" s="37">
        <f t="shared" si="159"/>
        <v>55582.279199999997</v>
      </c>
      <c r="J3437" s="4"/>
      <c r="K3437" s="38">
        <f t="shared" si="160"/>
        <v>0</v>
      </c>
    </row>
    <row r="3438" spans="1:11">
      <c r="A3438" t="s">
        <v>79</v>
      </c>
      <c r="B3438" t="s">
        <v>10176</v>
      </c>
      <c r="C3438" t="s">
        <v>5659</v>
      </c>
      <c r="D3438" t="s">
        <v>10193</v>
      </c>
      <c r="E3438">
        <v>193662.27</v>
      </c>
      <c r="G3438" s="35"/>
      <c r="H3438" s="36">
        <f t="shared" si="161"/>
        <v>122007.2301</v>
      </c>
      <c r="I3438" s="37">
        <f t="shared" si="159"/>
        <v>122007.2301</v>
      </c>
      <c r="J3438" s="4"/>
      <c r="K3438" s="38">
        <f t="shared" si="160"/>
        <v>0</v>
      </c>
    </row>
    <row r="3439" spans="1:11">
      <c r="A3439" t="s">
        <v>80</v>
      </c>
      <c r="B3439" t="s">
        <v>10176</v>
      </c>
      <c r="C3439" t="s">
        <v>5659</v>
      </c>
      <c r="D3439" t="s">
        <v>10201</v>
      </c>
      <c r="E3439">
        <v>122145.15</v>
      </c>
      <c r="G3439" s="35"/>
      <c r="H3439" s="36">
        <f t="shared" si="161"/>
        <v>76951.444499999998</v>
      </c>
      <c r="I3439" s="37">
        <f t="shared" si="159"/>
        <v>76951.444499999998</v>
      </c>
      <c r="J3439" s="4"/>
      <c r="K3439" s="38">
        <f t="shared" si="160"/>
        <v>0</v>
      </c>
    </row>
    <row r="3440" spans="1:11">
      <c r="A3440" t="s">
        <v>81</v>
      </c>
      <c r="B3440" t="s">
        <v>10176</v>
      </c>
      <c r="C3440" t="s">
        <v>5659</v>
      </c>
      <c r="D3440" t="s">
        <v>7067</v>
      </c>
      <c r="E3440">
        <v>89003.69</v>
      </c>
      <c r="G3440" s="35"/>
      <c r="H3440" s="36">
        <f t="shared" si="161"/>
        <v>56072.324700000005</v>
      </c>
      <c r="I3440" s="37">
        <f t="shared" si="159"/>
        <v>56072.324700000005</v>
      </c>
      <c r="J3440" s="4"/>
      <c r="K3440" s="38">
        <f t="shared" si="160"/>
        <v>0</v>
      </c>
    </row>
    <row r="3441" spans="1:11">
      <c r="A3441" t="s">
        <v>82</v>
      </c>
      <c r="B3441" t="s">
        <v>10176</v>
      </c>
      <c r="C3441" t="s">
        <v>5659</v>
      </c>
      <c r="D3441" t="s">
        <v>10195</v>
      </c>
      <c r="E3441">
        <v>92646.23</v>
      </c>
      <c r="G3441" s="35"/>
      <c r="H3441" s="36">
        <f t="shared" si="161"/>
        <v>58367.124899999995</v>
      </c>
      <c r="I3441" s="37">
        <f t="shared" si="159"/>
        <v>58367.124899999995</v>
      </c>
      <c r="J3441" s="4"/>
      <c r="K3441" s="38">
        <f t="shared" si="160"/>
        <v>0</v>
      </c>
    </row>
    <row r="3442" spans="1:11">
      <c r="A3442" t="s">
        <v>83</v>
      </c>
      <c r="B3442" t="s">
        <v>10176</v>
      </c>
      <c r="C3442" t="s">
        <v>5659</v>
      </c>
      <c r="D3442" t="s">
        <v>10202</v>
      </c>
      <c r="E3442">
        <v>93322.48</v>
      </c>
      <c r="G3442" s="35"/>
      <c r="H3442" s="36">
        <f t="shared" si="161"/>
        <v>58793.162400000001</v>
      </c>
      <c r="I3442" s="37">
        <f t="shared" si="159"/>
        <v>58793.162400000001</v>
      </c>
      <c r="J3442" s="4"/>
      <c r="K3442" s="38">
        <f t="shared" si="160"/>
        <v>0</v>
      </c>
    </row>
    <row r="3443" spans="1:11">
      <c r="A3443" t="s">
        <v>84</v>
      </c>
      <c r="B3443" t="s">
        <v>10176</v>
      </c>
      <c r="C3443" t="s">
        <v>5659</v>
      </c>
      <c r="D3443" t="s">
        <v>10200</v>
      </c>
      <c r="E3443">
        <v>286530.51</v>
      </c>
      <c r="G3443" s="35"/>
      <c r="H3443" s="36">
        <f t="shared" si="161"/>
        <v>180514.2213</v>
      </c>
      <c r="I3443" s="37">
        <f t="shared" si="159"/>
        <v>180514.2213</v>
      </c>
      <c r="J3443" s="4"/>
      <c r="K3443" s="38">
        <f t="shared" si="160"/>
        <v>0</v>
      </c>
    </row>
    <row r="3444" spans="1:11">
      <c r="A3444" t="s">
        <v>4627</v>
      </c>
      <c r="B3444" t="s">
        <v>10176</v>
      </c>
      <c r="C3444" t="s">
        <v>10156</v>
      </c>
      <c r="D3444" t="s">
        <v>5791</v>
      </c>
      <c r="E3444">
        <v>29280.94</v>
      </c>
      <c r="G3444" s="35"/>
      <c r="H3444" s="36">
        <f t="shared" si="161"/>
        <v>18446.992200000001</v>
      </c>
      <c r="I3444" s="37">
        <f t="shared" si="159"/>
        <v>18446.992200000001</v>
      </c>
      <c r="J3444" s="4"/>
      <c r="K3444" s="38">
        <f t="shared" si="160"/>
        <v>0</v>
      </c>
    </row>
    <row r="3445" spans="1:11">
      <c r="A3445" t="s">
        <v>4628</v>
      </c>
      <c r="B3445" t="s">
        <v>10176</v>
      </c>
      <c r="C3445" t="s">
        <v>10156</v>
      </c>
      <c r="D3445" t="s">
        <v>5716</v>
      </c>
      <c r="E3445">
        <v>51155.97</v>
      </c>
      <c r="G3445" s="35"/>
      <c r="H3445" s="36">
        <f t="shared" si="161"/>
        <v>32228.2611</v>
      </c>
      <c r="I3445" s="37">
        <f t="shared" si="159"/>
        <v>32228.2611</v>
      </c>
      <c r="J3445" s="4"/>
      <c r="K3445" s="38">
        <f t="shared" si="160"/>
        <v>0</v>
      </c>
    </row>
    <row r="3446" spans="1:11">
      <c r="A3446" t="s">
        <v>4629</v>
      </c>
      <c r="B3446" t="s">
        <v>10176</v>
      </c>
      <c r="C3446" t="s">
        <v>10156</v>
      </c>
      <c r="D3446" t="s">
        <v>5788</v>
      </c>
      <c r="E3446">
        <v>15889.62</v>
      </c>
      <c r="G3446" s="35"/>
      <c r="H3446" s="36">
        <f t="shared" si="161"/>
        <v>10010.4606</v>
      </c>
      <c r="I3446" s="37">
        <f t="shared" si="159"/>
        <v>10010.4606</v>
      </c>
      <c r="J3446" s="4"/>
      <c r="K3446" s="38">
        <f t="shared" si="160"/>
        <v>0</v>
      </c>
    </row>
    <row r="3447" spans="1:11">
      <c r="A3447" t="s">
        <v>4630</v>
      </c>
      <c r="B3447" t="s">
        <v>10176</v>
      </c>
      <c r="C3447" t="s">
        <v>10156</v>
      </c>
      <c r="D3447" t="s">
        <v>5789</v>
      </c>
      <c r="E3447">
        <v>24600.06</v>
      </c>
      <c r="G3447" s="35"/>
      <c r="H3447" s="36">
        <f t="shared" si="161"/>
        <v>15498.0378</v>
      </c>
      <c r="I3447" s="37">
        <f t="shared" si="159"/>
        <v>15498.0378</v>
      </c>
      <c r="J3447" s="4"/>
      <c r="K3447" s="38">
        <f t="shared" si="160"/>
        <v>0</v>
      </c>
    </row>
    <row r="3448" spans="1:11">
      <c r="A3448" t="s">
        <v>4631</v>
      </c>
      <c r="B3448" t="s">
        <v>10176</v>
      </c>
      <c r="C3448" t="s">
        <v>10156</v>
      </c>
      <c r="D3448" t="s">
        <v>5790</v>
      </c>
      <c r="E3448">
        <v>18683</v>
      </c>
      <c r="G3448" s="35"/>
      <c r="H3448" s="36">
        <f t="shared" si="161"/>
        <v>11770.29</v>
      </c>
      <c r="I3448" s="37">
        <f t="shared" si="159"/>
        <v>11770.29</v>
      </c>
      <c r="J3448" s="4"/>
      <c r="K3448" s="38">
        <f t="shared" si="160"/>
        <v>0</v>
      </c>
    </row>
    <row r="3449" spans="1:11">
      <c r="A3449" t="s">
        <v>4632</v>
      </c>
      <c r="B3449" t="s">
        <v>10176</v>
      </c>
      <c r="C3449" t="s">
        <v>10156</v>
      </c>
      <c r="D3449" t="s">
        <v>10239</v>
      </c>
      <c r="E3449">
        <v>19031.47</v>
      </c>
      <c r="G3449" s="35"/>
      <c r="H3449" s="36">
        <f t="shared" si="161"/>
        <v>11989.8261</v>
      </c>
      <c r="I3449" s="37">
        <f t="shared" si="159"/>
        <v>11989.8261</v>
      </c>
      <c r="J3449" s="4"/>
      <c r="K3449" s="38">
        <f t="shared" si="160"/>
        <v>0</v>
      </c>
    </row>
    <row r="3450" spans="1:11">
      <c r="A3450" t="s">
        <v>4633</v>
      </c>
      <c r="B3450" t="s">
        <v>10176</v>
      </c>
      <c r="C3450" t="s">
        <v>10156</v>
      </c>
      <c r="D3450" t="s">
        <v>10240</v>
      </c>
      <c r="E3450">
        <v>89803.04</v>
      </c>
      <c r="G3450" s="35"/>
      <c r="H3450" s="36">
        <f t="shared" si="161"/>
        <v>56575.915199999996</v>
      </c>
      <c r="I3450" s="37">
        <f t="shared" si="159"/>
        <v>56575.915199999996</v>
      </c>
      <c r="J3450" s="4"/>
      <c r="K3450" s="38">
        <f t="shared" si="160"/>
        <v>0</v>
      </c>
    </row>
    <row r="3451" spans="1:11">
      <c r="A3451" t="s">
        <v>85</v>
      </c>
      <c r="B3451" t="s">
        <v>10176</v>
      </c>
      <c r="C3451" t="s">
        <v>5660</v>
      </c>
      <c r="D3451" t="s">
        <v>10191</v>
      </c>
      <c r="E3451">
        <v>194598.06</v>
      </c>
      <c r="G3451" s="35"/>
      <c r="H3451" s="36">
        <f t="shared" si="161"/>
        <v>122596.7778</v>
      </c>
      <c r="I3451" s="37">
        <f t="shared" si="159"/>
        <v>122596.7778</v>
      </c>
      <c r="J3451" s="4"/>
      <c r="K3451" s="38">
        <f t="shared" si="160"/>
        <v>0</v>
      </c>
    </row>
    <row r="3452" spans="1:11">
      <c r="A3452" t="s">
        <v>86</v>
      </c>
      <c r="B3452" t="s">
        <v>10176</v>
      </c>
      <c r="C3452" t="s">
        <v>5660</v>
      </c>
      <c r="D3452" t="s">
        <v>10192</v>
      </c>
      <c r="E3452">
        <v>133504.98000000001</v>
      </c>
      <c r="G3452" s="35"/>
      <c r="H3452" s="36">
        <f t="shared" si="161"/>
        <v>84108.137400000007</v>
      </c>
      <c r="I3452" s="37">
        <f t="shared" si="159"/>
        <v>84108.137400000007</v>
      </c>
      <c r="J3452" s="4"/>
      <c r="K3452" s="38">
        <f t="shared" si="160"/>
        <v>0</v>
      </c>
    </row>
    <row r="3453" spans="1:11">
      <c r="A3453" t="s">
        <v>87</v>
      </c>
      <c r="B3453" t="s">
        <v>10176</v>
      </c>
      <c r="C3453" t="s">
        <v>5660</v>
      </c>
      <c r="D3453" t="s">
        <v>7067</v>
      </c>
      <c r="E3453">
        <v>139939.70000000001</v>
      </c>
      <c r="G3453" s="35"/>
      <c r="H3453" s="36">
        <f t="shared" si="161"/>
        <v>88162.011000000013</v>
      </c>
      <c r="I3453" s="37">
        <f t="shared" si="159"/>
        <v>88162.011000000013</v>
      </c>
      <c r="J3453" s="4"/>
      <c r="K3453" s="38">
        <f t="shared" si="160"/>
        <v>0</v>
      </c>
    </row>
    <row r="3454" spans="1:11">
      <c r="A3454" t="s">
        <v>88</v>
      </c>
      <c r="B3454" t="s">
        <v>10176</v>
      </c>
      <c r="C3454" t="s">
        <v>5660</v>
      </c>
      <c r="D3454" t="s">
        <v>10195</v>
      </c>
      <c r="E3454">
        <v>151962.73000000001</v>
      </c>
      <c r="G3454" s="35"/>
      <c r="H3454" s="36">
        <f t="shared" si="161"/>
        <v>95736.519900000014</v>
      </c>
      <c r="I3454" s="37">
        <f t="shared" si="159"/>
        <v>95736.519900000014</v>
      </c>
      <c r="J3454" s="4"/>
      <c r="K3454" s="38">
        <f t="shared" si="160"/>
        <v>0</v>
      </c>
    </row>
    <row r="3455" spans="1:11">
      <c r="A3455" t="s">
        <v>89</v>
      </c>
      <c r="B3455" t="s">
        <v>10176</v>
      </c>
      <c r="C3455" t="s">
        <v>5660</v>
      </c>
      <c r="D3455" t="s">
        <v>10200</v>
      </c>
      <c r="E3455">
        <v>438578.67</v>
      </c>
      <c r="G3455" s="35"/>
      <c r="H3455" s="36">
        <f t="shared" si="161"/>
        <v>276304.56209999998</v>
      </c>
      <c r="I3455" s="37">
        <f t="shared" si="159"/>
        <v>276304.56209999998</v>
      </c>
      <c r="J3455" s="4"/>
      <c r="K3455" s="38">
        <f t="shared" si="160"/>
        <v>0</v>
      </c>
    </row>
    <row r="3456" spans="1:11">
      <c r="A3456" t="s">
        <v>65</v>
      </c>
      <c r="B3456" t="s">
        <v>10176</v>
      </c>
      <c r="C3456" t="s">
        <v>5651</v>
      </c>
      <c r="D3456" t="s">
        <v>10191</v>
      </c>
      <c r="E3456">
        <v>232824.45</v>
      </c>
      <c r="G3456" s="35"/>
      <c r="H3456" s="36">
        <f t="shared" si="161"/>
        <v>146679.40350000001</v>
      </c>
      <c r="I3456" s="37">
        <f t="shared" si="159"/>
        <v>146679.40350000001</v>
      </c>
      <c r="J3456" s="4"/>
      <c r="K3456" s="38">
        <f t="shared" si="160"/>
        <v>0</v>
      </c>
    </row>
    <row r="3457" spans="1:11">
      <c r="A3457" t="s">
        <v>11652</v>
      </c>
      <c r="B3457" t="s">
        <v>10176</v>
      </c>
      <c r="C3457" t="s">
        <v>5651</v>
      </c>
      <c r="D3457" t="s">
        <v>10216</v>
      </c>
      <c r="E3457">
        <v>256107.01</v>
      </c>
      <c r="G3457" s="35"/>
      <c r="H3457" s="36">
        <f t="shared" si="161"/>
        <v>161347.41630000001</v>
      </c>
      <c r="I3457" s="37">
        <f t="shared" si="159"/>
        <v>161347.41630000001</v>
      </c>
      <c r="J3457" s="4"/>
      <c r="K3457" s="38">
        <f t="shared" si="160"/>
        <v>0</v>
      </c>
    </row>
    <row r="3458" spans="1:11">
      <c r="A3458" t="s">
        <v>66</v>
      </c>
      <c r="B3458" t="s">
        <v>10176</v>
      </c>
      <c r="C3458" t="s">
        <v>5651</v>
      </c>
      <c r="D3458" t="s">
        <v>11293</v>
      </c>
      <c r="E3458">
        <v>170488.91</v>
      </c>
      <c r="G3458" s="35"/>
      <c r="H3458" s="36">
        <f t="shared" si="161"/>
        <v>107408.01330000001</v>
      </c>
      <c r="I3458" s="37">
        <f t="shared" si="159"/>
        <v>107408.01330000001</v>
      </c>
      <c r="J3458" s="4"/>
      <c r="K3458" s="38">
        <f t="shared" si="160"/>
        <v>0</v>
      </c>
    </row>
    <row r="3459" spans="1:11">
      <c r="A3459" t="s">
        <v>67</v>
      </c>
      <c r="B3459" t="s">
        <v>10176</v>
      </c>
      <c r="C3459" t="s">
        <v>5651</v>
      </c>
      <c r="D3459" t="s">
        <v>11294</v>
      </c>
      <c r="E3459">
        <v>218508.6</v>
      </c>
      <c r="G3459" s="35"/>
      <c r="H3459" s="36">
        <f t="shared" si="161"/>
        <v>137660.41800000001</v>
      </c>
      <c r="I3459" s="37">
        <f t="shared" si="159"/>
        <v>137660.41800000001</v>
      </c>
      <c r="J3459" s="4"/>
      <c r="K3459" s="38">
        <f t="shared" si="160"/>
        <v>0</v>
      </c>
    </row>
    <row r="3460" spans="1:11">
      <c r="A3460" t="s">
        <v>68</v>
      </c>
      <c r="B3460" t="s">
        <v>10176</v>
      </c>
      <c r="C3460" t="s">
        <v>5651</v>
      </c>
      <c r="D3460" t="s">
        <v>7067</v>
      </c>
      <c r="E3460">
        <v>137125.51</v>
      </c>
      <c r="G3460" s="35"/>
      <c r="H3460" s="36">
        <f t="shared" si="161"/>
        <v>86389.071300000011</v>
      </c>
      <c r="I3460" s="37">
        <f t="shared" si="159"/>
        <v>86389.071300000011</v>
      </c>
      <c r="J3460" s="4"/>
      <c r="K3460" s="38">
        <f t="shared" si="160"/>
        <v>0</v>
      </c>
    </row>
    <row r="3461" spans="1:11">
      <c r="A3461" t="s">
        <v>11653</v>
      </c>
      <c r="B3461" t="s">
        <v>10176</v>
      </c>
      <c r="C3461" t="s">
        <v>5651</v>
      </c>
      <c r="D3461" t="s">
        <v>10218</v>
      </c>
      <c r="E3461">
        <v>150837.97</v>
      </c>
      <c r="G3461" s="35"/>
      <c r="H3461" s="36">
        <f t="shared" si="161"/>
        <v>95027.921100000007</v>
      </c>
      <c r="I3461" s="37">
        <f t="shared" si="159"/>
        <v>95027.921100000007</v>
      </c>
      <c r="J3461" s="4"/>
      <c r="K3461" s="38">
        <f t="shared" si="160"/>
        <v>0</v>
      </c>
    </row>
    <row r="3462" spans="1:11">
      <c r="A3462" t="s">
        <v>69</v>
      </c>
      <c r="B3462" t="s">
        <v>10176</v>
      </c>
      <c r="C3462" t="s">
        <v>5651</v>
      </c>
      <c r="D3462" t="s">
        <v>7068</v>
      </c>
      <c r="E3462">
        <v>182305.66</v>
      </c>
      <c r="G3462" s="35"/>
      <c r="H3462" s="36">
        <f t="shared" si="161"/>
        <v>114852.5658</v>
      </c>
      <c r="I3462" s="37">
        <f t="shared" ref="I3462:I3525" si="162">H3462*$H$4</f>
        <v>114852.5658</v>
      </c>
      <c r="J3462" s="4"/>
      <c r="K3462" s="38">
        <f t="shared" ref="K3462:K3525" si="163">J3462*I3462</f>
        <v>0</v>
      </c>
    </row>
    <row r="3463" spans="1:11">
      <c r="A3463" t="s">
        <v>11654</v>
      </c>
      <c r="B3463" t="s">
        <v>10176</v>
      </c>
      <c r="C3463" t="s">
        <v>5651</v>
      </c>
      <c r="D3463" t="s">
        <v>10226</v>
      </c>
      <c r="E3463">
        <v>200536.38</v>
      </c>
      <c r="G3463" s="35"/>
      <c r="H3463" s="36">
        <f t="shared" ref="H3463:H3526" si="164">+E3463*$H$1*(1-G3463)</f>
        <v>126337.9194</v>
      </c>
      <c r="I3463" s="37">
        <f t="shared" si="162"/>
        <v>126337.9194</v>
      </c>
      <c r="J3463" s="4"/>
      <c r="K3463" s="38">
        <f t="shared" si="163"/>
        <v>0</v>
      </c>
    </row>
    <row r="3464" spans="1:11">
      <c r="A3464" t="s">
        <v>70</v>
      </c>
      <c r="B3464" t="s">
        <v>10176</v>
      </c>
      <c r="C3464" t="s">
        <v>5651</v>
      </c>
      <c r="D3464" t="s">
        <v>10197</v>
      </c>
      <c r="E3464">
        <v>183918.19</v>
      </c>
      <c r="G3464" s="35"/>
      <c r="H3464" s="36">
        <f t="shared" si="164"/>
        <v>115868.45970000001</v>
      </c>
      <c r="I3464" s="37">
        <f t="shared" si="162"/>
        <v>115868.45970000001</v>
      </c>
      <c r="J3464" s="4"/>
      <c r="K3464" s="38">
        <f t="shared" si="163"/>
        <v>0</v>
      </c>
    </row>
    <row r="3465" spans="1:11">
      <c r="A3465" t="s">
        <v>71</v>
      </c>
      <c r="B3465" t="s">
        <v>10176</v>
      </c>
      <c r="C3465" t="s">
        <v>5651</v>
      </c>
      <c r="D3465" t="s">
        <v>10198</v>
      </c>
      <c r="E3465">
        <v>422521.5</v>
      </c>
      <c r="G3465" s="35"/>
      <c r="H3465" s="36">
        <f t="shared" si="164"/>
        <v>266188.54499999998</v>
      </c>
      <c r="I3465" s="37">
        <f t="shared" si="162"/>
        <v>266188.54499999998</v>
      </c>
      <c r="J3465" s="4"/>
      <c r="K3465" s="38">
        <f t="shared" si="163"/>
        <v>0</v>
      </c>
    </row>
    <row r="3466" spans="1:11">
      <c r="A3466" t="s">
        <v>13112</v>
      </c>
      <c r="B3466" t="s">
        <v>10176</v>
      </c>
      <c r="C3466" t="s">
        <v>5651</v>
      </c>
      <c r="D3466" t="s">
        <v>13113</v>
      </c>
      <c r="E3466">
        <v>464773.57</v>
      </c>
      <c r="G3466" s="35"/>
      <c r="H3466" s="36">
        <f t="shared" si="164"/>
        <v>292807.34909999999</v>
      </c>
      <c r="I3466" s="37">
        <f t="shared" si="162"/>
        <v>292807.34909999999</v>
      </c>
      <c r="J3466" s="4"/>
      <c r="K3466" s="38">
        <f t="shared" si="163"/>
        <v>0</v>
      </c>
    </row>
    <row r="3467" spans="1:11">
      <c r="A3467" t="s">
        <v>90</v>
      </c>
      <c r="B3467" t="s">
        <v>10176</v>
      </c>
      <c r="C3467" t="s">
        <v>5661</v>
      </c>
      <c r="D3467" t="s">
        <v>10191</v>
      </c>
      <c r="E3467">
        <v>127891.38</v>
      </c>
      <c r="G3467" s="35"/>
      <c r="H3467" s="36">
        <f t="shared" si="164"/>
        <v>80571.569400000008</v>
      </c>
      <c r="I3467" s="37">
        <f t="shared" si="162"/>
        <v>80571.569400000008</v>
      </c>
      <c r="J3467" s="4"/>
      <c r="K3467" s="38">
        <f t="shared" si="163"/>
        <v>0</v>
      </c>
    </row>
    <row r="3468" spans="1:11">
      <c r="A3468" t="s">
        <v>91</v>
      </c>
      <c r="B3468" t="s">
        <v>10176</v>
      </c>
      <c r="C3468" t="s">
        <v>5661</v>
      </c>
      <c r="D3468" t="s">
        <v>10192</v>
      </c>
      <c r="E3468">
        <v>87491.26</v>
      </c>
      <c r="G3468" s="35"/>
      <c r="H3468" s="36">
        <f t="shared" si="164"/>
        <v>55119.493799999997</v>
      </c>
      <c r="I3468" s="37">
        <f t="shared" si="162"/>
        <v>55119.493799999997</v>
      </c>
      <c r="J3468" s="4"/>
      <c r="K3468" s="38">
        <f t="shared" si="163"/>
        <v>0</v>
      </c>
    </row>
    <row r="3469" spans="1:11">
      <c r="A3469" t="s">
        <v>92</v>
      </c>
      <c r="B3469" t="s">
        <v>10176</v>
      </c>
      <c r="C3469" t="s">
        <v>5661</v>
      </c>
      <c r="D3469" t="s">
        <v>10193</v>
      </c>
      <c r="E3469">
        <v>210272.62</v>
      </c>
      <c r="G3469" s="35"/>
      <c r="H3469" s="36">
        <f t="shared" si="164"/>
        <v>132471.7506</v>
      </c>
      <c r="I3469" s="37">
        <f t="shared" si="162"/>
        <v>132471.7506</v>
      </c>
      <c r="J3469" s="4"/>
      <c r="K3469" s="38">
        <f t="shared" si="163"/>
        <v>0</v>
      </c>
    </row>
    <row r="3470" spans="1:11">
      <c r="A3470" t="s">
        <v>93</v>
      </c>
      <c r="B3470" t="s">
        <v>10176</v>
      </c>
      <c r="C3470" t="s">
        <v>5661</v>
      </c>
      <c r="D3470" t="s">
        <v>7067</v>
      </c>
      <c r="E3470">
        <v>96598.45</v>
      </c>
      <c r="G3470" s="35"/>
      <c r="H3470" s="36">
        <f t="shared" si="164"/>
        <v>60857.023499999996</v>
      </c>
      <c r="I3470" s="37">
        <f t="shared" si="162"/>
        <v>60857.023499999996</v>
      </c>
      <c r="J3470" s="4"/>
      <c r="K3470" s="38">
        <f t="shared" si="163"/>
        <v>0</v>
      </c>
    </row>
    <row r="3471" spans="1:11">
      <c r="A3471" t="s">
        <v>94</v>
      </c>
      <c r="B3471" t="s">
        <v>10176</v>
      </c>
      <c r="C3471" t="s">
        <v>5661</v>
      </c>
      <c r="D3471" t="s">
        <v>10195</v>
      </c>
      <c r="E3471">
        <v>100344.42</v>
      </c>
      <c r="G3471" s="35"/>
      <c r="H3471" s="36">
        <f t="shared" si="164"/>
        <v>63216.984599999996</v>
      </c>
      <c r="I3471" s="37">
        <f t="shared" si="162"/>
        <v>63216.984599999996</v>
      </c>
      <c r="J3471" s="4"/>
      <c r="K3471" s="38">
        <f t="shared" si="163"/>
        <v>0</v>
      </c>
    </row>
    <row r="3472" spans="1:11">
      <c r="A3472" t="s">
        <v>95</v>
      </c>
      <c r="B3472" t="s">
        <v>10176</v>
      </c>
      <c r="C3472" t="s">
        <v>5661</v>
      </c>
      <c r="D3472" t="s">
        <v>10202</v>
      </c>
      <c r="E3472">
        <v>97941.07</v>
      </c>
      <c r="G3472" s="35"/>
      <c r="H3472" s="36">
        <f t="shared" si="164"/>
        <v>61702.874100000008</v>
      </c>
      <c r="I3472" s="37">
        <f t="shared" si="162"/>
        <v>61702.874100000008</v>
      </c>
      <c r="J3472" s="4"/>
      <c r="K3472" s="38">
        <f t="shared" si="163"/>
        <v>0</v>
      </c>
    </row>
    <row r="3473" spans="1:11">
      <c r="A3473" t="s">
        <v>96</v>
      </c>
      <c r="B3473" t="s">
        <v>10176</v>
      </c>
      <c r="C3473" t="s">
        <v>5661</v>
      </c>
      <c r="D3473" t="s">
        <v>10203</v>
      </c>
      <c r="E3473">
        <v>134848.1</v>
      </c>
      <c r="G3473" s="35"/>
      <c r="H3473" s="36">
        <f t="shared" si="164"/>
        <v>84954.303</v>
      </c>
      <c r="I3473" s="37">
        <f t="shared" si="162"/>
        <v>84954.303</v>
      </c>
      <c r="J3473" s="4"/>
      <c r="K3473" s="38">
        <f t="shared" si="163"/>
        <v>0</v>
      </c>
    </row>
    <row r="3474" spans="1:11">
      <c r="A3474" t="s">
        <v>97</v>
      </c>
      <c r="B3474" t="s">
        <v>10176</v>
      </c>
      <c r="C3474" t="s">
        <v>5661</v>
      </c>
      <c r="D3474" t="s">
        <v>10200</v>
      </c>
      <c r="E3474">
        <v>294067.96000000002</v>
      </c>
      <c r="G3474" s="35"/>
      <c r="H3474" s="36">
        <f t="shared" si="164"/>
        <v>185262.81480000002</v>
      </c>
      <c r="I3474" s="37">
        <f t="shared" si="162"/>
        <v>185262.81480000002</v>
      </c>
      <c r="J3474" s="4"/>
      <c r="K3474" s="38">
        <f t="shared" si="163"/>
        <v>0</v>
      </c>
    </row>
    <row r="3475" spans="1:11">
      <c r="A3475" t="s">
        <v>11553</v>
      </c>
      <c r="B3475" t="s">
        <v>10176</v>
      </c>
      <c r="C3475" t="s">
        <v>11540</v>
      </c>
      <c r="D3475" t="s">
        <v>10192</v>
      </c>
      <c r="E3475">
        <v>174973.48</v>
      </c>
      <c r="G3475" s="35"/>
      <c r="H3475" s="36">
        <f t="shared" si="164"/>
        <v>110233.29240000001</v>
      </c>
      <c r="I3475" s="37">
        <f t="shared" si="162"/>
        <v>110233.29240000001</v>
      </c>
      <c r="J3475" s="4"/>
      <c r="K3475" s="38">
        <f t="shared" si="163"/>
        <v>0</v>
      </c>
    </row>
    <row r="3476" spans="1:11">
      <c r="A3476" t="s">
        <v>11541</v>
      </c>
      <c r="B3476" t="s">
        <v>10176</v>
      </c>
      <c r="C3476" t="s">
        <v>11540</v>
      </c>
      <c r="D3476" t="s">
        <v>7067</v>
      </c>
      <c r="E3476">
        <v>79861.63</v>
      </c>
      <c r="G3476" s="35"/>
      <c r="H3476" s="36">
        <f t="shared" si="164"/>
        <v>50312.8269</v>
      </c>
      <c r="I3476" s="37">
        <f t="shared" si="162"/>
        <v>50312.8269</v>
      </c>
      <c r="J3476" s="4"/>
      <c r="K3476" s="38">
        <f t="shared" si="163"/>
        <v>0</v>
      </c>
    </row>
    <row r="3477" spans="1:11">
      <c r="A3477" t="s">
        <v>11542</v>
      </c>
      <c r="B3477" t="s">
        <v>10176</v>
      </c>
      <c r="C3477" t="s">
        <v>11540</v>
      </c>
      <c r="D3477" t="s">
        <v>7068</v>
      </c>
      <c r="E3477">
        <v>127764.3</v>
      </c>
      <c r="G3477" s="35"/>
      <c r="H3477" s="36">
        <f t="shared" si="164"/>
        <v>80491.509000000005</v>
      </c>
      <c r="I3477" s="37">
        <f t="shared" si="162"/>
        <v>80491.509000000005</v>
      </c>
      <c r="J3477" s="4"/>
      <c r="K3477" s="38">
        <f t="shared" si="163"/>
        <v>0</v>
      </c>
    </row>
    <row r="3478" spans="1:11">
      <c r="A3478" t="s">
        <v>4191</v>
      </c>
      <c r="B3478" t="s">
        <v>10176</v>
      </c>
      <c r="C3478" t="s">
        <v>5678</v>
      </c>
      <c r="D3478" t="s">
        <v>10191</v>
      </c>
      <c r="E3478">
        <v>537167.21</v>
      </c>
      <c r="G3478" s="35"/>
      <c r="H3478" s="36">
        <f t="shared" si="164"/>
        <v>338415.34229999996</v>
      </c>
      <c r="I3478" s="37">
        <f t="shared" si="162"/>
        <v>338415.34229999996</v>
      </c>
      <c r="J3478" s="4"/>
      <c r="K3478" s="38">
        <f t="shared" si="163"/>
        <v>0</v>
      </c>
    </row>
    <row r="3479" spans="1:11">
      <c r="A3479" t="s">
        <v>4192</v>
      </c>
      <c r="B3479" t="s">
        <v>10176</v>
      </c>
      <c r="C3479" t="s">
        <v>5678</v>
      </c>
      <c r="D3479" t="s">
        <v>10192</v>
      </c>
      <c r="E3479">
        <v>418693.35</v>
      </c>
      <c r="G3479" s="35"/>
      <c r="H3479" s="36">
        <f t="shared" si="164"/>
        <v>263776.81049999996</v>
      </c>
      <c r="I3479" s="37">
        <f t="shared" si="162"/>
        <v>263776.81049999996</v>
      </c>
      <c r="J3479" s="4"/>
      <c r="K3479" s="38">
        <f t="shared" si="163"/>
        <v>0</v>
      </c>
    </row>
    <row r="3480" spans="1:11">
      <c r="A3480" t="s">
        <v>4193</v>
      </c>
      <c r="B3480" t="s">
        <v>10176</v>
      </c>
      <c r="C3480" t="s">
        <v>5678</v>
      </c>
      <c r="D3480" t="s">
        <v>10194</v>
      </c>
      <c r="E3480">
        <v>472523.31</v>
      </c>
      <c r="G3480" s="35"/>
      <c r="H3480" s="36">
        <f t="shared" si="164"/>
        <v>297689.68530000001</v>
      </c>
      <c r="I3480" s="37">
        <f t="shared" si="162"/>
        <v>297689.68530000001</v>
      </c>
      <c r="J3480" s="4"/>
      <c r="K3480" s="38">
        <f t="shared" si="163"/>
        <v>0</v>
      </c>
    </row>
    <row r="3481" spans="1:11">
      <c r="A3481" t="s">
        <v>4194</v>
      </c>
      <c r="B3481" t="s">
        <v>10176</v>
      </c>
      <c r="C3481" t="s">
        <v>5678</v>
      </c>
      <c r="D3481" t="s">
        <v>7067</v>
      </c>
      <c r="E3481">
        <v>387882.69</v>
      </c>
      <c r="G3481" s="35"/>
      <c r="H3481" s="36">
        <f t="shared" si="164"/>
        <v>244366.09470000002</v>
      </c>
      <c r="I3481" s="37">
        <f t="shared" si="162"/>
        <v>244366.09470000002</v>
      </c>
      <c r="J3481" s="4"/>
      <c r="K3481" s="38">
        <f t="shared" si="163"/>
        <v>0</v>
      </c>
    </row>
    <row r="3482" spans="1:11">
      <c r="A3482" t="s">
        <v>4195</v>
      </c>
      <c r="B3482" t="s">
        <v>10176</v>
      </c>
      <c r="C3482" t="s">
        <v>5678</v>
      </c>
      <c r="D3482" t="s">
        <v>10195</v>
      </c>
      <c r="E3482">
        <v>397807.35</v>
      </c>
      <c r="G3482" s="35"/>
      <c r="H3482" s="36">
        <f t="shared" si="164"/>
        <v>250618.6305</v>
      </c>
      <c r="I3482" s="37">
        <f t="shared" si="162"/>
        <v>250618.6305</v>
      </c>
      <c r="J3482" s="4"/>
      <c r="K3482" s="38">
        <f t="shared" si="163"/>
        <v>0</v>
      </c>
    </row>
    <row r="3483" spans="1:11">
      <c r="A3483" t="s">
        <v>4634</v>
      </c>
      <c r="B3483" t="s">
        <v>10176</v>
      </c>
      <c r="C3483" t="s">
        <v>10157</v>
      </c>
      <c r="D3483" t="s">
        <v>5791</v>
      </c>
      <c r="E3483">
        <v>73805.16</v>
      </c>
      <c r="G3483" s="35"/>
      <c r="H3483" s="36">
        <f t="shared" si="164"/>
        <v>46497.250800000002</v>
      </c>
      <c r="I3483" s="37">
        <f t="shared" si="162"/>
        <v>46497.250800000002</v>
      </c>
      <c r="J3483" s="4"/>
      <c r="K3483" s="38">
        <f t="shared" si="163"/>
        <v>0</v>
      </c>
    </row>
    <row r="3484" spans="1:11">
      <c r="A3484" t="s">
        <v>4635</v>
      </c>
      <c r="B3484" t="s">
        <v>10176</v>
      </c>
      <c r="C3484" t="s">
        <v>10157</v>
      </c>
      <c r="D3484" t="s">
        <v>5716</v>
      </c>
      <c r="E3484">
        <v>93402.08</v>
      </c>
      <c r="G3484" s="35"/>
      <c r="H3484" s="36">
        <f t="shared" si="164"/>
        <v>58843.310400000002</v>
      </c>
      <c r="I3484" s="37">
        <f t="shared" si="162"/>
        <v>58843.310400000002</v>
      </c>
      <c r="J3484" s="4"/>
      <c r="K3484" s="38">
        <f t="shared" si="163"/>
        <v>0</v>
      </c>
    </row>
    <row r="3485" spans="1:11">
      <c r="A3485" t="s">
        <v>4636</v>
      </c>
      <c r="B3485" t="s">
        <v>10176</v>
      </c>
      <c r="C3485" t="s">
        <v>10157</v>
      </c>
      <c r="D3485" t="s">
        <v>5788</v>
      </c>
      <c r="E3485">
        <v>40143.96</v>
      </c>
      <c r="G3485" s="35"/>
      <c r="H3485" s="36">
        <f t="shared" si="164"/>
        <v>25290.694800000001</v>
      </c>
      <c r="I3485" s="37">
        <f t="shared" si="162"/>
        <v>25290.694800000001</v>
      </c>
      <c r="J3485" s="4"/>
      <c r="K3485" s="38">
        <f t="shared" si="163"/>
        <v>0</v>
      </c>
    </row>
    <row r="3486" spans="1:11">
      <c r="A3486" t="s">
        <v>4637</v>
      </c>
      <c r="B3486" t="s">
        <v>10176</v>
      </c>
      <c r="C3486" t="s">
        <v>10157</v>
      </c>
      <c r="D3486" t="s">
        <v>5789</v>
      </c>
      <c r="E3486">
        <v>54288.36</v>
      </c>
      <c r="G3486" s="35"/>
      <c r="H3486" s="36">
        <f t="shared" si="164"/>
        <v>34201.666799999999</v>
      </c>
      <c r="I3486" s="37">
        <f t="shared" si="162"/>
        <v>34201.666799999999</v>
      </c>
      <c r="J3486" s="4"/>
      <c r="K3486" s="38">
        <f t="shared" si="163"/>
        <v>0</v>
      </c>
    </row>
    <row r="3487" spans="1:11">
      <c r="A3487" t="s">
        <v>4638</v>
      </c>
      <c r="B3487" t="s">
        <v>10176</v>
      </c>
      <c r="C3487" t="s">
        <v>10157</v>
      </c>
      <c r="D3487" t="s">
        <v>5790</v>
      </c>
      <c r="E3487">
        <v>56921.51</v>
      </c>
      <c r="G3487" s="35"/>
      <c r="H3487" s="36">
        <f t="shared" si="164"/>
        <v>35860.551299999999</v>
      </c>
      <c r="I3487" s="37">
        <f t="shared" si="162"/>
        <v>35860.551299999999</v>
      </c>
      <c r="J3487" s="4"/>
      <c r="K3487" s="38">
        <f t="shared" si="163"/>
        <v>0</v>
      </c>
    </row>
    <row r="3488" spans="1:11">
      <c r="A3488" t="s">
        <v>4639</v>
      </c>
      <c r="B3488" t="s">
        <v>10176</v>
      </c>
      <c r="C3488" t="s">
        <v>10157</v>
      </c>
      <c r="D3488" t="s">
        <v>10239</v>
      </c>
      <c r="E3488">
        <v>54288.36</v>
      </c>
      <c r="G3488" s="35"/>
      <c r="H3488" s="36">
        <f t="shared" si="164"/>
        <v>34201.666799999999</v>
      </c>
      <c r="I3488" s="37">
        <f t="shared" si="162"/>
        <v>34201.666799999999</v>
      </c>
      <c r="J3488" s="4"/>
      <c r="K3488" s="38">
        <f t="shared" si="163"/>
        <v>0</v>
      </c>
    </row>
    <row r="3489" spans="1:11">
      <c r="A3489" t="s">
        <v>4640</v>
      </c>
      <c r="B3489" t="s">
        <v>10176</v>
      </c>
      <c r="C3489" t="s">
        <v>10157</v>
      </c>
      <c r="D3489" t="s">
        <v>10240</v>
      </c>
      <c r="E3489">
        <v>310541.94</v>
      </c>
      <c r="G3489" s="35"/>
      <c r="H3489" s="36">
        <f t="shared" si="164"/>
        <v>195641.4222</v>
      </c>
      <c r="I3489" s="37">
        <f t="shared" si="162"/>
        <v>195641.4222</v>
      </c>
      <c r="J3489" s="4"/>
      <c r="K3489" s="38">
        <f t="shared" si="163"/>
        <v>0</v>
      </c>
    </row>
    <row r="3490" spans="1:11">
      <c r="A3490" t="s">
        <v>98</v>
      </c>
      <c r="B3490" t="s">
        <v>10176</v>
      </c>
      <c r="C3490" t="s">
        <v>5662</v>
      </c>
      <c r="D3490" t="s">
        <v>10191</v>
      </c>
      <c r="E3490">
        <v>140914.26999999999</v>
      </c>
      <c r="G3490" s="35"/>
      <c r="H3490" s="36">
        <f t="shared" si="164"/>
        <v>88775.990099999995</v>
      </c>
      <c r="I3490" s="37">
        <f t="shared" si="162"/>
        <v>88775.990099999995</v>
      </c>
      <c r="J3490" s="4"/>
      <c r="K3490" s="38">
        <f t="shared" si="163"/>
        <v>0</v>
      </c>
    </row>
    <row r="3491" spans="1:11">
      <c r="A3491" t="s">
        <v>99</v>
      </c>
      <c r="B3491" t="s">
        <v>10176</v>
      </c>
      <c r="C3491" t="s">
        <v>5662</v>
      </c>
      <c r="D3491" t="s">
        <v>10192</v>
      </c>
      <c r="E3491">
        <v>98631.9</v>
      </c>
      <c r="G3491" s="35"/>
      <c r="H3491" s="36">
        <f t="shared" si="164"/>
        <v>62138.096999999994</v>
      </c>
      <c r="I3491" s="37">
        <f t="shared" si="162"/>
        <v>62138.096999999994</v>
      </c>
      <c r="J3491" s="4"/>
      <c r="K3491" s="38">
        <f t="shared" si="163"/>
        <v>0</v>
      </c>
    </row>
    <row r="3492" spans="1:11">
      <c r="A3492" t="s">
        <v>100</v>
      </c>
      <c r="B3492" t="s">
        <v>10176</v>
      </c>
      <c r="C3492" t="s">
        <v>5662</v>
      </c>
      <c r="D3492" t="s">
        <v>10193</v>
      </c>
      <c r="E3492">
        <v>187403.46</v>
      </c>
      <c r="G3492" s="35"/>
      <c r="H3492" s="36">
        <f t="shared" si="164"/>
        <v>118064.1798</v>
      </c>
      <c r="I3492" s="37">
        <f t="shared" si="162"/>
        <v>118064.1798</v>
      </c>
      <c r="J3492" s="4"/>
      <c r="K3492" s="38">
        <f t="shared" si="163"/>
        <v>0</v>
      </c>
    </row>
    <row r="3493" spans="1:11">
      <c r="A3493" t="s">
        <v>101</v>
      </c>
      <c r="B3493" t="s">
        <v>10176</v>
      </c>
      <c r="C3493" t="s">
        <v>5662</v>
      </c>
      <c r="D3493" t="s">
        <v>7067</v>
      </c>
      <c r="E3493">
        <v>111671.65</v>
      </c>
      <c r="G3493" s="35"/>
      <c r="H3493" s="36">
        <f t="shared" si="164"/>
        <v>70353.13949999999</v>
      </c>
      <c r="I3493" s="37">
        <f t="shared" si="162"/>
        <v>70353.13949999999</v>
      </c>
      <c r="J3493" s="4"/>
      <c r="K3493" s="38">
        <f t="shared" si="163"/>
        <v>0</v>
      </c>
    </row>
    <row r="3494" spans="1:11">
      <c r="A3494" t="s">
        <v>102</v>
      </c>
      <c r="B3494" t="s">
        <v>10176</v>
      </c>
      <c r="C3494" t="s">
        <v>5662</v>
      </c>
      <c r="D3494" t="s">
        <v>10195</v>
      </c>
      <c r="E3494">
        <v>116985.12</v>
      </c>
      <c r="G3494" s="35"/>
      <c r="H3494" s="36">
        <f t="shared" si="164"/>
        <v>73700.625599999999</v>
      </c>
      <c r="I3494" s="37">
        <f t="shared" si="162"/>
        <v>73700.625599999999</v>
      </c>
      <c r="J3494" s="4"/>
      <c r="K3494" s="38">
        <f t="shared" si="163"/>
        <v>0</v>
      </c>
    </row>
    <row r="3495" spans="1:11">
      <c r="A3495" t="s">
        <v>208</v>
      </c>
      <c r="B3495" t="s">
        <v>10176</v>
      </c>
      <c r="C3495" t="s">
        <v>10152</v>
      </c>
      <c r="D3495" t="s">
        <v>10203</v>
      </c>
      <c r="E3495">
        <v>161164.23000000001</v>
      </c>
      <c r="G3495" s="35"/>
      <c r="H3495" s="36">
        <f t="shared" si="164"/>
        <v>101533.46490000001</v>
      </c>
      <c r="I3495" s="37">
        <f t="shared" si="162"/>
        <v>101533.46490000001</v>
      </c>
      <c r="J3495" s="4"/>
      <c r="K3495" s="38">
        <f t="shared" si="163"/>
        <v>0</v>
      </c>
    </row>
    <row r="3496" spans="1:11">
      <c r="A3496" t="s">
        <v>209</v>
      </c>
      <c r="B3496" t="s">
        <v>10176</v>
      </c>
      <c r="C3496" t="s">
        <v>10152</v>
      </c>
      <c r="D3496" t="s">
        <v>10382</v>
      </c>
      <c r="E3496">
        <v>125762.81</v>
      </c>
      <c r="G3496" s="35"/>
      <c r="H3496" s="36">
        <f t="shared" si="164"/>
        <v>79230.570299999992</v>
      </c>
      <c r="I3496" s="37">
        <f t="shared" si="162"/>
        <v>79230.570299999992</v>
      </c>
      <c r="J3496" s="4"/>
      <c r="K3496" s="38">
        <f t="shared" si="163"/>
        <v>0</v>
      </c>
    </row>
    <row r="3497" spans="1:11">
      <c r="A3497" t="s">
        <v>210</v>
      </c>
      <c r="B3497" t="s">
        <v>10176</v>
      </c>
      <c r="C3497" t="s">
        <v>10152</v>
      </c>
      <c r="D3497" t="s">
        <v>10196</v>
      </c>
      <c r="E3497">
        <v>112306.78</v>
      </c>
      <c r="G3497" s="35"/>
      <c r="H3497" s="36">
        <f t="shared" si="164"/>
        <v>70753.271399999998</v>
      </c>
      <c r="I3497" s="37">
        <f t="shared" si="162"/>
        <v>70753.271399999998</v>
      </c>
      <c r="J3497" s="4"/>
      <c r="K3497" s="38">
        <f t="shared" si="163"/>
        <v>0</v>
      </c>
    </row>
    <row r="3498" spans="1:11">
      <c r="A3498" t="s">
        <v>4702</v>
      </c>
      <c r="B3498" t="s">
        <v>10176</v>
      </c>
      <c r="C3498" t="s">
        <v>10166</v>
      </c>
      <c r="D3498" t="s">
        <v>10191</v>
      </c>
      <c r="E3498">
        <v>233549.12</v>
      </c>
      <c r="G3498" s="35"/>
      <c r="H3498" s="36">
        <f t="shared" si="164"/>
        <v>147135.94560000001</v>
      </c>
      <c r="I3498" s="37">
        <f t="shared" si="162"/>
        <v>147135.94560000001</v>
      </c>
      <c r="J3498" s="4"/>
      <c r="K3498" s="38">
        <f t="shared" si="163"/>
        <v>0</v>
      </c>
    </row>
    <row r="3499" spans="1:11">
      <c r="A3499" t="s">
        <v>4703</v>
      </c>
      <c r="B3499" t="s">
        <v>10176</v>
      </c>
      <c r="C3499" t="s">
        <v>10166</v>
      </c>
      <c r="D3499" t="s">
        <v>7067</v>
      </c>
      <c r="E3499">
        <v>116825.71</v>
      </c>
      <c r="G3499" s="35"/>
      <c r="H3499" s="36">
        <f t="shared" si="164"/>
        <v>73600.1973</v>
      </c>
      <c r="I3499" s="37">
        <f t="shared" si="162"/>
        <v>73600.1973</v>
      </c>
      <c r="J3499" s="4"/>
      <c r="K3499" s="38">
        <f t="shared" si="163"/>
        <v>0</v>
      </c>
    </row>
    <row r="3500" spans="1:11">
      <c r="A3500" t="s">
        <v>4704</v>
      </c>
      <c r="B3500" t="s">
        <v>10176</v>
      </c>
      <c r="C3500" t="s">
        <v>10166</v>
      </c>
      <c r="D3500" t="s">
        <v>7068</v>
      </c>
      <c r="E3500">
        <v>127156.54</v>
      </c>
      <c r="G3500" s="35"/>
      <c r="H3500" s="36">
        <f t="shared" si="164"/>
        <v>80108.62019999999</v>
      </c>
      <c r="I3500" s="37">
        <f t="shared" si="162"/>
        <v>80108.62019999999</v>
      </c>
      <c r="J3500" s="4"/>
      <c r="K3500" s="38">
        <f t="shared" si="163"/>
        <v>0</v>
      </c>
    </row>
    <row r="3501" spans="1:11">
      <c r="A3501" t="s">
        <v>4705</v>
      </c>
      <c r="B3501" t="s">
        <v>10176</v>
      </c>
      <c r="C3501" t="s">
        <v>10166</v>
      </c>
      <c r="D3501" t="s">
        <v>10197</v>
      </c>
      <c r="E3501">
        <v>212799.38</v>
      </c>
      <c r="G3501" s="35"/>
      <c r="H3501" s="36">
        <f t="shared" si="164"/>
        <v>134063.60940000002</v>
      </c>
      <c r="I3501" s="37">
        <f t="shared" si="162"/>
        <v>134063.60940000002</v>
      </c>
      <c r="J3501" s="4"/>
      <c r="K3501" s="38">
        <f t="shared" si="163"/>
        <v>0</v>
      </c>
    </row>
    <row r="3502" spans="1:11">
      <c r="A3502" t="s">
        <v>50</v>
      </c>
      <c r="B3502" t="s">
        <v>10176</v>
      </c>
      <c r="C3502" t="s">
        <v>5648</v>
      </c>
      <c r="D3502" t="s">
        <v>10191</v>
      </c>
      <c r="E3502">
        <v>376985.97</v>
      </c>
      <c r="G3502" s="35"/>
      <c r="H3502" s="36">
        <f t="shared" si="164"/>
        <v>237501.1611</v>
      </c>
      <c r="I3502" s="37">
        <f t="shared" si="162"/>
        <v>237501.1611</v>
      </c>
      <c r="J3502" s="4"/>
      <c r="K3502" s="38">
        <f t="shared" si="163"/>
        <v>0</v>
      </c>
    </row>
    <row r="3503" spans="1:11">
      <c r="A3503" t="s">
        <v>51</v>
      </c>
      <c r="B3503" t="s">
        <v>10176</v>
      </c>
      <c r="C3503" t="s">
        <v>5648</v>
      </c>
      <c r="D3503" t="s">
        <v>10192</v>
      </c>
      <c r="E3503">
        <v>235098.76</v>
      </c>
      <c r="G3503" s="35"/>
      <c r="H3503" s="36">
        <f t="shared" si="164"/>
        <v>148112.2188</v>
      </c>
      <c r="I3503" s="37">
        <f t="shared" si="162"/>
        <v>148112.2188</v>
      </c>
      <c r="J3503" s="4"/>
      <c r="K3503" s="38">
        <f t="shared" si="163"/>
        <v>0</v>
      </c>
    </row>
    <row r="3504" spans="1:11">
      <c r="A3504" t="s">
        <v>52</v>
      </c>
      <c r="B3504" t="s">
        <v>10176</v>
      </c>
      <c r="C3504" t="s">
        <v>5648</v>
      </c>
      <c r="D3504" t="s">
        <v>10193</v>
      </c>
      <c r="E3504">
        <v>419620.21</v>
      </c>
      <c r="G3504" s="35"/>
      <c r="H3504" s="36">
        <f t="shared" si="164"/>
        <v>264360.73230000003</v>
      </c>
      <c r="I3504" s="37">
        <f t="shared" si="162"/>
        <v>264360.73230000003</v>
      </c>
      <c r="J3504" s="4"/>
      <c r="K3504" s="38">
        <f t="shared" si="163"/>
        <v>0</v>
      </c>
    </row>
    <row r="3505" spans="1:11">
      <c r="A3505" t="s">
        <v>53</v>
      </c>
      <c r="B3505" t="s">
        <v>10176</v>
      </c>
      <c r="C3505" t="s">
        <v>5648</v>
      </c>
      <c r="D3505" t="s">
        <v>10194</v>
      </c>
      <c r="E3505">
        <v>274564.15999999997</v>
      </c>
      <c r="G3505" s="35"/>
      <c r="H3505" s="36">
        <f t="shared" si="164"/>
        <v>172975.42079999999</v>
      </c>
      <c r="I3505" s="37">
        <f t="shared" si="162"/>
        <v>172975.42079999999</v>
      </c>
      <c r="J3505" s="4"/>
      <c r="K3505" s="38">
        <f t="shared" si="163"/>
        <v>0</v>
      </c>
    </row>
    <row r="3506" spans="1:11">
      <c r="A3506" t="s">
        <v>200</v>
      </c>
      <c r="B3506" t="s">
        <v>10176</v>
      </c>
      <c r="C3506" t="s">
        <v>5648</v>
      </c>
      <c r="D3506" t="s">
        <v>7067</v>
      </c>
      <c r="E3506">
        <v>264296</v>
      </c>
      <c r="G3506" s="35"/>
      <c r="H3506" s="36">
        <f t="shared" si="164"/>
        <v>166506.48000000001</v>
      </c>
      <c r="I3506" s="37">
        <f t="shared" si="162"/>
        <v>166506.48000000001</v>
      </c>
      <c r="J3506" s="4"/>
      <c r="K3506" s="38">
        <f t="shared" si="163"/>
        <v>0</v>
      </c>
    </row>
    <row r="3507" spans="1:11">
      <c r="A3507" t="s">
        <v>54</v>
      </c>
      <c r="B3507" t="s">
        <v>10176</v>
      </c>
      <c r="C3507" t="s">
        <v>5648</v>
      </c>
      <c r="D3507" t="s">
        <v>10195</v>
      </c>
      <c r="E3507">
        <v>286738.25</v>
      </c>
      <c r="G3507" s="35"/>
      <c r="H3507" s="36">
        <f t="shared" si="164"/>
        <v>180645.0975</v>
      </c>
      <c r="I3507" s="37">
        <f t="shared" si="162"/>
        <v>180645.0975</v>
      </c>
      <c r="J3507" s="4"/>
      <c r="K3507" s="38">
        <f t="shared" si="163"/>
        <v>0</v>
      </c>
    </row>
    <row r="3508" spans="1:11">
      <c r="A3508" t="s">
        <v>201</v>
      </c>
      <c r="B3508" t="s">
        <v>10176</v>
      </c>
      <c r="C3508" t="s">
        <v>10148</v>
      </c>
      <c r="D3508" t="s">
        <v>10210</v>
      </c>
      <c r="E3508">
        <v>365033.58</v>
      </c>
      <c r="G3508" s="35"/>
      <c r="H3508" s="36">
        <f t="shared" si="164"/>
        <v>229971.15540000002</v>
      </c>
      <c r="I3508" s="37">
        <f t="shared" si="162"/>
        <v>229971.15540000002</v>
      </c>
      <c r="J3508" s="4"/>
      <c r="K3508" s="38">
        <f t="shared" si="163"/>
        <v>0</v>
      </c>
    </row>
    <row r="3509" spans="1:11">
      <c r="A3509" t="s">
        <v>4590</v>
      </c>
      <c r="B3509" t="s">
        <v>10176</v>
      </c>
      <c r="C3509" t="s">
        <v>10149</v>
      </c>
      <c r="D3509" t="s">
        <v>11391</v>
      </c>
      <c r="E3509">
        <v>365033.58</v>
      </c>
      <c r="G3509" s="35"/>
      <c r="H3509" s="36">
        <f t="shared" si="164"/>
        <v>229971.15540000002</v>
      </c>
      <c r="I3509" s="37">
        <f t="shared" si="162"/>
        <v>229971.15540000002</v>
      </c>
      <c r="J3509" s="4"/>
      <c r="K3509" s="38">
        <f t="shared" si="163"/>
        <v>0</v>
      </c>
    </row>
    <row r="3510" spans="1:11">
      <c r="A3510" t="s">
        <v>4658</v>
      </c>
      <c r="B3510" t="s">
        <v>10176</v>
      </c>
      <c r="C3510" t="s">
        <v>10160</v>
      </c>
      <c r="D3510" t="s">
        <v>11319</v>
      </c>
      <c r="E3510">
        <v>566090.18999999994</v>
      </c>
      <c r="G3510" s="35"/>
      <c r="H3510" s="36">
        <f t="shared" si="164"/>
        <v>356636.81969999999</v>
      </c>
      <c r="I3510" s="37">
        <f t="shared" si="162"/>
        <v>356636.81969999999</v>
      </c>
      <c r="J3510" s="4"/>
      <c r="K3510" s="38">
        <f t="shared" si="163"/>
        <v>0</v>
      </c>
    </row>
    <row r="3511" spans="1:11">
      <c r="A3511" t="s">
        <v>4659</v>
      </c>
      <c r="B3511" t="s">
        <v>10176</v>
      </c>
      <c r="C3511" t="s">
        <v>10160</v>
      </c>
      <c r="D3511" t="s">
        <v>10216</v>
      </c>
      <c r="E3511">
        <v>622699.21</v>
      </c>
      <c r="G3511" s="35"/>
      <c r="H3511" s="36">
        <f t="shared" si="164"/>
        <v>392300.50229999999</v>
      </c>
      <c r="I3511" s="37">
        <f t="shared" si="162"/>
        <v>392300.50229999999</v>
      </c>
      <c r="J3511" s="4"/>
      <c r="K3511" s="38">
        <f t="shared" si="163"/>
        <v>0</v>
      </c>
    </row>
    <row r="3512" spans="1:11">
      <c r="A3512" t="s">
        <v>4660</v>
      </c>
      <c r="B3512" t="s">
        <v>10176</v>
      </c>
      <c r="C3512" t="s">
        <v>10160</v>
      </c>
      <c r="D3512" t="s">
        <v>11397</v>
      </c>
      <c r="E3512">
        <v>349949.34</v>
      </c>
      <c r="G3512" s="35"/>
      <c r="H3512" s="36">
        <f t="shared" si="164"/>
        <v>220468.08420000001</v>
      </c>
      <c r="I3512" s="37">
        <f t="shared" si="162"/>
        <v>220468.08420000001</v>
      </c>
      <c r="J3512" s="4"/>
      <c r="K3512" s="38">
        <f t="shared" si="163"/>
        <v>0</v>
      </c>
    </row>
    <row r="3513" spans="1:11">
      <c r="A3513" t="s">
        <v>4661</v>
      </c>
      <c r="B3513" t="s">
        <v>10176</v>
      </c>
      <c r="C3513" t="s">
        <v>10160</v>
      </c>
      <c r="D3513" t="s">
        <v>7067</v>
      </c>
      <c r="E3513">
        <v>384944.43</v>
      </c>
      <c r="G3513" s="35"/>
      <c r="H3513" s="36">
        <f t="shared" si="164"/>
        <v>242514.9909</v>
      </c>
      <c r="I3513" s="37">
        <f t="shared" si="162"/>
        <v>242514.9909</v>
      </c>
      <c r="J3513" s="4"/>
      <c r="K3513" s="38">
        <f t="shared" si="163"/>
        <v>0</v>
      </c>
    </row>
    <row r="3514" spans="1:11">
      <c r="A3514" t="s">
        <v>4662</v>
      </c>
      <c r="B3514" t="s">
        <v>10176</v>
      </c>
      <c r="C3514" t="s">
        <v>10160</v>
      </c>
      <c r="D3514" t="s">
        <v>7054</v>
      </c>
      <c r="E3514">
        <v>273427.27</v>
      </c>
      <c r="G3514" s="35"/>
      <c r="H3514" s="36">
        <f t="shared" si="164"/>
        <v>172259.18010000003</v>
      </c>
      <c r="I3514" s="37">
        <f t="shared" si="162"/>
        <v>172259.18010000003</v>
      </c>
      <c r="J3514" s="4"/>
      <c r="K3514" s="38">
        <f t="shared" si="163"/>
        <v>0</v>
      </c>
    </row>
    <row r="3515" spans="1:11">
      <c r="A3515" t="s">
        <v>4663</v>
      </c>
      <c r="B3515" t="s">
        <v>10176</v>
      </c>
      <c r="C3515" t="s">
        <v>10160</v>
      </c>
      <c r="D3515" t="s">
        <v>7067</v>
      </c>
      <c r="E3515">
        <v>300770.23</v>
      </c>
      <c r="G3515" s="35"/>
      <c r="H3515" s="36">
        <f t="shared" si="164"/>
        <v>189485.24489999999</v>
      </c>
      <c r="I3515" s="37">
        <f t="shared" si="162"/>
        <v>189485.24489999999</v>
      </c>
      <c r="J3515" s="4"/>
      <c r="K3515" s="38">
        <f t="shared" si="163"/>
        <v>0</v>
      </c>
    </row>
    <row r="3516" spans="1:11">
      <c r="A3516" t="s">
        <v>4664</v>
      </c>
      <c r="B3516" t="s">
        <v>10176</v>
      </c>
      <c r="C3516" t="s">
        <v>10160</v>
      </c>
      <c r="D3516" t="s">
        <v>7055</v>
      </c>
      <c r="E3516">
        <v>366936.93</v>
      </c>
      <c r="G3516" s="35"/>
      <c r="H3516" s="36">
        <f t="shared" si="164"/>
        <v>231170.2659</v>
      </c>
      <c r="I3516" s="37">
        <f t="shared" si="162"/>
        <v>231170.2659</v>
      </c>
      <c r="J3516" s="4"/>
      <c r="K3516" s="38">
        <f t="shared" si="163"/>
        <v>0</v>
      </c>
    </row>
    <row r="3517" spans="1:11">
      <c r="A3517" t="s">
        <v>4665</v>
      </c>
      <c r="B3517" t="s">
        <v>10176</v>
      </c>
      <c r="C3517" t="s">
        <v>10160</v>
      </c>
      <c r="D3517" t="s">
        <v>10226</v>
      </c>
      <c r="E3517">
        <v>403630.91</v>
      </c>
      <c r="G3517" s="35"/>
      <c r="H3517" s="36">
        <f t="shared" si="164"/>
        <v>254287.47329999998</v>
      </c>
      <c r="I3517" s="37">
        <f t="shared" si="162"/>
        <v>254287.47329999998</v>
      </c>
      <c r="J3517" s="4"/>
      <c r="K3517" s="38">
        <f t="shared" si="163"/>
        <v>0</v>
      </c>
    </row>
    <row r="3518" spans="1:11">
      <c r="A3518" t="s">
        <v>4666</v>
      </c>
      <c r="B3518" t="s">
        <v>10176</v>
      </c>
      <c r="C3518" t="s">
        <v>10160</v>
      </c>
      <c r="D3518" t="s">
        <v>11398</v>
      </c>
      <c r="E3518">
        <v>387903.34</v>
      </c>
      <c r="G3518" s="35"/>
      <c r="H3518" s="36">
        <f t="shared" si="164"/>
        <v>244379.10420000003</v>
      </c>
      <c r="I3518" s="37">
        <f t="shared" si="162"/>
        <v>244379.10420000003</v>
      </c>
      <c r="J3518" s="4"/>
      <c r="K3518" s="38">
        <f t="shared" si="163"/>
        <v>0</v>
      </c>
    </row>
    <row r="3519" spans="1:11">
      <c r="A3519" t="s">
        <v>4667</v>
      </c>
      <c r="B3519" t="s">
        <v>10176</v>
      </c>
      <c r="C3519" t="s">
        <v>10160</v>
      </c>
      <c r="D3519" t="s">
        <v>10391</v>
      </c>
      <c r="E3519">
        <v>426693.63</v>
      </c>
      <c r="G3519" s="35"/>
      <c r="H3519" s="36">
        <f t="shared" si="164"/>
        <v>268816.98690000002</v>
      </c>
      <c r="I3519" s="37">
        <f t="shared" si="162"/>
        <v>268816.98690000002</v>
      </c>
      <c r="J3519" s="4"/>
      <c r="K3519" s="38">
        <f t="shared" si="163"/>
        <v>0</v>
      </c>
    </row>
    <row r="3520" spans="1:11">
      <c r="A3520" t="s">
        <v>4687</v>
      </c>
      <c r="B3520" t="s">
        <v>10176</v>
      </c>
      <c r="C3520" t="s">
        <v>10163</v>
      </c>
      <c r="D3520" t="s">
        <v>10191</v>
      </c>
      <c r="E3520">
        <v>369512.62</v>
      </c>
      <c r="G3520" s="35"/>
      <c r="H3520" s="36">
        <f t="shared" si="164"/>
        <v>232792.95060000001</v>
      </c>
      <c r="I3520" s="37">
        <f t="shared" si="162"/>
        <v>232792.95060000001</v>
      </c>
      <c r="J3520" s="4"/>
      <c r="K3520" s="38">
        <f t="shared" si="163"/>
        <v>0</v>
      </c>
    </row>
    <row r="3521" spans="1:11">
      <c r="A3521" t="s">
        <v>4688</v>
      </c>
      <c r="B3521" t="s">
        <v>10176</v>
      </c>
      <c r="C3521" t="s">
        <v>10163</v>
      </c>
      <c r="D3521" t="s">
        <v>11293</v>
      </c>
      <c r="E3521">
        <v>228427.64</v>
      </c>
      <c r="G3521" s="35"/>
      <c r="H3521" s="36">
        <f t="shared" si="164"/>
        <v>143909.41320000001</v>
      </c>
      <c r="I3521" s="37">
        <f t="shared" si="162"/>
        <v>143909.41320000001</v>
      </c>
      <c r="J3521" s="4"/>
      <c r="K3521" s="38">
        <f t="shared" si="163"/>
        <v>0</v>
      </c>
    </row>
    <row r="3522" spans="1:11">
      <c r="A3522" t="s">
        <v>4689</v>
      </c>
      <c r="B3522" t="s">
        <v>10176</v>
      </c>
      <c r="C3522" t="s">
        <v>10163</v>
      </c>
      <c r="D3522" t="s">
        <v>7067</v>
      </c>
      <c r="E3522">
        <v>178478.36</v>
      </c>
      <c r="G3522" s="35"/>
      <c r="H3522" s="36">
        <f t="shared" si="164"/>
        <v>112441.36679999999</v>
      </c>
      <c r="I3522" s="37">
        <f t="shared" si="162"/>
        <v>112441.36679999999</v>
      </c>
      <c r="J3522" s="4"/>
      <c r="K3522" s="38">
        <f t="shared" si="163"/>
        <v>0</v>
      </c>
    </row>
    <row r="3523" spans="1:11">
      <c r="A3523" t="s">
        <v>4690</v>
      </c>
      <c r="B3523" t="s">
        <v>10176</v>
      </c>
      <c r="C3523" t="s">
        <v>10163</v>
      </c>
      <c r="D3523" t="s">
        <v>7068</v>
      </c>
      <c r="E3523">
        <v>239516.21</v>
      </c>
      <c r="G3523" s="35"/>
      <c r="H3523" s="36">
        <f t="shared" si="164"/>
        <v>150895.21229999998</v>
      </c>
      <c r="I3523" s="37">
        <f t="shared" si="162"/>
        <v>150895.21229999998</v>
      </c>
      <c r="J3523" s="4"/>
      <c r="K3523" s="38">
        <f t="shared" si="163"/>
        <v>0</v>
      </c>
    </row>
    <row r="3524" spans="1:11">
      <c r="A3524" t="s">
        <v>4691</v>
      </c>
      <c r="B3524" t="s">
        <v>10176</v>
      </c>
      <c r="C3524" t="s">
        <v>10163</v>
      </c>
      <c r="D3524" t="s">
        <v>10197</v>
      </c>
      <c r="E3524">
        <v>253202</v>
      </c>
      <c r="G3524" s="35"/>
      <c r="H3524" s="36">
        <f t="shared" si="164"/>
        <v>159517.26</v>
      </c>
      <c r="I3524" s="37">
        <f t="shared" si="162"/>
        <v>159517.26</v>
      </c>
      <c r="J3524" s="4"/>
      <c r="K3524" s="38">
        <f t="shared" si="163"/>
        <v>0</v>
      </c>
    </row>
    <row r="3525" spans="1:11">
      <c r="A3525" t="s">
        <v>4490</v>
      </c>
      <c r="B3525" t="s">
        <v>10176</v>
      </c>
      <c r="C3525" t="s">
        <v>5749</v>
      </c>
      <c r="D3525" t="s">
        <v>10325</v>
      </c>
      <c r="E3525">
        <v>2241.6999999999998</v>
      </c>
      <c r="G3525" s="35"/>
      <c r="H3525" s="36">
        <f t="shared" si="164"/>
        <v>1412.271</v>
      </c>
      <c r="I3525" s="37">
        <f t="shared" si="162"/>
        <v>1412.271</v>
      </c>
      <c r="J3525" s="4"/>
      <c r="K3525" s="38">
        <f t="shared" si="163"/>
        <v>0</v>
      </c>
    </row>
    <row r="3526" spans="1:11">
      <c r="A3526" t="s">
        <v>4491</v>
      </c>
      <c r="B3526" t="s">
        <v>10176</v>
      </c>
      <c r="C3526" t="s">
        <v>5749</v>
      </c>
      <c r="D3526" t="s">
        <v>10326</v>
      </c>
      <c r="E3526">
        <v>3249.45</v>
      </c>
      <c r="G3526" s="35"/>
      <c r="H3526" s="36">
        <f t="shared" si="164"/>
        <v>2047.1534999999999</v>
      </c>
      <c r="I3526" s="37">
        <f t="shared" ref="I3526:I3589" si="165">H3526*$H$4</f>
        <v>2047.1534999999999</v>
      </c>
      <c r="J3526" s="4"/>
      <c r="K3526" s="38">
        <f t="shared" ref="K3526:K3589" si="166">J3526*I3526</f>
        <v>0</v>
      </c>
    </row>
    <row r="3527" spans="1:11">
      <c r="A3527" t="s">
        <v>4492</v>
      </c>
      <c r="B3527" t="s">
        <v>10176</v>
      </c>
      <c r="C3527" t="s">
        <v>5749</v>
      </c>
      <c r="D3527" t="s">
        <v>10327</v>
      </c>
      <c r="E3527">
        <v>16467.14</v>
      </c>
      <c r="G3527" s="35"/>
      <c r="H3527" s="36">
        <f t="shared" ref="H3527:H3590" si="167">+E3527*$H$1*(1-G3527)</f>
        <v>10374.298199999999</v>
      </c>
      <c r="I3527" s="37">
        <f t="shared" si="165"/>
        <v>10374.298199999999</v>
      </c>
      <c r="J3527" s="4"/>
      <c r="K3527" s="38">
        <f t="shared" si="166"/>
        <v>0</v>
      </c>
    </row>
    <row r="3528" spans="1:11">
      <c r="A3528" t="s">
        <v>4493</v>
      </c>
      <c r="B3528" t="s">
        <v>10176</v>
      </c>
      <c r="C3528" t="s">
        <v>5749</v>
      </c>
      <c r="D3528" t="s">
        <v>10328</v>
      </c>
      <c r="E3528">
        <v>24925.32</v>
      </c>
      <c r="G3528" s="35"/>
      <c r="H3528" s="36">
        <f t="shared" si="167"/>
        <v>15702.9516</v>
      </c>
      <c r="I3528" s="37">
        <f t="shared" si="165"/>
        <v>15702.9516</v>
      </c>
      <c r="J3528" s="4"/>
      <c r="K3528" s="38">
        <f t="shared" si="166"/>
        <v>0</v>
      </c>
    </row>
    <row r="3529" spans="1:11">
      <c r="A3529" t="s">
        <v>4494</v>
      </c>
      <c r="B3529" t="s">
        <v>10176</v>
      </c>
      <c r="C3529" t="s">
        <v>5749</v>
      </c>
      <c r="D3529" t="s">
        <v>10329</v>
      </c>
      <c r="E3529">
        <v>35839.57</v>
      </c>
      <c r="G3529" s="35"/>
      <c r="H3529" s="36">
        <f t="shared" si="167"/>
        <v>22578.929100000001</v>
      </c>
      <c r="I3529" s="37">
        <f t="shared" si="165"/>
        <v>22578.929100000001</v>
      </c>
      <c r="J3529" s="4"/>
      <c r="K3529" s="38">
        <f t="shared" si="166"/>
        <v>0</v>
      </c>
    </row>
    <row r="3530" spans="1:11">
      <c r="A3530" t="s">
        <v>4495</v>
      </c>
      <c r="B3530" t="s">
        <v>10176</v>
      </c>
      <c r="C3530" t="s">
        <v>5749</v>
      </c>
      <c r="D3530" t="s">
        <v>10329</v>
      </c>
      <c r="E3530">
        <v>17812.27</v>
      </c>
      <c r="G3530" s="35"/>
      <c r="H3530" s="36">
        <f t="shared" si="167"/>
        <v>11221.730100000001</v>
      </c>
      <c r="I3530" s="37">
        <f t="shared" si="165"/>
        <v>11221.730100000001</v>
      </c>
      <c r="J3530" s="4"/>
      <c r="K3530" s="38">
        <f t="shared" si="166"/>
        <v>0</v>
      </c>
    </row>
    <row r="3531" spans="1:11">
      <c r="A3531" t="s">
        <v>4496</v>
      </c>
      <c r="B3531" t="s">
        <v>10176</v>
      </c>
      <c r="C3531" t="s">
        <v>5749</v>
      </c>
      <c r="D3531" t="s">
        <v>10330</v>
      </c>
      <c r="E3531">
        <v>7997.85</v>
      </c>
      <c r="G3531" s="35"/>
      <c r="H3531" s="36">
        <f t="shared" si="167"/>
        <v>5038.6455000000005</v>
      </c>
      <c r="I3531" s="37">
        <f t="shared" si="165"/>
        <v>5038.6455000000005</v>
      </c>
      <c r="J3531" s="4"/>
      <c r="K3531" s="38">
        <f t="shared" si="166"/>
        <v>0</v>
      </c>
    </row>
    <row r="3532" spans="1:11">
      <c r="A3532" t="s">
        <v>4497</v>
      </c>
      <c r="B3532" t="s">
        <v>10176</v>
      </c>
      <c r="C3532" t="s">
        <v>5749</v>
      </c>
      <c r="D3532" t="s">
        <v>10331</v>
      </c>
      <c r="E3532">
        <v>7997.85</v>
      </c>
      <c r="G3532" s="35"/>
      <c r="H3532" s="36">
        <f t="shared" si="167"/>
        <v>5038.6455000000005</v>
      </c>
      <c r="I3532" s="37">
        <f t="shared" si="165"/>
        <v>5038.6455000000005</v>
      </c>
      <c r="J3532" s="4"/>
      <c r="K3532" s="38">
        <f t="shared" si="166"/>
        <v>0</v>
      </c>
    </row>
    <row r="3533" spans="1:11">
      <c r="A3533" t="s">
        <v>4498</v>
      </c>
      <c r="B3533" t="s">
        <v>10176</v>
      </c>
      <c r="C3533" t="s">
        <v>5749</v>
      </c>
      <c r="D3533" t="s">
        <v>10329</v>
      </c>
      <c r="E3533">
        <v>22489.02</v>
      </c>
      <c r="G3533" s="35"/>
      <c r="H3533" s="36">
        <f t="shared" si="167"/>
        <v>14168.0826</v>
      </c>
      <c r="I3533" s="37">
        <f t="shared" si="165"/>
        <v>14168.0826</v>
      </c>
      <c r="J3533" s="4"/>
      <c r="K3533" s="38">
        <f t="shared" si="166"/>
        <v>0</v>
      </c>
    </row>
    <row r="3534" spans="1:11">
      <c r="A3534" t="s">
        <v>4499</v>
      </c>
      <c r="B3534" t="s">
        <v>10176</v>
      </c>
      <c r="C3534" t="s">
        <v>5749</v>
      </c>
      <c r="D3534" t="s">
        <v>10329</v>
      </c>
      <c r="E3534">
        <v>25716.21</v>
      </c>
      <c r="G3534" s="35"/>
      <c r="H3534" s="36">
        <f t="shared" si="167"/>
        <v>16201.212299999999</v>
      </c>
      <c r="I3534" s="37">
        <f t="shared" si="165"/>
        <v>16201.212299999999</v>
      </c>
      <c r="J3534" s="4"/>
      <c r="K3534" s="38">
        <f t="shared" si="166"/>
        <v>0</v>
      </c>
    </row>
    <row r="3535" spans="1:11">
      <c r="A3535" t="s">
        <v>4500</v>
      </c>
      <c r="B3535" t="s">
        <v>10176</v>
      </c>
      <c r="C3535" t="s">
        <v>5749</v>
      </c>
      <c r="D3535" t="s">
        <v>10332</v>
      </c>
      <c r="E3535">
        <v>4877.55</v>
      </c>
      <c r="G3535" s="35"/>
      <c r="H3535" s="36">
        <f t="shared" si="167"/>
        <v>3072.8565000000003</v>
      </c>
      <c r="I3535" s="37">
        <f t="shared" si="165"/>
        <v>3072.8565000000003</v>
      </c>
      <c r="J3535" s="4"/>
      <c r="K3535" s="38">
        <f t="shared" si="166"/>
        <v>0</v>
      </c>
    </row>
    <row r="3536" spans="1:11">
      <c r="A3536" t="s">
        <v>4501</v>
      </c>
      <c r="B3536" t="s">
        <v>10176</v>
      </c>
      <c r="C3536" t="s">
        <v>5749</v>
      </c>
      <c r="D3536" t="s">
        <v>10333</v>
      </c>
      <c r="E3536">
        <v>8613.8799999999992</v>
      </c>
      <c r="G3536" s="35"/>
      <c r="H3536" s="36">
        <f t="shared" si="167"/>
        <v>5426.7443999999996</v>
      </c>
      <c r="I3536" s="37">
        <f t="shared" si="165"/>
        <v>5426.7443999999996</v>
      </c>
      <c r="J3536" s="4"/>
      <c r="K3536" s="38">
        <f t="shared" si="166"/>
        <v>0</v>
      </c>
    </row>
    <row r="3537" spans="1:11">
      <c r="A3537" t="s">
        <v>4502</v>
      </c>
      <c r="B3537" t="s">
        <v>10176</v>
      </c>
      <c r="C3537" t="s">
        <v>5749</v>
      </c>
      <c r="D3537" t="s">
        <v>10615</v>
      </c>
      <c r="E3537">
        <v>4175.0200000000004</v>
      </c>
      <c r="G3537" s="35"/>
      <c r="H3537" s="36">
        <f t="shared" si="167"/>
        <v>2630.2626000000005</v>
      </c>
      <c r="I3537" s="37">
        <f t="shared" si="165"/>
        <v>2630.2626000000005</v>
      </c>
      <c r="J3537" s="4"/>
      <c r="K3537" s="38">
        <f t="shared" si="166"/>
        <v>0</v>
      </c>
    </row>
    <row r="3538" spans="1:11">
      <c r="A3538" t="s">
        <v>4503</v>
      </c>
      <c r="B3538" t="s">
        <v>10176</v>
      </c>
      <c r="C3538" t="s">
        <v>5749</v>
      </c>
      <c r="D3538" t="s">
        <v>10334</v>
      </c>
      <c r="E3538">
        <v>4309.09</v>
      </c>
      <c r="G3538" s="35"/>
      <c r="H3538" s="36">
        <f t="shared" si="167"/>
        <v>2714.7267000000002</v>
      </c>
      <c r="I3538" s="37">
        <f t="shared" si="165"/>
        <v>2714.7267000000002</v>
      </c>
      <c r="J3538" s="4"/>
      <c r="K3538" s="38">
        <f t="shared" si="166"/>
        <v>0</v>
      </c>
    </row>
    <row r="3539" spans="1:11">
      <c r="A3539" t="s">
        <v>4504</v>
      </c>
      <c r="B3539" t="s">
        <v>10176</v>
      </c>
      <c r="C3539" t="s">
        <v>5749</v>
      </c>
      <c r="D3539" t="s">
        <v>5750</v>
      </c>
      <c r="E3539">
        <v>12292.12</v>
      </c>
      <c r="G3539" s="35"/>
      <c r="H3539" s="36">
        <f t="shared" si="167"/>
        <v>7744.0356000000002</v>
      </c>
      <c r="I3539" s="37">
        <f t="shared" si="165"/>
        <v>7744.0356000000002</v>
      </c>
      <c r="J3539" s="4"/>
      <c r="K3539" s="38">
        <f t="shared" si="166"/>
        <v>0</v>
      </c>
    </row>
    <row r="3540" spans="1:11">
      <c r="A3540" t="s">
        <v>4487</v>
      </c>
      <c r="B3540" t="s">
        <v>10176</v>
      </c>
      <c r="C3540" t="s">
        <v>5749</v>
      </c>
      <c r="D3540" t="s">
        <v>10323</v>
      </c>
      <c r="E3540">
        <v>38207.29</v>
      </c>
      <c r="G3540" s="35"/>
      <c r="H3540" s="36">
        <f t="shared" si="167"/>
        <v>24070.592700000001</v>
      </c>
      <c r="I3540" s="37">
        <f t="shared" si="165"/>
        <v>24070.592700000001</v>
      </c>
      <c r="J3540" s="4"/>
      <c r="K3540" s="38">
        <f t="shared" si="166"/>
        <v>0</v>
      </c>
    </row>
    <row r="3541" spans="1:11">
      <c r="A3541" t="s">
        <v>4488</v>
      </c>
      <c r="B3541" t="s">
        <v>10176</v>
      </c>
      <c r="C3541" t="s">
        <v>5749</v>
      </c>
      <c r="D3541" t="s">
        <v>10324</v>
      </c>
      <c r="E3541">
        <v>25210.79</v>
      </c>
      <c r="G3541" s="35"/>
      <c r="H3541" s="36">
        <f t="shared" si="167"/>
        <v>15882.797700000001</v>
      </c>
      <c r="I3541" s="37">
        <f t="shared" si="165"/>
        <v>15882.797700000001</v>
      </c>
      <c r="J3541" s="4"/>
      <c r="K3541" s="38">
        <f t="shared" si="166"/>
        <v>0</v>
      </c>
    </row>
    <row r="3542" spans="1:11">
      <c r="A3542" t="s">
        <v>4489</v>
      </c>
      <c r="B3542" t="s">
        <v>10176</v>
      </c>
      <c r="C3542" t="s">
        <v>5749</v>
      </c>
      <c r="D3542" t="s">
        <v>10614</v>
      </c>
      <c r="E3542">
        <v>5338.49</v>
      </c>
      <c r="G3542" s="35"/>
      <c r="H3542" s="36">
        <f t="shared" si="167"/>
        <v>3363.2487000000001</v>
      </c>
      <c r="I3542" s="37">
        <f t="shared" si="165"/>
        <v>3363.2487000000001</v>
      </c>
      <c r="J3542" s="4"/>
      <c r="K3542" s="38">
        <f t="shared" si="166"/>
        <v>0</v>
      </c>
    </row>
    <row r="3543" spans="1:11">
      <c r="A3543" t="s">
        <v>4505</v>
      </c>
      <c r="B3543" t="s">
        <v>10176</v>
      </c>
      <c r="C3543" t="s">
        <v>5749</v>
      </c>
      <c r="D3543" t="s">
        <v>10335</v>
      </c>
      <c r="E3543">
        <v>5764.2</v>
      </c>
      <c r="G3543" s="35"/>
      <c r="H3543" s="36">
        <f t="shared" si="167"/>
        <v>3631.4459999999999</v>
      </c>
      <c r="I3543" s="37">
        <f t="shared" si="165"/>
        <v>3631.4459999999999</v>
      </c>
      <c r="J3543" s="4"/>
      <c r="K3543" s="38">
        <f t="shared" si="166"/>
        <v>0</v>
      </c>
    </row>
    <row r="3544" spans="1:11">
      <c r="A3544" t="s">
        <v>55</v>
      </c>
      <c r="B3544" t="s">
        <v>10176</v>
      </c>
      <c r="C3544" t="s">
        <v>5649</v>
      </c>
      <c r="D3544" t="s">
        <v>10191</v>
      </c>
      <c r="E3544">
        <v>172922.23999999999</v>
      </c>
      <c r="G3544" s="35"/>
      <c r="H3544" s="36">
        <f t="shared" si="167"/>
        <v>108941.01119999999</v>
      </c>
      <c r="I3544" s="37">
        <f t="shared" si="165"/>
        <v>108941.01119999999</v>
      </c>
      <c r="J3544" s="4"/>
      <c r="K3544" s="38">
        <f t="shared" si="166"/>
        <v>0</v>
      </c>
    </row>
    <row r="3545" spans="1:11">
      <c r="A3545" t="s">
        <v>56</v>
      </c>
      <c r="B3545" t="s">
        <v>10176</v>
      </c>
      <c r="C3545" t="s">
        <v>5649</v>
      </c>
      <c r="D3545" t="s">
        <v>10192</v>
      </c>
      <c r="E3545">
        <v>124881.69</v>
      </c>
      <c r="G3545" s="35"/>
      <c r="H3545" s="36">
        <f t="shared" si="167"/>
        <v>78675.464699999997</v>
      </c>
      <c r="I3545" s="37">
        <f t="shared" si="165"/>
        <v>78675.464699999997</v>
      </c>
      <c r="J3545" s="4"/>
      <c r="K3545" s="38">
        <f t="shared" si="166"/>
        <v>0</v>
      </c>
    </row>
    <row r="3546" spans="1:11">
      <c r="A3546" t="s">
        <v>57</v>
      </c>
      <c r="B3546" t="s">
        <v>10176</v>
      </c>
      <c r="C3546" t="s">
        <v>5649</v>
      </c>
      <c r="D3546" t="s">
        <v>10193</v>
      </c>
      <c r="E3546">
        <v>263991.23</v>
      </c>
      <c r="G3546" s="35"/>
      <c r="H3546" s="36">
        <f t="shared" si="167"/>
        <v>166314.4749</v>
      </c>
      <c r="I3546" s="37">
        <f t="shared" si="165"/>
        <v>166314.4749</v>
      </c>
      <c r="J3546" s="4"/>
      <c r="K3546" s="38">
        <f t="shared" si="166"/>
        <v>0</v>
      </c>
    </row>
    <row r="3547" spans="1:11">
      <c r="A3547" t="s">
        <v>58</v>
      </c>
      <c r="B3547" t="s">
        <v>10176</v>
      </c>
      <c r="C3547" t="s">
        <v>5649</v>
      </c>
      <c r="D3547" t="s">
        <v>7067</v>
      </c>
      <c r="E3547">
        <v>130532.55</v>
      </c>
      <c r="G3547" s="35"/>
      <c r="H3547" s="36">
        <f t="shared" si="167"/>
        <v>82235.506500000003</v>
      </c>
      <c r="I3547" s="37">
        <f t="shared" si="165"/>
        <v>82235.506500000003</v>
      </c>
      <c r="J3547" s="4"/>
      <c r="K3547" s="38">
        <f t="shared" si="166"/>
        <v>0</v>
      </c>
    </row>
    <row r="3548" spans="1:11">
      <c r="A3548" t="s">
        <v>59</v>
      </c>
      <c r="B3548" t="s">
        <v>10176</v>
      </c>
      <c r="C3548" t="s">
        <v>5649</v>
      </c>
      <c r="D3548" t="s">
        <v>10195</v>
      </c>
      <c r="E3548">
        <v>140200.89000000001</v>
      </c>
      <c r="G3548" s="35"/>
      <c r="H3548" s="36">
        <f t="shared" si="167"/>
        <v>88326.560700000016</v>
      </c>
      <c r="I3548" s="37">
        <f t="shared" si="165"/>
        <v>88326.560700000016</v>
      </c>
      <c r="J3548" s="4"/>
      <c r="K3548" s="38">
        <f t="shared" si="166"/>
        <v>0</v>
      </c>
    </row>
    <row r="3549" spans="1:11">
      <c r="A3549" t="s">
        <v>60</v>
      </c>
      <c r="B3549" t="s">
        <v>10176</v>
      </c>
      <c r="C3549" t="s">
        <v>5649</v>
      </c>
      <c r="D3549" t="s">
        <v>10196</v>
      </c>
      <c r="E3549">
        <v>162230.68</v>
      </c>
      <c r="G3549" s="35"/>
      <c r="H3549" s="36">
        <f t="shared" si="167"/>
        <v>102205.3284</v>
      </c>
      <c r="I3549" s="37">
        <f t="shared" si="165"/>
        <v>102205.3284</v>
      </c>
      <c r="J3549" s="4"/>
      <c r="K3549" s="38">
        <f t="shared" si="166"/>
        <v>0</v>
      </c>
    </row>
    <row r="3550" spans="1:11">
      <c r="A3550" t="s">
        <v>12691</v>
      </c>
      <c r="B3550" t="s">
        <v>10176</v>
      </c>
      <c r="C3550" t="s">
        <v>12692</v>
      </c>
      <c r="D3550" t="s">
        <v>12693</v>
      </c>
      <c r="E3550">
        <v>259480.69</v>
      </c>
      <c r="G3550" s="35"/>
      <c r="H3550" s="36">
        <f t="shared" si="167"/>
        <v>163472.83470000001</v>
      </c>
      <c r="I3550" s="37">
        <f t="shared" si="165"/>
        <v>163472.83470000001</v>
      </c>
      <c r="J3550" s="4"/>
      <c r="K3550" s="38">
        <f t="shared" si="166"/>
        <v>0</v>
      </c>
    </row>
    <row r="3551" spans="1:11">
      <c r="A3551" t="s">
        <v>12694</v>
      </c>
      <c r="B3551" t="s">
        <v>10176</v>
      </c>
      <c r="C3551" t="s">
        <v>12692</v>
      </c>
      <c r="D3551" t="s">
        <v>12695</v>
      </c>
      <c r="E3551">
        <v>235891.74</v>
      </c>
      <c r="G3551" s="35"/>
      <c r="H3551" s="36">
        <f t="shared" si="167"/>
        <v>148611.79619999998</v>
      </c>
      <c r="I3551" s="37">
        <f t="shared" si="165"/>
        <v>148611.79619999998</v>
      </c>
      <c r="J3551" s="4"/>
      <c r="K3551" s="38">
        <f t="shared" si="166"/>
        <v>0</v>
      </c>
    </row>
    <row r="3552" spans="1:11">
      <c r="A3552" t="s">
        <v>12696</v>
      </c>
      <c r="B3552" t="s">
        <v>10176</v>
      </c>
      <c r="C3552" t="s">
        <v>12692</v>
      </c>
      <c r="D3552" t="s">
        <v>12697</v>
      </c>
      <c r="E3552">
        <v>259480.69</v>
      </c>
      <c r="G3552" s="35"/>
      <c r="H3552" s="36">
        <f t="shared" si="167"/>
        <v>163472.83470000001</v>
      </c>
      <c r="I3552" s="37">
        <f t="shared" si="165"/>
        <v>163472.83470000001</v>
      </c>
      <c r="J3552" s="4"/>
      <c r="K3552" s="38">
        <f t="shared" si="166"/>
        <v>0</v>
      </c>
    </row>
    <row r="3553" spans="1:11">
      <c r="A3553" t="s">
        <v>12698</v>
      </c>
      <c r="B3553" t="s">
        <v>10176</v>
      </c>
      <c r="C3553" t="s">
        <v>12692</v>
      </c>
      <c r="D3553" t="s">
        <v>12699</v>
      </c>
      <c r="E3553">
        <v>176838.54</v>
      </c>
      <c r="G3553" s="35"/>
      <c r="H3553" s="36">
        <f t="shared" si="167"/>
        <v>111408.28020000001</v>
      </c>
      <c r="I3553" s="37">
        <f t="shared" si="165"/>
        <v>111408.28020000001</v>
      </c>
      <c r="J3553" s="4"/>
      <c r="K3553" s="38">
        <f t="shared" si="166"/>
        <v>0</v>
      </c>
    </row>
    <row r="3554" spans="1:11">
      <c r="A3554" t="s">
        <v>12700</v>
      </c>
      <c r="B3554" t="s">
        <v>10176</v>
      </c>
      <c r="C3554" t="s">
        <v>12692</v>
      </c>
      <c r="D3554" t="s">
        <v>12701</v>
      </c>
      <c r="E3554">
        <v>160762.51999999999</v>
      </c>
      <c r="G3554" s="35"/>
      <c r="H3554" s="36">
        <f t="shared" si="167"/>
        <v>101280.38759999999</v>
      </c>
      <c r="I3554" s="37">
        <f t="shared" si="165"/>
        <v>101280.38759999999</v>
      </c>
      <c r="J3554" s="4"/>
      <c r="K3554" s="38">
        <f t="shared" si="166"/>
        <v>0</v>
      </c>
    </row>
    <row r="3555" spans="1:11">
      <c r="A3555" t="s">
        <v>12702</v>
      </c>
      <c r="B3555" t="s">
        <v>10176</v>
      </c>
      <c r="C3555" t="s">
        <v>12692</v>
      </c>
      <c r="D3555" t="s">
        <v>12703</v>
      </c>
      <c r="E3555">
        <v>176838.54</v>
      </c>
      <c r="G3555" s="35"/>
      <c r="H3555" s="36">
        <f t="shared" si="167"/>
        <v>111408.28020000001</v>
      </c>
      <c r="I3555" s="37">
        <f t="shared" si="165"/>
        <v>111408.28020000001</v>
      </c>
      <c r="J3555" s="4"/>
      <c r="K3555" s="38">
        <f t="shared" si="166"/>
        <v>0</v>
      </c>
    </row>
    <row r="3556" spans="1:11">
      <c r="A3556" t="s">
        <v>12704</v>
      </c>
      <c r="B3556" t="s">
        <v>10176</v>
      </c>
      <c r="C3556" t="s">
        <v>12692</v>
      </c>
      <c r="D3556" t="s">
        <v>12705</v>
      </c>
      <c r="E3556">
        <v>260248.91</v>
      </c>
      <c r="G3556" s="35"/>
      <c r="H3556" s="36">
        <f t="shared" si="167"/>
        <v>163956.81330000001</v>
      </c>
      <c r="I3556" s="37">
        <f t="shared" si="165"/>
        <v>163956.81330000001</v>
      </c>
      <c r="J3556" s="4"/>
      <c r="K3556" s="38">
        <f t="shared" si="166"/>
        <v>0</v>
      </c>
    </row>
    <row r="3557" spans="1:11">
      <c r="A3557" t="s">
        <v>12706</v>
      </c>
      <c r="B3557" t="s">
        <v>10176</v>
      </c>
      <c r="C3557" t="s">
        <v>12692</v>
      </c>
      <c r="D3557" t="s">
        <v>12707</v>
      </c>
      <c r="E3557">
        <v>236589.76</v>
      </c>
      <c r="G3557" s="35"/>
      <c r="H3557" s="36">
        <f t="shared" si="167"/>
        <v>149051.54880000002</v>
      </c>
      <c r="I3557" s="37">
        <f t="shared" si="165"/>
        <v>149051.54880000002</v>
      </c>
      <c r="J3557" s="4"/>
      <c r="K3557" s="38">
        <f t="shared" si="166"/>
        <v>0</v>
      </c>
    </row>
    <row r="3558" spans="1:11">
      <c r="A3558" t="s">
        <v>12708</v>
      </c>
      <c r="B3558" t="s">
        <v>10176</v>
      </c>
      <c r="C3558" t="s">
        <v>12692</v>
      </c>
      <c r="D3558" t="s">
        <v>12709</v>
      </c>
      <c r="E3558">
        <v>260248.91</v>
      </c>
      <c r="G3558" s="35"/>
      <c r="H3558" s="36">
        <f t="shared" si="167"/>
        <v>163956.81330000001</v>
      </c>
      <c r="I3558" s="37">
        <f t="shared" si="165"/>
        <v>163956.81330000001</v>
      </c>
      <c r="J3558" s="4"/>
      <c r="K3558" s="38">
        <f t="shared" si="166"/>
        <v>0</v>
      </c>
    </row>
    <row r="3559" spans="1:11">
      <c r="A3559" t="s">
        <v>12710</v>
      </c>
      <c r="B3559" t="s">
        <v>10176</v>
      </c>
      <c r="C3559" t="s">
        <v>12692</v>
      </c>
      <c r="D3559" t="s">
        <v>12711</v>
      </c>
      <c r="E3559">
        <v>227200.91</v>
      </c>
      <c r="G3559" s="35"/>
      <c r="H3559" s="36">
        <f t="shared" si="167"/>
        <v>143136.57329999999</v>
      </c>
      <c r="I3559" s="37">
        <f t="shared" si="165"/>
        <v>143136.57329999999</v>
      </c>
      <c r="J3559" s="4"/>
      <c r="K3559" s="38">
        <f t="shared" si="166"/>
        <v>0</v>
      </c>
    </row>
    <row r="3560" spans="1:11">
      <c r="A3560" t="s">
        <v>12712</v>
      </c>
      <c r="B3560" t="s">
        <v>10176</v>
      </c>
      <c r="C3560" t="s">
        <v>12692</v>
      </c>
      <c r="D3560" t="s">
        <v>12713</v>
      </c>
      <c r="E3560">
        <v>206546.7</v>
      </c>
      <c r="G3560" s="35"/>
      <c r="H3560" s="36">
        <f t="shared" si="167"/>
        <v>130124.421</v>
      </c>
      <c r="I3560" s="37">
        <f t="shared" si="165"/>
        <v>130124.421</v>
      </c>
      <c r="J3560" s="4"/>
      <c r="K3560" s="38">
        <f t="shared" si="166"/>
        <v>0</v>
      </c>
    </row>
    <row r="3561" spans="1:11">
      <c r="A3561" t="s">
        <v>12714</v>
      </c>
      <c r="B3561" t="s">
        <v>10176</v>
      </c>
      <c r="C3561" t="s">
        <v>12692</v>
      </c>
      <c r="D3561" t="s">
        <v>12715</v>
      </c>
      <c r="E3561">
        <v>227200.91</v>
      </c>
      <c r="G3561" s="35"/>
      <c r="H3561" s="36">
        <f t="shared" si="167"/>
        <v>143136.57329999999</v>
      </c>
      <c r="I3561" s="37">
        <f t="shared" si="165"/>
        <v>143136.57329999999</v>
      </c>
      <c r="J3561" s="4"/>
      <c r="K3561" s="38">
        <f t="shared" si="166"/>
        <v>0</v>
      </c>
    </row>
    <row r="3562" spans="1:11">
      <c r="A3562" t="s">
        <v>12716</v>
      </c>
      <c r="B3562" t="s">
        <v>10176</v>
      </c>
      <c r="C3562" t="s">
        <v>12692</v>
      </c>
      <c r="D3562" t="s">
        <v>12711</v>
      </c>
      <c r="E3562">
        <v>227200.91</v>
      </c>
      <c r="G3562" s="35"/>
      <c r="H3562" s="36">
        <f t="shared" si="167"/>
        <v>143136.57329999999</v>
      </c>
      <c r="I3562" s="37">
        <f t="shared" si="165"/>
        <v>143136.57329999999</v>
      </c>
      <c r="J3562" s="4"/>
      <c r="K3562" s="38">
        <f t="shared" si="166"/>
        <v>0</v>
      </c>
    </row>
    <row r="3563" spans="1:11">
      <c r="A3563" t="s">
        <v>12717</v>
      </c>
      <c r="B3563" t="s">
        <v>10176</v>
      </c>
      <c r="C3563" t="s">
        <v>12692</v>
      </c>
      <c r="D3563" t="s">
        <v>12713</v>
      </c>
      <c r="E3563">
        <v>206546.7</v>
      </c>
      <c r="G3563" s="35"/>
      <c r="H3563" s="36">
        <f t="shared" si="167"/>
        <v>130124.421</v>
      </c>
      <c r="I3563" s="37">
        <f t="shared" si="165"/>
        <v>130124.421</v>
      </c>
      <c r="J3563" s="4"/>
      <c r="K3563" s="38">
        <f t="shared" si="166"/>
        <v>0</v>
      </c>
    </row>
    <row r="3564" spans="1:11">
      <c r="A3564" t="s">
        <v>12718</v>
      </c>
      <c r="B3564" t="s">
        <v>10176</v>
      </c>
      <c r="C3564" t="s">
        <v>12692</v>
      </c>
      <c r="D3564" t="s">
        <v>12715</v>
      </c>
      <c r="E3564">
        <v>227200.91</v>
      </c>
      <c r="G3564" s="35"/>
      <c r="H3564" s="36">
        <f t="shared" si="167"/>
        <v>143136.57329999999</v>
      </c>
      <c r="I3564" s="37">
        <f t="shared" si="165"/>
        <v>143136.57329999999</v>
      </c>
      <c r="J3564" s="4"/>
      <c r="K3564" s="38">
        <f t="shared" si="166"/>
        <v>0</v>
      </c>
    </row>
    <row r="3565" spans="1:11">
      <c r="A3565" t="s">
        <v>12719</v>
      </c>
      <c r="B3565" t="s">
        <v>10176</v>
      </c>
      <c r="C3565" t="s">
        <v>12692</v>
      </c>
      <c r="D3565" t="s">
        <v>12720</v>
      </c>
      <c r="E3565">
        <v>247836.7</v>
      </c>
      <c r="G3565" s="35"/>
      <c r="H3565" s="36">
        <f t="shared" si="167"/>
        <v>156137.12100000001</v>
      </c>
      <c r="I3565" s="37">
        <f t="shared" si="165"/>
        <v>156137.12100000001</v>
      </c>
      <c r="J3565" s="4"/>
      <c r="K3565" s="38">
        <f t="shared" si="166"/>
        <v>0</v>
      </c>
    </row>
    <row r="3566" spans="1:11">
      <c r="A3566" t="s">
        <v>12721</v>
      </c>
      <c r="B3566" t="s">
        <v>10176</v>
      </c>
      <c r="C3566" t="s">
        <v>12692</v>
      </c>
      <c r="D3566" t="s">
        <v>12722</v>
      </c>
      <c r="E3566">
        <v>225305.99</v>
      </c>
      <c r="G3566" s="35"/>
      <c r="H3566" s="36">
        <f t="shared" si="167"/>
        <v>141942.77369999999</v>
      </c>
      <c r="I3566" s="37">
        <f t="shared" si="165"/>
        <v>141942.77369999999</v>
      </c>
      <c r="J3566" s="4"/>
      <c r="K3566" s="38">
        <f t="shared" si="166"/>
        <v>0</v>
      </c>
    </row>
    <row r="3567" spans="1:11">
      <c r="A3567" t="s">
        <v>12723</v>
      </c>
      <c r="B3567" t="s">
        <v>10176</v>
      </c>
      <c r="C3567" t="s">
        <v>12692</v>
      </c>
      <c r="D3567" t="s">
        <v>12724</v>
      </c>
      <c r="E3567">
        <v>247836.7</v>
      </c>
      <c r="G3567" s="35"/>
      <c r="H3567" s="36">
        <f t="shared" si="167"/>
        <v>156137.12100000001</v>
      </c>
      <c r="I3567" s="37">
        <f t="shared" si="165"/>
        <v>156137.12100000001</v>
      </c>
      <c r="J3567" s="4"/>
      <c r="K3567" s="38">
        <f t="shared" si="166"/>
        <v>0</v>
      </c>
    </row>
    <row r="3568" spans="1:11">
      <c r="A3568" t="s">
        <v>12625</v>
      </c>
      <c r="B3568" t="s">
        <v>10176</v>
      </c>
      <c r="C3568" t="s">
        <v>12997</v>
      </c>
      <c r="D3568" t="s">
        <v>12998</v>
      </c>
      <c r="E3568">
        <v>68225.899999999994</v>
      </c>
      <c r="G3568" s="35"/>
      <c r="H3568" s="36">
        <f t="shared" si="167"/>
        <v>42982.316999999995</v>
      </c>
      <c r="I3568" s="37">
        <f t="shared" si="165"/>
        <v>42982.316999999995</v>
      </c>
      <c r="J3568" s="4"/>
      <c r="K3568" s="38">
        <f t="shared" si="166"/>
        <v>0</v>
      </c>
    </row>
    <row r="3569" spans="1:11">
      <c r="A3569" t="s">
        <v>12626</v>
      </c>
      <c r="B3569" t="s">
        <v>10176</v>
      </c>
      <c r="C3569" t="s">
        <v>12997</v>
      </c>
      <c r="D3569" t="s">
        <v>12999</v>
      </c>
      <c r="E3569">
        <v>109148.61</v>
      </c>
      <c r="G3569" s="35"/>
      <c r="H3569" s="36">
        <f t="shared" si="167"/>
        <v>68763.624299999996</v>
      </c>
      <c r="I3569" s="37">
        <f t="shared" si="165"/>
        <v>68763.624299999996</v>
      </c>
      <c r="J3569" s="4"/>
      <c r="K3569" s="38">
        <f t="shared" si="166"/>
        <v>0</v>
      </c>
    </row>
    <row r="3570" spans="1:11">
      <c r="A3570" t="s">
        <v>12627</v>
      </c>
      <c r="B3570" t="s">
        <v>10176</v>
      </c>
      <c r="C3570" t="s">
        <v>12997</v>
      </c>
      <c r="D3570" t="s">
        <v>13000</v>
      </c>
      <c r="E3570">
        <v>109148.61</v>
      </c>
      <c r="G3570" s="35"/>
      <c r="H3570" s="36">
        <f t="shared" si="167"/>
        <v>68763.624299999996</v>
      </c>
      <c r="I3570" s="37">
        <f t="shared" si="165"/>
        <v>68763.624299999996</v>
      </c>
      <c r="J3570" s="4"/>
      <c r="K3570" s="38">
        <f t="shared" si="166"/>
        <v>0</v>
      </c>
    </row>
    <row r="3571" spans="1:11">
      <c r="A3571" t="s">
        <v>12628</v>
      </c>
      <c r="B3571" t="s">
        <v>10176</v>
      </c>
      <c r="C3571" t="s">
        <v>12997</v>
      </c>
      <c r="D3571" t="s">
        <v>12629</v>
      </c>
      <c r="E3571">
        <v>109148.61</v>
      </c>
      <c r="G3571" s="35"/>
      <c r="H3571" s="36">
        <f t="shared" si="167"/>
        <v>68763.624299999996</v>
      </c>
      <c r="I3571" s="37">
        <f t="shared" si="165"/>
        <v>68763.624299999996</v>
      </c>
      <c r="J3571" s="4"/>
      <c r="K3571" s="38">
        <f t="shared" si="166"/>
        <v>0</v>
      </c>
    </row>
    <row r="3572" spans="1:11">
      <c r="A3572" t="s">
        <v>12630</v>
      </c>
      <c r="B3572" t="s">
        <v>10176</v>
      </c>
      <c r="C3572" t="s">
        <v>12997</v>
      </c>
      <c r="D3572" t="s">
        <v>12631</v>
      </c>
      <c r="E3572">
        <v>88920.15</v>
      </c>
      <c r="G3572" s="35"/>
      <c r="H3572" s="36">
        <f t="shared" si="167"/>
        <v>56019.694499999998</v>
      </c>
      <c r="I3572" s="37">
        <f t="shared" si="165"/>
        <v>56019.694499999998</v>
      </c>
      <c r="J3572" s="4"/>
      <c r="K3572" s="38">
        <f t="shared" si="166"/>
        <v>0</v>
      </c>
    </row>
    <row r="3573" spans="1:11">
      <c r="A3573" t="s">
        <v>4196</v>
      </c>
      <c r="B3573" t="s">
        <v>10176</v>
      </c>
      <c r="C3573" t="s">
        <v>5679</v>
      </c>
      <c r="D3573" t="s">
        <v>11320</v>
      </c>
      <c r="E3573">
        <v>2098739.4900000002</v>
      </c>
      <c r="G3573" s="35"/>
      <c r="H3573" s="36">
        <f t="shared" si="167"/>
        <v>1322205.8787000002</v>
      </c>
      <c r="I3573" s="37">
        <f t="shared" si="165"/>
        <v>1322205.8787000002</v>
      </c>
      <c r="J3573" s="4"/>
      <c r="K3573" s="38">
        <f t="shared" si="166"/>
        <v>0</v>
      </c>
    </row>
    <row r="3574" spans="1:11">
      <c r="A3574" t="s">
        <v>4197</v>
      </c>
      <c r="B3574" t="s">
        <v>10176</v>
      </c>
      <c r="C3574" t="s">
        <v>5679</v>
      </c>
      <c r="D3574" t="s">
        <v>11323</v>
      </c>
      <c r="E3574">
        <v>1102399.73</v>
      </c>
      <c r="G3574" s="35"/>
      <c r="H3574" s="36">
        <f t="shared" si="167"/>
        <v>694511.82990000001</v>
      </c>
      <c r="I3574" s="37">
        <f t="shared" si="165"/>
        <v>694511.82990000001</v>
      </c>
      <c r="J3574" s="4"/>
      <c r="K3574" s="38">
        <f t="shared" si="166"/>
        <v>0</v>
      </c>
    </row>
    <row r="3575" spans="1:11">
      <c r="A3575" t="s">
        <v>4198</v>
      </c>
      <c r="B3575" t="s">
        <v>10176</v>
      </c>
      <c r="C3575" t="s">
        <v>5680</v>
      </c>
      <c r="D3575" t="s">
        <v>10192</v>
      </c>
      <c r="E3575">
        <v>1415264.54</v>
      </c>
      <c r="G3575" s="35"/>
      <c r="H3575" s="36">
        <f t="shared" si="167"/>
        <v>891616.66020000004</v>
      </c>
      <c r="I3575" s="37">
        <f t="shared" si="165"/>
        <v>891616.66020000004</v>
      </c>
      <c r="J3575" s="4"/>
      <c r="K3575" s="38">
        <f t="shared" si="166"/>
        <v>0</v>
      </c>
    </row>
    <row r="3576" spans="1:11">
      <c r="A3576" t="s">
        <v>4199</v>
      </c>
      <c r="B3576" t="s">
        <v>10176</v>
      </c>
      <c r="C3576" t="s">
        <v>5680</v>
      </c>
      <c r="D3576" t="s">
        <v>11321</v>
      </c>
      <c r="E3576">
        <v>1769100.21</v>
      </c>
      <c r="G3576" s="35"/>
      <c r="H3576" s="36">
        <f t="shared" si="167"/>
        <v>1114533.1322999999</v>
      </c>
      <c r="I3576" s="37">
        <f t="shared" si="165"/>
        <v>1114533.1322999999</v>
      </c>
      <c r="J3576" s="4"/>
      <c r="K3576" s="38">
        <f t="shared" si="166"/>
        <v>0</v>
      </c>
    </row>
    <row r="3577" spans="1:11">
      <c r="A3577" t="s">
        <v>4200</v>
      </c>
      <c r="B3577" t="s">
        <v>10176</v>
      </c>
      <c r="C3577" t="s">
        <v>5680</v>
      </c>
      <c r="D3577" t="s">
        <v>7067</v>
      </c>
      <c r="E3577">
        <v>1092364.06</v>
      </c>
      <c r="G3577" s="35"/>
      <c r="H3577" s="36">
        <f t="shared" si="167"/>
        <v>688189.3578</v>
      </c>
      <c r="I3577" s="37">
        <f t="shared" si="165"/>
        <v>688189.3578</v>
      </c>
      <c r="J3577" s="4"/>
      <c r="K3577" s="38">
        <f t="shared" si="166"/>
        <v>0</v>
      </c>
    </row>
    <row r="3578" spans="1:11">
      <c r="A3578" t="s">
        <v>4201</v>
      </c>
      <c r="B3578" t="s">
        <v>10176</v>
      </c>
      <c r="C3578" t="s">
        <v>5680</v>
      </c>
      <c r="D3578" t="s">
        <v>10195</v>
      </c>
      <c r="E3578">
        <v>1102399.73</v>
      </c>
      <c r="G3578" s="35"/>
      <c r="H3578" s="36">
        <f t="shared" si="167"/>
        <v>694511.82990000001</v>
      </c>
      <c r="I3578" s="37">
        <f t="shared" si="165"/>
        <v>694511.82990000001</v>
      </c>
      <c r="J3578" s="4"/>
      <c r="K3578" s="38">
        <f t="shared" si="166"/>
        <v>0</v>
      </c>
    </row>
    <row r="3579" spans="1:11">
      <c r="A3579" t="s">
        <v>4202</v>
      </c>
      <c r="B3579" t="s">
        <v>10176</v>
      </c>
      <c r="C3579" t="s">
        <v>5681</v>
      </c>
      <c r="D3579" t="s">
        <v>10191</v>
      </c>
      <c r="E3579">
        <v>1348904.03</v>
      </c>
      <c r="G3579" s="35"/>
      <c r="H3579" s="36">
        <f t="shared" si="167"/>
        <v>849809.53890000004</v>
      </c>
      <c r="I3579" s="37">
        <f t="shared" si="165"/>
        <v>849809.53890000004</v>
      </c>
      <c r="J3579" s="4"/>
      <c r="K3579" s="38">
        <f t="shared" si="166"/>
        <v>0</v>
      </c>
    </row>
    <row r="3580" spans="1:11">
      <c r="A3580" t="s">
        <v>4203</v>
      </c>
      <c r="B3580" t="s">
        <v>10176</v>
      </c>
      <c r="C3580" t="s">
        <v>5681</v>
      </c>
      <c r="D3580" t="s">
        <v>10194</v>
      </c>
      <c r="E3580">
        <v>861803.2</v>
      </c>
      <c r="G3580" s="35"/>
      <c r="H3580" s="36">
        <f t="shared" si="167"/>
        <v>542936.01599999995</v>
      </c>
      <c r="I3580" s="37">
        <f t="shared" si="165"/>
        <v>542936.01599999995</v>
      </c>
      <c r="J3580" s="4"/>
      <c r="K3580" s="38">
        <f t="shared" si="166"/>
        <v>0</v>
      </c>
    </row>
    <row r="3581" spans="1:11">
      <c r="A3581" t="s">
        <v>4204</v>
      </c>
      <c r="B3581" t="s">
        <v>10176</v>
      </c>
      <c r="C3581" t="s">
        <v>5681</v>
      </c>
      <c r="D3581" t="s">
        <v>7067</v>
      </c>
      <c r="E3581">
        <v>861803.2</v>
      </c>
      <c r="G3581" s="35"/>
      <c r="H3581" s="36">
        <f t="shared" si="167"/>
        <v>542936.01599999995</v>
      </c>
      <c r="I3581" s="37">
        <f t="shared" si="165"/>
        <v>542936.01599999995</v>
      </c>
      <c r="J3581" s="4"/>
      <c r="K3581" s="38">
        <f t="shared" si="166"/>
        <v>0</v>
      </c>
    </row>
    <row r="3582" spans="1:11">
      <c r="A3582" t="s">
        <v>4205</v>
      </c>
      <c r="B3582" t="s">
        <v>10176</v>
      </c>
      <c r="C3582" t="s">
        <v>5681</v>
      </c>
      <c r="D3582" t="s">
        <v>10195</v>
      </c>
      <c r="E3582">
        <v>899279.42</v>
      </c>
      <c r="G3582" s="35"/>
      <c r="H3582" s="36">
        <f t="shared" si="167"/>
        <v>566546.03460000001</v>
      </c>
      <c r="I3582" s="37">
        <f t="shared" si="165"/>
        <v>566546.03460000001</v>
      </c>
      <c r="J3582" s="4"/>
      <c r="K3582" s="38">
        <f t="shared" si="166"/>
        <v>0</v>
      </c>
    </row>
    <row r="3583" spans="1:11">
      <c r="A3583" t="s">
        <v>4206</v>
      </c>
      <c r="B3583" t="s">
        <v>10176</v>
      </c>
      <c r="C3583" t="s">
        <v>5681</v>
      </c>
      <c r="D3583" t="s">
        <v>11324</v>
      </c>
      <c r="E3583">
        <v>1268230.23</v>
      </c>
      <c r="G3583" s="35"/>
      <c r="H3583" s="36">
        <f t="shared" si="167"/>
        <v>798985.04489999998</v>
      </c>
      <c r="I3583" s="37">
        <f t="shared" si="165"/>
        <v>798985.04489999998</v>
      </c>
      <c r="J3583" s="4"/>
      <c r="K3583" s="38">
        <f t="shared" si="166"/>
        <v>0</v>
      </c>
    </row>
    <row r="3584" spans="1:11">
      <c r="A3584" t="s">
        <v>4381</v>
      </c>
      <c r="B3584" t="s">
        <v>10176</v>
      </c>
      <c r="C3584" t="s">
        <v>10147</v>
      </c>
      <c r="D3584" t="s">
        <v>5787</v>
      </c>
      <c r="E3584">
        <v>215146.15</v>
      </c>
      <c r="G3584" s="35"/>
      <c r="H3584" s="36">
        <f t="shared" si="167"/>
        <v>135542.07449999999</v>
      </c>
      <c r="I3584" s="37">
        <f t="shared" si="165"/>
        <v>135542.07449999999</v>
      </c>
      <c r="J3584" s="4"/>
      <c r="K3584" s="38">
        <f t="shared" si="166"/>
        <v>0</v>
      </c>
    </row>
    <row r="3585" spans="1:11">
      <c r="A3585" t="s">
        <v>4382</v>
      </c>
      <c r="B3585" t="s">
        <v>10176</v>
      </c>
      <c r="C3585" t="s">
        <v>10147</v>
      </c>
      <c r="D3585" t="s">
        <v>5716</v>
      </c>
      <c r="E3585">
        <v>344206.36</v>
      </c>
      <c r="G3585" s="35"/>
      <c r="H3585" s="36">
        <f t="shared" si="167"/>
        <v>216850.0068</v>
      </c>
      <c r="I3585" s="37">
        <f t="shared" si="165"/>
        <v>216850.0068</v>
      </c>
      <c r="J3585" s="4"/>
      <c r="K3585" s="38">
        <f t="shared" si="166"/>
        <v>0</v>
      </c>
    </row>
    <row r="3586" spans="1:11">
      <c r="A3586" t="s">
        <v>4383</v>
      </c>
      <c r="B3586" t="s">
        <v>10176</v>
      </c>
      <c r="C3586" t="s">
        <v>10147</v>
      </c>
      <c r="D3586" t="s">
        <v>5788</v>
      </c>
      <c r="E3586">
        <v>160814.42000000001</v>
      </c>
      <c r="G3586" s="35"/>
      <c r="H3586" s="36">
        <f t="shared" si="167"/>
        <v>101313.0846</v>
      </c>
      <c r="I3586" s="37">
        <f t="shared" si="165"/>
        <v>101313.0846</v>
      </c>
      <c r="J3586" s="4"/>
      <c r="K3586" s="38">
        <f t="shared" si="166"/>
        <v>0</v>
      </c>
    </row>
    <row r="3587" spans="1:11">
      <c r="A3587" t="s">
        <v>4384</v>
      </c>
      <c r="B3587" t="s">
        <v>10176</v>
      </c>
      <c r="C3587" t="s">
        <v>10147</v>
      </c>
      <c r="D3587" t="s">
        <v>5789</v>
      </c>
      <c r="E3587">
        <v>207961.37</v>
      </c>
      <c r="G3587" s="35"/>
      <c r="H3587" s="36">
        <f t="shared" si="167"/>
        <v>131015.66310000001</v>
      </c>
      <c r="I3587" s="37">
        <f t="shared" si="165"/>
        <v>131015.66310000001</v>
      </c>
      <c r="J3587" s="4"/>
      <c r="K3587" s="38">
        <f t="shared" si="166"/>
        <v>0</v>
      </c>
    </row>
    <row r="3588" spans="1:11">
      <c r="A3588" t="s">
        <v>4385</v>
      </c>
      <c r="B3588" t="s">
        <v>10176</v>
      </c>
      <c r="C3588" t="s">
        <v>10147</v>
      </c>
      <c r="D3588" t="s">
        <v>5790</v>
      </c>
      <c r="E3588">
        <v>188283.53</v>
      </c>
      <c r="G3588" s="35"/>
      <c r="H3588" s="36">
        <f t="shared" si="167"/>
        <v>118618.62390000001</v>
      </c>
      <c r="I3588" s="37">
        <f t="shared" si="165"/>
        <v>118618.62390000001</v>
      </c>
      <c r="J3588" s="4"/>
      <c r="K3588" s="38">
        <f t="shared" si="166"/>
        <v>0</v>
      </c>
    </row>
    <row r="3589" spans="1:11">
      <c r="A3589" t="s">
        <v>4386</v>
      </c>
      <c r="B3589" t="s">
        <v>10176</v>
      </c>
      <c r="C3589" t="s">
        <v>10147</v>
      </c>
      <c r="D3589" t="s">
        <v>10239</v>
      </c>
      <c r="E3589">
        <v>186496.17</v>
      </c>
      <c r="G3589" s="35"/>
      <c r="H3589" s="36">
        <f t="shared" si="167"/>
        <v>117492.5871</v>
      </c>
      <c r="I3589" s="37">
        <f t="shared" si="165"/>
        <v>117492.5871</v>
      </c>
      <c r="J3589" s="4"/>
      <c r="K3589" s="38">
        <f t="shared" si="166"/>
        <v>0</v>
      </c>
    </row>
    <row r="3590" spans="1:11">
      <c r="A3590" t="s">
        <v>4387</v>
      </c>
      <c r="B3590" t="s">
        <v>10176</v>
      </c>
      <c r="C3590" t="s">
        <v>10147</v>
      </c>
      <c r="D3590" t="s">
        <v>10242</v>
      </c>
      <c r="E3590">
        <v>253112.45</v>
      </c>
      <c r="G3590" s="35"/>
      <c r="H3590" s="36">
        <f t="shared" si="167"/>
        <v>159460.84350000002</v>
      </c>
      <c r="I3590" s="37">
        <f t="shared" ref="I3590:I3653" si="168">H3590*$H$4</f>
        <v>159460.84350000002</v>
      </c>
      <c r="J3590" s="4"/>
      <c r="K3590" s="38">
        <f t="shared" ref="K3590:K3653" si="169">J3590*I3590</f>
        <v>0</v>
      </c>
    </row>
    <row r="3591" spans="1:11">
      <c r="A3591" t="s">
        <v>4710</v>
      </c>
      <c r="B3591" t="s">
        <v>10176</v>
      </c>
      <c r="C3591" t="s">
        <v>10168</v>
      </c>
      <c r="D3591" t="s">
        <v>10196</v>
      </c>
      <c r="E3591">
        <v>737050.62</v>
      </c>
      <c r="G3591" s="35"/>
      <c r="H3591" s="36">
        <f t="shared" ref="H3591:H3654" si="170">+E3591*$H$1*(1-G3591)</f>
        <v>464341.89059999998</v>
      </c>
      <c r="I3591" s="37">
        <f t="shared" si="168"/>
        <v>464341.89059999998</v>
      </c>
      <c r="J3591" s="4"/>
      <c r="K3591" s="38">
        <f t="shared" si="169"/>
        <v>0</v>
      </c>
    </row>
    <row r="3592" spans="1:11">
      <c r="A3592" t="s">
        <v>10050</v>
      </c>
      <c r="B3592" t="s">
        <v>10176</v>
      </c>
      <c r="C3592" t="s">
        <v>10051</v>
      </c>
      <c r="D3592" t="s">
        <v>10191</v>
      </c>
      <c r="E3592">
        <v>524696.43999999994</v>
      </c>
      <c r="G3592" s="35"/>
      <c r="H3592" s="36">
        <f t="shared" si="170"/>
        <v>330558.75719999999</v>
      </c>
      <c r="I3592" s="37">
        <f t="shared" si="168"/>
        <v>330558.75719999999</v>
      </c>
      <c r="J3592" s="4"/>
      <c r="K3592" s="38">
        <f t="shared" si="169"/>
        <v>0</v>
      </c>
    </row>
    <row r="3593" spans="1:11">
      <c r="A3593" t="s">
        <v>10052</v>
      </c>
      <c r="B3593" t="s">
        <v>10176</v>
      </c>
      <c r="C3593" t="s">
        <v>10051</v>
      </c>
      <c r="D3593" t="s">
        <v>10192</v>
      </c>
      <c r="E3593">
        <v>386016.75</v>
      </c>
      <c r="G3593" s="35"/>
      <c r="H3593" s="36">
        <f t="shared" si="170"/>
        <v>243190.55249999999</v>
      </c>
      <c r="I3593" s="37">
        <f t="shared" si="168"/>
        <v>243190.55249999999</v>
      </c>
      <c r="J3593" s="4"/>
      <c r="K3593" s="38">
        <f t="shared" si="169"/>
        <v>0</v>
      </c>
    </row>
    <row r="3594" spans="1:11">
      <c r="A3594" t="s">
        <v>10053</v>
      </c>
      <c r="B3594" t="s">
        <v>10176</v>
      </c>
      <c r="C3594" t="s">
        <v>10051</v>
      </c>
      <c r="D3594" t="s">
        <v>10194</v>
      </c>
      <c r="E3594">
        <v>368385.06</v>
      </c>
      <c r="G3594" s="35"/>
      <c r="H3594" s="36">
        <f t="shared" si="170"/>
        <v>232082.58780000001</v>
      </c>
      <c r="I3594" s="37">
        <f t="shared" si="168"/>
        <v>232082.58780000001</v>
      </c>
      <c r="J3594" s="4"/>
      <c r="K3594" s="38">
        <f t="shared" si="169"/>
        <v>0</v>
      </c>
    </row>
    <row r="3595" spans="1:11">
      <c r="A3595" t="s">
        <v>10054</v>
      </c>
      <c r="B3595" t="s">
        <v>10176</v>
      </c>
      <c r="C3595" t="s">
        <v>10051</v>
      </c>
      <c r="D3595" t="s">
        <v>7067</v>
      </c>
      <c r="E3595">
        <v>353336.93</v>
      </c>
      <c r="G3595" s="35"/>
      <c r="H3595" s="36">
        <f t="shared" si="170"/>
        <v>222602.2659</v>
      </c>
      <c r="I3595" s="37">
        <f t="shared" si="168"/>
        <v>222602.2659</v>
      </c>
      <c r="J3595" s="4"/>
      <c r="K3595" s="38">
        <f t="shared" si="169"/>
        <v>0</v>
      </c>
    </row>
    <row r="3596" spans="1:11">
      <c r="A3596" t="s">
        <v>10055</v>
      </c>
      <c r="B3596" t="s">
        <v>10176</v>
      </c>
      <c r="C3596" t="s">
        <v>10051</v>
      </c>
      <c r="D3596" t="s">
        <v>10195</v>
      </c>
      <c r="E3596">
        <v>409373.81</v>
      </c>
      <c r="G3596" s="35"/>
      <c r="H3596" s="36">
        <f t="shared" si="170"/>
        <v>257905.50030000001</v>
      </c>
      <c r="I3596" s="37">
        <f t="shared" si="168"/>
        <v>257905.50030000001</v>
      </c>
      <c r="J3596" s="4"/>
      <c r="K3596" s="38">
        <f t="shared" si="169"/>
        <v>0</v>
      </c>
    </row>
    <row r="3597" spans="1:11">
      <c r="A3597" t="s">
        <v>10118</v>
      </c>
      <c r="B3597" t="s">
        <v>10176</v>
      </c>
      <c r="C3597" t="s">
        <v>10119</v>
      </c>
      <c r="D3597" t="s">
        <v>10218</v>
      </c>
      <c r="E3597">
        <v>7879811.9000000004</v>
      </c>
      <c r="G3597" s="35"/>
      <c r="H3597" s="36">
        <f t="shared" si="170"/>
        <v>4964281.4970000004</v>
      </c>
      <c r="I3597" s="37">
        <f t="shared" si="168"/>
        <v>4964281.4970000004</v>
      </c>
      <c r="J3597" s="4"/>
      <c r="K3597" s="38">
        <f t="shared" si="169"/>
        <v>0</v>
      </c>
    </row>
    <row r="3598" spans="1:11">
      <c r="A3598" t="s">
        <v>10120</v>
      </c>
      <c r="B3598" t="s">
        <v>10176</v>
      </c>
      <c r="C3598" t="s">
        <v>10119</v>
      </c>
      <c r="D3598" t="s">
        <v>10199</v>
      </c>
      <c r="E3598">
        <v>2748771.6</v>
      </c>
      <c r="G3598" s="35"/>
      <c r="H3598" s="36">
        <f t="shared" si="170"/>
        <v>1731726.108</v>
      </c>
      <c r="I3598" s="37">
        <f t="shared" si="168"/>
        <v>1731726.108</v>
      </c>
      <c r="J3598" s="4"/>
      <c r="K3598" s="38">
        <f t="shared" si="169"/>
        <v>0</v>
      </c>
    </row>
    <row r="3599" spans="1:11">
      <c r="A3599" t="s">
        <v>10121</v>
      </c>
      <c r="B3599" t="s">
        <v>10176</v>
      </c>
      <c r="C3599" t="s">
        <v>10119</v>
      </c>
      <c r="D3599" t="s">
        <v>11310</v>
      </c>
      <c r="E3599">
        <v>6413800.3799999999</v>
      </c>
      <c r="G3599" s="35"/>
      <c r="H3599" s="36">
        <f t="shared" si="170"/>
        <v>4040694.2393999998</v>
      </c>
      <c r="I3599" s="37">
        <f t="shared" si="168"/>
        <v>4040694.2393999998</v>
      </c>
      <c r="J3599" s="4"/>
      <c r="K3599" s="38">
        <f t="shared" si="169"/>
        <v>0</v>
      </c>
    </row>
    <row r="3600" spans="1:11">
      <c r="A3600" t="s">
        <v>4187</v>
      </c>
      <c r="B3600" t="s">
        <v>10176</v>
      </c>
      <c r="C3600" t="s">
        <v>5677</v>
      </c>
      <c r="D3600" t="s">
        <v>10191</v>
      </c>
      <c r="E3600">
        <v>565601.26</v>
      </c>
      <c r="G3600" s="35"/>
      <c r="H3600" s="36">
        <f t="shared" si="170"/>
        <v>356328.79379999998</v>
      </c>
      <c r="I3600" s="37">
        <f t="shared" si="168"/>
        <v>356328.79379999998</v>
      </c>
      <c r="J3600" s="4"/>
      <c r="K3600" s="38">
        <f t="shared" si="169"/>
        <v>0</v>
      </c>
    </row>
    <row r="3601" spans="1:11">
      <c r="A3601" t="s">
        <v>4188</v>
      </c>
      <c r="B3601" t="s">
        <v>10176</v>
      </c>
      <c r="C3601" t="s">
        <v>5677</v>
      </c>
      <c r="D3601" t="s">
        <v>10194</v>
      </c>
      <c r="E3601">
        <v>468946.82</v>
      </c>
      <c r="G3601" s="35"/>
      <c r="H3601" s="36">
        <f t="shared" si="170"/>
        <v>295436.49660000001</v>
      </c>
      <c r="I3601" s="37">
        <f t="shared" si="168"/>
        <v>295436.49660000001</v>
      </c>
      <c r="J3601" s="4"/>
      <c r="K3601" s="38">
        <f t="shared" si="169"/>
        <v>0</v>
      </c>
    </row>
    <row r="3602" spans="1:11">
      <c r="A3602" t="s">
        <v>4189</v>
      </c>
      <c r="B3602" t="s">
        <v>10176</v>
      </c>
      <c r="C3602" t="s">
        <v>5677</v>
      </c>
      <c r="D3602" t="s">
        <v>7067</v>
      </c>
      <c r="E3602">
        <v>388991.16</v>
      </c>
      <c r="G3602" s="35"/>
      <c r="H3602" s="36">
        <f t="shared" si="170"/>
        <v>245064.43079999997</v>
      </c>
      <c r="I3602" s="37">
        <f t="shared" si="168"/>
        <v>245064.43079999997</v>
      </c>
      <c r="J3602" s="4"/>
      <c r="K3602" s="38">
        <f t="shared" si="169"/>
        <v>0</v>
      </c>
    </row>
    <row r="3603" spans="1:11">
      <c r="A3603" t="s">
        <v>4190</v>
      </c>
      <c r="B3603" t="s">
        <v>10176</v>
      </c>
      <c r="C3603" t="s">
        <v>5677</v>
      </c>
      <c r="D3603" t="s">
        <v>10195</v>
      </c>
      <c r="E3603">
        <v>379122.77</v>
      </c>
      <c r="G3603" s="35"/>
      <c r="H3603" s="36">
        <f t="shared" si="170"/>
        <v>238847.34510000001</v>
      </c>
      <c r="I3603" s="37">
        <f t="shared" si="168"/>
        <v>238847.34510000001</v>
      </c>
      <c r="J3603" s="4"/>
      <c r="K3603" s="38">
        <f t="shared" si="169"/>
        <v>0</v>
      </c>
    </row>
    <row r="3604" spans="1:11">
      <c r="A3604" t="s">
        <v>4733</v>
      </c>
      <c r="B3604" t="s">
        <v>10176</v>
      </c>
      <c r="C3604" t="s">
        <v>10172</v>
      </c>
      <c r="D3604" t="s">
        <v>5787</v>
      </c>
      <c r="E3604">
        <v>80468.7</v>
      </c>
      <c r="G3604" s="35"/>
      <c r="H3604" s="36">
        <f t="shared" si="170"/>
        <v>50695.280999999995</v>
      </c>
      <c r="I3604" s="37">
        <f t="shared" si="168"/>
        <v>50695.280999999995</v>
      </c>
      <c r="J3604" s="4"/>
      <c r="K3604" s="38">
        <f t="shared" si="169"/>
        <v>0</v>
      </c>
    </row>
    <row r="3605" spans="1:11">
      <c r="A3605" t="s">
        <v>4734</v>
      </c>
      <c r="B3605" t="s">
        <v>10176</v>
      </c>
      <c r="C3605" t="s">
        <v>10172</v>
      </c>
      <c r="D3605" t="s">
        <v>10400</v>
      </c>
      <c r="E3605">
        <v>88515.75</v>
      </c>
      <c r="G3605" s="35"/>
      <c r="H3605" s="36">
        <f t="shared" si="170"/>
        <v>55764.922500000001</v>
      </c>
      <c r="I3605" s="37">
        <f t="shared" si="168"/>
        <v>55764.922500000001</v>
      </c>
      <c r="J3605" s="4"/>
      <c r="K3605" s="38">
        <f t="shared" si="169"/>
        <v>0</v>
      </c>
    </row>
    <row r="3606" spans="1:11">
      <c r="A3606" t="s">
        <v>4735</v>
      </c>
      <c r="B3606" t="s">
        <v>10176</v>
      </c>
      <c r="C3606" t="s">
        <v>10172</v>
      </c>
      <c r="D3606" t="s">
        <v>5716</v>
      </c>
      <c r="E3606">
        <v>103480.01</v>
      </c>
      <c r="G3606" s="35"/>
      <c r="H3606" s="36">
        <f t="shared" si="170"/>
        <v>65192.406299999995</v>
      </c>
      <c r="I3606" s="37">
        <f t="shared" si="168"/>
        <v>65192.406299999995</v>
      </c>
      <c r="J3606" s="4"/>
      <c r="K3606" s="38">
        <f t="shared" si="169"/>
        <v>0</v>
      </c>
    </row>
    <row r="3607" spans="1:11">
      <c r="A3607" t="s">
        <v>4736</v>
      </c>
      <c r="B3607" t="s">
        <v>10176</v>
      </c>
      <c r="C3607" t="s">
        <v>10172</v>
      </c>
      <c r="D3607" t="s">
        <v>11402</v>
      </c>
      <c r="E3607">
        <v>113827.88</v>
      </c>
      <c r="G3607" s="35"/>
      <c r="H3607" s="36">
        <f t="shared" si="170"/>
        <v>71711.564400000003</v>
      </c>
      <c r="I3607" s="37">
        <f t="shared" si="168"/>
        <v>71711.564400000003</v>
      </c>
      <c r="J3607" s="4"/>
      <c r="K3607" s="38">
        <f t="shared" si="169"/>
        <v>0</v>
      </c>
    </row>
    <row r="3608" spans="1:11">
      <c r="A3608" t="s">
        <v>4737</v>
      </c>
      <c r="B3608" t="s">
        <v>10176</v>
      </c>
      <c r="C3608" t="s">
        <v>10172</v>
      </c>
      <c r="D3608" t="s">
        <v>5788</v>
      </c>
      <c r="E3608">
        <v>43132.19</v>
      </c>
      <c r="G3608" s="35"/>
      <c r="H3608" s="36">
        <f t="shared" si="170"/>
        <v>27173.279700000003</v>
      </c>
      <c r="I3608" s="37">
        <f t="shared" si="168"/>
        <v>27173.279700000003</v>
      </c>
      <c r="J3608" s="4"/>
      <c r="K3608" s="38">
        <f t="shared" si="169"/>
        <v>0</v>
      </c>
    </row>
    <row r="3609" spans="1:11">
      <c r="A3609" t="s">
        <v>4738</v>
      </c>
      <c r="B3609" t="s">
        <v>10176</v>
      </c>
      <c r="C3609" t="s">
        <v>10172</v>
      </c>
      <c r="D3609" t="s">
        <v>11403</v>
      </c>
      <c r="E3609">
        <v>47445.48</v>
      </c>
      <c r="G3609" s="35"/>
      <c r="H3609" s="36">
        <f t="shared" si="170"/>
        <v>29890.652400000003</v>
      </c>
      <c r="I3609" s="37">
        <f t="shared" si="168"/>
        <v>29890.652400000003</v>
      </c>
      <c r="J3609" s="4"/>
      <c r="K3609" s="38">
        <f t="shared" si="169"/>
        <v>0</v>
      </c>
    </row>
    <row r="3610" spans="1:11">
      <c r="A3610" t="s">
        <v>4739</v>
      </c>
      <c r="B3610" t="s">
        <v>10176</v>
      </c>
      <c r="C3610" t="s">
        <v>10172</v>
      </c>
      <c r="D3610" t="s">
        <v>5789</v>
      </c>
      <c r="E3610">
        <v>66688.399999999994</v>
      </c>
      <c r="G3610" s="35"/>
      <c r="H3610" s="36">
        <f t="shared" si="170"/>
        <v>42013.691999999995</v>
      </c>
      <c r="I3610" s="37">
        <f t="shared" si="168"/>
        <v>42013.691999999995</v>
      </c>
      <c r="J3610" s="4"/>
      <c r="K3610" s="38">
        <f t="shared" si="169"/>
        <v>0</v>
      </c>
    </row>
    <row r="3611" spans="1:11">
      <c r="A3611" t="s">
        <v>4740</v>
      </c>
      <c r="B3611" t="s">
        <v>10176</v>
      </c>
      <c r="C3611" t="s">
        <v>10172</v>
      </c>
      <c r="D3611" t="s">
        <v>10401</v>
      </c>
      <c r="E3611">
        <v>73357.350000000006</v>
      </c>
      <c r="G3611" s="35"/>
      <c r="H3611" s="36">
        <f t="shared" si="170"/>
        <v>46215.130500000007</v>
      </c>
      <c r="I3611" s="37">
        <f t="shared" si="168"/>
        <v>46215.130500000007</v>
      </c>
      <c r="J3611" s="4"/>
      <c r="K3611" s="38">
        <f t="shared" si="169"/>
        <v>0</v>
      </c>
    </row>
    <row r="3612" spans="1:11">
      <c r="A3612" t="s">
        <v>4741</v>
      </c>
      <c r="B3612" t="s">
        <v>10176</v>
      </c>
      <c r="C3612" t="s">
        <v>10172</v>
      </c>
      <c r="D3612" t="s">
        <v>5790</v>
      </c>
      <c r="E3612">
        <v>57965.47</v>
      </c>
      <c r="G3612" s="35"/>
      <c r="H3612" s="36">
        <f t="shared" si="170"/>
        <v>36518.246100000004</v>
      </c>
      <c r="I3612" s="37">
        <f t="shared" si="168"/>
        <v>36518.246100000004</v>
      </c>
      <c r="J3612" s="4"/>
      <c r="K3612" s="38">
        <f t="shared" si="169"/>
        <v>0</v>
      </c>
    </row>
    <row r="3613" spans="1:11">
      <c r="A3613" t="s">
        <v>4742</v>
      </c>
      <c r="B3613" t="s">
        <v>10176</v>
      </c>
      <c r="C3613" t="s">
        <v>10172</v>
      </c>
      <c r="D3613" t="s">
        <v>11404</v>
      </c>
      <c r="E3613">
        <v>63761.88</v>
      </c>
      <c r="G3613" s="35"/>
      <c r="H3613" s="36">
        <f t="shared" si="170"/>
        <v>40169.984400000001</v>
      </c>
      <c r="I3613" s="37">
        <f t="shared" si="168"/>
        <v>40169.984400000001</v>
      </c>
      <c r="J3613" s="4"/>
      <c r="K3613" s="38">
        <f t="shared" si="169"/>
        <v>0</v>
      </c>
    </row>
    <row r="3614" spans="1:11">
      <c r="A3614" t="s">
        <v>4743</v>
      </c>
      <c r="B3614" t="s">
        <v>10176</v>
      </c>
      <c r="C3614" t="s">
        <v>10172</v>
      </c>
      <c r="D3614" t="s">
        <v>10239</v>
      </c>
      <c r="E3614">
        <v>57514.76</v>
      </c>
      <c r="G3614" s="35"/>
      <c r="H3614" s="36">
        <f t="shared" si="170"/>
        <v>36234.298800000004</v>
      </c>
      <c r="I3614" s="37">
        <f t="shared" si="168"/>
        <v>36234.298800000004</v>
      </c>
      <c r="J3614" s="4"/>
      <c r="K3614" s="38">
        <f t="shared" si="169"/>
        <v>0</v>
      </c>
    </row>
    <row r="3615" spans="1:11">
      <c r="A3615" t="s">
        <v>4744</v>
      </c>
      <c r="B3615" t="s">
        <v>10176</v>
      </c>
      <c r="C3615" t="s">
        <v>10172</v>
      </c>
      <c r="D3615" t="s">
        <v>10402</v>
      </c>
      <c r="E3615">
        <v>63266.400000000001</v>
      </c>
      <c r="G3615" s="35"/>
      <c r="H3615" s="36">
        <f t="shared" si="170"/>
        <v>39857.832000000002</v>
      </c>
      <c r="I3615" s="37">
        <f t="shared" si="168"/>
        <v>39857.832000000002</v>
      </c>
      <c r="J3615" s="4"/>
      <c r="K3615" s="38">
        <f t="shared" si="169"/>
        <v>0</v>
      </c>
    </row>
    <row r="3616" spans="1:11">
      <c r="A3616" t="s">
        <v>4745</v>
      </c>
      <c r="B3616" t="s">
        <v>10176</v>
      </c>
      <c r="C3616" t="s">
        <v>10172</v>
      </c>
      <c r="D3616" t="s">
        <v>10241</v>
      </c>
      <c r="E3616">
        <v>327739.76</v>
      </c>
      <c r="G3616" s="35"/>
      <c r="H3616" s="36">
        <f t="shared" si="170"/>
        <v>206476.04880000002</v>
      </c>
      <c r="I3616" s="37">
        <f t="shared" si="168"/>
        <v>206476.04880000002</v>
      </c>
      <c r="J3616" s="4"/>
      <c r="K3616" s="38">
        <f t="shared" si="169"/>
        <v>0</v>
      </c>
    </row>
    <row r="3617" spans="1:11">
      <c r="A3617" t="s">
        <v>4668</v>
      </c>
      <c r="B3617" t="s">
        <v>10176</v>
      </c>
      <c r="C3617" t="s">
        <v>10161</v>
      </c>
      <c r="D3617" t="s">
        <v>10191</v>
      </c>
      <c r="E3617">
        <v>654028.96</v>
      </c>
      <c r="G3617" s="35"/>
      <c r="H3617" s="36">
        <f t="shared" si="170"/>
        <v>412038.24479999999</v>
      </c>
      <c r="I3617" s="37">
        <f t="shared" si="168"/>
        <v>412038.24479999999</v>
      </c>
      <c r="J3617" s="4"/>
      <c r="K3617" s="38">
        <f t="shared" si="169"/>
        <v>0</v>
      </c>
    </row>
    <row r="3618" spans="1:11">
      <c r="A3618" t="s">
        <v>4669</v>
      </c>
      <c r="B3618" t="s">
        <v>10176</v>
      </c>
      <c r="C3618" t="s">
        <v>10161</v>
      </c>
      <c r="D3618" t="s">
        <v>10216</v>
      </c>
      <c r="E3618">
        <v>719431.88</v>
      </c>
      <c r="G3618" s="35"/>
      <c r="H3618" s="36">
        <f t="shared" si="170"/>
        <v>453242.08439999999</v>
      </c>
      <c r="I3618" s="37">
        <f t="shared" si="168"/>
        <v>453242.08439999999</v>
      </c>
      <c r="J3618" s="4"/>
      <c r="K3618" s="38">
        <f t="shared" si="169"/>
        <v>0</v>
      </c>
    </row>
    <row r="3619" spans="1:11">
      <c r="A3619" t="s">
        <v>4670</v>
      </c>
      <c r="B3619" t="s">
        <v>10176</v>
      </c>
      <c r="C3619" t="s">
        <v>10161</v>
      </c>
      <c r="D3619" t="s">
        <v>11293</v>
      </c>
      <c r="E3619">
        <v>403933.28</v>
      </c>
      <c r="G3619" s="35"/>
      <c r="H3619" s="36">
        <f t="shared" si="170"/>
        <v>254477.96640000003</v>
      </c>
      <c r="I3619" s="37">
        <f t="shared" si="168"/>
        <v>254477.96640000003</v>
      </c>
      <c r="J3619" s="4"/>
      <c r="K3619" s="38">
        <f t="shared" si="169"/>
        <v>0</v>
      </c>
    </row>
    <row r="3620" spans="1:11">
      <c r="A3620" t="s">
        <v>4671</v>
      </c>
      <c r="B3620" t="s">
        <v>10176</v>
      </c>
      <c r="C3620" t="s">
        <v>10161</v>
      </c>
      <c r="D3620" t="s">
        <v>11399</v>
      </c>
      <c r="E3620">
        <v>444326.6</v>
      </c>
      <c r="G3620" s="35"/>
      <c r="H3620" s="36">
        <f t="shared" si="170"/>
        <v>279925.75799999997</v>
      </c>
      <c r="I3620" s="37">
        <f t="shared" si="168"/>
        <v>279925.75799999997</v>
      </c>
      <c r="J3620" s="4"/>
      <c r="K3620" s="38">
        <f t="shared" si="169"/>
        <v>0</v>
      </c>
    </row>
    <row r="3621" spans="1:11">
      <c r="A3621" t="s">
        <v>4672</v>
      </c>
      <c r="B3621" t="s">
        <v>10176</v>
      </c>
      <c r="C3621" t="s">
        <v>10161</v>
      </c>
      <c r="D3621" t="s">
        <v>7067</v>
      </c>
      <c r="E3621">
        <v>317030.45</v>
      </c>
      <c r="G3621" s="35"/>
      <c r="H3621" s="36">
        <f t="shared" si="170"/>
        <v>199729.18350000001</v>
      </c>
      <c r="I3621" s="37">
        <f t="shared" si="168"/>
        <v>199729.18350000001</v>
      </c>
      <c r="J3621" s="4"/>
      <c r="K3621" s="38">
        <f t="shared" si="169"/>
        <v>0</v>
      </c>
    </row>
    <row r="3622" spans="1:11">
      <c r="A3622" t="s">
        <v>4673</v>
      </c>
      <c r="B3622" t="s">
        <v>10176</v>
      </c>
      <c r="C3622" t="s">
        <v>10161</v>
      </c>
      <c r="D3622" t="s">
        <v>10218</v>
      </c>
      <c r="E3622">
        <v>348733.58</v>
      </c>
      <c r="G3622" s="35"/>
      <c r="H3622" s="36">
        <f t="shared" si="170"/>
        <v>219702.15540000002</v>
      </c>
      <c r="I3622" s="37">
        <f t="shared" si="168"/>
        <v>219702.15540000002</v>
      </c>
      <c r="J3622" s="4"/>
      <c r="K3622" s="38">
        <f t="shared" si="169"/>
        <v>0</v>
      </c>
    </row>
    <row r="3623" spans="1:11">
      <c r="A3623" t="s">
        <v>4674</v>
      </c>
      <c r="B3623" t="s">
        <v>10176</v>
      </c>
      <c r="C3623" t="s">
        <v>10161</v>
      </c>
      <c r="D3623" t="s">
        <v>7068</v>
      </c>
      <c r="E3623">
        <v>384004.2</v>
      </c>
      <c r="G3623" s="35"/>
      <c r="H3623" s="36">
        <f t="shared" si="170"/>
        <v>241922.64600000001</v>
      </c>
      <c r="I3623" s="37">
        <f t="shared" si="168"/>
        <v>241922.64600000001</v>
      </c>
      <c r="J3623" s="4"/>
      <c r="K3623" s="38">
        <f t="shared" si="169"/>
        <v>0</v>
      </c>
    </row>
    <row r="3624" spans="1:11">
      <c r="A3624" t="s">
        <v>4675</v>
      </c>
      <c r="B3624" t="s">
        <v>10176</v>
      </c>
      <c r="C3624" t="s">
        <v>10161</v>
      </c>
      <c r="D3624" t="s">
        <v>10226</v>
      </c>
      <c r="E3624">
        <v>422404.5</v>
      </c>
      <c r="G3624" s="35"/>
      <c r="H3624" s="36">
        <f t="shared" si="170"/>
        <v>266114.83500000002</v>
      </c>
      <c r="I3624" s="37">
        <f t="shared" si="168"/>
        <v>266114.83500000002</v>
      </c>
      <c r="J3624" s="4"/>
      <c r="K3624" s="38">
        <f t="shared" si="169"/>
        <v>0</v>
      </c>
    </row>
    <row r="3625" spans="1:11">
      <c r="A3625" t="s">
        <v>4676</v>
      </c>
      <c r="B3625" t="s">
        <v>10176</v>
      </c>
      <c r="C3625" t="s">
        <v>10161</v>
      </c>
      <c r="D3625" t="s">
        <v>10194</v>
      </c>
      <c r="E3625">
        <v>358949.11</v>
      </c>
      <c r="G3625" s="35"/>
      <c r="H3625" s="36">
        <f t="shared" si="170"/>
        <v>226137.9393</v>
      </c>
      <c r="I3625" s="37">
        <f t="shared" si="168"/>
        <v>226137.9393</v>
      </c>
      <c r="J3625" s="4"/>
      <c r="K3625" s="38">
        <f t="shared" si="169"/>
        <v>0</v>
      </c>
    </row>
    <row r="3626" spans="1:11">
      <c r="A3626" t="s">
        <v>4677</v>
      </c>
      <c r="B3626" t="s">
        <v>10176</v>
      </c>
      <c r="C3626" t="s">
        <v>10161</v>
      </c>
      <c r="D3626" t="s">
        <v>10217</v>
      </c>
      <c r="E3626">
        <v>394843.99</v>
      </c>
      <c r="G3626" s="35"/>
      <c r="H3626" s="36">
        <f t="shared" si="170"/>
        <v>248751.71369999999</v>
      </c>
      <c r="I3626" s="37">
        <f t="shared" si="168"/>
        <v>248751.71369999999</v>
      </c>
      <c r="J3626" s="4"/>
      <c r="K3626" s="38">
        <f t="shared" si="169"/>
        <v>0</v>
      </c>
    </row>
    <row r="3627" spans="1:11">
      <c r="A3627" t="s">
        <v>4678</v>
      </c>
      <c r="B3627" t="s">
        <v>10176</v>
      </c>
      <c r="C3627" t="s">
        <v>10161</v>
      </c>
      <c r="D3627" t="s">
        <v>10197</v>
      </c>
      <c r="E3627">
        <v>411016.19</v>
      </c>
      <c r="G3627" s="35"/>
      <c r="H3627" s="36">
        <f t="shared" si="170"/>
        <v>258940.1997</v>
      </c>
      <c r="I3627" s="37">
        <f t="shared" si="168"/>
        <v>258940.1997</v>
      </c>
      <c r="J3627" s="4"/>
      <c r="K3627" s="38">
        <f t="shared" si="169"/>
        <v>0</v>
      </c>
    </row>
    <row r="3628" spans="1:11">
      <c r="A3628" t="s">
        <v>4679</v>
      </c>
      <c r="B3628" t="s">
        <v>10176</v>
      </c>
      <c r="C3628" t="s">
        <v>10161</v>
      </c>
      <c r="D3628" t="s">
        <v>10391</v>
      </c>
      <c r="E3628">
        <v>452117.88</v>
      </c>
      <c r="G3628" s="35"/>
      <c r="H3628" s="36">
        <f t="shared" si="170"/>
        <v>284834.26439999999</v>
      </c>
      <c r="I3628" s="37">
        <f t="shared" si="168"/>
        <v>284834.26439999999</v>
      </c>
      <c r="J3628" s="4"/>
      <c r="K3628" s="38">
        <f t="shared" si="169"/>
        <v>0</v>
      </c>
    </row>
    <row r="3629" spans="1:11">
      <c r="A3629" t="s">
        <v>9748</v>
      </c>
      <c r="B3629" t="s">
        <v>10176</v>
      </c>
      <c r="C3629" t="s">
        <v>10161</v>
      </c>
      <c r="D3629" t="s">
        <v>10196</v>
      </c>
      <c r="E3629">
        <v>733278.92</v>
      </c>
      <c r="G3629" s="35"/>
      <c r="H3629" s="36">
        <f t="shared" si="170"/>
        <v>461965.71960000001</v>
      </c>
      <c r="I3629" s="37">
        <f t="shared" si="168"/>
        <v>461965.71960000001</v>
      </c>
      <c r="J3629" s="4"/>
      <c r="K3629" s="38">
        <f t="shared" si="169"/>
        <v>0</v>
      </c>
    </row>
    <row r="3630" spans="1:11">
      <c r="A3630" t="s">
        <v>9749</v>
      </c>
      <c r="B3630" t="s">
        <v>10176</v>
      </c>
      <c r="C3630" t="s">
        <v>10161</v>
      </c>
      <c r="D3630" t="s">
        <v>10204</v>
      </c>
      <c r="E3630">
        <v>806606.72</v>
      </c>
      <c r="G3630" s="35"/>
      <c r="H3630" s="36">
        <f t="shared" si="170"/>
        <v>508162.23359999998</v>
      </c>
      <c r="I3630" s="37">
        <f t="shared" si="168"/>
        <v>508162.23359999998</v>
      </c>
      <c r="J3630" s="4"/>
      <c r="K3630" s="38">
        <f t="shared" si="169"/>
        <v>0</v>
      </c>
    </row>
    <row r="3631" spans="1:11">
      <c r="A3631" t="s">
        <v>12632</v>
      </c>
      <c r="B3631" t="s">
        <v>10176</v>
      </c>
      <c r="C3631" t="s">
        <v>12633</v>
      </c>
      <c r="D3631" t="s">
        <v>12634</v>
      </c>
      <c r="E3631">
        <v>413924.89</v>
      </c>
      <c r="G3631" s="35"/>
      <c r="H3631" s="36">
        <f t="shared" si="170"/>
        <v>260772.6807</v>
      </c>
      <c r="I3631" s="37">
        <f t="shared" si="168"/>
        <v>260772.6807</v>
      </c>
      <c r="J3631" s="4"/>
      <c r="K3631" s="38">
        <f t="shared" si="169"/>
        <v>0</v>
      </c>
    </row>
    <row r="3632" spans="1:11">
      <c r="A3632" t="s">
        <v>12635</v>
      </c>
      <c r="B3632" t="s">
        <v>10176</v>
      </c>
      <c r="C3632" t="s">
        <v>12633</v>
      </c>
      <c r="D3632" t="s">
        <v>12636</v>
      </c>
      <c r="E3632">
        <v>376295.26</v>
      </c>
      <c r="G3632" s="35"/>
      <c r="H3632" s="36">
        <f t="shared" si="170"/>
        <v>237066.01380000002</v>
      </c>
      <c r="I3632" s="37">
        <f t="shared" si="168"/>
        <v>237066.01380000002</v>
      </c>
      <c r="J3632" s="4"/>
      <c r="K3632" s="38">
        <f t="shared" si="169"/>
        <v>0</v>
      </c>
    </row>
    <row r="3633" spans="1:11">
      <c r="A3633" t="s">
        <v>12637</v>
      </c>
      <c r="B3633" t="s">
        <v>10176</v>
      </c>
      <c r="C3633" t="s">
        <v>12633</v>
      </c>
      <c r="D3633" t="s">
        <v>12638</v>
      </c>
      <c r="E3633">
        <v>413924.89</v>
      </c>
      <c r="G3633" s="35"/>
      <c r="H3633" s="36">
        <f t="shared" si="170"/>
        <v>260772.6807</v>
      </c>
      <c r="I3633" s="37">
        <f t="shared" si="168"/>
        <v>260772.6807</v>
      </c>
      <c r="J3633" s="4"/>
      <c r="K3633" s="38">
        <f t="shared" si="169"/>
        <v>0</v>
      </c>
    </row>
    <row r="3634" spans="1:11">
      <c r="A3634" t="s">
        <v>12639</v>
      </c>
      <c r="B3634" t="s">
        <v>10176</v>
      </c>
      <c r="C3634" t="s">
        <v>12633</v>
      </c>
      <c r="D3634" t="s">
        <v>12640</v>
      </c>
      <c r="E3634">
        <v>293510.39</v>
      </c>
      <c r="G3634" s="35"/>
      <c r="H3634" s="36">
        <f t="shared" si="170"/>
        <v>184911.54570000002</v>
      </c>
      <c r="I3634" s="37">
        <f t="shared" si="168"/>
        <v>184911.54570000002</v>
      </c>
      <c r="J3634" s="4"/>
      <c r="K3634" s="38">
        <f t="shared" si="169"/>
        <v>0</v>
      </c>
    </row>
    <row r="3635" spans="1:11">
      <c r="A3635" t="s">
        <v>12641</v>
      </c>
      <c r="B3635" t="s">
        <v>10176</v>
      </c>
      <c r="C3635" t="s">
        <v>12633</v>
      </c>
      <c r="D3635" t="s">
        <v>12642</v>
      </c>
      <c r="E3635">
        <v>266827.31</v>
      </c>
      <c r="G3635" s="35"/>
      <c r="H3635" s="36">
        <f t="shared" si="170"/>
        <v>168101.2053</v>
      </c>
      <c r="I3635" s="37">
        <f t="shared" si="168"/>
        <v>168101.2053</v>
      </c>
      <c r="J3635" s="4"/>
      <c r="K3635" s="38">
        <f t="shared" si="169"/>
        <v>0</v>
      </c>
    </row>
    <row r="3636" spans="1:11">
      <c r="A3636" t="s">
        <v>12643</v>
      </c>
      <c r="B3636" t="s">
        <v>10176</v>
      </c>
      <c r="C3636" t="s">
        <v>12633</v>
      </c>
      <c r="D3636" t="s">
        <v>12644</v>
      </c>
      <c r="E3636">
        <v>293510.39</v>
      </c>
      <c r="G3636" s="35"/>
      <c r="H3636" s="36">
        <f t="shared" si="170"/>
        <v>184911.54570000002</v>
      </c>
      <c r="I3636" s="37">
        <f t="shared" si="168"/>
        <v>184911.54570000002</v>
      </c>
      <c r="J3636" s="4"/>
      <c r="K3636" s="38">
        <f t="shared" si="169"/>
        <v>0</v>
      </c>
    </row>
    <row r="3637" spans="1:11">
      <c r="A3637" t="s">
        <v>12645</v>
      </c>
      <c r="B3637" t="s">
        <v>10176</v>
      </c>
      <c r="C3637" t="s">
        <v>12633</v>
      </c>
      <c r="D3637" t="s">
        <v>12646</v>
      </c>
      <c r="E3637">
        <v>292629.39</v>
      </c>
      <c r="G3637" s="35"/>
      <c r="H3637" s="36">
        <f t="shared" si="170"/>
        <v>184356.51570000002</v>
      </c>
      <c r="I3637" s="37">
        <f t="shared" si="168"/>
        <v>184356.51570000002</v>
      </c>
      <c r="J3637" s="4"/>
      <c r="K3637" s="38">
        <f t="shared" si="169"/>
        <v>0</v>
      </c>
    </row>
    <row r="3638" spans="1:11">
      <c r="A3638" t="s">
        <v>12647</v>
      </c>
      <c r="B3638" t="s">
        <v>10176</v>
      </c>
      <c r="C3638" t="s">
        <v>12633</v>
      </c>
      <c r="D3638" t="s">
        <v>12648</v>
      </c>
      <c r="E3638">
        <v>266026.88</v>
      </c>
      <c r="G3638" s="35"/>
      <c r="H3638" s="36">
        <f t="shared" si="170"/>
        <v>167596.9344</v>
      </c>
      <c r="I3638" s="37">
        <f t="shared" si="168"/>
        <v>167596.9344</v>
      </c>
      <c r="J3638" s="4"/>
      <c r="K3638" s="38">
        <f t="shared" si="169"/>
        <v>0</v>
      </c>
    </row>
    <row r="3639" spans="1:11">
      <c r="A3639" t="s">
        <v>12649</v>
      </c>
      <c r="B3639" t="s">
        <v>10176</v>
      </c>
      <c r="C3639" t="s">
        <v>12633</v>
      </c>
      <c r="D3639" t="s">
        <v>12650</v>
      </c>
      <c r="E3639">
        <v>292629.39</v>
      </c>
      <c r="G3639" s="35"/>
      <c r="H3639" s="36">
        <f t="shared" si="170"/>
        <v>184356.51570000002</v>
      </c>
      <c r="I3639" s="37">
        <f t="shared" si="168"/>
        <v>184356.51570000002</v>
      </c>
      <c r="J3639" s="4"/>
      <c r="K3639" s="38">
        <f t="shared" si="169"/>
        <v>0</v>
      </c>
    </row>
    <row r="3640" spans="1:11">
      <c r="A3640" t="s">
        <v>12651</v>
      </c>
      <c r="B3640" t="s">
        <v>10176</v>
      </c>
      <c r="C3640" t="s">
        <v>12633</v>
      </c>
      <c r="D3640" t="s">
        <v>12652</v>
      </c>
      <c r="E3640">
        <v>289596.83</v>
      </c>
      <c r="G3640" s="35"/>
      <c r="H3640" s="36">
        <f t="shared" si="170"/>
        <v>182446.00290000002</v>
      </c>
      <c r="I3640" s="37">
        <f t="shared" si="168"/>
        <v>182446.00290000002</v>
      </c>
      <c r="J3640" s="4"/>
      <c r="K3640" s="38">
        <f t="shared" si="169"/>
        <v>0</v>
      </c>
    </row>
    <row r="3641" spans="1:11">
      <c r="A3641" t="s">
        <v>12653</v>
      </c>
      <c r="B3641" t="s">
        <v>10176</v>
      </c>
      <c r="C3641" t="s">
        <v>12633</v>
      </c>
      <c r="D3641" t="s">
        <v>12654</v>
      </c>
      <c r="E3641">
        <v>263269.96000000002</v>
      </c>
      <c r="G3641" s="35"/>
      <c r="H3641" s="36">
        <f t="shared" si="170"/>
        <v>165860.0748</v>
      </c>
      <c r="I3641" s="37">
        <f t="shared" si="168"/>
        <v>165860.0748</v>
      </c>
      <c r="J3641" s="4"/>
      <c r="K3641" s="38">
        <f t="shared" si="169"/>
        <v>0</v>
      </c>
    </row>
    <row r="3642" spans="1:11">
      <c r="A3642" t="s">
        <v>12655</v>
      </c>
      <c r="B3642" t="s">
        <v>10176</v>
      </c>
      <c r="C3642" t="s">
        <v>12633</v>
      </c>
      <c r="D3642" t="s">
        <v>12656</v>
      </c>
      <c r="E3642">
        <v>289596.83</v>
      </c>
      <c r="G3642" s="35"/>
      <c r="H3642" s="36">
        <f t="shared" si="170"/>
        <v>182446.00290000002</v>
      </c>
      <c r="I3642" s="37">
        <f t="shared" si="168"/>
        <v>182446.00290000002</v>
      </c>
      <c r="J3642" s="4"/>
      <c r="K3642" s="38">
        <f t="shared" si="169"/>
        <v>0</v>
      </c>
    </row>
    <row r="3643" spans="1:11">
      <c r="A3643" t="s">
        <v>12657</v>
      </c>
      <c r="B3643" t="s">
        <v>10176</v>
      </c>
      <c r="C3643" t="s">
        <v>12633</v>
      </c>
      <c r="D3643" t="s">
        <v>12658</v>
      </c>
      <c r="E3643">
        <v>313856.15999999997</v>
      </c>
      <c r="G3643" s="35"/>
      <c r="H3643" s="36">
        <f t="shared" si="170"/>
        <v>197729.38079999998</v>
      </c>
      <c r="I3643" s="37">
        <f t="shared" si="168"/>
        <v>197729.38079999998</v>
      </c>
      <c r="J3643" s="4"/>
      <c r="K3643" s="38">
        <f t="shared" si="169"/>
        <v>0</v>
      </c>
    </row>
    <row r="3644" spans="1:11">
      <c r="A3644" t="s">
        <v>12659</v>
      </c>
      <c r="B3644" t="s">
        <v>10176</v>
      </c>
      <c r="C3644" t="s">
        <v>12633</v>
      </c>
      <c r="D3644" t="s">
        <v>12660</v>
      </c>
      <c r="E3644">
        <v>285323.63</v>
      </c>
      <c r="G3644" s="35"/>
      <c r="H3644" s="36">
        <f t="shared" si="170"/>
        <v>179753.88690000001</v>
      </c>
      <c r="I3644" s="37">
        <f t="shared" si="168"/>
        <v>179753.88690000001</v>
      </c>
      <c r="J3644" s="4"/>
      <c r="K3644" s="38">
        <f t="shared" si="169"/>
        <v>0</v>
      </c>
    </row>
    <row r="3645" spans="1:11">
      <c r="A3645" t="s">
        <v>12661</v>
      </c>
      <c r="B3645" t="s">
        <v>10176</v>
      </c>
      <c r="C3645" t="s">
        <v>12633</v>
      </c>
      <c r="D3645" t="s">
        <v>12662</v>
      </c>
      <c r="E3645">
        <v>313856.15999999997</v>
      </c>
      <c r="G3645" s="35"/>
      <c r="H3645" s="36">
        <f t="shared" si="170"/>
        <v>197729.38079999998</v>
      </c>
      <c r="I3645" s="37">
        <f t="shared" si="168"/>
        <v>197729.38079999998</v>
      </c>
      <c r="J3645" s="4"/>
      <c r="K3645" s="38">
        <f t="shared" si="169"/>
        <v>0</v>
      </c>
    </row>
    <row r="3646" spans="1:11">
      <c r="A3646" t="s">
        <v>9885</v>
      </c>
      <c r="B3646" t="s">
        <v>10176</v>
      </c>
      <c r="C3646" t="s">
        <v>9886</v>
      </c>
      <c r="D3646" t="s">
        <v>10191</v>
      </c>
      <c r="E3646">
        <v>238932.78</v>
      </c>
      <c r="G3646" s="35"/>
      <c r="H3646" s="36">
        <f t="shared" si="170"/>
        <v>150527.6514</v>
      </c>
      <c r="I3646" s="37">
        <f t="shared" si="168"/>
        <v>150527.6514</v>
      </c>
      <c r="J3646" s="4"/>
      <c r="K3646" s="38">
        <f t="shared" si="169"/>
        <v>0</v>
      </c>
    </row>
    <row r="3647" spans="1:11">
      <c r="A3647" t="s">
        <v>9887</v>
      </c>
      <c r="B3647" t="s">
        <v>10176</v>
      </c>
      <c r="C3647" t="s">
        <v>9886</v>
      </c>
      <c r="D3647" t="s">
        <v>7067</v>
      </c>
      <c r="E3647">
        <v>119518.15</v>
      </c>
      <c r="G3647" s="35"/>
      <c r="H3647" s="36">
        <f t="shared" si="170"/>
        <v>75296.434500000003</v>
      </c>
      <c r="I3647" s="37">
        <f t="shared" si="168"/>
        <v>75296.434500000003</v>
      </c>
      <c r="J3647" s="4"/>
      <c r="K3647" s="38">
        <f t="shared" si="169"/>
        <v>0</v>
      </c>
    </row>
    <row r="3648" spans="1:11">
      <c r="A3648" t="s">
        <v>9888</v>
      </c>
      <c r="B3648" t="s">
        <v>10176</v>
      </c>
      <c r="C3648" t="s">
        <v>9886</v>
      </c>
      <c r="D3648" t="s">
        <v>7068</v>
      </c>
      <c r="E3648">
        <v>177410.41</v>
      </c>
      <c r="G3648" s="35"/>
      <c r="H3648" s="36">
        <f t="shared" si="170"/>
        <v>111768.5583</v>
      </c>
      <c r="I3648" s="37">
        <f t="shared" si="168"/>
        <v>111768.5583</v>
      </c>
      <c r="J3648" s="4"/>
      <c r="K3648" s="38">
        <f t="shared" si="169"/>
        <v>0</v>
      </c>
    </row>
    <row r="3649" spans="1:11">
      <c r="A3649" t="s">
        <v>9889</v>
      </c>
      <c r="B3649" t="s">
        <v>10176</v>
      </c>
      <c r="C3649" t="s">
        <v>9886</v>
      </c>
      <c r="D3649" t="s">
        <v>10197</v>
      </c>
      <c r="E3649">
        <v>184220.35</v>
      </c>
      <c r="G3649" s="35"/>
      <c r="H3649" s="36">
        <f t="shared" si="170"/>
        <v>116058.8205</v>
      </c>
      <c r="I3649" s="37">
        <f t="shared" si="168"/>
        <v>116058.8205</v>
      </c>
      <c r="J3649" s="4"/>
      <c r="K3649" s="38">
        <f t="shared" si="169"/>
        <v>0</v>
      </c>
    </row>
    <row r="3650" spans="1:11">
      <c r="A3650" t="s">
        <v>4172</v>
      </c>
      <c r="B3650" t="s">
        <v>10176</v>
      </c>
      <c r="C3650" t="s">
        <v>5652</v>
      </c>
      <c r="D3650" t="s">
        <v>11295</v>
      </c>
      <c r="E3650">
        <v>113062.11</v>
      </c>
      <c r="G3650" s="35"/>
      <c r="H3650" s="36">
        <f t="shared" si="170"/>
        <v>71229.129300000001</v>
      </c>
      <c r="I3650" s="37">
        <f t="shared" si="168"/>
        <v>71229.129300000001</v>
      </c>
      <c r="J3650" s="4"/>
      <c r="K3650" s="38">
        <f t="shared" si="169"/>
        <v>0</v>
      </c>
    </row>
    <row r="3651" spans="1:11">
      <c r="A3651" t="s">
        <v>4173</v>
      </c>
      <c r="B3651" t="s">
        <v>10176</v>
      </c>
      <c r="C3651" t="s">
        <v>5652</v>
      </c>
      <c r="D3651" t="s">
        <v>11296</v>
      </c>
      <c r="E3651">
        <v>113062.11</v>
      </c>
      <c r="G3651" s="35"/>
      <c r="H3651" s="36">
        <f t="shared" si="170"/>
        <v>71229.129300000001</v>
      </c>
      <c r="I3651" s="37">
        <f t="shared" si="168"/>
        <v>71229.129300000001</v>
      </c>
      <c r="J3651" s="4"/>
      <c r="K3651" s="38">
        <f t="shared" si="169"/>
        <v>0</v>
      </c>
    </row>
    <row r="3652" spans="1:11">
      <c r="A3652" t="s">
        <v>4174</v>
      </c>
      <c r="B3652" t="s">
        <v>10176</v>
      </c>
      <c r="C3652" t="s">
        <v>5652</v>
      </c>
      <c r="D3652" t="s">
        <v>11297</v>
      </c>
      <c r="E3652">
        <v>113062.11</v>
      </c>
      <c r="G3652" s="35"/>
      <c r="H3652" s="36">
        <f t="shared" si="170"/>
        <v>71229.129300000001</v>
      </c>
      <c r="I3652" s="37">
        <f t="shared" si="168"/>
        <v>71229.129300000001</v>
      </c>
      <c r="J3652" s="4"/>
      <c r="K3652" s="38">
        <f t="shared" si="169"/>
        <v>0</v>
      </c>
    </row>
    <row r="3653" spans="1:11">
      <c r="A3653" t="s">
        <v>4175</v>
      </c>
      <c r="B3653" t="s">
        <v>10176</v>
      </c>
      <c r="C3653" t="s">
        <v>5652</v>
      </c>
      <c r="D3653" t="s">
        <v>11298</v>
      </c>
      <c r="E3653">
        <v>113062.11</v>
      </c>
      <c r="G3653" s="35"/>
      <c r="H3653" s="36">
        <f t="shared" si="170"/>
        <v>71229.129300000001</v>
      </c>
      <c r="I3653" s="37">
        <f t="shared" si="168"/>
        <v>71229.129300000001</v>
      </c>
      <c r="J3653" s="4"/>
      <c r="K3653" s="38">
        <f t="shared" si="169"/>
        <v>0</v>
      </c>
    </row>
    <row r="3654" spans="1:11">
      <c r="A3654" t="s">
        <v>12159</v>
      </c>
      <c r="B3654" t="s">
        <v>10176</v>
      </c>
      <c r="C3654" t="s">
        <v>5652</v>
      </c>
      <c r="D3654" t="s">
        <v>12160</v>
      </c>
      <c r="E3654">
        <v>101956.64</v>
      </c>
      <c r="G3654" s="35"/>
      <c r="H3654" s="36">
        <f t="shared" si="170"/>
        <v>64232.683199999999</v>
      </c>
      <c r="I3654" s="37">
        <f t="shared" ref="I3654:I3717" si="171">H3654*$H$4</f>
        <v>64232.683199999999</v>
      </c>
      <c r="J3654" s="4"/>
      <c r="K3654" s="38">
        <f t="shared" ref="K3654:K3717" si="172">J3654*I3654</f>
        <v>0</v>
      </c>
    </row>
    <row r="3655" spans="1:11">
      <c r="A3655" t="s">
        <v>4176</v>
      </c>
      <c r="B3655" t="s">
        <v>10176</v>
      </c>
      <c r="C3655" t="s">
        <v>5652</v>
      </c>
      <c r="D3655" t="s">
        <v>11299</v>
      </c>
      <c r="E3655">
        <v>113062.11</v>
      </c>
      <c r="G3655" s="35"/>
      <c r="H3655" s="36">
        <f t="shared" ref="H3655:H3718" si="173">+E3655*$H$1*(1-G3655)</f>
        <v>71229.129300000001</v>
      </c>
      <c r="I3655" s="37">
        <f t="shared" si="171"/>
        <v>71229.129300000001</v>
      </c>
      <c r="J3655" s="4"/>
      <c r="K3655" s="38">
        <f t="shared" si="172"/>
        <v>0</v>
      </c>
    </row>
    <row r="3656" spans="1:11">
      <c r="A3656" t="s">
        <v>4177</v>
      </c>
      <c r="B3656" t="s">
        <v>10176</v>
      </c>
      <c r="C3656" t="s">
        <v>5652</v>
      </c>
      <c r="D3656" t="s">
        <v>11300</v>
      </c>
      <c r="E3656">
        <v>76294.990000000005</v>
      </c>
      <c r="G3656" s="35"/>
      <c r="H3656" s="36">
        <f t="shared" si="173"/>
        <v>48065.843700000005</v>
      </c>
      <c r="I3656" s="37">
        <f t="shared" si="171"/>
        <v>48065.843700000005</v>
      </c>
      <c r="J3656" s="4"/>
      <c r="K3656" s="38">
        <f t="shared" si="172"/>
        <v>0</v>
      </c>
    </row>
    <row r="3657" spans="1:11">
      <c r="A3657" t="s">
        <v>4178</v>
      </c>
      <c r="B3657" t="s">
        <v>10176</v>
      </c>
      <c r="C3657" t="s">
        <v>5652</v>
      </c>
      <c r="D3657" t="s">
        <v>11301</v>
      </c>
      <c r="E3657">
        <v>76294.990000000005</v>
      </c>
      <c r="G3657" s="35"/>
      <c r="H3657" s="36">
        <f t="shared" si="173"/>
        <v>48065.843700000005</v>
      </c>
      <c r="I3657" s="37">
        <f t="shared" si="171"/>
        <v>48065.843700000005</v>
      </c>
      <c r="J3657" s="4"/>
      <c r="K3657" s="38">
        <f t="shared" si="172"/>
        <v>0</v>
      </c>
    </row>
    <row r="3658" spans="1:11">
      <c r="A3658" t="s">
        <v>4179</v>
      </c>
      <c r="B3658" t="s">
        <v>10176</v>
      </c>
      <c r="C3658" t="s">
        <v>5652</v>
      </c>
      <c r="D3658" t="s">
        <v>11302</v>
      </c>
      <c r="E3658">
        <v>76294.990000000005</v>
      </c>
      <c r="G3658" s="35"/>
      <c r="H3658" s="36">
        <f t="shared" si="173"/>
        <v>48065.843700000005</v>
      </c>
      <c r="I3658" s="37">
        <f t="shared" si="171"/>
        <v>48065.843700000005</v>
      </c>
      <c r="J3658" s="4"/>
      <c r="K3658" s="38">
        <f t="shared" si="172"/>
        <v>0</v>
      </c>
    </row>
    <row r="3659" spans="1:11">
      <c r="A3659" t="s">
        <v>12161</v>
      </c>
      <c r="B3659" t="s">
        <v>10176</v>
      </c>
      <c r="C3659" t="s">
        <v>5652</v>
      </c>
      <c r="D3659" t="s">
        <v>7054</v>
      </c>
      <c r="E3659">
        <v>72237.3</v>
      </c>
      <c r="G3659" s="35"/>
      <c r="H3659" s="36">
        <f t="shared" si="173"/>
        <v>45509.499000000003</v>
      </c>
      <c r="I3659" s="37">
        <f t="shared" si="171"/>
        <v>45509.499000000003</v>
      </c>
      <c r="J3659" s="4"/>
      <c r="K3659" s="38">
        <f t="shared" si="172"/>
        <v>0</v>
      </c>
    </row>
    <row r="3660" spans="1:11">
      <c r="A3660" t="s">
        <v>4180</v>
      </c>
      <c r="B3660" t="s">
        <v>10176</v>
      </c>
      <c r="C3660" t="s">
        <v>5652</v>
      </c>
      <c r="D3660" t="s">
        <v>11303</v>
      </c>
      <c r="E3660">
        <v>76294.990000000005</v>
      </c>
      <c r="G3660" s="35"/>
      <c r="H3660" s="36">
        <f t="shared" si="173"/>
        <v>48065.843700000005</v>
      </c>
      <c r="I3660" s="37">
        <f t="shared" si="171"/>
        <v>48065.843700000005</v>
      </c>
      <c r="J3660" s="4"/>
      <c r="K3660" s="38">
        <f t="shared" si="172"/>
        <v>0</v>
      </c>
    </row>
    <row r="3661" spans="1:11">
      <c r="A3661" t="s">
        <v>4181</v>
      </c>
      <c r="B3661" t="s">
        <v>10176</v>
      </c>
      <c r="C3661" t="s">
        <v>5652</v>
      </c>
      <c r="D3661" t="s">
        <v>11304</v>
      </c>
      <c r="E3661">
        <v>79409.77</v>
      </c>
      <c r="G3661" s="35"/>
      <c r="H3661" s="36">
        <f t="shared" si="173"/>
        <v>50028.155100000004</v>
      </c>
      <c r="I3661" s="37">
        <f t="shared" si="171"/>
        <v>50028.155100000004</v>
      </c>
      <c r="J3661" s="4"/>
      <c r="K3661" s="38">
        <f t="shared" si="172"/>
        <v>0</v>
      </c>
    </row>
    <row r="3662" spans="1:11">
      <c r="A3662" t="s">
        <v>4182</v>
      </c>
      <c r="B3662" t="s">
        <v>10176</v>
      </c>
      <c r="C3662" t="s">
        <v>5652</v>
      </c>
      <c r="D3662" t="s">
        <v>11305</v>
      </c>
      <c r="E3662">
        <v>79409.77</v>
      </c>
      <c r="G3662" s="35"/>
      <c r="H3662" s="36">
        <f t="shared" si="173"/>
        <v>50028.155100000004</v>
      </c>
      <c r="I3662" s="37">
        <f t="shared" si="171"/>
        <v>50028.155100000004</v>
      </c>
      <c r="J3662" s="4"/>
      <c r="K3662" s="38">
        <f t="shared" si="172"/>
        <v>0</v>
      </c>
    </row>
    <row r="3663" spans="1:11">
      <c r="A3663" t="s">
        <v>4183</v>
      </c>
      <c r="B3663" t="s">
        <v>10176</v>
      </c>
      <c r="C3663" t="s">
        <v>5652</v>
      </c>
      <c r="D3663" t="s">
        <v>11306</v>
      </c>
      <c r="E3663">
        <v>79409.77</v>
      </c>
      <c r="G3663" s="35"/>
      <c r="H3663" s="36">
        <f t="shared" si="173"/>
        <v>50028.155100000004</v>
      </c>
      <c r="I3663" s="37">
        <f t="shared" si="171"/>
        <v>50028.155100000004</v>
      </c>
      <c r="J3663" s="4"/>
      <c r="K3663" s="38">
        <f t="shared" si="172"/>
        <v>0</v>
      </c>
    </row>
    <row r="3664" spans="1:11">
      <c r="A3664" t="s">
        <v>4184</v>
      </c>
      <c r="B3664" t="s">
        <v>10176</v>
      </c>
      <c r="C3664" t="s">
        <v>5652</v>
      </c>
      <c r="D3664" t="s">
        <v>11307</v>
      </c>
      <c r="E3664">
        <v>79409.77</v>
      </c>
      <c r="G3664" s="35"/>
      <c r="H3664" s="36">
        <f t="shared" si="173"/>
        <v>50028.155100000004</v>
      </c>
      <c r="I3664" s="37">
        <f t="shared" si="171"/>
        <v>50028.155100000004</v>
      </c>
      <c r="J3664" s="4"/>
      <c r="K3664" s="38">
        <f t="shared" si="172"/>
        <v>0</v>
      </c>
    </row>
    <row r="3665" spans="1:11">
      <c r="A3665" t="s">
        <v>12162</v>
      </c>
      <c r="B3665" t="s">
        <v>10176</v>
      </c>
      <c r="C3665" t="s">
        <v>5652</v>
      </c>
      <c r="D3665" t="s">
        <v>7055</v>
      </c>
      <c r="E3665">
        <v>75193.490000000005</v>
      </c>
      <c r="G3665" s="35"/>
      <c r="H3665" s="36">
        <f t="shared" si="173"/>
        <v>47371.898700000005</v>
      </c>
      <c r="I3665" s="37">
        <f t="shared" si="171"/>
        <v>47371.898700000005</v>
      </c>
      <c r="J3665" s="4"/>
      <c r="K3665" s="38">
        <f t="shared" si="172"/>
        <v>0</v>
      </c>
    </row>
    <row r="3666" spans="1:11">
      <c r="A3666" t="s">
        <v>4185</v>
      </c>
      <c r="B3666" t="s">
        <v>10176</v>
      </c>
      <c r="C3666" t="s">
        <v>5652</v>
      </c>
      <c r="D3666" t="s">
        <v>11308</v>
      </c>
      <c r="E3666">
        <v>79409.77</v>
      </c>
      <c r="G3666" s="35"/>
      <c r="H3666" s="36">
        <f t="shared" si="173"/>
        <v>50028.155100000004</v>
      </c>
      <c r="I3666" s="37">
        <f t="shared" si="171"/>
        <v>50028.155100000004</v>
      </c>
      <c r="J3666" s="4"/>
      <c r="K3666" s="38">
        <f t="shared" si="172"/>
        <v>0</v>
      </c>
    </row>
    <row r="3667" spans="1:11">
      <c r="A3667" t="s">
        <v>4186</v>
      </c>
      <c r="B3667" t="s">
        <v>10176</v>
      </c>
      <c r="C3667" t="s">
        <v>5652</v>
      </c>
      <c r="D3667" t="s">
        <v>11309</v>
      </c>
      <c r="E3667">
        <v>245600.95</v>
      </c>
      <c r="G3667" s="35"/>
      <c r="H3667" s="36">
        <f t="shared" si="173"/>
        <v>154728.59850000002</v>
      </c>
      <c r="I3667" s="37">
        <f t="shared" si="171"/>
        <v>154728.59850000002</v>
      </c>
      <c r="J3667" s="4"/>
      <c r="K3667" s="38">
        <f t="shared" si="172"/>
        <v>0</v>
      </c>
    </row>
    <row r="3668" spans="1:11">
      <c r="A3668" t="s">
        <v>4680</v>
      </c>
      <c r="B3668" t="s">
        <v>10176</v>
      </c>
      <c r="C3668" t="s">
        <v>10162</v>
      </c>
      <c r="D3668" t="s">
        <v>10191</v>
      </c>
      <c r="E3668">
        <v>184643.89</v>
      </c>
      <c r="G3668" s="35"/>
      <c r="H3668" s="36">
        <f t="shared" si="173"/>
        <v>116325.65070000001</v>
      </c>
      <c r="I3668" s="37">
        <f t="shared" si="171"/>
        <v>116325.65070000001</v>
      </c>
      <c r="J3668" s="4"/>
      <c r="K3668" s="38">
        <f t="shared" si="172"/>
        <v>0</v>
      </c>
    </row>
    <row r="3669" spans="1:11">
      <c r="A3669" t="s">
        <v>4681</v>
      </c>
      <c r="B3669" t="s">
        <v>10176</v>
      </c>
      <c r="C3669" t="s">
        <v>10162</v>
      </c>
      <c r="D3669" t="s">
        <v>10192</v>
      </c>
      <c r="E3669">
        <v>117345.44</v>
      </c>
      <c r="G3669" s="35"/>
      <c r="H3669" s="36">
        <f t="shared" si="173"/>
        <v>73927.627200000003</v>
      </c>
      <c r="I3669" s="37">
        <f t="shared" si="171"/>
        <v>73927.627200000003</v>
      </c>
      <c r="J3669" s="4"/>
      <c r="K3669" s="38">
        <f t="shared" si="172"/>
        <v>0</v>
      </c>
    </row>
    <row r="3670" spans="1:11">
      <c r="A3670" t="s">
        <v>4682</v>
      </c>
      <c r="B3670" t="s">
        <v>10176</v>
      </c>
      <c r="C3670" t="s">
        <v>10162</v>
      </c>
      <c r="D3670" t="s">
        <v>7067</v>
      </c>
      <c r="E3670">
        <v>84276.89</v>
      </c>
      <c r="G3670" s="35"/>
      <c r="H3670" s="36">
        <f t="shared" si="173"/>
        <v>53094.440699999999</v>
      </c>
      <c r="I3670" s="37">
        <f t="shared" si="171"/>
        <v>53094.440699999999</v>
      </c>
      <c r="J3670" s="4"/>
      <c r="K3670" s="38">
        <f t="shared" si="172"/>
        <v>0</v>
      </c>
    </row>
    <row r="3671" spans="1:11">
      <c r="A3671" t="s">
        <v>4683</v>
      </c>
      <c r="B3671" t="s">
        <v>10176</v>
      </c>
      <c r="C3671" t="s">
        <v>10162</v>
      </c>
      <c r="D3671" t="s">
        <v>7068</v>
      </c>
      <c r="E3671">
        <v>134826.92000000001</v>
      </c>
      <c r="G3671" s="35"/>
      <c r="H3671" s="36">
        <f t="shared" si="173"/>
        <v>84940.959600000002</v>
      </c>
      <c r="I3671" s="37">
        <f t="shared" si="171"/>
        <v>84940.959600000002</v>
      </c>
      <c r="J3671" s="4"/>
      <c r="K3671" s="38">
        <f t="shared" si="172"/>
        <v>0</v>
      </c>
    </row>
    <row r="3672" spans="1:11">
      <c r="A3672" t="s">
        <v>4684</v>
      </c>
      <c r="B3672" t="s">
        <v>10176</v>
      </c>
      <c r="C3672" t="s">
        <v>10162</v>
      </c>
      <c r="D3672" t="s">
        <v>10197</v>
      </c>
      <c r="E3672">
        <v>134826.92000000001</v>
      </c>
      <c r="G3672" s="35"/>
      <c r="H3672" s="36">
        <f t="shared" si="173"/>
        <v>84940.959600000002</v>
      </c>
      <c r="I3672" s="37">
        <f t="shared" si="171"/>
        <v>84940.959600000002</v>
      </c>
      <c r="J3672" s="4"/>
      <c r="K3672" s="38">
        <f t="shared" si="172"/>
        <v>0</v>
      </c>
    </row>
    <row r="3673" spans="1:11">
      <c r="A3673" t="s">
        <v>4685</v>
      </c>
      <c r="B3673" t="s">
        <v>10176</v>
      </c>
      <c r="C3673" t="s">
        <v>10162</v>
      </c>
      <c r="D3673" t="s">
        <v>10196</v>
      </c>
      <c r="E3673">
        <v>82519.009999999995</v>
      </c>
      <c r="G3673" s="35"/>
      <c r="H3673" s="36">
        <f t="shared" si="173"/>
        <v>51986.976299999995</v>
      </c>
      <c r="I3673" s="37">
        <f t="shared" si="171"/>
        <v>51986.976299999995</v>
      </c>
      <c r="J3673" s="4"/>
      <c r="K3673" s="38">
        <f t="shared" si="172"/>
        <v>0</v>
      </c>
    </row>
    <row r="3674" spans="1:11">
      <c r="A3674" t="s">
        <v>4686</v>
      </c>
      <c r="B3674" t="s">
        <v>10176</v>
      </c>
      <c r="C3674" t="s">
        <v>10162</v>
      </c>
      <c r="D3674" t="s">
        <v>10392</v>
      </c>
      <c r="E3674">
        <v>95852.18</v>
      </c>
      <c r="G3674" s="35"/>
      <c r="H3674" s="36">
        <f t="shared" si="173"/>
        <v>60386.873399999997</v>
      </c>
      <c r="I3674" s="37">
        <f t="shared" si="171"/>
        <v>60386.873399999997</v>
      </c>
      <c r="J3674" s="4"/>
      <c r="K3674" s="38">
        <f t="shared" si="172"/>
        <v>0</v>
      </c>
    </row>
    <row r="3675" spans="1:11">
      <c r="A3675" t="s">
        <v>12458</v>
      </c>
      <c r="B3675" t="s">
        <v>10176</v>
      </c>
      <c r="C3675" t="s">
        <v>12459</v>
      </c>
      <c r="D3675" t="s">
        <v>12460</v>
      </c>
      <c r="E3675">
        <v>271370.23999999999</v>
      </c>
      <c r="G3675" s="35"/>
      <c r="H3675" s="36">
        <f t="shared" si="173"/>
        <v>170963.2512</v>
      </c>
      <c r="I3675" s="37">
        <f t="shared" si="171"/>
        <v>170963.2512</v>
      </c>
      <c r="J3675" s="4"/>
      <c r="K3675" s="38">
        <f t="shared" si="172"/>
        <v>0</v>
      </c>
    </row>
    <row r="3676" spans="1:11">
      <c r="A3676" t="s">
        <v>12461</v>
      </c>
      <c r="B3676" t="s">
        <v>10176</v>
      </c>
      <c r="C3676" t="s">
        <v>12459</v>
      </c>
      <c r="D3676" t="s">
        <v>12462</v>
      </c>
      <c r="E3676">
        <v>298507.26</v>
      </c>
      <c r="G3676" s="35"/>
      <c r="H3676" s="36">
        <f t="shared" si="173"/>
        <v>188059.57380000001</v>
      </c>
      <c r="I3676" s="37">
        <f t="shared" si="171"/>
        <v>188059.57380000001</v>
      </c>
      <c r="J3676" s="4"/>
      <c r="K3676" s="38">
        <f t="shared" si="172"/>
        <v>0</v>
      </c>
    </row>
    <row r="3677" spans="1:11">
      <c r="A3677" t="s">
        <v>12463</v>
      </c>
      <c r="B3677" t="s">
        <v>10176</v>
      </c>
      <c r="C3677" t="s">
        <v>12459</v>
      </c>
      <c r="D3677" t="s">
        <v>12464</v>
      </c>
      <c r="E3677">
        <v>197996.06</v>
      </c>
      <c r="G3677" s="35"/>
      <c r="H3677" s="36">
        <f t="shared" si="173"/>
        <v>124737.5178</v>
      </c>
      <c r="I3677" s="37">
        <f t="shared" si="171"/>
        <v>124737.5178</v>
      </c>
      <c r="J3677" s="4"/>
      <c r="K3677" s="38">
        <f t="shared" si="172"/>
        <v>0</v>
      </c>
    </row>
    <row r="3678" spans="1:11">
      <c r="A3678" t="s">
        <v>12465</v>
      </c>
      <c r="B3678" t="s">
        <v>10176</v>
      </c>
      <c r="C3678" t="s">
        <v>12459</v>
      </c>
      <c r="D3678" t="s">
        <v>12466</v>
      </c>
      <c r="E3678">
        <v>217795.66</v>
      </c>
      <c r="G3678" s="35"/>
      <c r="H3678" s="36">
        <f t="shared" si="173"/>
        <v>137211.26579999999</v>
      </c>
      <c r="I3678" s="37">
        <f t="shared" si="171"/>
        <v>137211.26579999999</v>
      </c>
      <c r="J3678" s="4"/>
      <c r="K3678" s="38">
        <f t="shared" si="172"/>
        <v>0</v>
      </c>
    </row>
    <row r="3679" spans="1:11">
      <c r="A3679" t="s">
        <v>12467</v>
      </c>
      <c r="B3679" t="s">
        <v>10176</v>
      </c>
      <c r="C3679" t="s">
        <v>12459</v>
      </c>
      <c r="D3679" t="s">
        <v>12468</v>
      </c>
      <c r="E3679">
        <v>256571.42</v>
      </c>
      <c r="G3679" s="35"/>
      <c r="H3679" s="36">
        <f t="shared" si="173"/>
        <v>161639.99460000001</v>
      </c>
      <c r="I3679" s="37">
        <f t="shared" si="171"/>
        <v>161639.99460000001</v>
      </c>
      <c r="J3679" s="4"/>
      <c r="K3679" s="38">
        <f t="shared" si="172"/>
        <v>0</v>
      </c>
    </row>
    <row r="3680" spans="1:11">
      <c r="A3680" t="s">
        <v>12469</v>
      </c>
      <c r="B3680" t="s">
        <v>10176</v>
      </c>
      <c r="C3680" t="s">
        <v>12459</v>
      </c>
      <c r="D3680" t="s">
        <v>12470</v>
      </c>
      <c r="E3680">
        <v>282228.55</v>
      </c>
      <c r="G3680" s="35"/>
      <c r="H3680" s="36">
        <f t="shared" si="173"/>
        <v>177803.9865</v>
      </c>
      <c r="I3680" s="37">
        <f t="shared" si="171"/>
        <v>177803.9865</v>
      </c>
      <c r="J3680" s="4"/>
      <c r="K3680" s="38">
        <f t="shared" si="172"/>
        <v>0</v>
      </c>
    </row>
    <row r="3681" spans="1:11">
      <c r="A3681" t="s">
        <v>12471</v>
      </c>
      <c r="B3681" t="s">
        <v>10176</v>
      </c>
      <c r="C3681" t="s">
        <v>12459</v>
      </c>
      <c r="D3681" t="s">
        <v>12472</v>
      </c>
      <c r="E3681">
        <v>163733.24</v>
      </c>
      <c r="G3681" s="35"/>
      <c r="H3681" s="36">
        <f t="shared" si="173"/>
        <v>103151.9412</v>
      </c>
      <c r="I3681" s="37">
        <f t="shared" si="171"/>
        <v>103151.9412</v>
      </c>
      <c r="J3681" s="4"/>
      <c r="K3681" s="38">
        <f t="shared" si="172"/>
        <v>0</v>
      </c>
    </row>
    <row r="3682" spans="1:11">
      <c r="A3682" t="s">
        <v>12473</v>
      </c>
      <c r="B3682" t="s">
        <v>10176</v>
      </c>
      <c r="C3682" t="s">
        <v>12459</v>
      </c>
      <c r="D3682" t="s">
        <v>12474</v>
      </c>
      <c r="E3682">
        <v>180106.56</v>
      </c>
      <c r="G3682" s="35"/>
      <c r="H3682" s="36">
        <f t="shared" si="173"/>
        <v>113467.13279999999</v>
      </c>
      <c r="I3682" s="37">
        <f t="shared" si="171"/>
        <v>113467.13279999999</v>
      </c>
      <c r="J3682" s="4"/>
      <c r="K3682" s="38">
        <f t="shared" si="172"/>
        <v>0</v>
      </c>
    </row>
    <row r="3683" spans="1:11">
      <c r="A3683" t="s">
        <v>12475</v>
      </c>
      <c r="B3683" t="s">
        <v>10176</v>
      </c>
      <c r="C3683" t="s">
        <v>12459</v>
      </c>
      <c r="D3683" t="s">
        <v>12476</v>
      </c>
      <c r="E3683">
        <v>191665.52</v>
      </c>
      <c r="G3683" s="35"/>
      <c r="H3683" s="36">
        <f t="shared" si="173"/>
        <v>120749.2776</v>
      </c>
      <c r="I3683" s="37">
        <f t="shared" si="171"/>
        <v>120749.2776</v>
      </c>
      <c r="J3683" s="4"/>
      <c r="K3683" s="38">
        <f t="shared" si="172"/>
        <v>0</v>
      </c>
    </row>
    <row r="3684" spans="1:11">
      <c r="A3684" t="s">
        <v>12477</v>
      </c>
      <c r="B3684" t="s">
        <v>10176</v>
      </c>
      <c r="C3684" t="s">
        <v>12459</v>
      </c>
      <c r="D3684" t="s">
        <v>12478</v>
      </c>
      <c r="E3684">
        <v>210832.08</v>
      </c>
      <c r="G3684" s="35"/>
      <c r="H3684" s="36">
        <f t="shared" si="173"/>
        <v>132824.21039999998</v>
      </c>
      <c r="I3684" s="37">
        <f t="shared" si="171"/>
        <v>132824.21039999998</v>
      </c>
      <c r="J3684" s="4"/>
      <c r="K3684" s="38">
        <f t="shared" si="172"/>
        <v>0</v>
      </c>
    </row>
    <row r="3685" spans="1:11">
      <c r="A3685" t="s">
        <v>12725</v>
      </c>
      <c r="B3685" t="s">
        <v>10176</v>
      </c>
      <c r="C3685" t="s">
        <v>12726</v>
      </c>
      <c r="D3685" t="s">
        <v>12727</v>
      </c>
      <c r="E3685">
        <v>15788.76</v>
      </c>
      <c r="G3685" s="35"/>
      <c r="H3685" s="36">
        <f t="shared" si="173"/>
        <v>9946.9187999999995</v>
      </c>
      <c r="I3685" s="37">
        <f t="shared" si="171"/>
        <v>9946.9187999999995</v>
      </c>
      <c r="J3685" s="4"/>
      <c r="K3685" s="38">
        <f t="shared" si="172"/>
        <v>0</v>
      </c>
    </row>
    <row r="3686" spans="1:11">
      <c r="A3686" t="s">
        <v>12728</v>
      </c>
      <c r="B3686" t="s">
        <v>10176</v>
      </c>
      <c r="C3686" t="s">
        <v>12726</v>
      </c>
      <c r="D3686" t="s">
        <v>12729</v>
      </c>
      <c r="E3686">
        <v>17367.560000000001</v>
      </c>
      <c r="G3686" s="35"/>
      <c r="H3686" s="36">
        <f t="shared" si="173"/>
        <v>10941.562800000002</v>
      </c>
      <c r="I3686" s="37">
        <f t="shared" si="171"/>
        <v>10941.562800000002</v>
      </c>
      <c r="J3686" s="4"/>
      <c r="K3686" s="38">
        <f t="shared" si="172"/>
        <v>0</v>
      </c>
    </row>
    <row r="3687" spans="1:11">
      <c r="A3687" t="s">
        <v>12730</v>
      </c>
      <c r="B3687" t="s">
        <v>10176</v>
      </c>
      <c r="C3687" t="s">
        <v>12726</v>
      </c>
      <c r="D3687" t="s">
        <v>12731</v>
      </c>
      <c r="E3687">
        <v>11060.57</v>
      </c>
      <c r="G3687" s="35"/>
      <c r="H3687" s="36">
        <f t="shared" si="173"/>
        <v>6968.1590999999999</v>
      </c>
      <c r="I3687" s="37">
        <f t="shared" si="171"/>
        <v>6968.1590999999999</v>
      </c>
      <c r="J3687" s="4"/>
      <c r="K3687" s="38">
        <f t="shared" si="172"/>
        <v>0</v>
      </c>
    </row>
    <row r="3688" spans="1:11">
      <c r="A3688" t="s">
        <v>12732</v>
      </c>
      <c r="B3688" t="s">
        <v>10176</v>
      </c>
      <c r="C3688" t="s">
        <v>12726</v>
      </c>
      <c r="D3688" t="s">
        <v>12733</v>
      </c>
      <c r="E3688">
        <v>12166.55</v>
      </c>
      <c r="G3688" s="35"/>
      <c r="H3688" s="36">
        <f t="shared" si="173"/>
        <v>7664.9264999999996</v>
      </c>
      <c r="I3688" s="37">
        <f t="shared" si="171"/>
        <v>7664.9264999999996</v>
      </c>
      <c r="J3688" s="4"/>
      <c r="K3688" s="38">
        <f t="shared" si="172"/>
        <v>0</v>
      </c>
    </row>
    <row r="3689" spans="1:11">
      <c r="A3689" t="s">
        <v>12734</v>
      </c>
      <c r="B3689" t="s">
        <v>10176</v>
      </c>
      <c r="C3689" t="s">
        <v>12726</v>
      </c>
      <c r="D3689" t="s">
        <v>12735</v>
      </c>
      <c r="E3689">
        <v>14951.96</v>
      </c>
      <c r="G3689" s="35"/>
      <c r="H3689" s="36">
        <f t="shared" si="173"/>
        <v>9419.7348000000002</v>
      </c>
      <c r="I3689" s="37">
        <f t="shared" si="171"/>
        <v>9419.7348000000002</v>
      </c>
      <c r="J3689" s="4"/>
      <c r="K3689" s="38">
        <f t="shared" si="172"/>
        <v>0</v>
      </c>
    </row>
    <row r="3690" spans="1:11">
      <c r="A3690" t="s">
        <v>12736</v>
      </c>
      <c r="B3690" t="s">
        <v>10176</v>
      </c>
      <c r="C3690" t="s">
        <v>12726</v>
      </c>
      <c r="D3690" t="s">
        <v>12737</v>
      </c>
      <c r="E3690">
        <v>16447.28</v>
      </c>
      <c r="G3690" s="35"/>
      <c r="H3690" s="36">
        <f t="shared" si="173"/>
        <v>10361.786399999999</v>
      </c>
      <c r="I3690" s="37">
        <f t="shared" si="171"/>
        <v>10361.786399999999</v>
      </c>
      <c r="J3690" s="4"/>
      <c r="K3690" s="38">
        <f t="shared" si="172"/>
        <v>0</v>
      </c>
    </row>
    <row r="3691" spans="1:11">
      <c r="A3691" t="s">
        <v>12738</v>
      </c>
      <c r="B3691" t="s">
        <v>10176</v>
      </c>
      <c r="C3691" t="s">
        <v>12726</v>
      </c>
      <c r="D3691" t="s">
        <v>12739</v>
      </c>
      <c r="E3691">
        <v>14619.2</v>
      </c>
      <c r="G3691" s="35"/>
      <c r="H3691" s="36">
        <f t="shared" si="173"/>
        <v>9210.0960000000014</v>
      </c>
      <c r="I3691" s="37">
        <f t="shared" si="171"/>
        <v>9210.0960000000014</v>
      </c>
      <c r="J3691" s="4"/>
      <c r="K3691" s="38">
        <f t="shared" si="172"/>
        <v>0</v>
      </c>
    </row>
    <row r="3692" spans="1:11">
      <c r="A3692" t="s">
        <v>12740</v>
      </c>
      <c r="B3692" t="s">
        <v>10176</v>
      </c>
      <c r="C3692" t="s">
        <v>12726</v>
      </c>
      <c r="D3692" t="s">
        <v>12741</v>
      </c>
      <c r="E3692">
        <v>16081.34</v>
      </c>
      <c r="G3692" s="35"/>
      <c r="H3692" s="36">
        <f t="shared" si="173"/>
        <v>10131.244200000001</v>
      </c>
      <c r="I3692" s="37">
        <f t="shared" si="171"/>
        <v>10131.244200000001</v>
      </c>
      <c r="J3692" s="4"/>
      <c r="K3692" s="38">
        <f t="shared" si="172"/>
        <v>0</v>
      </c>
    </row>
    <row r="3693" spans="1:11">
      <c r="A3693" t="s">
        <v>12742</v>
      </c>
      <c r="B3693" t="s">
        <v>10176</v>
      </c>
      <c r="C3693" t="s">
        <v>12726</v>
      </c>
      <c r="D3693" t="s">
        <v>12743</v>
      </c>
      <c r="E3693">
        <v>13825.71</v>
      </c>
      <c r="G3693" s="35"/>
      <c r="H3693" s="36">
        <f t="shared" si="173"/>
        <v>8710.1972999999998</v>
      </c>
      <c r="I3693" s="37">
        <f t="shared" si="171"/>
        <v>8710.1972999999998</v>
      </c>
      <c r="J3693" s="4"/>
      <c r="K3693" s="38">
        <f t="shared" si="172"/>
        <v>0</v>
      </c>
    </row>
    <row r="3694" spans="1:11">
      <c r="A3694" t="s">
        <v>12744</v>
      </c>
      <c r="B3694" t="s">
        <v>10176</v>
      </c>
      <c r="C3694" t="s">
        <v>12726</v>
      </c>
      <c r="D3694" t="s">
        <v>12745</v>
      </c>
      <c r="E3694">
        <v>15208.27</v>
      </c>
      <c r="G3694" s="35"/>
      <c r="H3694" s="36">
        <f t="shared" si="173"/>
        <v>9581.2101000000002</v>
      </c>
      <c r="I3694" s="37">
        <f t="shared" si="171"/>
        <v>9581.2101000000002</v>
      </c>
      <c r="J3694" s="4"/>
      <c r="K3694" s="38">
        <f t="shared" si="172"/>
        <v>0</v>
      </c>
    </row>
    <row r="3695" spans="1:11">
      <c r="A3695" t="s">
        <v>12746</v>
      </c>
      <c r="B3695" t="s">
        <v>10176</v>
      </c>
      <c r="C3695" t="s">
        <v>12726</v>
      </c>
      <c r="D3695" t="s">
        <v>12747</v>
      </c>
      <c r="E3695">
        <v>37621.199999999997</v>
      </c>
      <c r="G3695" s="35"/>
      <c r="H3695" s="36">
        <f t="shared" si="173"/>
        <v>23701.356</v>
      </c>
      <c r="I3695" s="37">
        <f t="shared" si="171"/>
        <v>23701.356</v>
      </c>
      <c r="J3695" s="4"/>
      <c r="K3695" s="38">
        <f t="shared" si="172"/>
        <v>0</v>
      </c>
    </row>
    <row r="3696" spans="1:11">
      <c r="A3696" t="s">
        <v>12748</v>
      </c>
      <c r="B3696" t="s">
        <v>10176</v>
      </c>
      <c r="C3696" t="s">
        <v>12726</v>
      </c>
      <c r="D3696" t="s">
        <v>12749</v>
      </c>
      <c r="E3696">
        <v>41383.49</v>
      </c>
      <c r="G3696" s="35"/>
      <c r="H3696" s="36">
        <f t="shared" si="173"/>
        <v>26071.598699999999</v>
      </c>
      <c r="I3696" s="37">
        <f t="shared" si="171"/>
        <v>26071.598699999999</v>
      </c>
      <c r="J3696" s="4"/>
      <c r="K3696" s="38">
        <f t="shared" si="172"/>
        <v>0</v>
      </c>
    </row>
    <row r="3697" spans="1:11">
      <c r="A3697" t="s">
        <v>12750</v>
      </c>
      <c r="B3697" t="s">
        <v>10176</v>
      </c>
      <c r="C3697" t="s">
        <v>12726</v>
      </c>
      <c r="D3697" t="s">
        <v>12751</v>
      </c>
      <c r="E3697">
        <v>63222.15</v>
      </c>
      <c r="G3697" s="35"/>
      <c r="H3697" s="36">
        <f t="shared" si="173"/>
        <v>39829.9545</v>
      </c>
      <c r="I3697" s="37">
        <f t="shared" si="171"/>
        <v>39829.9545</v>
      </c>
      <c r="J3697" s="4"/>
      <c r="K3697" s="38">
        <f t="shared" si="172"/>
        <v>0</v>
      </c>
    </row>
    <row r="3698" spans="1:11">
      <c r="A3698" t="s">
        <v>12752</v>
      </c>
      <c r="B3698" t="s">
        <v>10176</v>
      </c>
      <c r="C3698" t="s">
        <v>12726</v>
      </c>
      <c r="D3698" t="s">
        <v>12753</v>
      </c>
      <c r="E3698">
        <v>69543.990000000005</v>
      </c>
      <c r="G3698" s="35"/>
      <c r="H3698" s="36">
        <f t="shared" si="173"/>
        <v>43812.7137</v>
      </c>
      <c r="I3698" s="37">
        <f t="shared" si="171"/>
        <v>43812.7137</v>
      </c>
      <c r="J3698" s="4"/>
      <c r="K3698" s="38">
        <f t="shared" si="172"/>
        <v>0</v>
      </c>
    </row>
    <row r="3699" spans="1:11">
      <c r="A3699" t="s">
        <v>61</v>
      </c>
      <c r="B3699" t="s">
        <v>10176</v>
      </c>
      <c r="C3699" t="s">
        <v>5650</v>
      </c>
      <c r="D3699" t="s">
        <v>10191</v>
      </c>
      <c r="E3699">
        <v>361645.49</v>
      </c>
      <c r="G3699" s="35"/>
      <c r="H3699" s="36">
        <f t="shared" si="173"/>
        <v>227836.6587</v>
      </c>
      <c r="I3699" s="37">
        <f t="shared" si="171"/>
        <v>227836.6587</v>
      </c>
      <c r="J3699" s="4"/>
      <c r="K3699" s="38">
        <f t="shared" si="172"/>
        <v>0</v>
      </c>
    </row>
    <row r="3700" spans="1:11">
      <c r="A3700" t="s">
        <v>62</v>
      </c>
      <c r="B3700" t="s">
        <v>10176</v>
      </c>
      <c r="C3700" t="s">
        <v>5650</v>
      </c>
      <c r="D3700" t="s">
        <v>10194</v>
      </c>
      <c r="E3700">
        <v>255669.75</v>
      </c>
      <c r="G3700" s="35"/>
      <c r="H3700" s="36">
        <f t="shared" si="173"/>
        <v>161071.9425</v>
      </c>
      <c r="I3700" s="37">
        <f t="shared" si="171"/>
        <v>161071.9425</v>
      </c>
      <c r="J3700" s="4"/>
      <c r="K3700" s="38">
        <f t="shared" si="172"/>
        <v>0</v>
      </c>
    </row>
    <row r="3701" spans="1:11">
      <c r="A3701" t="s">
        <v>63</v>
      </c>
      <c r="B3701" t="s">
        <v>10176</v>
      </c>
      <c r="C3701" t="s">
        <v>5650</v>
      </c>
      <c r="D3701" t="s">
        <v>7067</v>
      </c>
      <c r="E3701">
        <v>253020.44</v>
      </c>
      <c r="G3701" s="35"/>
      <c r="H3701" s="36">
        <f t="shared" si="173"/>
        <v>159402.87719999999</v>
      </c>
      <c r="I3701" s="37">
        <f t="shared" si="171"/>
        <v>159402.87719999999</v>
      </c>
      <c r="J3701" s="4"/>
      <c r="K3701" s="38">
        <f t="shared" si="172"/>
        <v>0</v>
      </c>
    </row>
    <row r="3702" spans="1:11">
      <c r="A3702" t="s">
        <v>64</v>
      </c>
      <c r="B3702" t="s">
        <v>10176</v>
      </c>
      <c r="C3702" t="s">
        <v>5650</v>
      </c>
      <c r="D3702" t="s">
        <v>10195</v>
      </c>
      <c r="E3702">
        <v>274215.58</v>
      </c>
      <c r="G3702" s="35"/>
      <c r="H3702" s="36">
        <f t="shared" si="173"/>
        <v>172755.81540000002</v>
      </c>
      <c r="I3702" s="37">
        <f t="shared" si="171"/>
        <v>172755.81540000002</v>
      </c>
      <c r="J3702" s="4"/>
      <c r="K3702" s="38">
        <f t="shared" si="172"/>
        <v>0</v>
      </c>
    </row>
    <row r="3703" spans="1:11">
      <c r="A3703" t="s">
        <v>4641</v>
      </c>
      <c r="B3703" t="s">
        <v>10176</v>
      </c>
      <c r="C3703" t="s">
        <v>10158</v>
      </c>
      <c r="D3703" t="s">
        <v>5787</v>
      </c>
      <c r="E3703">
        <v>67354.52</v>
      </c>
      <c r="G3703" s="35"/>
      <c r="H3703" s="36">
        <f t="shared" si="173"/>
        <v>42433.347600000001</v>
      </c>
      <c r="I3703" s="37">
        <f t="shared" si="171"/>
        <v>42433.347600000001</v>
      </c>
      <c r="J3703" s="4"/>
      <c r="K3703" s="38">
        <f t="shared" si="172"/>
        <v>0</v>
      </c>
    </row>
    <row r="3704" spans="1:11">
      <c r="A3704" t="s">
        <v>4642</v>
      </c>
      <c r="B3704" t="s">
        <v>10176</v>
      </c>
      <c r="C3704" t="s">
        <v>10158</v>
      </c>
      <c r="D3704" t="s">
        <v>5716</v>
      </c>
      <c r="E3704">
        <v>84194.52</v>
      </c>
      <c r="G3704" s="35"/>
      <c r="H3704" s="36">
        <f t="shared" si="173"/>
        <v>53042.547600000005</v>
      </c>
      <c r="I3704" s="37">
        <f t="shared" si="171"/>
        <v>53042.547600000005</v>
      </c>
      <c r="J3704" s="4"/>
      <c r="K3704" s="38">
        <f t="shared" si="172"/>
        <v>0</v>
      </c>
    </row>
    <row r="3705" spans="1:11">
      <c r="A3705" t="s">
        <v>4643</v>
      </c>
      <c r="B3705" t="s">
        <v>10176</v>
      </c>
      <c r="C3705" t="s">
        <v>10158</v>
      </c>
      <c r="D3705" t="s">
        <v>5788</v>
      </c>
      <c r="E3705">
        <v>31436.17</v>
      </c>
      <c r="G3705" s="35"/>
      <c r="H3705" s="36">
        <f t="shared" si="173"/>
        <v>19804.787099999998</v>
      </c>
      <c r="I3705" s="37">
        <f t="shared" si="171"/>
        <v>19804.787099999998</v>
      </c>
      <c r="J3705" s="4"/>
      <c r="K3705" s="38">
        <f t="shared" si="172"/>
        <v>0</v>
      </c>
    </row>
    <row r="3706" spans="1:11">
      <c r="A3706" t="s">
        <v>4644</v>
      </c>
      <c r="B3706" t="s">
        <v>10176</v>
      </c>
      <c r="C3706" t="s">
        <v>10158</v>
      </c>
      <c r="D3706" t="s">
        <v>5789</v>
      </c>
      <c r="E3706">
        <v>50516.11</v>
      </c>
      <c r="G3706" s="35"/>
      <c r="H3706" s="36">
        <f t="shared" si="173"/>
        <v>31825.149300000001</v>
      </c>
      <c r="I3706" s="37">
        <f t="shared" si="171"/>
        <v>31825.149300000001</v>
      </c>
      <c r="J3706" s="4"/>
      <c r="K3706" s="38">
        <f t="shared" si="172"/>
        <v>0</v>
      </c>
    </row>
    <row r="3707" spans="1:11">
      <c r="A3707" t="s">
        <v>4645</v>
      </c>
      <c r="B3707" t="s">
        <v>10176</v>
      </c>
      <c r="C3707" t="s">
        <v>10158</v>
      </c>
      <c r="D3707" t="s">
        <v>5790</v>
      </c>
      <c r="E3707">
        <v>40413.879999999997</v>
      </c>
      <c r="G3707" s="35"/>
      <c r="H3707" s="36">
        <f t="shared" si="173"/>
        <v>25460.7444</v>
      </c>
      <c r="I3707" s="37">
        <f t="shared" si="171"/>
        <v>25460.7444</v>
      </c>
      <c r="J3707" s="4"/>
      <c r="K3707" s="38">
        <f t="shared" si="172"/>
        <v>0</v>
      </c>
    </row>
    <row r="3708" spans="1:11">
      <c r="A3708" t="s">
        <v>4646</v>
      </c>
      <c r="B3708" t="s">
        <v>10176</v>
      </c>
      <c r="C3708" t="s">
        <v>10158</v>
      </c>
      <c r="D3708" t="s">
        <v>10239</v>
      </c>
      <c r="E3708">
        <v>48268.94</v>
      </c>
      <c r="G3708" s="35"/>
      <c r="H3708" s="36">
        <f t="shared" si="173"/>
        <v>30409.432200000003</v>
      </c>
      <c r="I3708" s="37">
        <f t="shared" si="171"/>
        <v>30409.432200000003</v>
      </c>
      <c r="J3708" s="4"/>
      <c r="K3708" s="38">
        <f t="shared" si="172"/>
        <v>0</v>
      </c>
    </row>
    <row r="3709" spans="1:11">
      <c r="A3709" t="s">
        <v>4647</v>
      </c>
      <c r="B3709" t="s">
        <v>10176</v>
      </c>
      <c r="C3709" t="s">
        <v>10158</v>
      </c>
      <c r="D3709" t="s">
        <v>10389</v>
      </c>
      <c r="E3709">
        <v>149303.09</v>
      </c>
      <c r="G3709" s="35"/>
      <c r="H3709" s="36">
        <f t="shared" si="173"/>
        <v>94060.9467</v>
      </c>
      <c r="I3709" s="37">
        <f t="shared" si="171"/>
        <v>94060.9467</v>
      </c>
      <c r="J3709" s="4"/>
      <c r="K3709" s="38">
        <f t="shared" si="172"/>
        <v>0</v>
      </c>
    </row>
    <row r="3710" spans="1:11">
      <c r="A3710" t="s">
        <v>11393</v>
      </c>
      <c r="B3710" t="s">
        <v>10176</v>
      </c>
      <c r="C3710" t="s">
        <v>11394</v>
      </c>
      <c r="D3710" t="s">
        <v>11395</v>
      </c>
      <c r="E3710">
        <v>295073.28999999998</v>
      </c>
      <c r="G3710" s="35"/>
      <c r="H3710" s="36">
        <f t="shared" si="173"/>
        <v>185896.1727</v>
      </c>
      <c r="I3710" s="37">
        <f t="shared" si="171"/>
        <v>185896.1727</v>
      </c>
      <c r="J3710" s="4"/>
      <c r="K3710" s="38">
        <f t="shared" si="172"/>
        <v>0</v>
      </c>
    </row>
    <row r="3711" spans="1:11">
      <c r="A3711" t="s">
        <v>4285</v>
      </c>
      <c r="B3711" t="s">
        <v>10176</v>
      </c>
      <c r="C3711" t="s">
        <v>5698</v>
      </c>
      <c r="D3711" t="s">
        <v>10224</v>
      </c>
      <c r="E3711">
        <v>5601475.29</v>
      </c>
      <c r="G3711" s="35"/>
      <c r="H3711" s="36">
        <f t="shared" si="173"/>
        <v>3528929.4327000002</v>
      </c>
      <c r="I3711" s="37">
        <f t="shared" si="171"/>
        <v>3528929.4327000002</v>
      </c>
      <c r="J3711" s="4"/>
      <c r="K3711" s="38">
        <f t="shared" si="172"/>
        <v>0</v>
      </c>
    </row>
    <row r="3712" spans="1:11">
      <c r="A3712" t="s">
        <v>4286</v>
      </c>
      <c r="B3712" t="s">
        <v>10176</v>
      </c>
      <c r="C3712" t="s">
        <v>5698</v>
      </c>
      <c r="D3712" t="s">
        <v>10225</v>
      </c>
      <c r="E3712">
        <v>7001841.3799999999</v>
      </c>
      <c r="G3712" s="35"/>
      <c r="H3712" s="36">
        <f t="shared" si="173"/>
        <v>4411160.0694000004</v>
      </c>
      <c r="I3712" s="37">
        <f t="shared" si="171"/>
        <v>4411160.0694000004</v>
      </c>
      <c r="J3712" s="4"/>
      <c r="K3712" s="38">
        <f t="shared" si="172"/>
        <v>0</v>
      </c>
    </row>
    <row r="3713" spans="1:11">
      <c r="A3713" t="s">
        <v>4287</v>
      </c>
      <c r="B3713" t="s">
        <v>10176</v>
      </c>
      <c r="C3713" t="s">
        <v>5698</v>
      </c>
      <c r="D3713" t="s">
        <v>7054</v>
      </c>
      <c r="E3713">
        <v>2820744.97</v>
      </c>
      <c r="G3713" s="35"/>
      <c r="H3713" s="36">
        <f t="shared" si="173"/>
        <v>1777069.3311000001</v>
      </c>
      <c r="I3713" s="37">
        <f t="shared" si="171"/>
        <v>1777069.3311000001</v>
      </c>
      <c r="J3713" s="4"/>
      <c r="K3713" s="38">
        <f t="shared" si="172"/>
        <v>0</v>
      </c>
    </row>
    <row r="3714" spans="1:11">
      <c r="A3714" t="s">
        <v>4288</v>
      </c>
      <c r="B3714" t="s">
        <v>10176</v>
      </c>
      <c r="C3714" t="s">
        <v>5698</v>
      </c>
      <c r="D3714" t="s">
        <v>10218</v>
      </c>
      <c r="E3714">
        <v>3525929.14</v>
      </c>
      <c r="G3714" s="35"/>
      <c r="H3714" s="36">
        <f t="shared" si="173"/>
        <v>2221335.3582000001</v>
      </c>
      <c r="I3714" s="37">
        <f t="shared" si="171"/>
        <v>2221335.3582000001</v>
      </c>
      <c r="J3714" s="4"/>
      <c r="K3714" s="38">
        <f t="shared" si="172"/>
        <v>0</v>
      </c>
    </row>
    <row r="3715" spans="1:11">
      <c r="A3715" t="s">
        <v>4289</v>
      </c>
      <c r="B3715" t="s">
        <v>10176</v>
      </c>
      <c r="C3715" t="s">
        <v>5698</v>
      </c>
      <c r="D3715" t="s">
        <v>7055</v>
      </c>
      <c r="E3715">
        <v>786876.77</v>
      </c>
      <c r="G3715" s="35"/>
      <c r="H3715" s="36">
        <f t="shared" si="173"/>
        <v>495732.3651</v>
      </c>
      <c r="I3715" s="37">
        <f t="shared" si="171"/>
        <v>495732.3651</v>
      </c>
      <c r="J3715" s="4"/>
      <c r="K3715" s="38">
        <f t="shared" si="172"/>
        <v>0</v>
      </c>
    </row>
    <row r="3716" spans="1:11">
      <c r="A3716" t="s">
        <v>4290</v>
      </c>
      <c r="B3716" t="s">
        <v>10176</v>
      </c>
      <c r="C3716" t="s">
        <v>5698</v>
      </c>
      <c r="D3716" t="s">
        <v>10226</v>
      </c>
      <c r="E3716">
        <v>983594.8</v>
      </c>
      <c r="G3716" s="35"/>
      <c r="H3716" s="36">
        <f t="shared" si="173"/>
        <v>619664.72400000005</v>
      </c>
      <c r="I3716" s="37">
        <f t="shared" si="171"/>
        <v>619664.72400000005</v>
      </c>
      <c r="J3716" s="4"/>
      <c r="K3716" s="38">
        <f t="shared" si="172"/>
        <v>0</v>
      </c>
    </row>
    <row r="3717" spans="1:11">
      <c r="A3717" t="s">
        <v>11835</v>
      </c>
      <c r="B3717" t="s">
        <v>10176</v>
      </c>
      <c r="C3717" t="s">
        <v>11836</v>
      </c>
      <c r="D3717" t="s">
        <v>11837</v>
      </c>
      <c r="E3717">
        <v>262537.63</v>
      </c>
      <c r="G3717" s="35"/>
      <c r="H3717" s="36">
        <f t="shared" si="173"/>
        <v>165398.70689999999</v>
      </c>
      <c r="I3717" s="37">
        <f t="shared" si="171"/>
        <v>165398.70689999999</v>
      </c>
      <c r="J3717" s="4"/>
      <c r="K3717" s="38">
        <f t="shared" si="172"/>
        <v>0</v>
      </c>
    </row>
    <row r="3718" spans="1:11">
      <c r="A3718" t="s">
        <v>4258</v>
      </c>
      <c r="B3718" t="s">
        <v>10176</v>
      </c>
      <c r="C3718" t="s">
        <v>5694</v>
      </c>
      <c r="D3718" t="s">
        <v>10191</v>
      </c>
      <c r="E3718">
        <v>1246391.17</v>
      </c>
      <c r="G3718" s="35"/>
      <c r="H3718" s="36">
        <f t="shared" si="173"/>
        <v>785226.43709999998</v>
      </c>
      <c r="I3718" s="37">
        <f t="shared" ref="I3718:I3781" si="174">H3718*$H$4</f>
        <v>785226.43709999998</v>
      </c>
      <c r="J3718" s="4"/>
      <c r="K3718" s="38">
        <f t="shared" ref="K3718:K3781" si="175">J3718*I3718</f>
        <v>0</v>
      </c>
    </row>
    <row r="3719" spans="1:11">
      <c r="A3719" t="s">
        <v>4259</v>
      </c>
      <c r="B3719" t="s">
        <v>10176</v>
      </c>
      <c r="C3719" t="s">
        <v>5694</v>
      </c>
      <c r="D3719" t="s">
        <v>10192</v>
      </c>
      <c r="E3719">
        <v>1036675.39</v>
      </c>
      <c r="G3719" s="35"/>
      <c r="H3719" s="36">
        <f t="shared" ref="H3719:H3782" si="176">+E3719*$H$1*(1-G3719)</f>
        <v>653105.49569999997</v>
      </c>
      <c r="I3719" s="37">
        <f t="shared" si="174"/>
        <v>653105.49569999997</v>
      </c>
      <c r="J3719" s="4"/>
      <c r="K3719" s="38">
        <f t="shared" si="175"/>
        <v>0</v>
      </c>
    </row>
    <row r="3720" spans="1:11">
      <c r="A3720" t="s">
        <v>4260</v>
      </c>
      <c r="B3720" t="s">
        <v>10176</v>
      </c>
      <c r="C3720" t="s">
        <v>5694</v>
      </c>
      <c r="D3720" t="s">
        <v>10194</v>
      </c>
      <c r="E3720">
        <v>789462.58</v>
      </c>
      <c r="G3720" s="35"/>
      <c r="H3720" s="36">
        <f t="shared" si="176"/>
        <v>497361.42539999995</v>
      </c>
      <c r="I3720" s="37">
        <f t="shared" si="174"/>
        <v>497361.42539999995</v>
      </c>
      <c r="J3720" s="4"/>
      <c r="K3720" s="38">
        <f t="shared" si="175"/>
        <v>0</v>
      </c>
    </row>
    <row r="3721" spans="1:11">
      <c r="A3721" t="s">
        <v>4261</v>
      </c>
      <c r="B3721" t="s">
        <v>10176</v>
      </c>
      <c r="C3721" t="s">
        <v>5694</v>
      </c>
      <c r="D3721" t="s">
        <v>7067</v>
      </c>
      <c r="E3721">
        <v>757700.44</v>
      </c>
      <c r="G3721" s="35"/>
      <c r="H3721" s="36">
        <f t="shared" si="176"/>
        <v>477351.27719999995</v>
      </c>
      <c r="I3721" s="37">
        <f t="shared" si="174"/>
        <v>477351.27719999995</v>
      </c>
      <c r="J3721" s="4"/>
      <c r="K3721" s="38">
        <f t="shared" si="175"/>
        <v>0</v>
      </c>
    </row>
    <row r="3722" spans="1:11">
      <c r="A3722" t="s">
        <v>4262</v>
      </c>
      <c r="B3722" t="s">
        <v>10176</v>
      </c>
      <c r="C3722" t="s">
        <v>5694</v>
      </c>
      <c r="D3722" t="s">
        <v>10220</v>
      </c>
      <c r="E3722">
        <v>1286006.54</v>
      </c>
      <c r="G3722" s="35"/>
      <c r="H3722" s="36">
        <f t="shared" si="176"/>
        <v>810184.1202</v>
      </c>
      <c r="I3722" s="37">
        <f t="shared" si="174"/>
        <v>810184.1202</v>
      </c>
      <c r="J3722" s="4"/>
      <c r="K3722" s="38">
        <f t="shared" si="175"/>
        <v>0</v>
      </c>
    </row>
    <row r="3723" spans="1:11">
      <c r="A3723" t="s">
        <v>4263</v>
      </c>
      <c r="B3723" t="s">
        <v>10176</v>
      </c>
      <c r="C3723" t="s">
        <v>5694</v>
      </c>
      <c r="D3723" t="s">
        <v>10221</v>
      </c>
      <c r="E3723">
        <v>1088268.1399999999</v>
      </c>
      <c r="G3723" s="35"/>
      <c r="H3723" s="36">
        <f t="shared" si="176"/>
        <v>685608.92819999997</v>
      </c>
      <c r="I3723" s="37">
        <f t="shared" si="174"/>
        <v>685608.92819999997</v>
      </c>
      <c r="J3723" s="4"/>
      <c r="K3723" s="38">
        <f t="shared" si="175"/>
        <v>0</v>
      </c>
    </row>
    <row r="3724" spans="1:11">
      <c r="A3724" t="s">
        <v>4264</v>
      </c>
      <c r="B3724" t="s">
        <v>10176</v>
      </c>
      <c r="C3724" t="s">
        <v>5694</v>
      </c>
      <c r="D3724" t="s">
        <v>10195</v>
      </c>
      <c r="E3724">
        <v>827806.12</v>
      </c>
      <c r="G3724" s="35"/>
      <c r="H3724" s="36">
        <f t="shared" si="176"/>
        <v>521517.85560000001</v>
      </c>
      <c r="I3724" s="37">
        <f t="shared" si="174"/>
        <v>521517.85560000001</v>
      </c>
      <c r="J3724" s="4"/>
      <c r="K3724" s="38">
        <f t="shared" si="175"/>
        <v>0</v>
      </c>
    </row>
    <row r="3725" spans="1:11">
      <c r="A3725" t="s">
        <v>4372</v>
      </c>
      <c r="B3725" t="s">
        <v>10176</v>
      </c>
      <c r="C3725" t="s">
        <v>10146</v>
      </c>
      <c r="D3725" t="s">
        <v>11346</v>
      </c>
      <c r="E3725">
        <v>206073.47</v>
      </c>
      <c r="G3725" s="35"/>
      <c r="H3725" s="36">
        <f t="shared" si="176"/>
        <v>129826.2861</v>
      </c>
      <c r="I3725" s="37">
        <f t="shared" si="174"/>
        <v>129826.2861</v>
      </c>
      <c r="J3725" s="4"/>
      <c r="K3725" s="38">
        <f t="shared" si="175"/>
        <v>0</v>
      </c>
    </row>
    <row r="3726" spans="1:11">
      <c r="A3726" t="s">
        <v>4373</v>
      </c>
      <c r="B3726" t="s">
        <v>10176</v>
      </c>
      <c r="C3726" t="s">
        <v>10146</v>
      </c>
      <c r="D3726" t="s">
        <v>11347</v>
      </c>
      <c r="E3726">
        <v>302161.65999999997</v>
      </c>
      <c r="G3726" s="35"/>
      <c r="H3726" s="36">
        <f t="shared" si="176"/>
        <v>190361.84579999998</v>
      </c>
      <c r="I3726" s="37">
        <f t="shared" si="174"/>
        <v>190361.84579999998</v>
      </c>
      <c r="J3726" s="4"/>
      <c r="K3726" s="38">
        <f t="shared" si="175"/>
        <v>0</v>
      </c>
    </row>
    <row r="3727" spans="1:11">
      <c r="A3727" t="s">
        <v>4374</v>
      </c>
      <c r="B3727" t="s">
        <v>10176</v>
      </c>
      <c r="C3727" t="s">
        <v>10146</v>
      </c>
      <c r="D3727" t="s">
        <v>5788</v>
      </c>
      <c r="E3727">
        <v>129717.75</v>
      </c>
      <c r="G3727" s="35"/>
      <c r="H3727" s="36">
        <f t="shared" si="176"/>
        <v>81722.182499999995</v>
      </c>
      <c r="I3727" s="37">
        <f t="shared" si="174"/>
        <v>81722.182499999995</v>
      </c>
      <c r="J3727" s="4"/>
      <c r="K3727" s="38">
        <f t="shared" si="175"/>
        <v>0</v>
      </c>
    </row>
    <row r="3728" spans="1:11">
      <c r="A3728" t="s">
        <v>4375</v>
      </c>
      <c r="B3728" t="s">
        <v>10176</v>
      </c>
      <c r="C3728" t="s">
        <v>10146</v>
      </c>
      <c r="D3728" t="s">
        <v>5789</v>
      </c>
      <c r="E3728">
        <v>206073.47</v>
      </c>
      <c r="G3728" s="35"/>
      <c r="H3728" s="36">
        <f t="shared" si="176"/>
        <v>129826.2861</v>
      </c>
      <c r="I3728" s="37">
        <f t="shared" si="174"/>
        <v>129826.2861</v>
      </c>
      <c r="J3728" s="4"/>
      <c r="K3728" s="38">
        <f t="shared" si="175"/>
        <v>0</v>
      </c>
    </row>
    <row r="3729" spans="1:11">
      <c r="A3729" t="s">
        <v>4376</v>
      </c>
      <c r="B3729" t="s">
        <v>10176</v>
      </c>
      <c r="C3729" t="s">
        <v>10146</v>
      </c>
      <c r="D3729" t="s">
        <v>11348</v>
      </c>
      <c r="E3729">
        <v>375600.14</v>
      </c>
      <c r="G3729" s="35"/>
      <c r="H3729" s="36">
        <f t="shared" si="176"/>
        <v>236628.0882</v>
      </c>
      <c r="I3729" s="37">
        <f t="shared" si="174"/>
        <v>236628.0882</v>
      </c>
      <c r="J3729" s="4"/>
      <c r="K3729" s="38">
        <f t="shared" si="175"/>
        <v>0</v>
      </c>
    </row>
    <row r="3730" spans="1:11">
      <c r="A3730" t="s">
        <v>4377</v>
      </c>
      <c r="B3730" t="s">
        <v>10176</v>
      </c>
      <c r="C3730" t="s">
        <v>10146</v>
      </c>
      <c r="D3730" t="s">
        <v>11349</v>
      </c>
      <c r="E3730">
        <v>371149.68</v>
      </c>
      <c r="G3730" s="35"/>
      <c r="H3730" s="36">
        <f t="shared" si="176"/>
        <v>233824.2984</v>
      </c>
      <c r="I3730" s="37">
        <f t="shared" si="174"/>
        <v>233824.2984</v>
      </c>
      <c r="J3730" s="4"/>
      <c r="K3730" s="38">
        <f t="shared" si="175"/>
        <v>0</v>
      </c>
    </row>
    <row r="3731" spans="1:11">
      <c r="A3731" t="s">
        <v>4378</v>
      </c>
      <c r="B3731" t="s">
        <v>10176</v>
      </c>
      <c r="C3731" t="s">
        <v>10146</v>
      </c>
      <c r="D3731" t="s">
        <v>11350</v>
      </c>
      <c r="E3731">
        <v>301573.84999999998</v>
      </c>
      <c r="G3731" s="35"/>
      <c r="H3731" s="36">
        <f t="shared" si="176"/>
        <v>189991.52549999999</v>
      </c>
      <c r="I3731" s="37">
        <f t="shared" si="174"/>
        <v>189991.52549999999</v>
      </c>
      <c r="J3731" s="4"/>
      <c r="K3731" s="38">
        <f t="shared" si="175"/>
        <v>0</v>
      </c>
    </row>
    <row r="3732" spans="1:11">
      <c r="A3732" t="s">
        <v>4379</v>
      </c>
      <c r="B3732" t="s">
        <v>10176</v>
      </c>
      <c r="C3732" t="s">
        <v>10146</v>
      </c>
      <c r="D3732" t="s">
        <v>11351</v>
      </c>
      <c r="E3732">
        <v>299928.96999999997</v>
      </c>
      <c r="G3732" s="35"/>
      <c r="H3732" s="36">
        <f t="shared" si="176"/>
        <v>188955.25109999999</v>
      </c>
      <c r="I3732" s="37">
        <f t="shared" si="174"/>
        <v>188955.25109999999</v>
      </c>
      <c r="J3732" s="4"/>
      <c r="K3732" s="38">
        <f t="shared" si="175"/>
        <v>0</v>
      </c>
    </row>
    <row r="3733" spans="1:11">
      <c r="A3733" t="s">
        <v>4380</v>
      </c>
      <c r="B3733" t="s">
        <v>10176</v>
      </c>
      <c r="C3733" t="s">
        <v>10146</v>
      </c>
      <c r="D3733" t="s">
        <v>10239</v>
      </c>
      <c r="E3733">
        <v>174289.55</v>
      </c>
      <c r="G3733" s="35"/>
      <c r="H3733" s="36">
        <f t="shared" si="176"/>
        <v>109802.41649999999</v>
      </c>
      <c r="I3733" s="37">
        <f t="shared" si="174"/>
        <v>109802.41649999999</v>
      </c>
      <c r="J3733" s="4"/>
      <c r="K3733" s="38">
        <f t="shared" si="175"/>
        <v>0</v>
      </c>
    </row>
    <row r="3734" spans="1:11">
      <c r="A3734" t="s">
        <v>4265</v>
      </c>
      <c r="B3734" t="s">
        <v>10176</v>
      </c>
      <c r="C3734" t="s">
        <v>5695</v>
      </c>
      <c r="D3734" t="s">
        <v>10191</v>
      </c>
      <c r="E3734">
        <v>1246391.17</v>
      </c>
      <c r="G3734" s="35"/>
      <c r="H3734" s="36">
        <f t="shared" si="176"/>
        <v>785226.43709999998</v>
      </c>
      <c r="I3734" s="37">
        <f t="shared" si="174"/>
        <v>785226.43709999998</v>
      </c>
      <c r="J3734" s="4"/>
      <c r="K3734" s="38">
        <f t="shared" si="175"/>
        <v>0</v>
      </c>
    </row>
    <row r="3735" spans="1:11">
      <c r="A3735" t="s">
        <v>4266</v>
      </c>
      <c r="B3735" t="s">
        <v>10176</v>
      </c>
      <c r="C3735" t="s">
        <v>5695</v>
      </c>
      <c r="D3735" t="s">
        <v>10192</v>
      </c>
      <c r="E3735">
        <v>1036675.39</v>
      </c>
      <c r="G3735" s="35"/>
      <c r="H3735" s="36">
        <f t="shared" si="176"/>
        <v>653105.49569999997</v>
      </c>
      <c r="I3735" s="37">
        <f t="shared" si="174"/>
        <v>653105.49569999997</v>
      </c>
      <c r="J3735" s="4"/>
      <c r="K3735" s="38">
        <f t="shared" si="175"/>
        <v>0</v>
      </c>
    </row>
    <row r="3736" spans="1:11">
      <c r="A3736" t="s">
        <v>4267</v>
      </c>
      <c r="B3736" t="s">
        <v>10176</v>
      </c>
      <c r="C3736" t="s">
        <v>5695</v>
      </c>
      <c r="D3736" t="s">
        <v>10194</v>
      </c>
      <c r="E3736">
        <v>789462.58</v>
      </c>
      <c r="G3736" s="35"/>
      <c r="H3736" s="36">
        <f t="shared" si="176"/>
        <v>497361.42539999995</v>
      </c>
      <c r="I3736" s="37">
        <f t="shared" si="174"/>
        <v>497361.42539999995</v>
      </c>
      <c r="J3736" s="4"/>
      <c r="K3736" s="38">
        <f t="shared" si="175"/>
        <v>0</v>
      </c>
    </row>
    <row r="3737" spans="1:11">
      <c r="A3737" t="s">
        <v>4268</v>
      </c>
      <c r="B3737" t="s">
        <v>10176</v>
      </c>
      <c r="C3737" t="s">
        <v>5695</v>
      </c>
      <c r="D3737" t="s">
        <v>7067</v>
      </c>
      <c r="E3737">
        <v>757700.44</v>
      </c>
      <c r="G3737" s="35"/>
      <c r="H3737" s="36">
        <f t="shared" si="176"/>
        <v>477351.27719999995</v>
      </c>
      <c r="I3737" s="37">
        <f t="shared" si="174"/>
        <v>477351.27719999995</v>
      </c>
      <c r="J3737" s="4"/>
      <c r="K3737" s="38">
        <f t="shared" si="175"/>
        <v>0</v>
      </c>
    </row>
    <row r="3738" spans="1:11">
      <c r="A3738" t="s">
        <v>4269</v>
      </c>
      <c r="B3738" t="s">
        <v>10176</v>
      </c>
      <c r="C3738" t="s">
        <v>5695</v>
      </c>
      <c r="D3738" t="s">
        <v>10220</v>
      </c>
      <c r="E3738">
        <v>1286006.54</v>
      </c>
      <c r="G3738" s="35"/>
      <c r="H3738" s="36">
        <f t="shared" si="176"/>
        <v>810184.1202</v>
      </c>
      <c r="I3738" s="37">
        <f t="shared" si="174"/>
        <v>810184.1202</v>
      </c>
      <c r="J3738" s="4"/>
      <c r="K3738" s="38">
        <f t="shared" si="175"/>
        <v>0</v>
      </c>
    </row>
    <row r="3739" spans="1:11">
      <c r="A3739" t="s">
        <v>4270</v>
      </c>
      <c r="B3739" t="s">
        <v>10176</v>
      </c>
      <c r="C3739" t="s">
        <v>5695</v>
      </c>
      <c r="D3739" t="s">
        <v>10195</v>
      </c>
      <c r="E3739">
        <v>827806.12</v>
      </c>
      <c r="G3739" s="35"/>
      <c r="H3739" s="36">
        <f t="shared" si="176"/>
        <v>521517.85560000001</v>
      </c>
      <c r="I3739" s="37">
        <f t="shared" si="174"/>
        <v>521517.85560000001</v>
      </c>
      <c r="J3739" s="4"/>
      <c r="K3739" s="38">
        <f t="shared" si="175"/>
        <v>0</v>
      </c>
    </row>
    <row r="3740" spans="1:11">
      <c r="A3740" t="s">
        <v>12663</v>
      </c>
      <c r="B3740" t="s">
        <v>10176</v>
      </c>
      <c r="C3740" t="s">
        <v>12664</v>
      </c>
      <c r="D3740" t="s">
        <v>12665</v>
      </c>
      <c r="E3740">
        <v>90813.97</v>
      </c>
      <c r="G3740" s="35"/>
      <c r="H3740" s="36">
        <f t="shared" si="176"/>
        <v>57212.801100000004</v>
      </c>
      <c r="I3740" s="37">
        <f t="shared" si="174"/>
        <v>57212.801100000004</v>
      </c>
      <c r="J3740" s="4"/>
      <c r="K3740" s="38">
        <f t="shared" si="175"/>
        <v>0</v>
      </c>
    </row>
    <row r="3741" spans="1:11">
      <c r="A3741" t="s">
        <v>12666</v>
      </c>
      <c r="B3741" t="s">
        <v>10176</v>
      </c>
      <c r="C3741" t="s">
        <v>12664</v>
      </c>
      <c r="D3741" t="s">
        <v>12667</v>
      </c>
      <c r="E3741">
        <v>145285.03</v>
      </c>
      <c r="G3741" s="35"/>
      <c r="H3741" s="36">
        <f t="shared" si="176"/>
        <v>91529.568899999998</v>
      </c>
      <c r="I3741" s="37">
        <f t="shared" si="174"/>
        <v>91529.568899999998</v>
      </c>
      <c r="J3741" s="4"/>
      <c r="K3741" s="38">
        <f t="shared" si="175"/>
        <v>0</v>
      </c>
    </row>
    <row r="3742" spans="1:11">
      <c r="A3742" t="s">
        <v>12668</v>
      </c>
      <c r="B3742" t="s">
        <v>10176</v>
      </c>
      <c r="C3742" t="s">
        <v>12664</v>
      </c>
      <c r="D3742" t="s">
        <v>12669</v>
      </c>
      <c r="E3742">
        <v>145285.03</v>
      </c>
      <c r="G3742" s="35"/>
      <c r="H3742" s="36">
        <f t="shared" si="176"/>
        <v>91529.568899999998</v>
      </c>
      <c r="I3742" s="37">
        <f t="shared" si="174"/>
        <v>91529.568899999998</v>
      </c>
      <c r="J3742" s="4"/>
      <c r="K3742" s="38">
        <f t="shared" si="175"/>
        <v>0</v>
      </c>
    </row>
    <row r="3743" spans="1:11">
      <c r="A3743" t="s">
        <v>12670</v>
      </c>
      <c r="B3743" t="s">
        <v>10176</v>
      </c>
      <c r="C3743" t="s">
        <v>12664</v>
      </c>
      <c r="D3743" t="s">
        <v>12671</v>
      </c>
      <c r="E3743">
        <v>145684.39000000001</v>
      </c>
      <c r="G3743" s="35"/>
      <c r="H3743" s="36">
        <f t="shared" si="176"/>
        <v>91781.165700000012</v>
      </c>
      <c r="I3743" s="37">
        <f t="shared" si="174"/>
        <v>91781.165700000012</v>
      </c>
      <c r="J3743" s="4"/>
      <c r="K3743" s="38">
        <f t="shared" si="175"/>
        <v>0</v>
      </c>
    </row>
    <row r="3744" spans="1:11">
      <c r="A3744" t="s">
        <v>12672</v>
      </c>
      <c r="B3744" t="s">
        <v>10176</v>
      </c>
      <c r="C3744" t="s">
        <v>12664</v>
      </c>
      <c r="D3744" t="s">
        <v>12673</v>
      </c>
      <c r="E3744">
        <v>97812.25</v>
      </c>
      <c r="G3744" s="35"/>
      <c r="H3744" s="36">
        <f t="shared" si="176"/>
        <v>61621.717499999999</v>
      </c>
      <c r="I3744" s="37">
        <f t="shared" si="174"/>
        <v>61621.717499999999</v>
      </c>
      <c r="J3744" s="4"/>
      <c r="K3744" s="38">
        <f t="shared" si="175"/>
        <v>0</v>
      </c>
    </row>
    <row r="3745" spans="1:11">
      <c r="A3745" t="s">
        <v>11901</v>
      </c>
      <c r="B3745" t="s">
        <v>10176</v>
      </c>
      <c r="C3745" t="s">
        <v>11902</v>
      </c>
      <c r="D3745" t="s">
        <v>11903</v>
      </c>
      <c r="E3745">
        <v>445807.71</v>
      </c>
      <c r="G3745" s="35"/>
      <c r="H3745" s="36">
        <f t="shared" si="176"/>
        <v>280858.85730000003</v>
      </c>
      <c r="I3745" s="37">
        <f t="shared" si="174"/>
        <v>280858.85730000003</v>
      </c>
      <c r="J3745" s="4"/>
      <c r="K3745" s="38">
        <f t="shared" si="175"/>
        <v>0</v>
      </c>
    </row>
    <row r="3746" spans="1:11">
      <c r="A3746" t="s">
        <v>11904</v>
      </c>
      <c r="B3746" t="s">
        <v>10176</v>
      </c>
      <c r="C3746" t="s">
        <v>11902</v>
      </c>
      <c r="D3746" t="s">
        <v>11905</v>
      </c>
      <c r="E3746">
        <v>262903.14</v>
      </c>
      <c r="G3746" s="35"/>
      <c r="H3746" s="36">
        <f t="shared" si="176"/>
        <v>165628.97820000001</v>
      </c>
      <c r="I3746" s="37">
        <f t="shared" si="174"/>
        <v>165628.97820000001</v>
      </c>
      <c r="J3746" s="4"/>
      <c r="K3746" s="38">
        <f t="shared" si="175"/>
        <v>0</v>
      </c>
    </row>
    <row r="3747" spans="1:11">
      <c r="A3747" t="s">
        <v>11906</v>
      </c>
      <c r="B3747" t="s">
        <v>10176</v>
      </c>
      <c r="C3747" t="s">
        <v>11902</v>
      </c>
      <c r="D3747" t="s">
        <v>11907</v>
      </c>
      <c r="E3747">
        <v>205415.12</v>
      </c>
      <c r="G3747" s="35"/>
      <c r="H3747" s="36">
        <f t="shared" si="176"/>
        <v>129411.52559999999</v>
      </c>
      <c r="I3747" s="37">
        <f t="shared" si="174"/>
        <v>129411.52559999999</v>
      </c>
      <c r="J3747" s="4"/>
      <c r="K3747" s="38">
        <f t="shared" si="175"/>
        <v>0</v>
      </c>
    </row>
    <row r="3748" spans="1:11">
      <c r="A3748" t="s">
        <v>11908</v>
      </c>
      <c r="B3748" t="s">
        <v>10176</v>
      </c>
      <c r="C3748" t="s">
        <v>11902</v>
      </c>
      <c r="D3748" t="s">
        <v>11909</v>
      </c>
      <c r="E3748">
        <v>275665.24</v>
      </c>
      <c r="G3748" s="35"/>
      <c r="H3748" s="36">
        <f t="shared" si="176"/>
        <v>173669.1012</v>
      </c>
      <c r="I3748" s="37">
        <f t="shared" si="174"/>
        <v>173669.1012</v>
      </c>
      <c r="J3748" s="4"/>
      <c r="K3748" s="38">
        <f t="shared" si="175"/>
        <v>0</v>
      </c>
    </row>
    <row r="3749" spans="1:11">
      <c r="A3749" t="s">
        <v>11910</v>
      </c>
      <c r="B3749" t="s">
        <v>10176</v>
      </c>
      <c r="C3749" t="s">
        <v>11902</v>
      </c>
      <c r="D3749" t="s">
        <v>11911</v>
      </c>
      <c r="E3749">
        <v>305482.05</v>
      </c>
      <c r="G3749" s="35"/>
      <c r="H3749" s="36">
        <f t="shared" si="176"/>
        <v>192453.69149999999</v>
      </c>
      <c r="I3749" s="37">
        <f t="shared" si="174"/>
        <v>192453.69149999999</v>
      </c>
      <c r="J3749" s="4"/>
      <c r="K3749" s="38">
        <f t="shared" si="175"/>
        <v>0</v>
      </c>
    </row>
    <row r="3750" spans="1:11">
      <c r="A3750" t="s">
        <v>11794</v>
      </c>
      <c r="B3750" t="s">
        <v>10176</v>
      </c>
      <c r="C3750" t="s">
        <v>11795</v>
      </c>
      <c r="D3750" t="s">
        <v>11796</v>
      </c>
      <c r="E3750">
        <v>475846.88</v>
      </c>
      <c r="G3750" s="35"/>
      <c r="H3750" s="36">
        <f t="shared" si="176"/>
        <v>299783.5344</v>
      </c>
      <c r="I3750" s="37">
        <f t="shared" si="174"/>
        <v>299783.5344</v>
      </c>
      <c r="J3750" s="4"/>
      <c r="K3750" s="38">
        <f t="shared" si="175"/>
        <v>0</v>
      </c>
    </row>
    <row r="3751" spans="1:11">
      <c r="A3751" t="s">
        <v>4706</v>
      </c>
      <c r="B3751" t="s">
        <v>10176</v>
      </c>
      <c r="C3751" t="s">
        <v>10167</v>
      </c>
      <c r="D3751" t="s">
        <v>11400</v>
      </c>
      <c r="E3751">
        <v>586883.57999999996</v>
      </c>
      <c r="G3751" s="35"/>
      <c r="H3751" s="36">
        <f t="shared" si="176"/>
        <v>369736.65539999999</v>
      </c>
      <c r="I3751" s="37">
        <f t="shared" si="174"/>
        <v>369736.65539999999</v>
      </c>
      <c r="J3751" s="4"/>
      <c r="K3751" s="38">
        <f t="shared" si="175"/>
        <v>0</v>
      </c>
    </row>
    <row r="3752" spans="1:11">
      <c r="A3752" t="s">
        <v>4707</v>
      </c>
      <c r="B3752" t="s">
        <v>10176</v>
      </c>
      <c r="C3752" t="s">
        <v>10167</v>
      </c>
      <c r="D3752" t="s">
        <v>11401</v>
      </c>
      <c r="E3752">
        <v>496590.35</v>
      </c>
      <c r="G3752" s="35"/>
      <c r="H3752" s="36">
        <f t="shared" si="176"/>
        <v>312851.92050000001</v>
      </c>
      <c r="I3752" s="37">
        <f t="shared" si="174"/>
        <v>312851.92050000001</v>
      </c>
      <c r="J3752" s="4"/>
      <c r="K3752" s="38">
        <f t="shared" si="175"/>
        <v>0</v>
      </c>
    </row>
    <row r="3753" spans="1:11">
      <c r="A3753" t="s">
        <v>4708</v>
      </c>
      <c r="B3753" t="s">
        <v>10176</v>
      </c>
      <c r="C3753" t="s">
        <v>10167</v>
      </c>
      <c r="D3753" t="s">
        <v>10387</v>
      </c>
      <c r="E3753">
        <v>743655.77</v>
      </c>
      <c r="G3753" s="35"/>
      <c r="H3753" s="36">
        <f t="shared" si="176"/>
        <v>468503.13510000001</v>
      </c>
      <c r="I3753" s="37">
        <f t="shared" si="174"/>
        <v>468503.13510000001</v>
      </c>
      <c r="J3753" s="4"/>
      <c r="K3753" s="38">
        <f t="shared" si="175"/>
        <v>0</v>
      </c>
    </row>
    <row r="3754" spans="1:11">
      <c r="A3754" t="s">
        <v>4709</v>
      </c>
      <c r="B3754" t="s">
        <v>10176</v>
      </c>
      <c r="C3754" t="s">
        <v>10167</v>
      </c>
      <c r="D3754" t="s">
        <v>10393</v>
      </c>
      <c r="E3754">
        <v>740536.4</v>
      </c>
      <c r="G3754" s="35"/>
      <c r="H3754" s="36">
        <f t="shared" si="176"/>
        <v>466537.93200000003</v>
      </c>
      <c r="I3754" s="37">
        <f t="shared" si="174"/>
        <v>466537.93200000003</v>
      </c>
      <c r="J3754" s="4"/>
      <c r="K3754" s="38">
        <f t="shared" si="175"/>
        <v>0</v>
      </c>
    </row>
    <row r="3755" spans="1:11">
      <c r="A3755" t="s">
        <v>4567</v>
      </c>
      <c r="B3755" t="s">
        <v>10176</v>
      </c>
      <c r="C3755" t="s">
        <v>5760</v>
      </c>
      <c r="D3755" t="s">
        <v>5761</v>
      </c>
      <c r="E3755">
        <v>14267.05</v>
      </c>
      <c r="G3755" s="35"/>
      <c r="H3755" s="36">
        <f t="shared" si="176"/>
        <v>8988.2415000000001</v>
      </c>
      <c r="I3755" s="37">
        <f t="shared" si="174"/>
        <v>8988.2415000000001</v>
      </c>
      <c r="J3755" s="4"/>
      <c r="K3755" s="38">
        <f t="shared" si="175"/>
        <v>0</v>
      </c>
    </row>
    <row r="3756" spans="1:11">
      <c r="A3756" t="s">
        <v>4400</v>
      </c>
      <c r="B3756" t="s">
        <v>10176</v>
      </c>
      <c r="C3756" t="s">
        <v>5735</v>
      </c>
      <c r="D3756" t="s">
        <v>10261</v>
      </c>
      <c r="E3756">
        <v>35362.28</v>
      </c>
      <c r="G3756" s="35"/>
      <c r="H3756" s="36">
        <f t="shared" si="176"/>
        <v>22278.236399999998</v>
      </c>
      <c r="I3756" s="37">
        <f t="shared" si="174"/>
        <v>22278.236399999998</v>
      </c>
      <c r="J3756" s="4"/>
      <c r="K3756" s="38">
        <f t="shared" si="175"/>
        <v>0</v>
      </c>
    </row>
    <row r="3757" spans="1:11">
      <c r="A3757" t="s">
        <v>4401</v>
      </c>
      <c r="B3757" t="s">
        <v>10176</v>
      </c>
      <c r="C3757" t="s">
        <v>5735</v>
      </c>
      <c r="D3757" t="s">
        <v>10262</v>
      </c>
      <c r="E3757">
        <v>24096.05</v>
      </c>
      <c r="G3757" s="35"/>
      <c r="H3757" s="36">
        <f t="shared" si="176"/>
        <v>15180.511500000001</v>
      </c>
      <c r="I3757" s="37">
        <f t="shared" si="174"/>
        <v>15180.511500000001</v>
      </c>
      <c r="J3757" s="4"/>
      <c r="K3757" s="38">
        <f t="shared" si="175"/>
        <v>0</v>
      </c>
    </row>
    <row r="3758" spans="1:11">
      <c r="A3758" t="s">
        <v>4402</v>
      </c>
      <c r="B3758" t="s">
        <v>10176</v>
      </c>
      <c r="C3758" t="s">
        <v>5735</v>
      </c>
      <c r="D3758" t="s">
        <v>10263</v>
      </c>
      <c r="E3758">
        <v>25957.35</v>
      </c>
      <c r="G3758" s="35"/>
      <c r="H3758" s="36">
        <f t="shared" si="176"/>
        <v>16353.130499999999</v>
      </c>
      <c r="I3758" s="37">
        <f t="shared" si="174"/>
        <v>16353.130499999999</v>
      </c>
      <c r="J3758" s="4"/>
      <c r="K3758" s="38">
        <f t="shared" si="175"/>
        <v>0</v>
      </c>
    </row>
    <row r="3759" spans="1:11">
      <c r="A3759" t="s">
        <v>4403</v>
      </c>
      <c r="B3759" t="s">
        <v>10176</v>
      </c>
      <c r="C3759" t="s">
        <v>5735</v>
      </c>
      <c r="D3759" t="s">
        <v>10264</v>
      </c>
      <c r="E3759">
        <v>28066.240000000002</v>
      </c>
      <c r="G3759" s="35"/>
      <c r="H3759" s="36">
        <f t="shared" si="176"/>
        <v>17681.731200000002</v>
      </c>
      <c r="I3759" s="37">
        <f t="shared" si="174"/>
        <v>17681.731200000002</v>
      </c>
      <c r="J3759" s="4"/>
      <c r="K3759" s="38">
        <f t="shared" si="175"/>
        <v>0</v>
      </c>
    </row>
    <row r="3760" spans="1:11">
      <c r="A3760" t="s">
        <v>4404</v>
      </c>
      <c r="B3760" t="s">
        <v>10176</v>
      </c>
      <c r="C3760" t="s">
        <v>5735</v>
      </c>
      <c r="D3760" t="s">
        <v>10265</v>
      </c>
      <c r="E3760">
        <v>30130.15</v>
      </c>
      <c r="G3760" s="35"/>
      <c r="H3760" s="36">
        <f t="shared" si="176"/>
        <v>18981.994500000001</v>
      </c>
      <c r="I3760" s="37">
        <f t="shared" si="174"/>
        <v>18981.994500000001</v>
      </c>
      <c r="J3760" s="4"/>
      <c r="K3760" s="38">
        <f t="shared" si="175"/>
        <v>0</v>
      </c>
    </row>
    <row r="3761" spans="1:11">
      <c r="A3761" t="s">
        <v>4405</v>
      </c>
      <c r="B3761" t="s">
        <v>10176</v>
      </c>
      <c r="C3761" t="s">
        <v>5735</v>
      </c>
      <c r="D3761" t="s">
        <v>10266</v>
      </c>
      <c r="E3761">
        <v>67156.990000000005</v>
      </c>
      <c r="G3761" s="35"/>
      <c r="H3761" s="36">
        <f t="shared" si="176"/>
        <v>42308.903700000003</v>
      </c>
      <c r="I3761" s="37">
        <f t="shared" si="174"/>
        <v>42308.903700000003</v>
      </c>
      <c r="J3761" s="4"/>
      <c r="K3761" s="38">
        <f t="shared" si="175"/>
        <v>0</v>
      </c>
    </row>
    <row r="3762" spans="1:11">
      <c r="A3762" t="s">
        <v>4407</v>
      </c>
      <c r="B3762" t="s">
        <v>10176</v>
      </c>
      <c r="C3762" t="s">
        <v>5735</v>
      </c>
      <c r="D3762" t="s">
        <v>10268</v>
      </c>
      <c r="E3762">
        <v>29926.9</v>
      </c>
      <c r="G3762" s="35"/>
      <c r="H3762" s="36">
        <f t="shared" si="176"/>
        <v>18853.947</v>
      </c>
      <c r="I3762" s="37">
        <f t="shared" si="174"/>
        <v>18853.947</v>
      </c>
      <c r="J3762" s="4"/>
      <c r="K3762" s="38">
        <f t="shared" si="175"/>
        <v>0</v>
      </c>
    </row>
    <row r="3763" spans="1:11">
      <c r="A3763" t="s">
        <v>4408</v>
      </c>
      <c r="B3763" t="s">
        <v>10176</v>
      </c>
      <c r="C3763" t="s">
        <v>5735</v>
      </c>
      <c r="D3763" t="s">
        <v>10269</v>
      </c>
      <c r="E3763">
        <v>33681.43</v>
      </c>
      <c r="G3763" s="35"/>
      <c r="H3763" s="36">
        <f t="shared" si="176"/>
        <v>21219.300900000002</v>
      </c>
      <c r="I3763" s="37">
        <f t="shared" si="174"/>
        <v>21219.300900000002</v>
      </c>
      <c r="J3763" s="4"/>
      <c r="K3763" s="38">
        <f t="shared" si="175"/>
        <v>0</v>
      </c>
    </row>
    <row r="3764" spans="1:11">
      <c r="A3764" t="s">
        <v>4409</v>
      </c>
      <c r="B3764" t="s">
        <v>10176</v>
      </c>
      <c r="C3764" t="s">
        <v>5735</v>
      </c>
      <c r="D3764" t="s">
        <v>10270</v>
      </c>
      <c r="E3764">
        <v>66630.58</v>
      </c>
      <c r="G3764" s="35"/>
      <c r="H3764" s="36">
        <f t="shared" si="176"/>
        <v>41977.265400000004</v>
      </c>
      <c r="I3764" s="37">
        <f t="shared" si="174"/>
        <v>41977.265400000004</v>
      </c>
      <c r="J3764" s="4"/>
      <c r="K3764" s="38">
        <f t="shared" si="175"/>
        <v>0</v>
      </c>
    </row>
    <row r="3765" spans="1:11">
      <c r="A3765" t="s">
        <v>4410</v>
      </c>
      <c r="B3765" t="s">
        <v>10176</v>
      </c>
      <c r="C3765" t="s">
        <v>5735</v>
      </c>
      <c r="D3765" t="s">
        <v>10271</v>
      </c>
      <c r="E3765">
        <v>70842.48</v>
      </c>
      <c r="G3765" s="35"/>
      <c r="H3765" s="36">
        <f t="shared" si="176"/>
        <v>44630.7624</v>
      </c>
      <c r="I3765" s="37">
        <f t="shared" si="174"/>
        <v>44630.7624</v>
      </c>
      <c r="J3765" s="4"/>
      <c r="K3765" s="38">
        <f t="shared" si="175"/>
        <v>0</v>
      </c>
    </row>
    <row r="3766" spans="1:11">
      <c r="A3766" t="s">
        <v>4406</v>
      </c>
      <c r="B3766" t="s">
        <v>10176</v>
      </c>
      <c r="C3766" t="s">
        <v>5735</v>
      </c>
      <c r="D3766" t="s">
        <v>10267</v>
      </c>
      <c r="E3766">
        <v>84914.04</v>
      </c>
      <c r="G3766" s="35"/>
      <c r="H3766" s="36">
        <f t="shared" si="176"/>
        <v>53495.845199999996</v>
      </c>
      <c r="I3766" s="37">
        <f t="shared" si="174"/>
        <v>53495.845199999996</v>
      </c>
      <c r="J3766" s="4"/>
      <c r="K3766" s="38">
        <f t="shared" si="175"/>
        <v>0</v>
      </c>
    </row>
    <row r="3767" spans="1:11">
      <c r="A3767" t="s">
        <v>5159</v>
      </c>
      <c r="B3767" t="s">
        <v>10176</v>
      </c>
      <c r="C3767" t="s">
        <v>5956</v>
      </c>
      <c r="D3767" t="s">
        <v>10864</v>
      </c>
      <c r="E3767">
        <v>3808.23</v>
      </c>
      <c r="G3767" s="35"/>
      <c r="H3767" s="36">
        <f t="shared" si="176"/>
        <v>2399.1849000000002</v>
      </c>
      <c r="I3767" s="37">
        <f t="shared" si="174"/>
        <v>2399.1849000000002</v>
      </c>
      <c r="J3767" s="4"/>
      <c r="K3767" s="38">
        <f t="shared" si="175"/>
        <v>0</v>
      </c>
    </row>
    <row r="3768" spans="1:11">
      <c r="A3768" t="s">
        <v>5160</v>
      </c>
      <c r="B3768" t="s">
        <v>10176</v>
      </c>
      <c r="C3768" t="s">
        <v>5956</v>
      </c>
      <c r="D3768" t="s">
        <v>10865</v>
      </c>
      <c r="E3768">
        <v>3808.23</v>
      </c>
      <c r="G3768" s="35"/>
      <c r="H3768" s="36">
        <f t="shared" si="176"/>
        <v>2399.1849000000002</v>
      </c>
      <c r="I3768" s="37">
        <f t="shared" si="174"/>
        <v>2399.1849000000002</v>
      </c>
      <c r="J3768" s="4"/>
      <c r="K3768" s="38">
        <f t="shared" si="175"/>
        <v>0</v>
      </c>
    </row>
    <row r="3769" spans="1:11">
      <c r="A3769" t="s">
        <v>5161</v>
      </c>
      <c r="B3769" t="s">
        <v>10176</v>
      </c>
      <c r="C3769" t="s">
        <v>5956</v>
      </c>
      <c r="D3769" t="s">
        <v>10866</v>
      </c>
      <c r="E3769">
        <v>6824.13</v>
      </c>
      <c r="G3769" s="35"/>
      <c r="H3769" s="36">
        <f t="shared" si="176"/>
        <v>4299.2019</v>
      </c>
      <c r="I3769" s="37">
        <f t="shared" si="174"/>
        <v>4299.2019</v>
      </c>
      <c r="J3769" s="4"/>
      <c r="K3769" s="38">
        <f t="shared" si="175"/>
        <v>0</v>
      </c>
    </row>
    <row r="3770" spans="1:11">
      <c r="A3770" t="s">
        <v>4440</v>
      </c>
      <c r="B3770" t="s">
        <v>10176</v>
      </c>
      <c r="C3770" t="s">
        <v>5744</v>
      </c>
      <c r="D3770" t="s">
        <v>10291</v>
      </c>
      <c r="E3770">
        <v>17144.34</v>
      </c>
      <c r="G3770" s="35"/>
      <c r="H3770" s="36">
        <f t="shared" si="176"/>
        <v>10800.9342</v>
      </c>
      <c r="I3770" s="37">
        <f t="shared" si="174"/>
        <v>10800.9342</v>
      </c>
      <c r="J3770" s="4"/>
      <c r="K3770" s="38">
        <f t="shared" si="175"/>
        <v>0</v>
      </c>
    </row>
    <row r="3771" spans="1:11">
      <c r="A3771" t="s">
        <v>4441</v>
      </c>
      <c r="B3771" t="s">
        <v>10176</v>
      </c>
      <c r="C3771" t="s">
        <v>5744</v>
      </c>
      <c r="D3771" t="s">
        <v>10292</v>
      </c>
      <c r="E3771">
        <v>18237.990000000002</v>
      </c>
      <c r="G3771" s="35"/>
      <c r="H3771" s="36">
        <f t="shared" si="176"/>
        <v>11489.933700000001</v>
      </c>
      <c r="I3771" s="37">
        <f t="shared" si="174"/>
        <v>11489.933700000001</v>
      </c>
      <c r="J3771" s="4"/>
      <c r="K3771" s="38">
        <f t="shared" si="175"/>
        <v>0</v>
      </c>
    </row>
    <row r="3772" spans="1:11">
      <c r="A3772" t="s">
        <v>4442</v>
      </c>
      <c r="B3772" t="s">
        <v>10176</v>
      </c>
      <c r="C3772" t="s">
        <v>5744</v>
      </c>
      <c r="D3772" t="s">
        <v>10293</v>
      </c>
      <c r="E3772">
        <v>21982.36</v>
      </c>
      <c r="G3772" s="35"/>
      <c r="H3772" s="36">
        <f t="shared" si="176"/>
        <v>13848.8868</v>
      </c>
      <c r="I3772" s="37">
        <f t="shared" si="174"/>
        <v>13848.8868</v>
      </c>
      <c r="J3772" s="4"/>
      <c r="K3772" s="38">
        <f t="shared" si="175"/>
        <v>0</v>
      </c>
    </row>
    <row r="3773" spans="1:11">
      <c r="A3773" t="s">
        <v>4443</v>
      </c>
      <c r="B3773" t="s">
        <v>10176</v>
      </c>
      <c r="C3773" t="s">
        <v>5744</v>
      </c>
      <c r="D3773" t="s">
        <v>10294</v>
      </c>
      <c r="E3773">
        <v>22622.48</v>
      </c>
      <c r="G3773" s="35"/>
      <c r="H3773" s="36">
        <f t="shared" si="176"/>
        <v>14252.162399999999</v>
      </c>
      <c r="I3773" s="37">
        <f t="shared" si="174"/>
        <v>14252.162399999999</v>
      </c>
      <c r="J3773" s="4"/>
      <c r="K3773" s="38">
        <f t="shared" si="175"/>
        <v>0</v>
      </c>
    </row>
    <row r="3774" spans="1:11">
      <c r="A3774" t="s">
        <v>12899</v>
      </c>
      <c r="B3774" t="s">
        <v>10176</v>
      </c>
      <c r="C3774" t="s">
        <v>5744</v>
      </c>
      <c r="D3774" t="s">
        <v>12900</v>
      </c>
      <c r="E3774">
        <v>21982.36</v>
      </c>
      <c r="G3774" s="35"/>
      <c r="H3774" s="36">
        <f t="shared" si="176"/>
        <v>13848.8868</v>
      </c>
      <c r="I3774" s="37">
        <f t="shared" si="174"/>
        <v>13848.8868</v>
      </c>
      <c r="J3774" s="4"/>
      <c r="K3774" s="38">
        <f t="shared" si="175"/>
        <v>0</v>
      </c>
    </row>
    <row r="3775" spans="1:11">
      <c r="A3775" t="s">
        <v>4444</v>
      </c>
      <c r="B3775" t="s">
        <v>10176</v>
      </c>
      <c r="C3775" t="s">
        <v>5744</v>
      </c>
      <c r="D3775" t="s">
        <v>10295</v>
      </c>
      <c r="E3775">
        <v>17144.34</v>
      </c>
      <c r="G3775" s="35"/>
      <c r="H3775" s="36">
        <f t="shared" si="176"/>
        <v>10800.9342</v>
      </c>
      <c r="I3775" s="37">
        <f t="shared" si="174"/>
        <v>10800.9342</v>
      </c>
      <c r="J3775" s="4"/>
      <c r="K3775" s="38">
        <f t="shared" si="175"/>
        <v>0</v>
      </c>
    </row>
    <row r="3776" spans="1:11">
      <c r="A3776" t="s">
        <v>4445</v>
      </c>
      <c r="B3776" t="s">
        <v>10176</v>
      </c>
      <c r="C3776" t="s">
        <v>5744</v>
      </c>
      <c r="D3776" t="s">
        <v>10296</v>
      </c>
      <c r="E3776">
        <v>21982.36</v>
      </c>
      <c r="G3776" s="35"/>
      <c r="H3776" s="36">
        <f t="shared" si="176"/>
        <v>13848.8868</v>
      </c>
      <c r="I3776" s="37">
        <f t="shared" si="174"/>
        <v>13848.8868</v>
      </c>
      <c r="J3776" s="4"/>
      <c r="K3776" s="38">
        <f t="shared" si="175"/>
        <v>0</v>
      </c>
    </row>
    <row r="3777" spans="1:11">
      <c r="A3777" t="s">
        <v>4446</v>
      </c>
      <c r="B3777" t="s">
        <v>10176</v>
      </c>
      <c r="C3777" t="s">
        <v>5744</v>
      </c>
      <c r="D3777" t="s">
        <v>11364</v>
      </c>
      <c r="E3777">
        <v>21562.2</v>
      </c>
      <c r="G3777" s="35"/>
      <c r="H3777" s="36">
        <f t="shared" si="176"/>
        <v>13584.186</v>
      </c>
      <c r="I3777" s="37">
        <f t="shared" si="174"/>
        <v>13584.186</v>
      </c>
      <c r="J3777" s="4"/>
      <c r="K3777" s="38">
        <f t="shared" si="175"/>
        <v>0</v>
      </c>
    </row>
    <row r="3778" spans="1:11">
      <c r="A3778" t="s">
        <v>4447</v>
      </c>
      <c r="B3778" t="s">
        <v>10176</v>
      </c>
      <c r="C3778" t="s">
        <v>5744</v>
      </c>
      <c r="D3778" t="s">
        <v>11365</v>
      </c>
      <c r="E3778">
        <v>29660.14</v>
      </c>
      <c r="G3778" s="35"/>
      <c r="H3778" s="36">
        <f t="shared" si="176"/>
        <v>18685.888200000001</v>
      </c>
      <c r="I3778" s="37">
        <f t="shared" si="174"/>
        <v>18685.888200000001</v>
      </c>
      <c r="J3778" s="4"/>
      <c r="K3778" s="38">
        <f t="shared" si="175"/>
        <v>0</v>
      </c>
    </row>
    <row r="3779" spans="1:11">
      <c r="A3779" t="s">
        <v>4448</v>
      </c>
      <c r="B3779" t="s">
        <v>10176</v>
      </c>
      <c r="C3779" t="s">
        <v>5744</v>
      </c>
      <c r="D3779" t="s">
        <v>11366</v>
      </c>
      <c r="E3779">
        <v>21562.2</v>
      </c>
      <c r="G3779" s="35"/>
      <c r="H3779" s="36">
        <f t="shared" si="176"/>
        <v>13584.186</v>
      </c>
      <c r="I3779" s="37">
        <f t="shared" si="174"/>
        <v>13584.186</v>
      </c>
      <c r="J3779" s="4"/>
      <c r="K3779" s="38">
        <f t="shared" si="175"/>
        <v>0</v>
      </c>
    </row>
    <row r="3780" spans="1:11">
      <c r="A3780" t="s">
        <v>4449</v>
      </c>
      <c r="B3780" t="s">
        <v>10176</v>
      </c>
      <c r="C3780" t="s">
        <v>5744</v>
      </c>
      <c r="D3780" t="s">
        <v>11367</v>
      </c>
      <c r="E3780">
        <v>29660.14</v>
      </c>
      <c r="G3780" s="35"/>
      <c r="H3780" s="36">
        <f t="shared" si="176"/>
        <v>18685.888200000001</v>
      </c>
      <c r="I3780" s="37">
        <f t="shared" si="174"/>
        <v>18685.888200000001</v>
      </c>
      <c r="J3780" s="4"/>
      <c r="K3780" s="38">
        <f t="shared" si="175"/>
        <v>0</v>
      </c>
    </row>
    <row r="3781" spans="1:11">
      <c r="A3781" t="s">
        <v>12788</v>
      </c>
      <c r="B3781" t="s">
        <v>10176</v>
      </c>
      <c r="C3781" t="s">
        <v>5744</v>
      </c>
      <c r="D3781" t="s">
        <v>12789</v>
      </c>
      <c r="E3781">
        <v>35072.629999999997</v>
      </c>
      <c r="G3781" s="35"/>
      <c r="H3781" s="36">
        <f t="shared" si="176"/>
        <v>22095.7569</v>
      </c>
      <c r="I3781" s="37">
        <f t="shared" si="174"/>
        <v>22095.7569</v>
      </c>
      <c r="J3781" s="4"/>
      <c r="K3781" s="38">
        <f t="shared" si="175"/>
        <v>0</v>
      </c>
    </row>
    <row r="3782" spans="1:11">
      <c r="A3782" t="s">
        <v>12585</v>
      </c>
      <c r="B3782" t="s">
        <v>10176</v>
      </c>
      <c r="C3782" t="s">
        <v>5744</v>
      </c>
      <c r="D3782" t="s">
        <v>12586</v>
      </c>
      <c r="E3782">
        <v>44167.79</v>
      </c>
      <c r="G3782" s="35"/>
      <c r="H3782" s="36">
        <f t="shared" si="176"/>
        <v>27825.707699999999</v>
      </c>
      <c r="I3782" s="37">
        <f t="shared" ref="I3782:I3845" si="177">H3782*$H$4</f>
        <v>27825.707699999999</v>
      </c>
      <c r="J3782" s="4"/>
      <c r="K3782" s="38">
        <f t="shared" ref="K3782:K3845" si="178">J3782*I3782</f>
        <v>0</v>
      </c>
    </row>
    <row r="3783" spans="1:11">
      <c r="A3783" t="s">
        <v>12901</v>
      </c>
      <c r="B3783" t="s">
        <v>10176</v>
      </c>
      <c r="C3783" t="s">
        <v>5744</v>
      </c>
      <c r="D3783" t="s">
        <v>12902</v>
      </c>
      <c r="E3783">
        <v>37897.730000000003</v>
      </c>
      <c r="G3783" s="35"/>
      <c r="H3783" s="36">
        <f t="shared" ref="H3783:H3846" si="179">+E3783*$H$1*(1-G3783)</f>
        <v>23875.569900000002</v>
      </c>
      <c r="I3783" s="37">
        <f t="shared" si="177"/>
        <v>23875.569900000002</v>
      </c>
      <c r="J3783" s="4"/>
      <c r="K3783" s="38">
        <f t="shared" si="178"/>
        <v>0</v>
      </c>
    </row>
    <row r="3784" spans="1:11">
      <c r="A3784" t="s">
        <v>4450</v>
      </c>
      <c r="B3784" t="s">
        <v>10176</v>
      </c>
      <c r="C3784" t="s">
        <v>5744</v>
      </c>
      <c r="D3784" t="s">
        <v>10297</v>
      </c>
      <c r="E3784">
        <v>36266.54</v>
      </c>
      <c r="G3784" s="35"/>
      <c r="H3784" s="36">
        <f t="shared" si="179"/>
        <v>22847.9202</v>
      </c>
      <c r="I3784" s="37">
        <f t="shared" si="177"/>
        <v>22847.9202</v>
      </c>
      <c r="J3784" s="4"/>
      <c r="K3784" s="38">
        <f t="shared" si="178"/>
        <v>0</v>
      </c>
    </row>
    <row r="3785" spans="1:11">
      <c r="A3785" t="s">
        <v>4451</v>
      </c>
      <c r="B3785" t="s">
        <v>10176</v>
      </c>
      <c r="C3785" t="s">
        <v>5744</v>
      </c>
      <c r="D3785" t="s">
        <v>10298</v>
      </c>
      <c r="E3785">
        <v>36266.54</v>
      </c>
      <c r="G3785" s="35"/>
      <c r="H3785" s="36">
        <f t="shared" si="179"/>
        <v>22847.9202</v>
      </c>
      <c r="I3785" s="37">
        <f t="shared" si="177"/>
        <v>22847.9202</v>
      </c>
      <c r="J3785" s="4"/>
      <c r="K3785" s="38">
        <f t="shared" si="178"/>
        <v>0</v>
      </c>
    </row>
    <row r="3786" spans="1:11">
      <c r="A3786" t="s">
        <v>4452</v>
      </c>
      <c r="B3786" t="s">
        <v>10176</v>
      </c>
      <c r="C3786" t="s">
        <v>5744</v>
      </c>
      <c r="D3786" t="s">
        <v>10299</v>
      </c>
      <c r="E3786">
        <v>40843.79</v>
      </c>
      <c r="G3786" s="35"/>
      <c r="H3786" s="36">
        <f t="shared" si="179"/>
        <v>25731.5877</v>
      </c>
      <c r="I3786" s="37">
        <f t="shared" si="177"/>
        <v>25731.5877</v>
      </c>
      <c r="J3786" s="4"/>
      <c r="K3786" s="38">
        <f t="shared" si="178"/>
        <v>0</v>
      </c>
    </row>
    <row r="3787" spans="1:11">
      <c r="A3787" t="s">
        <v>4453</v>
      </c>
      <c r="B3787" t="s">
        <v>10176</v>
      </c>
      <c r="C3787" t="s">
        <v>5744</v>
      </c>
      <c r="D3787" t="s">
        <v>11368</v>
      </c>
      <c r="E3787">
        <v>256733.92</v>
      </c>
      <c r="G3787" s="35"/>
      <c r="H3787" s="36">
        <f t="shared" si="179"/>
        <v>161742.36960000001</v>
      </c>
      <c r="I3787" s="37">
        <f t="shared" si="177"/>
        <v>161742.36960000001</v>
      </c>
      <c r="J3787" s="4"/>
      <c r="K3787" s="38">
        <f t="shared" si="178"/>
        <v>0</v>
      </c>
    </row>
    <row r="3788" spans="1:11">
      <c r="A3788" t="s">
        <v>4454</v>
      </c>
      <c r="B3788" t="s">
        <v>10176</v>
      </c>
      <c r="C3788" t="s">
        <v>5744</v>
      </c>
      <c r="D3788" t="s">
        <v>11369</v>
      </c>
      <c r="E3788">
        <v>256733.92</v>
      </c>
      <c r="G3788" s="35"/>
      <c r="H3788" s="36">
        <f t="shared" si="179"/>
        <v>161742.36960000001</v>
      </c>
      <c r="I3788" s="37">
        <f t="shared" si="177"/>
        <v>161742.36960000001</v>
      </c>
      <c r="J3788" s="4"/>
      <c r="K3788" s="38">
        <f t="shared" si="178"/>
        <v>0</v>
      </c>
    </row>
    <row r="3789" spans="1:11">
      <c r="A3789" t="s">
        <v>4455</v>
      </c>
      <c r="B3789" t="s">
        <v>10176</v>
      </c>
      <c r="C3789" t="s">
        <v>5744</v>
      </c>
      <c r="D3789" t="s">
        <v>11370</v>
      </c>
      <c r="E3789">
        <v>626319.49</v>
      </c>
      <c r="G3789" s="35"/>
      <c r="H3789" s="36">
        <f t="shared" si="179"/>
        <v>394581.27870000002</v>
      </c>
      <c r="I3789" s="37">
        <f t="shared" si="177"/>
        <v>394581.27870000002</v>
      </c>
      <c r="J3789" s="4"/>
      <c r="K3789" s="38">
        <f t="shared" si="178"/>
        <v>0</v>
      </c>
    </row>
    <row r="3790" spans="1:11">
      <c r="A3790" t="s">
        <v>4456</v>
      </c>
      <c r="B3790" t="s">
        <v>10176</v>
      </c>
      <c r="C3790" t="s">
        <v>5744</v>
      </c>
      <c r="D3790" t="s">
        <v>11371</v>
      </c>
      <c r="E3790">
        <v>521943.93</v>
      </c>
      <c r="G3790" s="35"/>
      <c r="H3790" s="36">
        <f t="shared" si="179"/>
        <v>328824.67589999997</v>
      </c>
      <c r="I3790" s="37">
        <f t="shared" si="177"/>
        <v>328824.67589999997</v>
      </c>
      <c r="J3790" s="4"/>
      <c r="K3790" s="38">
        <f t="shared" si="178"/>
        <v>0</v>
      </c>
    </row>
    <row r="3791" spans="1:11">
      <c r="A3791" t="s">
        <v>4457</v>
      </c>
      <c r="B3791" t="s">
        <v>10176</v>
      </c>
      <c r="C3791" t="s">
        <v>5744</v>
      </c>
      <c r="D3791" t="s">
        <v>11372</v>
      </c>
      <c r="E3791">
        <v>361278.77</v>
      </c>
      <c r="G3791" s="35"/>
      <c r="H3791" s="36">
        <f t="shared" si="179"/>
        <v>227605.6251</v>
      </c>
      <c r="I3791" s="37">
        <f t="shared" si="177"/>
        <v>227605.6251</v>
      </c>
      <c r="J3791" s="4"/>
      <c r="K3791" s="38">
        <f t="shared" si="178"/>
        <v>0</v>
      </c>
    </row>
    <row r="3792" spans="1:11">
      <c r="A3792" t="s">
        <v>4458</v>
      </c>
      <c r="B3792" t="s">
        <v>10176</v>
      </c>
      <c r="C3792" t="s">
        <v>5744</v>
      </c>
      <c r="D3792" t="s">
        <v>11373</v>
      </c>
      <c r="E3792">
        <v>361278.77</v>
      </c>
      <c r="G3792" s="35"/>
      <c r="H3792" s="36">
        <f t="shared" si="179"/>
        <v>227605.6251</v>
      </c>
      <c r="I3792" s="37">
        <f t="shared" si="177"/>
        <v>227605.6251</v>
      </c>
      <c r="J3792" s="4"/>
      <c r="K3792" s="38">
        <f t="shared" si="178"/>
        <v>0</v>
      </c>
    </row>
    <row r="3793" spans="1:11">
      <c r="A3793" t="s">
        <v>4459</v>
      </c>
      <c r="B3793" t="s">
        <v>10176</v>
      </c>
      <c r="C3793" t="s">
        <v>5744</v>
      </c>
      <c r="D3793" t="s">
        <v>11374</v>
      </c>
      <c r="E3793">
        <v>30385.54</v>
      </c>
      <c r="G3793" s="35"/>
      <c r="H3793" s="36">
        <f t="shared" si="179"/>
        <v>19142.890200000002</v>
      </c>
      <c r="I3793" s="37">
        <f t="shared" si="177"/>
        <v>19142.890200000002</v>
      </c>
      <c r="J3793" s="4"/>
      <c r="K3793" s="38">
        <f t="shared" si="178"/>
        <v>0</v>
      </c>
    </row>
    <row r="3794" spans="1:11">
      <c r="A3794" t="s">
        <v>4460</v>
      </c>
      <c r="B3794" t="s">
        <v>10176</v>
      </c>
      <c r="C3794" t="s">
        <v>5744</v>
      </c>
      <c r="D3794" t="s">
        <v>11375</v>
      </c>
      <c r="E3794">
        <v>34385.08</v>
      </c>
      <c r="G3794" s="35"/>
      <c r="H3794" s="36">
        <f t="shared" si="179"/>
        <v>21662.600400000003</v>
      </c>
      <c r="I3794" s="37">
        <f t="shared" si="177"/>
        <v>21662.600400000003</v>
      </c>
      <c r="J3794" s="4"/>
      <c r="K3794" s="38">
        <f t="shared" si="178"/>
        <v>0</v>
      </c>
    </row>
    <row r="3795" spans="1:11">
      <c r="A3795" t="s">
        <v>11864</v>
      </c>
      <c r="B3795" t="s">
        <v>10176</v>
      </c>
      <c r="C3795" t="s">
        <v>5744</v>
      </c>
      <c r="D3795" t="s">
        <v>11880</v>
      </c>
      <c r="E3795">
        <v>77666.42</v>
      </c>
      <c r="G3795" s="35"/>
      <c r="H3795" s="36">
        <f t="shared" si="179"/>
        <v>48929.844599999997</v>
      </c>
      <c r="I3795" s="37">
        <f t="shared" si="177"/>
        <v>48929.844599999997</v>
      </c>
      <c r="J3795" s="4"/>
      <c r="K3795" s="38">
        <f t="shared" si="178"/>
        <v>0</v>
      </c>
    </row>
    <row r="3796" spans="1:11">
      <c r="A3796" t="s">
        <v>4461</v>
      </c>
      <c r="B3796" t="s">
        <v>10176</v>
      </c>
      <c r="C3796" t="s">
        <v>5744</v>
      </c>
      <c r="D3796" t="s">
        <v>10300</v>
      </c>
      <c r="E3796">
        <v>34312.17</v>
      </c>
      <c r="G3796" s="35"/>
      <c r="H3796" s="36">
        <f t="shared" si="179"/>
        <v>21616.667099999999</v>
      </c>
      <c r="I3796" s="37">
        <f t="shared" si="177"/>
        <v>21616.667099999999</v>
      </c>
      <c r="J3796" s="4"/>
      <c r="K3796" s="38">
        <f t="shared" si="178"/>
        <v>0</v>
      </c>
    </row>
    <row r="3797" spans="1:11">
      <c r="A3797" t="s">
        <v>4462</v>
      </c>
      <c r="B3797" t="s">
        <v>10176</v>
      </c>
      <c r="C3797" t="s">
        <v>5744</v>
      </c>
      <c r="D3797" t="s">
        <v>10301</v>
      </c>
      <c r="E3797">
        <v>37074.720000000001</v>
      </c>
      <c r="G3797" s="35"/>
      <c r="H3797" s="36">
        <f t="shared" si="179"/>
        <v>23357.0736</v>
      </c>
      <c r="I3797" s="37">
        <f t="shared" si="177"/>
        <v>23357.0736</v>
      </c>
      <c r="J3797" s="4"/>
      <c r="K3797" s="38">
        <f t="shared" si="178"/>
        <v>0</v>
      </c>
    </row>
    <row r="3798" spans="1:11">
      <c r="A3798" t="s">
        <v>4463</v>
      </c>
      <c r="B3798" t="s">
        <v>10176</v>
      </c>
      <c r="C3798" t="s">
        <v>5744</v>
      </c>
      <c r="D3798" t="s">
        <v>11376</v>
      </c>
      <c r="E3798">
        <v>42780.23</v>
      </c>
      <c r="G3798" s="35"/>
      <c r="H3798" s="36">
        <f t="shared" si="179"/>
        <v>26951.544900000001</v>
      </c>
      <c r="I3798" s="37">
        <f t="shared" si="177"/>
        <v>26951.544900000001</v>
      </c>
      <c r="J3798" s="4"/>
      <c r="K3798" s="38">
        <f t="shared" si="178"/>
        <v>0</v>
      </c>
    </row>
    <row r="3799" spans="1:11">
      <c r="A3799" t="s">
        <v>4464</v>
      </c>
      <c r="B3799" t="s">
        <v>10176</v>
      </c>
      <c r="C3799" t="s">
        <v>5744</v>
      </c>
      <c r="D3799" t="s">
        <v>11377</v>
      </c>
      <c r="E3799">
        <v>44450.37</v>
      </c>
      <c r="G3799" s="35"/>
      <c r="H3799" s="36">
        <f t="shared" si="179"/>
        <v>28003.733100000001</v>
      </c>
      <c r="I3799" s="37">
        <f t="shared" si="177"/>
        <v>28003.733100000001</v>
      </c>
      <c r="J3799" s="4"/>
      <c r="K3799" s="38">
        <f t="shared" si="178"/>
        <v>0</v>
      </c>
    </row>
    <row r="3800" spans="1:11">
      <c r="A3800" t="s">
        <v>4561</v>
      </c>
      <c r="B3800" t="s">
        <v>10176</v>
      </c>
      <c r="C3800" t="s">
        <v>5758</v>
      </c>
      <c r="D3800" t="s">
        <v>10365</v>
      </c>
      <c r="E3800">
        <v>10150.35</v>
      </c>
      <c r="G3800" s="35"/>
      <c r="H3800" s="36">
        <f t="shared" si="179"/>
        <v>6394.7205000000004</v>
      </c>
      <c r="I3800" s="37">
        <f t="shared" si="177"/>
        <v>6394.7205000000004</v>
      </c>
      <c r="J3800" s="4"/>
      <c r="K3800" s="38">
        <f t="shared" si="178"/>
        <v>0</v>
      </c>
    </row>
    <row r="3801" spans="1:11">
      <c r="A3801" t="s">
        <v>4562</v>
      </c>
      <c r="B3801" t="s">
        <v>10176</v>
      </c>
      <c r="C3801" t="s">
        <v>5758</v>
      </c>
      <c r="D3801" t="s">
        <v>10366</v>
      </c>
      <c r="E3801">
        <v>10150.35</v>
      </c>
      <c r="G3801" s="35"/>
      <c r="H3801" s="36">
        <f t="shared" si="179"/>
        <v>6394.7205000000004</v>
      </c>
      <c r="I3801" s="37">
        <f t="shared" si="177"/>
        <v>6394.7205000000004</v>
      </c>
      <c r="J3801" s="4"/>
      <c r="K3801" s="38">
        <f t="shared" si="178"/>
        <v>0</v>
      </c>
    </row>
    <row r="3802" spans="1:11">
      <c r="A3802" t="s">
        <v>5150</v>
      </c>
      <c r="B3802" t="s">
        <v>10176</v>
      </c>
      <c r="C3802" t="s">
        <v>5955</v>
      </c>
      <c r="D3802" t="s">
        <v>11422</v>
      </c>
      <c r="E3802">
        <v>57767.92</v>
      </c>
      <c r="G3802" s="35"/>
      <c r="H3802" s="36">
        <f t="shared" si="179"/>
        <v>36393.789599999996</v>
      </c>
      <c r="I3802" s="37">
        <f t="shared" si="177"/>
        <v>36393.789599999996</v>
      </c>
      <c r="J3802" s="4"/>
      <c r="K3802" s="38">
        <f t="shared" si="178"/>
        <v>0</v>
      </c>
    </row>
    <row r="3803" spans="1:11">
      <c r="A3803" t="s">
        <v>5151</v>
      </c>
      <c r="B3803" t="s">
        <v>10176</v>
      </c>
      <c r="C3803" t="s">
        <v>5955</v>
      </c>
      <c r="D3803" t="s">
        <v>11423</v>
      </c>
      <c r="E3803">
        <v>40492.980000000003</v>
      </c>
      <c r="G3803" s="35"/>
      <c r="H3803" s="36">
        <f t="shared" si="179"/>
        <v>25510.577400000002</v>
      </c>
      <c r="I3803" s="37">
        <f t="shared" si="177"/>
        <v>25510.577400000002</v>
      </c>
      <c r="J3803" s="4"/>
      <c r="K3803" s="38">
        <f t="shared" si="178"/>
        <v>0</v>
      </c>
    </row>
    <row r="3804" spans="1:11">
      <c r="A3804" t="s">
        <v>5152</v>
      </c>
      <c r="B3804" t="s">
        <v>10176</v>
      </c>
      <c r="C3804" t="s">
        <v>5955</v>
      </c>
      <c r="D3804" t="s">
        <v>11424</v>
      </c>
      <c r="E3804">
        <v>37308.69</v>
      </c>
      <c r="G3804" s="35"/>
      <c r="H3804" s="36">
        <f t="shared" si="179"/>
        <v>23504.474700000002</v>
      </c>
      <c r="I3804" s="37">
        <f t="shared" si="177"/>
        <v>23504.474700000002</v>
      </c>
      <c r="J3804" s="4"/>
      <c r="K3804" s="38">
        <f t="shared" si="178"/>
        <v>0</v>
      </c>
    </row>
    <row r="3805" spans="1:11">
      <c r="A3805" t="s">
        <v>5153</v>
      </c>
      <c r="B3805" t="s">
        <v>10176</v>
      </c>
      <c r="C3805" t="s">
        <v>5955</v>
      </c>
      <c r="D3805" t="s">
        <v>11425</v>
      </c>
      <c r="E3805">
        <v>37308.69</v>
      </c>
      <c r="G3805" s="35"/>
      <c r="H3805" s="36">
        <f t="shared" si="179"/>
        <v>23504.474700000002</v>
      </c>
      <c r="I3805" s="37">
        <f t="shared" si="177"/>
        <v>23504.474700000002</v>
      </c>
      <c r="J3805" s="4"/>
      <c r="K3805" s="38">
        <f t="shared" si="178"/>
        <v>0</v>
      </c>
    </row>
    <row r="3806" spans="1:11">
      <c r="A3806" t="s">
        <v>5154</v>
      </c>
      <c r="B3806" t="s">
        <v>10176</v>
      </c>
      <c r="C3806" t="s">
        <v>5955</v>
      </c>
      <c r="D3806" t="s">
        <v>11426</v>
      </c>
      <c r="E3806">
        <v>76142.48</v>
      </c>
      <c r="G3806" s="35"/>
      <c r="H3806" s="36">
        <f t="shared" si="179"/>
        <v>47969.7624</v>
      </c>
      <c r="I3806" s="37">
        <f t="shared" si="177"/>
        <v>47969.7624</v>
      </c>
      <c r="J3806" s="4"/>
      <c r="K3806" s="38">
        <f t="shared" si="178"/>
        <v>0</v>
      </c>
    </row>
    <row r="3807" spans="1:11">
      <c r="A3807" t="s">
        <v>5155</v>
      </c>
      <c r="B3807" t="s">
        <v>10176</v>
      </c>
      <c r="C3807" t="s">
        <v>5955</v>
      </c>
      <c r="D3807" t="s">
        <v>11427</v>
      </c>
      <c r="E3807">
        <v>33860.99</v>
      </c>
      <c r="G3807" s="35"/>
      <c r="H3807" s="36">
        <f t="shared" si="179"/>
        <v>21332.423699999999</v>
      </c>
      <c r="I3807" s="37">
        <f t="shared" si="177"/>
        <v>21332.423699999999</v>
      </c>
      <c r="J3807" s="4"/>
      <c r="K3807" s="38">
        <f t="shared" si="178"/>
        <v>0</v>
      </c>
    </row>
    <row r="3808" spans="1:11">
      <c r="A3808" t="s">
        <v>5156</v>
      </c>
      <c r="B3808" t="s">
        <v>10176</v>
      </c>
      <c r="C3808" t="s">
        <v>5955</v>
      </c>
      <c r="D3808" t="s">
        <v>11428</v>
      </c>
      <c r="E3808">
        <v>54090.06</v>
      </c>
      <c r="G3808" s="35"/>
      <c r="H3808" s="36">
        <f t="shared" si="179"/>
        <v>34076.737799999995</v>
      </c>
      <c r="I3808" s="37">
        <f t="shared" si="177"/>
        <v>34076.737799999995</v>
      </c>
      <c r="J3808" s="4"/>
      <c r="K3808" s="38">
        <f t="shared" si="178"/>
        <v>0</v>
      </c>
    </row>
    <row r="3809" spans="1:11">
      <c r="A3809" t="s">
        <v>5157</v>
      </c>
      <c r="B3809" t="s">
        <v>10176</v>
      </c>
      <c r="C3809" t="s">
        <v>5955</v>
      </c>
      <c r="D3809" t="s">
        <v>11429</v>
      </c>
      <c r="E3809">
        <v>30262.31</v>
      </c>
      <c r="G3809" s="35"/>
      <c r="H3809" s="36">
        <f t="shared" si="179"/>
        <v>19065.255300000001</v>
      </c>
      <c r="I3809" s="37">
        <f t="shared" si="177"/>
        <v>19065.255300000001</v>
      </c>
      <c r="J3809" s="4"/>
      <c r="K3809" s="38">
        <f t="shared" si="178"/>
        <v>0</v>
      </c>
    </row>
    <row r="3810" spans="1:11">
      <c r="A3810" t="s">
        <v>5158</v>
      </c>
      <c r="B3810" t="s">
        <v>10176</v>
      </c>
      <c r="C3810" t="s">
        <v>5955</v>
      </c>
      <c r="D3810" t="s">
        <v>10863</v>
      </c>
      <c r="E3810">
        <v>76142.48</v>
      </c>
      <c r="G3810" s="35"/>
      <c r="H3810" s="36">
        <f t="shared" si="179"/>
        <v>47969.7624</v>
      </c>
      <c r="I3810" s="37">
        <f t="shared" si="177"/>
        <v>47969.7624</v>
      </c>
      <c r="J3810" s="4"/>
      <c r="K3810" s="38">
        <f t="shared" si="178"/>
        <v>0</v>
      </c>
    </row>
    <row r="3811" spans="1:11">
      <c r="A3811" t="s">
        <v>4528</v>
      </c>
      <c r="B3811" t="s">
        <v>10176</v>
      </c>
      <c r="C3811" t="s">
        <v>5753</v>
      </c>
      <c r="D3811" t="s">
        <v>11380</v>
      </c>
      <c r="E3811">
        <v>552280.66</v>
      </c>
      <c r="G3811" s="35"/>
      <c r="H3811" s="36">
        <f t="shared" si="179"/>
        <v>347936.81580000004</v>
      </c>
      <c r="I3811" s="37">
        <f t="shared" si="177"/>
        <v>347936.81580000004</v>
      </c>
      <c r="J3811" s="4"/>
      <c r="K3811" s="38">
        <f t="shared" si="178"/>
        <v>0</v>
      </c>
    </row>
    <row r="3812" spans="1:11">
      <c r="A3812" t="s">
        <v>4529</v>
      </c>
      <c r="B3812" t="s">
        <v>10176</v>
      </c>
      <c r="C3812" t="s">
        <v>5753</v>
      </c>
      <c r="D3812" t="s">
        <v>11381</v>
      </c>
      <c r="E3812">
        <v>596450.5</v>
      </c>
      <c r="G3812" s="35"/>
      <c r="H3812" s="36">
        <f t="shared" si="179"/>
        <v>375763.815</v>
      </c>
      <c r="I3812" s="37">
        <f t="shared" si="177"/>
        <v>375763.815</v>
      </c>
      <c r="J3812" s="4"/>
      <c r="K3812" s="38">
        <f t="shared" si="178"/>
        <v>0</v>
      </c>
    </row>
    <row r="3813" spans="1:11">
      <c r="A3813" t="s">
        <v>4530</v>
      </c>
      <c r="B3813" t="s">
        <v>10176</v>
      </c>
      <c r="C3813" t="s">
        <v>5753</v>
      </c>
      <c r="D3813" t="s">
        <v>11382</v>
      </c>
      <c r="E3813">
        <v>878914.99</v>
      </c>
      <c r="G3813" s="35"/>
      <c r="H3813" s="36">
        <f t="shared" si="179"/>
        <v>553716.44369999995</v>
      </c>
      <c r="I3813" s="37">
        <f t="shared" si="177"/>
        <v>553716.44369999995</v>
      </c>
      <c r="J3813" s="4"/>
      <c r="K3813" s="38">
        <f t="shared" si="178"/>
        <v>0</v>
      </c>
    </row>
    <row r="3814" spans="1:11">
      <c r="A3814" t="s">
        <v>4531</v>
      </c>
      <c r="B3814" t="s">
        <v>10176</v>
      </c>
      <c r="C3814" t="s">
        <v>5753</v>
      </c>
      <c r="D3814" t="s">
        <v>11383</v>
      </c>
      <c r="E3814">
        <v>878914.99</v>
      </c>
      <c r="G3814" s="35"/>
      <c r="H3814" s="36">
        <f t="shared" si="179"/>
        <v>553716.44369999995</v>
      </c>
      <c r="I3814" s="37">
        <f t="shared" si="177"/>
        <v>553716.44369999995</v>
      </c>
      <c r="J3814" s="4"/>
      <c r="K3814" s="38">
        <f t="shared" si="178"/>
        <v>0</v>
      </c>
    </row>
    <row r="3815" spans="1:11">
      <c r="A3815" t="s">
        <v>11430</v>
      </c>
      <c r="B3815" t="s">
        <v>10176</v>
      </c>
      <c r="C3815" t="s">
        <v>5957</v>
      </c>
      <c r="D3815" t="s">
        <v>12282</v>
      </c>
      <c r="E3815">
        <v>17731.580000000002</v>
      </c>
      <c r="G3815" s="35"/>
      <c r="H3815" s="36">
        <f t="shared" si="179"/>
        <v>11170.895400000001</v>
      </c>
      <c r="I3815" s="37">
        <f t="shared" si="177"/>
        <v>11170.895400000001</v>
      </c>
      <c r="J3815" s="4"/>
      <c r="K3815" s="38">
        <f t="shared" si="178"/>
        <v>0</v>
      </c>
    </row>
    <row r="3816" spans="1:11">
      <c r="A3816" t="s">
        <v>5162</v>
      </c>
      <c r="B3816" t="s">
        <v>10176</v>
      </c>
      <c r="C3816" t="s">
        <v>5957</v>
      </c>
      <c r="D3816" t="s">
        <v>12275</v>
      </c>
      <c r="E3816">
        <v>20545.28</v>
      </c>
      <c r="G3816" s="35"/>
      <c r="H3816" s="36">
        <f t="shared" si="179"/>
        <v>12943.526399999999</v>
      </c>
      <c r="I3816" s="37">
        <f t="shared" si="177"/>
        <v>12943.526399999999</v>
      </c>
      <c r="J3816" s="4"/>
      <c r="K3816" s="38">
        <f t="shared" si="178"/>
        <v>0</v>
      </c>
    </row>
    <row r="3817" spans="1:11">
      <c r="A3817" t="s">
        <v>5163</v>
      </c>
      <c r="B3817" t="s">
        <v>10176</v>
      </c>
      <c r="C3817" t="s">
        <v>5957</v>
      </c>
      <c r="D3817" t="s">
        <v>11431</v>
      </c>
      <c r="E3817">
        <v>13912.23</v>
      </c>
      <c r="G3817" s="35"/>
      <c r="H3817" s="36">
        <f t="shared" si="179"/>
        <v>8764.7049000000006</v>
      </c>
      <c r="I3817" s="37">
        <f t="shared" si="177"/>
        <v>8764.7049000000006</v>
      </c>
      <c r="J3817" s="4"/>
      <c r="K3817" s="38">
        <f t="shared" si="178"/>
        <v>0</v>
      </c>
    </row>
    <row r="3818" spans="1:11">
      <c r="A3818" t="s">
        <v>5164</v>
      </c>
      <c r="B3818" t="s">
        <v>10176</v>
      </c>
      <c r="C3818" t="s">
        <v>5957</v>
      </c>
      <c r="D3818" t="s">
        <v>10867</v>
      </c>
      <c r="E3818">
        <v>17767.48</v>
      </c>
      <c r="G3818" s="35"/>
      <c r="H3818" s="36">
        <f t="shared" si="179"/>
        <v>11193.5124</v>
      </c>
      <c r="I3818" s="37">
        <f t="shared" si="177"/>
        <v>11193.5124</v>
      </c>
      <c r="J3818" s="4"/>
      <c r="K3818" s="38">
        <f t="shared" si="178"/>
        <v>0</v>
      </c>
    </row>
    <row r="3819" spans="1:11">
      <c r="A3819" t="s">
        <v>5165</v>
      </c>
      <c r="B3819" t="s">
        <v>10176</v>
      </c>
      <c r="C3819" t="s">
        <v>5957</v>
      </c>
      <c r="D3819" t="s">
        <v>10868</v>
      </c>
      <c r="E3819">
        <v>30297.15</v>
      </c>
      <c r="G3819" s="35"/>
      <c r="H3819" s="36">
        <f t="shared" si="179"/>
        <v>19087.2045</v>
      </c>
      <c r="I3819" s="37">
        <f t="shared" si="177"/>
        <v>19087.2045</v>
      </c>
      <c r="J3819" s="4"/>
      <c r="K3819" s="38">
        <f t="shared" si="178"/>
        <v>0</v>
      </c>
    </row>
    <row r="3820" spans="1:11">
      <c r="A3820" t="s">
        <v>4338</v>
      </c>
      <c r="B3820" t="s">
        <v>10176</v>
      </c>
      <c r="C3820" t="s">
        <v>5715</v>
      </c>
      <c r="D3820" t="s">
        <v>10238</v>
      </c>
      <c r="E3820">
        <v>39921.82</v>
      </c>
      <c r="G3820" s="35"/>
      <c r="H3820" s="36">
        <f t="shared" si="179"/>
        <v>25150.746599999999</v>
      </c>
      <c r="I3820" s="37">
        <f t="shared" si="177"/>
        <v>25150.746599999999</v>
      </c>
      <c r="J3820" s="4"/>
      <c r="K3820" s="38">
        <f t="shared" si="178"/>
        <v>0</v>
      </c>
    </row>
    <row r="3821" spans="1:11">
      <c r="A3821" t="s">
        <v>5166</v>
      </c>
      <c r="B3821" t="s">
        <v>10176</v>
      </c>
      <c r="C3821" t="s">
        <v>5958</v>
      </c>
      <c r="D3821" t="s">
        <v>10869</v>
      </c>
      <c r="E3821">
        <v>116376.79</v>
      </c>
      <c r="G3821" s="35"/>
      <c r="H3821" s="36">
        <f t="shared" si="179"/>
        <v>73317.377699999997</v>
      </c>
      <c r="I3821" s="37">
        <f t="shared" si="177"/>
        <v>73317.377699999997</v>
      </c>
      <c r="J3821" s="4"/>
      <c r="K3821" s="38">
        <f t="shared" si="178"/>
        <v>0</v>
      </c>
    </row>
    <row r="3822" spans="1:11">
      <c r="A3822" t="s">
        <v>5167</v>
      </c>
      <c r="B3822" t="s">
        <v>10176</v>
      </c>
      <c r="C3822" t="s">
        <v>5958</v>
      </c>
      <c r="D3822" t="s">
        <v>10870</v>
      </c>
      <c r="E3822">
        <v>60169.86</v>
      </c>
      <c r="G3822" s="35"/>
      <c r="H3822" s="36">
        <f t="shared" si="179"/>
        <v>37907.0118</v>
      </c>
      <c r="I3822" s="37">
        <f t="shared" si="177"/>
        <v>37907.0118</v>
      </c>
      <c r="J3822" s="4"/>
      <c r="K3822" s="38">
        <f t="shared" si="178"/>
        <v>0</v>
      </c>
    </row>
    <row r="3823" spans="1:11">
      <c r="A3823" t="s">
        <v>11666</v>
      </c>
      <c r="B3823" t="s">
        <v>10176</v>
      </c>
      <c r="C3823" t="s">
        <v>5958</v>
      </c>
      <c r="D3823" t="s">
        <v>11667</v>
      </c>
      <c r="E3823">
        <v>45138.48</v>
      </c>
      <c r="G3823" s="35"/>
      <c r="H3823" s="36">
        <f t="shared" si="179"/>
        <v>28437.242400000003</v>
      </c>
      <c r="I3823" s="37">
        <f t="shared" si="177"/>
        <v>28437.242400000003</v>
      </c>
      <c r="J3823" s="4"/>
      <c r="K3823" s="38">
        <f t="shared" si="178"/>
        <v>0</v>
      </c>
    </row>
    <row r="3824" spans="1:11">
      <c r="A3824" t="s">
        <v>9789</v>
      </c>
      <c r="B3824" t="s">
        <v>10176</v>
      </c>
      <c r="C3824" t="s">
        <v>5958</v>
      </c>
      <c r="D3824" t="s">
        <v>10871</v>
      </c>
      <c r="E3824">
        <v>40113.949999999997</v>
      </c>
      <c r="G3824" s="35"/>
      <c r="H3824" s="36">
        <f t="shared" si="179"/>
        <v>25271.788499999999</v>
      </c>
      <c r="I3824" s="37">
        <f t="shared" si="177"/>
        <v>25271.788499999999</v>
      </c>
      <c r="J3824" s="4"/>
      <c r="K3824" s="38">
        <f t="shared" si="178"/>
        <v>0</v>
      </c>
    </row>
    <row r="3825" spans="1:11">
      <c r="A3825" t="s">
        <v>5168</v>
      </c>
      <c r="B3825" t="s">
        <v>10176</v>
      </c>
      <c r="C3825" t="s">
        <v>5958</v>
      </c>
      <c r="D3825" t="s">
        <v>11619</v>
      </c>
      <c r="E3825">
        <v>240599.19</v>
      </c>
      <c r="G3825" s="35"/>
      <c r="H3825" s="36">
        <f t="shared" si="179"/>
        <v>151577.48970000001</v>
      </c>
      <c r="I3825" s="37">
        <f t="shared" si="177"/>
        <v>151577.48970000001</v>
      </c>
      <c r="J3825" s="4"/>
      <c r="K3825" s="38">
        <f t="shared" si="178"/>
        <v>0</v>
      </c>
    </row>
    <row r="3826" spans="1:11">
      <c r="A3826" t="s">
        <v>9643</v>
      </c>
      <c r="B3826" t="s">
        <v>10176</v>
      </c>
      <c r="C3826" t="s">
        <v>5958</v>
      </c>
      <c r="D3826" t="s">
        <v>11620</v>
      </c>
      <c r="E3826">
        <v>75831.55</v>
      </c>
      <c r="G3826" s="35"/>
      <c r="H3826" s="36">
        <f t="shared" si="179"/>
        <v>47773.876500000006</v>
      </c>
      <c r="I3826" s="37">
        <f t="shared" si="177"/>
        <v>47773.876500000006</v>
      </c>
      <c r="J3826" s="4"/>
      <c r="K3826" s="38">
        <f t="shared" si="178"/>
        <v>0</v>
      </c>
    </row>
    <row r="3827" spans="1:11">
      <c r="A3827" t="s">
        <v>11865</v>
      </c>
      <c r="B3827" t="s">
        <v>10176</v>
      </c>
      <c r="C3827" t="s">
        <v>5958</v>
      </c>
      <c r="D3827" t="s">
        <v>11882</v>
      </c>
      <c r="E3827">
        <v>48149.08</v>
      </c>
      <c r="G3827" s="35"/>
      <c r="H3827" s="36">
        <f t="shared" si="179"/>
        <v>30333.920400000003</v>
      </c>
      <c r="I3827" s="37">
        <f t="shared" si="177"/>
        <v>30333.920400000003</v>
      </c>
      <c r="J3827" s="4"/>
      <c r="K3827" s="38">
        <f t="shared" si="178"/>
        <v>0</v>
      </c>
    </row>
    <row r="3828" spans="1:11">
      <c r="A3828" t="s">
        <v>5169</v>
      </c>
      <c r="B3828" t="s">
        <v>10176</v>
      </c>
      <c r="C3828" t="s">
        <v>5959</v>
      </c>
      <c r="D3828" t="s">
        <v>10872</v>
      </c>
      <c r="E3828">
        <v>25060.92</v>
      </c>
      <c r="G3828" s="35"/>
      <c r="H3828" s="36">
        <f t="shared" si="179"/>
        <v>15788.379599999998</v>
      </c>
      <c r="I3828" s="37">
        <f t="shared" si="177"/>
        <v>15788.379599999998</v>
      </c>
      <c r="J3828" s="4"/>
      <c r="K3828" s="38">
        <f t="shared" si="178"/>
        <v>0</v>
      </c>
    </row>
    <row r="3829" spans="1:11">
      <c r="A3829" t="s">
        <v>5170</v>
      </c>
      <c r="B3829" t="s">
        <v>10176</v>
      </c>
      <c r="C3829" t="s">
        <v>5959</v>
      </c>
      <c r="D3829" t="s">
        <v>10873</v>
      </c>
      <c r="E3829">
        <v>47287.55</v>
      </c>
      <c r="G3829" s="35"/>
      <c r="H3829" s="36">
        <f t="shared" si="179"/>
        <v>29791.156500000001</v>
      </c>
      <c r="I3829" s="37">
        <f t="shared" si="177"/>
        <v>29791.156500000001</v>
      </c>
      <c r="J3829" s="4"/>
      <c r="K3829" s="38">
        <f t="shared" si="178"/>
        <v>0</v>
      </c>
    </row>
    <row r="3830" spans="1:11">
      <c r="A3830" t="s">
        <v>5171</v>
      </c>
      <c r="B3830" t="s">
        <v>10176</v>
      </c>
      <c r="C3830" t="s">
        <v>5959</v>
      </c>
      <c r="D3830" t="s">
        <v>10874</v>
      </c>
      <c r="E3830">
        <v>77137.039999999994</v>
      </c>
      <c r="G3830" s="35"/>
      <c r="H3830" s="36">
        <f t="shared" si="179"/>
        <v>48596.335199999994</v>
      </c>
      <c r="I3830" s="37">
        <f t="shared" si="177"/>
        <v>48596.335199999994</v>
      </c>
      <c r="J3830" s="4"/>
      <c r="K3830" s="38">
        <f t="shared" si="178"/>
        <v>0</v>
      </c>
    </row>
    <row r="3831" spans="1:11">
      <c r="A3831" t="s">
        <v>5172</v>
      </c>
      <c r="B3831" t="s">
        <v>10176</v>
      </c>
      <c r="C3831" t="s">
        <v>5959</v>
      </c>
      <c r="D3831" t="s">
        <v>10875</v>
      </c>
      <c r="E3831">
        <v>31005.58</v>
      </c>
      <c r="G3831" s="35"/>
      <c r="H3831" s="36">
        <f t="shared" si="179"/>
        <v>19533.5154</v>
      </c>
      <c r="I3831" s="37">
        <f t="shared" si="177"/>
        <v>19533.5154</v>
      </c>
      <c r="J3831" s="4"/>
      <c r="K3831" s="38">
        <f t="shared" si="178"/>
        <v>0</v>
      </c>
    </row>
    <row r="3832" spans="1:11">
      <c r="A3832" t="s">
        <v>5173</v>
      </c>
      <c r="B3832" t="s">
        <v>10176</v>
      </c>
      <c r="C3832" t="s">
        <v>5959</v>
      </c>
      <c r="D3832" t="s">
        <v>10876</v>
      </c>
      <c r="E3832">
        <v>40237.480000000003</v>
      </c>
      <c r="G3832" s="35"/>
      <c r="H3832" s="36">
        <f t="shared" si="179"/>
        <v>25349.612400000002</v>
      </c>
      <c r="I3832" s="37">
        <f t="shared" si="177"/>
        <v>25349.612400000002</v>
      </c>
      <c r="J3832" s="4"/>
      <c r="K3832" s="38">
        <f t="shared" si="178"/>
        <v>0</v>
      </c>
    </row>
    <row r="3833" spans="1:11">
      <c r="A3833" t="s">
        <v>5174</v>
      </c>
      <c r="B3833" t="s">
        <v>10176</v>
      </c>
      <c r="C3833" t="s">
        <v>5959</v>
      </c>
      <c r="D3833" t="s">
        <v>10877</v>
      </c>
      <c r="E3833">
        <v>50033.69</v>
      </c>
      <c r="G3833" s="35"/>
      <c r="H3833" s="36">
        <f t="shared" si="179"/>
        <v>31521.224700000002</v>
      </c>
      <c r="I3833" s="37">
        <f t="shared" si="177"/>
        <v>31521.224700000002</v>
      </c>
      <c r="J3833" s="4"/>
      <c r="K3833" s="38">
        <f t="shared" si="178"/>
        <v>0</v>
      </c>
    </row>
    <row r="3834" spans="1:11">
      <c r="A3834" t="s">
        <v>5175</v>
      </c>
      <c r="B3834" t="s">
        <v>10176</v>
      </c>
      <c r="C3834" t="s">
        <v>5959</v>
      </c>
      <c r="D3834" t="s">
        <v>10874</v>
      </c>
      <c r="E3834">
        <v>75296.25</v>
      </c>
      <c r="G3834" s="35"/>
      <c r="H3834" s="36">
        <f t="shared" si="179"/>
        <v>47436.637499999997</v>
      </c>
      <c r="I3834" s="37">
        <f t="shared" si="177"/>
        <v>47436.637499999997</v>
      </c>
      <c r="J3834" s="4"/>
      <c r="K3834" s="38">
        <f t="shared" si="178"/>
        <v>0</v>
      </c>
    </row>
    <row r="3835" spans="1:11">
      <c r="A3835" t="s">
        <v>5176</v>
      </c>
      <c r="B3835" t="s">
        <v>10176</v>
      </c>
      <c r="C3835" t="s">
        <v>5959</v>
      </c>
      <c r="D3835" t="s">
        <v>10878</v>
      </c>
      <c r="E3835">
        <v>29247.17</v>
      </c>
      <c r="G3835" s="35"/>
      <c r="H3835" s="36">
        <f t="shared" si="179"/>
        <v>18425.717099999998</v>
      </c>
      <c r="I3835" s="37">
        <f t="shared" si="177"/>
        <v>18425.717099999998</v>
      </c>
      <c r="J3835" s="4"/>
      <c r="K3835" s="38">
        <f t="shared" si="178"/>
        <v>0</v>
      </c>
    </row>
    <row r="3836" spans="1:11">
      <c r="A3836" t="s">
        <v>5177</v>
      </c>
      <c r="B3836" t="s">
        <v>10176</v>
      </c>
      <c r="C3836" t="s">
        <v>5959</v>
      </c>
      <c r="D3836" t="s">
        <v>10879</v>
      </c>
      <c r="E3836">
        <v>29086.14</v>
      </c>
      <c r="G3836" s="35"/>
      <c r="H3836" s="36">
        <f t="shared" si="179"/>
        <v>18324.268199999999</v>
      </c>
      <c r="I3836" s="37">
        <f t="shared" si="177"/>
        <v>18324.268199999999</v>
      </c>
      <c r="J3836" s="4"/>
      <c r="K3836" s="38">
        <f t="shared" si="178"/>
        <v>0</v>
      </c>
    </row>
    <row r="3837" spans="1:11">
      <c r="A3837" t="s">
        <v>5178</v>
      </c>
      <c r="B3837" t="s">
        <v>10176</v>
      </c>
      <c r="C3837" t="s">
        <v>5959</v>
      </c>
      <c r="D3837" t="s">
        <v>10880</v>
      </c>
      <c r="E3837">
        <v>62665.77</v>
      </c>
      <c r="G3837" s="35"/>
      <c r="H3837" s="36">
        <f t="shared" si="179"/>
        <v>39479.435099999995</v>
      </c>
      <c r="I3837" s="37">
        <f t="shared" si="177"/>
        <v>39479.435099999995</v>
      </c>
      <c r="J3837" s="4"/>
      <c r="K3837" s="38">
        <f t="shared" si="178"/>
        <v>0</v>
      </c>
    </row>
    <row r="3838" spans="1:11">
      <c r="A3838" t="s">
        <v>5179</v>
      </c>
      <c r="B3838" t="s">
        <v>10176</v>
      </c>
      <c r="C3838" t="s">
        <v>5959</v>
      </c>
      <c r="D3838" t="s">
        <v>10881</v>
      </c>
      <c r="E3838">
        <v>42001.18</v>
      </c>
      <c r="G3838" s="35"/>
      <c r="H3838" s="36">
        <f t="shared" si="179"/>
        <v>26460.743399999999</v>
      </c>
      <c r="I3838" s="37">
        <f t="shared" si="177"/>
        <v>26460.743399999999</v>
      </c>
      <c r="J3838" s="4"/>
      <c r="K3838" s="38">
        <f t="shared" si="178"/>
        <v>0</v>
      </c>
    </row>
    <row r="3839" spans="1:11">
      <c r="A3839" t="s">
        <v>5180</v>
      </c>
      <c r="B3839" t="s">
        <v>10176</v>
      </c>
      <c r="C3839" t="s">
        <v>5959</v>
      </c>
      <c r="D3839" t="s">
        <v>10882</v>
      </c>
      <c r="E3839">
        <v>31005.58</v>
      </c>
      <c r="G3839" s="35"/>
      <c r="H3839" s="36">
        <f t="shared" si="179"/>
        <v>19533.5154</v>
      </c>
      <c r="I3839" s="37">
        <f t="shared" si="177"/>
        <v>19533.5154</v>
      </c>
      <c r="J3839" s="4"/>
      <c r="K3839" s="38">
        <f t="shared" si="178"/>
        <v>0</v>
      </c>
    </row>
    <row r="3840" spans="1:11">
      <c r="A3840" t="s">
        <v>5181</v>
      </c>
      <c r="B3840" t="s">
        <v>10176</v>
      </c>
      <c r="C3840" t="s">
        <v>5959</v>
      </c>
      <c r="D3840" t="s">
        <v>10883</v>
      </c>
      <c r="E3840">
        <v>31005.58</v>
      </c>
      <c r="G3840" s="35"/>
      <c r="H3840" s="36">
        <f t="shared" si="179"/>
        <v>19533.5154</v>
      </c>
      <c r="I3840" s="37">
        <f t="shared" si="177"/>
        <v>19533.5154</v>
      </c>
      <c r="J3840" s="4"/>
      <c r="K3840" s="38">
        <f t="shared" si="178"/>
        <v>0</v>
      </c>
    </row>
    <row r="3841" spans="1:11">
      <c r="A3841" t="s">
        <v>12054</v>
      </c>
      <c r="B3841" t="s">
        <v>10176</v>
      </c>
      <c r="C3841" t="s">
        <v>5959</v>
      </c>
      <c r="D3841" t="s">
        <v>12055</v>
      </c>
      <c r="E3841">
        <v>56113.95</v>
      </c>
      <c r="G3841" s="35"/>
      <c r="H3841" s="36">
        <f t="shared" si="179"/>
        <v>35351.788499999995</v>
      </c>
      <c r="I3841" s="37">
        <f t="shared" si="177"/>
        <v>35351.788499999995</v>
      </c>
      <c r="J3841" s="4"/>
      <c r="K3841" s="38">
        <f t="shared" si="178"/>
        <v>0</v>
      </c>
    </row>
    <row r="3842" spans="1:11">
      <c r="A3842" t="s">
        <v>5182</v>
      </c>
      <c r="B3842" t="s">
        <v>10176</v>
      </c>
      <c r="C3842" t="s">
        <v>5959</v>
      </c>
      <c r="D3842" t="s">
        <v>10884</v>
      </c>
      <c r="E3842">
        <v>66781.8</v>
      </c>
      <c r="G3842" s="35"/>
      <c r="H3842" s="36">
        <f t="shared" si="179"/>
        <v>42072.534</v>
      </c>
      <c r="I3842" s="37">
        <f t="shared" si="177"/>
        <v>42072.534</v>
      </c>
      <c r="J3842" s="4"/>
      <c r="K3842" s="38">
        <f t="shared" si="178"/>
        <v>0</v>
      </c>
    </row>
    <row r="3843" spans="1:11">
      <c r="A3843" t="s">
        <v>5183</v>
      </c>
      <c r="B3843" t="s">
        <v>10176</v>
      </c>
      <c r="C3843" t="s">
        <v>5959</v>
      </c>
      <c r="D3843" t="s">
        <v>10885</v>
      </c>
      <c r="E3843">
        <v>77137.039999999994</v>
      </c>
      <c r="G3843" s="35"/>
      <c r="H3843" s="36">
        <f t="shared" si="179"/>
        <v>48596.335199999994</v>
      </c>
      <c r="I3843" s="37">
        <f t="shared" si="177"/>
        <v>48596.335199999994</v>
      </c>
      <c r="J3843" s="4"/>
      <c r="K3843" s="38">
        <f t="shared" si="178"/>
        <v>0</v>
      </c>
    </row>
    <row r="3844" spans="1:11">
      <c r="A3844" t="s">
        <v>5184</v>
      </c>
      <c r="B3844" t="s">
        <v>10176</v>
      </c>
      <c r="C3844" t="s">
        <v>5959</v>
      </c>
      <c r="D3844" t="s">
        <v>10886</v>
      </c>
      <c r="E3844">
        <v>118417.12</v>
      </c>
      <c r="G3844" s="35"/>
      <c r="H3844" s="36">
        <f t="shared" si="179"/>
        <v>74602.785600000003</v>
      </c>
      <c r="I3844" s="37">
        <f t="shared" si="177"/>
        <v>74602.785600000003</v>
      </c>
      <c r="J3844" s="4"/>
      <c r="K3844" s="38">
        <f t="shared" si="178"/>
        <v>0</v>
      </c>
    </row>
    <row r="3845" spans="1:11">
      <c r="A3845" t="s">
        <v>10529</v>
      </c>
      <c r="B3845" t="s">
        <v>10176</v>
      </c>
      <c r="C3845" t="s">
        <v>5959</v>
      </c>
      <c r="D3845" t="s">
        <v>10530</v>
      </c>
      <c r="E3845">
        <v>75046.58</v>
      </c>
      <c r="G3845" s="35"/>
      <c r="H3845" s="36">
        <f t="shared" si="179"/>
        <v>47279.345399999998</v>
      </c>
      <c r="I3845" s="37">
        <f t="shared" si="177"/>
        <v>47279.345399999998</v>
      </c>
      <c r="J3845" s="4"/>
      <c r="K3845" s="38">
        <f t="shared" si="178"/>
        <v>0</v>
      </c>
    </row>
    <row r="3846" spans="1:11">
      <c r="A3846" t="s">
        <v>5185</v>
      </c>
      <c r="B3846" t="s">
        <v>10176</v>
      </c>
      <c r="C3846" t="s">
        <v>5959</v>
      </c>
      <c r="D3846" t="s">
        <v>10887</v>
      </c>
      <c r="E3846">
        <v>123359.3</v>
      </c>
      <c r="G3846" s="35"/>
      <c r="H3846" s="36">
        <f t="shared" si="179"/>
        <v>77716.358999999997</v>
      </c>
      <c r="I3846" s="37">
        <f t="shared" ref="I3846:I3909" si="180">H3846*$H$4</f>
        <v>77716.358999999997</v>
      </c>
      <c r="J3846" s="4"/>
      <c r="K3846" s="38">
        <f t="shared" ref="K3846:K3909" si="181">J3846*I3846</f>
        <v>0</v>
      </c>
    </row>
    <row r="3847" spans="1:11">
      <c r="A3847" t="s">
        <v>5186</v>
      </c>
      <c r="B3847" t="s">
        <v>10176</v>
      </c>
      <c r="C3847" t="s">
        <v>5959</v>
      </c>
      <c r="D3847" t="s">
        <v>10888</v>
      </c>
      <c r="E3847">
        <v>116984.93</v>
      </c>
      <c r="G3847" s="35"/>
      <c r="H3847" s="36">
        <f t="shared" ref="H3847:H3910" si="182">+E3847*$H$1*(1-G3847)</f>
        <v>73700.505899999989</v>
      </c>
      <c r="I3847" s="37">
        <f t="shared" si="180"/>
        <v>73700.505899999989</v>
      </c>
      <c r="J3847" s="4"/>
      <c r="K3847" s="38">
        <f t="shared" si="181"/>
        <v>0</v>
      </c>
    </row>
    <row r="3848" spans="1:11">
      <c r="A3848" t="s">
        <v>5187</v>
      </c>
      <c r="B3848" t="s">
        <v>10176</v>
      </c>
      <c r="C3848" t="s">
        <v>5959</v>
      </c>
      <c r="D3848" t="s">
        <v>10531</v>
      </c>
      <c r="E3848">
        <v>28045.14</v>
      </c>
      <c r="G3848" s="35"/>
      <c r="H3848" s="36">
        <f t="shared" si="182"/>
        <v>17668.438200000001</v>
      </c>
      <c r="I3848" s="37">
        <f t="shared" si="180"/>
        <v>17668.438200000001</v>
      </c>
      <c r="J3848" s="4"/>
      <c r="K3848" s="38">
        <f t="shared" si="181"/>
        <v>0</v>
      </c>
    </row>
    <row r="3849" spans="1:11">
      <c r="A3849" t="s">
        <v>10122</v>
      </c>
      <c r="B3849" t="s">
        <v>10176</v>
      </c>
      <c r="C3849" t="s">
        <v>5959</v>
      </c>
      <c r="D3849" t="s">
        <v>10532</v>
      </c>
      <c r="E3849">
        <v>25060.92</v>
      </c>
      <c r="G3849" s="35"/>
      <c r="H3849" s="36">
        <f t="shared" si="182"/>
        <v>15788.379599999998</v>
      </c>
      <c r="I3849" s="37">
        <f t="shared" si="180"/>
        <v>15788.379599999998</v>
      </c>
      <c r="J3849" s="4"/>
      <c r="K3849" s="38">
        <f t="shared" si="181"/>
        <v>0</v>
      </c>
    </row>
    <row r="3850" spans="1:11">
      <c r="A3850" t="s">
        <v>5188</v>
      </c>
      <c r="B3850" t="s">
        <v>10176</v>
      </c>
      <c r="C3850" t="s">
        <v>5959</v>
      </c>
      <c r="D3850" t="s">
        <v>10889</v>
      </c>
      <c r="E3850">
        <v>84883.43</v>
      </c>
      <c r="G3850" s="35"/>
      <c r="H3850" s="36">
        <f t="shared" si="182"/>
        <v>53476.560899999997</v>
      </c>
      <c r="I3850" s="37">
        <f t="shared" si="180"/>
        <v>53476.560899999997</v>
      </c>
      <c r="J3850" s="4"/>
      <c r="K3850" s="38">
        <f t="shared" si="181"/>
        <v>0</v>
      </c>
    </row>
    <row r="3851" spans="1:11">
      <c r="A3851" t="s">
        <v>5189</v>
      </c>
      <c r="B3851" t="s">
        <v>10176</v>
      </c>
      <c r="C3851" t="s">
        <v>5959</v>
      </c>
      <c r="D3851" t="s">
        <v>10890</v>
      </c>
      <c r="E3851">
        <v>75296.25</v>
      </c>
      <c r="G3851" s="35"/>
      <c r="H3851" s="36">
        <f t="shared" si="182"/>
        <v>47436.637499999997</v>
      </c>
      <c r="I3851" s="37">
        <f t="shared" si="180"/>
        <v>47436.637499999997</v>
      </c>
      <c r="J3851" s="4"/>
      <c r="K3851" s="38">
        <f t="shared" si="181"/>
        <v>0</v>
      </c>
    </row>
    <row r="3852" spans="1:11">
      <c r="A3852" t="s">
        <v>5190</v>
      </c>
      <c r="B3852" t="s">
        <v>10176</v>
      </c>
      <c r="C3852" t="s">
        <v>5959</v>
      </c>
      <c r="D3852" t="s">
        <v>10891</v>
      </c>
      <c r="E3852">
        <v>19504.79</v>
      </c>
      <c r="G3852" s="35"/>
      <c r="H3852" s="36">
        <f t="shared" si="182"/>
        <v>12288.0177</v>
      </c>
      <c r="I3852" s="37">
        <f t="shared" si="180"/>
        <v>12288.0177</v>
      </c>
      <c r="J3852" s="4"/>
      <c r="K3852" s="38">
        <f t="shared" si="181"/>
        <v>0</v>
      </c>
    </row>
    <row r="3853" spans="1:11">
      <c r="A3853" t="s">
        <v>5191</v>
      </c>
      <c r="B3853" t="s">
        <v>10176</v>
      </c>
      <c r="C3853" t="s">
        <v>5959</v>
      </c>
      <c r="D3853" t="s">
        <v>10892</v>
      </c>
      <c r="E3853">
        <v>75296.25</v>
      </c>
      <c r="G3853" s="35"/>
      <c r="H3853" s="36">
        <f t="shared" si="182"/>
        <v>47436.637499999997</v>
      </c>
      <c r="I3853" s="37">
        <f t="shared" si="180"/>
        <v>47436.637499999997</v>
      </c>
      <c r="J3853" s="4"/>
      <c r="K3853" s="38">
        <f t="shared" si="181"/>
        <v>0</v>
      </c>
    </row>
    <row r="3854" spans="1:11">
      <c r="A3854" t="s">
        <v>11260</v>
      </c>
      <c r="B3854" t="s">
        <v>10176</v>
      </c>
      <c r="C3854" t="s">
        <v>5959</v>
      </c>
      <c r="D3854" t="s">
        <v>11261</v>
      </c>
      <c r="E3854">
        <v>42122.06</v>
      </c>
      <c r="G3854" s="35"/>
      <c r="H3854" s="36">
        <f t="shared" si="182"/>
        <v>26536.897799999999</v>
      </c>
      <c r="I3854" s="37">
        <f t="shared" si="180"/>
        <v>26536.897799999999</v>
      </c>
      <c r="J3854" s="4"/>
      <c r="K3854" s="38">
        <f t="shared" si="181"/>
        <v>0</v>
      </c>
    </row>
    <row r="3855" spans="1:11">
      <c r="A3855" t="s">
        <v>11262</v>
      </c>
      <c r="B3855" t="s">
        <v>10176</v>
      </c>
      <c r="C3855" t="s">
        <v>5959</v>
      </c>
      <c r="D3855" t="s">
        <v>11263</v>
      </c>
      <c r="E3855">
        <v>42122.06</v>
      </c>
      <c r="G3855" s="35"/>
      <c r="H3855" s="36">
        <f t="shared" si="182"/>
        <v>26536.897799999999</v>
      </c>
      <c r="I3855" s="37">
        <f t="shared" si="180"/>
        <v>26536.897799999999</v>
      </c>
      <c r="J3855" s="4"/>
      <c r="K3855" s="38">
        <f t="shared" si="181"/>
        <v>0</v>
      </c>
    </row>
    <row r="3856" spans="1:11">
      <c r="A3856" t="s">
        <v>5192</v>
      </c>
      <c r="B3856" t="s">
        <v>10176</v>
      </c>
      <c r="C3856" t="s">
        <v>5959</v>
      </c>
      <c r="D3856" t="s">
        <v>10533</v>
      </c>
      <c r="E3856">
        <v>18502.310000000001</v>
      </c>
      <c r="G3856" s="35"/>
      <c r="H3856" s="36">
        <f t="shared" si="182"/>
        <v>11656.455300000001</v>
      </c>
      <c r="I3856" s="37">
        <f t="shared" si="180"/>
        <v>11656.455300000001</v>
      </c>
      <c r="J3856" s="4"/>
      <c r="K3856" s="38">
        <f t="shared" si="181"/>
        <v>0</v>
      </c>
    </row>
    <row r="3857" spans="1:11">
      <c r="A3857" t="s">
        <v>5193</v>
      </c>
      <c r="B3857" t="s">
        <v>10176</v>
      </c>
      <c r="C3857" t="s">
        <v>5959</v>
      </c>
      <c r="D3857" t="s">
        <v>10893</v>
      </c>
      <c r="E3857">
        <v>37029.96</v>
      </c>
      <c r="G3857" s="35"/>
      <c r="H3857" s="36">
        <f t="shared" si="182"/>
        <v>23328.874800000001</v>
      </c>
      <c r="I3857" s="37">
        <f t="shared" si="180"/>
        <v>23328.874800000001</v>
      </c>
      <c r="J3857" s="4"/>
      <c r="K3857" s="38">
        <f t="shared" si="181"/>
        <v>0</v>
      </c>
    </row>
    <row r="3858" spans="1:11">
      <c r="A3858" t="s">
        <v>5194</v>
      </c>
      <c r="B3858" t="s">
        <v>10176</v>
      </c>
      <c r="C3858" t="s">
        <v>5959</v>
      </c>
      <c r="D3858" t="s">
        <v>10894</v>
      </c>
      <c r="E3858">
        <v>3776.09</v>
      </c>
      <c r="G3858" s="35"/>
      <c r="H3858" s="36">
        <f t="shared" si="182"/>
        <v>2378.9367000000002</v>
      </c>
      <c r="I3858" s="37">
        <f t="shared" si="180"/>
        <v>2378.9367000000002</v>
      </c>
      <c r="J3858" s="4"/>
      <c r="K3858" s="38">
        <f t="shared" si="181"/>
        <v>0</v>
      </c>
    </row>
    <row r="3859" spans="1:11">
      <c r="A3859" t="s">
        <v>5195</v>
      </c>
      <c r="B3859" t="s">
        <v>10176</v>
      </c>
      <c r="C3859" t="s">
        <v>5959</v>
      </c>
      <c r="D3859" t="s">
        <v>10895</v>
      </c>
      <c r="E3859">
        <v>9064.02</v>
      </c>
      <c r="G3859" s="35"/>
      <c r="H3859" s="36">
        <f t="shared" si="182"/>
        <v>5710.3326000000006</v>
      </c>
      <c r="I3859" s="37">
        <f t="shared" si="180"/>
        <v>5710.3326000000006</v>
      </c>
      <c r="J3859" s="4"/>
      <c r="K3859" s="38">
        <f t="shared" si="181"/>
        <v>0</v>
      </c>
    </row>
    <row r="3860" spans="1:11">
      <c r="A3860" t="s">
        <v>5196</v>
      </c>
      <c r="B3860" t="s">
        <v>10176</v>
      </c>
      <c r="C3860" t="s">
        <v>5959</v>
      </c>
      <c r="D3860" t="s">
        <v>10896</v>
      </c>
      <c r="E3860">
        <v>10637.68</v>
      </c>
      <c r="G3860" s="35"/>
      <c r="H3860" s="36">
        <f t="shared" si="182"/>
        <v>6701.7384000000002</v>
      </c>
      <c r="I3860" s="37">
        <f t="shared" si="180"/>
        <v>6701.7384000000002</v>
      </c>
      <c r="J3860" s="4"/>
      <c r="K3860" s="38">
        <f t="shared" si="181"/>
        <v>0</v>
      </c>
    </row>
    <row r="3861" spans="1:11">
      <c r="A3861" t="s">
        <v>5198</v>
      </c>
      <c r="B3861" t="s">
        <v>10176</v>
      </c>
      <c r="C3861" t="s">
        <v>5959</v>
      </c>
      <c r="D3861" t="s">
        <v>10534</v>
      </c>
      <c r="E3861">
        <v>4857.72</v>
      </c>
      <c r="G3861" s="35"/>
      <c r="H3861" s="36">
        <f t="shared" si="182"/>
        <v>3060.3636000000001</v>
      </c>
      <c r="I3861" s="37">
        <f t="shared" si="180"/>
        <v>3060.3636000000001</v>
      </c>
      <c r="J3861" s="4"/>
      <c r="K3861" s="38">
        <f t="shared" si="181"/>
        <v>0</v>
      </c>
    </row>
    <row r="3862" spans="1:11">
      <c r="A3862" t="s">
        <v>5197</v>
      </c>
      <c r="B3862" t="s">
        <v>10176</v>
      </c>
      <c r="C3862" t="s">
        <v>5959</v>
      </c>
      <c r="D3862" t="s">
        <v>10534</v>
      </c>
      <c r="E3862">
        <v>2017.63</v>
      </c>
      <c r="G3862" s="35"/>
      <c r="H3862" s="36">
        <f t="shared" si="182"/>
        <v>1271.1069</v>
      </c>
      <c r="I3862" s="37">
        <f t="shared" si="180"/>
        <v>1271.1069</v>
      </c>
      <c r="J3862" s="4"/>
      <c r="K3862" s="38">
        <f t="shared" si="181"/>
        <v>0</v>
      </c>
    </row>
    <row r="3863" spans="1:11">
      <c r="A3863" t="s">
        <v>4591</v>
      </c>
      <c r="B3863" t="s">
        <v>10176</v>
      </c>
      <c r="C3863" t="s">
        <v>5782</v>
      </c>
      <c r="D3863" t="s">
        <v>10383</v>
      </c>
      <c r="E3863">
        <v>82240.179999999993</v>
      </c>
      <c r="G3863" s="35"/>
      <c r="H3863" s="36">
        <f t="shared" si="182"/>
        <v>51811.313399999999</v>
      </c>
      <c r="I3863" s="37">
        <f t="shared" si="180"/>
        <v>51811.313399999999</v>
      </c>
      <c r="J3863" s="4"/>
      <c r="K3863" s="38">
        <f t="shared" si="181"/>
        <v>0</v>
      </c>
    </row>
    <row r="3864" spans="1:11">
      <c r="A3864" t="s">
        <v>4592</v>
      </c>
      <c r="B3864" t="s">
        <v>10176</v>
      </c>
      <c r="C3864" t="s">
        <v>5782</v>
      </c>
      <c r="D3864" t="s">
        <v>10383</v>
      </c>
      <c r="E3864">
        <v>100715.9</v>
      </c>
      <c r="G3864" s="35"/>
      <c r="H3864" s="36">
        <f t="shared" si="182"/>
        <v>63451.017</v>
      </c>
      <c r="I3864" s="37">
        <f t="shared" si="180"/>
        <v>63451.017</v>
      </c>
      <c r="J3864" s="4"/>
      <c r="K3864" s="38">
        <f t="shared" si="181"/>
        <v>0</v>
      </c>
    </row>
    <row r="3865" spans="1:11">
      <c r="A3865" t="s">
        <v>4593</v>
      </c>
      <c r="B3865" t="s">
        <v>10176</v>
      </c>
      <c r="C3865" t="s">
        <v>5783</v>
      </c>
      <c r="D3865" t="s">
        <v>10384</v>
      </c>
      <c r="E3865">
        <v>325955.56</v>
      </c>
      <c r="G3865" s="35"/>
      <c r="H3865" s="36">
        <f t="shared" si="182"/>
        <v>205352.00279999999</v>
      </c>
      <c r="I3865" s="37">
        <f t="shared" si="180"/>
        <v>205352.00279999999</v>
      </c>
      <c r="J3865" s="4"/>
      <c r="K3865" s="38">
        <f t="shared" si="181"/>
        <v>0</v>
      </c>
    </row>
    <row r="3866" spans="1:11">
      <c r="A3866" t="s">
        <v>4594</v>
      </c>
      <c r="B3866" t="s">
        <v>10176</v>
      </c>
      <c r="C3866" t="s">
        <v>5783</v>
      </c>
      <c r="D3866" t="s">
        <v>10385</v>
      </c>
      <c r="E3866">
        <v>115173.9</v>
      </c>
      <c r="G3866" s="35"/>
      <c r="H3866" s="36">
        <f t="shared" si="182"/>
        <v>72559.557000000001</v>
      </c>
      <c r="I3866" s="37">
        <f t="shared" si="180"/>
        <v>72559.557000000001</v>
      </c>
      <c r="J3866" s="4"/>
      <c r="K3866" s="38">
        <f t="shared" si="181"/>
        <v>0</v>
      </c>
    </row>
    <row r="3867" spans="1:11">
      <c r="A3867" t="s">
        <v>4595</v>
      </c>
      <c r="B3867" t="s">
        <v>10176</v>
      </c>
      <c r="C3867" t="s">
        <v>5783</v>
      </c>
      <c r="D3867" t="s">
        <v>10386</v>
      </c>
      <c r="E3867">
        <v>335289.38</v>
      </c>
      <c r="G3867" s="35"/>
      <c r="H3867" s="36">
        <f t="shared" si="182"/>
        <v>211232.3094</v>
      </c>
      <c r="I3867" s="37">
        <f t="shared" si="180"/>
        <v>211232.3094</v>
      </c>
      <c r="J3867" s="4"/>
      <c r="K3867" s="38">
        <f t="shared" si="181"/>
        <v>0</v>
      </c>
    </row>
    <row r="3868" spans="1:11">
      <c r="A3868" t="s">
        <v>211</v>
      </c>
      <c r="B3868" t="s">
        <v>10176</v>
      </c>
      <c r="C3868" t="s">
        <v>5783</v>
      </c>
      <c r="D3868" t="s">
        <v>11838</v>
      </c>
      <c r="E3868">
        <v>158745.97</v>
      </c>
      <c r="G3868" s="35"/>
      <c r="H3868" s="36">
        <f t="shared" si="182"/>
        <v>100009.9611</v>
      </c>
      <c r="I3868" s="37">
        <f t="shared" si="180"/>
        <v>100009.9611</v>
      </c>
      <c r="J3868" s="4"/>
      <c r="K3868" s="38">
        <f t="shared" si="181"/>
        <v>0</v>
      </c>
    </row>
    <row r="3869" spans="1:11">
      <c r="A3869" t="s">
        <v>11839</v>
      </c>
      <c r="B3869" t="s">
        <v>10176</v>
      </c>
      <c r="C3869" t="s">
        <v>5783</v>
      </c>
      <c r="D3869" t="s">
        <v>11840</v>
      </c>
      <c r="E3869">
        <v>174619.53</v>
      </c>
      <c r="G3869" s="35"/>
      <c r="H3869" s="36">
        <f t="shared" si="182"/>
        <v>110010.3039</v>
      </c>
      <c r="I3869" s="37">
        <f t="shared" si="180"/>
        <v>110010.3039</v>
      </c>
      <c r="J3869" s="4"/>
      <c r="K3869" s="38">
        <f t="shared" si="181"/>
        <v>0</v>
      </c>
    </row>
    <row r="3870" spans="1:11">
      <c r="A3870" t="s">
        <v>212</v>
      </c>
      <c r="B3870" t="s">
        <v>10176</v>
      </c>
      <c r="C3870" t="s">
        <v>5783</v>
      </c>
      <c r="D3870" t="s">
        <v>10388</v>
      </c>
      <c r="E3870">
        <v>122566.6</v>
      </c>
      <c r="G3870" s="35"/>
      <c r="H3870" s="36">
        <f t="shared" si="182"/>
        <v>77216.957999999999</v>
      </c>
      <c r="I3870" s="37">
        <f t="shared" si="180"/>
        <v>77216.957999999999</v>
      </c>
      <c r="J3870" s="4"/>
      <c r="K3870" s="38">
        <f t="shared" si="181"/>
        <v>0</v>
      </c>
    </row>
    <row r="3871" spans="1:11">
      <c r="A3871" t="s">
        <v>110</v>
      </c>
      <c r="B3871" t="s">
        <v>10176</v>
      </c>
      <c r="C3871" t="s">
        <v>5672</v>
      </c>
      <c r="D3871" t="s">
        <v>10196</v>
      </c>
      <c r="E3871">
        <v>552646.28</v>
      </c>
      <c r="G3871" s="35"/>
      <c r="H3871" s="36">
        <f t="shared" si="182"/>
        <v>348167.15640000004</v>
      </c>
      <c r="I3871" s="37">
        <f t="shared" si="180"/>
        <v>348167.15640000004</v>
      </c>
      <c r="J3871" s="4"/>
      <c r="K3871" s="38">
        <f t="shared" si="181"/>
        <v>0</v>
      </c>
    </row>
    <row r="3872" spans="1:11">
      <c r="A3872" t="s">
        <v>112</v>
      </c>
      <c r="B3872" t="s">
        <v>10176</v>
      </c>
      <c r="C3872" t="s">
        <v>5672</v>
      </c>
      <c r="D3872" t="s">
        <v>10196</v>
      </c>
      <c r="E3872">
        <v>951848.93</v>
      </c>
      <c r="G3872" s="35"/>
      <c r="H3872" s="36">
        <f t="shared" si="182"/>
        <v>599664.82590000005</v>
      </c>
      <c r="I3872" s="37">
        <f t="shared" si="180"/>
        <v>599664.82590000005</v>
      </c>
      <c r="J3872" s="4"/>
      <c r="K3872" s="38">
        <f t="shared" si="181"/>
        <v>0</v>
      </c>
    </row>
    <row r="3873" spans="1:11">
      <c r="A3873" t="s">
        <v>111</v>
      </c>
      <c r="B3873" t="s">
        <v>10176</v>
      </c>
      <c r="C3873" t="s">
        <v>5672</v>
      </c>
      <c r="D3873" t="s">
        <v>10204</v>
      </c>
      <c r="E3873">
        <v>607911.04</v>
      </c>
      <c r="G3873" s="35"/>
      <c r="H3873" s="36">
        <f t="shared" si="182"/>
        <v>382983.95520000003</v>
      </c>
      <c r="I3873" s="37">
        <f t="shared" si="180"/>
        <v>382983.95520000003</v>
      </c>
      <c r="J3873" s="4"/>
      <c r="K3873" s="38">
        <f t="shared" si="181"/>
        <v>0</v>
      </c>
    </row>
    <row r="3874" spans="1:11">
      <c r="A3874" t="s">
        <v>113</v>
      </c>
      <c r="B3874" t="s">
        <v>10176</v>
      </c>
      <c r="C3874" t="s">
        <v>5672</v>
      </c>
      <c r="D3874" t="s">
        <v>10196</v>
      </c>
      <c r="E3874">
        <v>805894.14</v>
      </c>
      <c r="G3874" s="35"/>
      <c r="H3874" s="36">
        <f t="shared" si="182"/>
        <v>507713.30820000003</v>
      </c>
      <c r="I3874" s="37">
        <f t="shared" si="180"/>
        <v>507713.30820000003</v>
      </c>
      <c r="J3874" s="4"/>
      <c r="K3874" s="38">
        <f t="shared" si="181"/>
        <v>0</v>
      </c>
    </row>
    <row r="3875" spans="1:11">
      <c r="A3875" t="s">
        <v>114</v>
      </c>
      <c r="B3875" t="s">
        <v>10176</v>
      </c>
      <c r="C3875" t="s">
        <v>5672</v>
      </c>
      <c r="D3875" t="s">
        <v>10196</v>
      </c>
      <c r="E3875">
        <v>834700.32</v>
      </c>
      <c r="G3875" s="35"/>
      <c r="H3875" s="36">
        <f t="shared" si="182"/>
        <v>525861.20160000003</v>
      </c>
      <c r="I3875" s="37">
        <f t="shared" si="180"/>
        <v>525861.20160000003</v>
      </c>
      <c r="J3875" s="4"/>
      <c r="K3875" s="38">
        <f t="shared" si="181"/>
        <v>0</v>
      </c>
    </row>
    <row r="3876" spans="1:11">
      <c r="A3876" t="s">
        <v>115</v>
      </c>
      <c r="B3876" t="s">
        <v>10176</v>
      </c>
      <c r="C3876" t="s">
        <v>5672</v>
      </c>
      <c r="D3876" t="s">
        <v>10205</v>
      </c>
      <c r="E3876">
        <v>1109743.51</v>
      </c>
      <c r="G3876" s="35"/>
      <c r="H3876" s="36">
        <f t="shared" si="182"/>
        <v>699138.41130000004</v>
      </c>
      <c r="I3876" s="37">
        <f t="shared" si="180"/>
        <v>699138.41130000004</v>
      </c>
      <c r="J3876" s="4"/>
      <c r="K3876" s="38">
        <f t="shared" si="181"/>
        <v>0</v>
      </c>
    </row>
    <row r="3877" spans="1:11">
      <c r="A3877" t="s">
        <v>116</v>
      </c>
      <c r="B3877" t="s">
        <v>10176</v>
      </c>
      <c r="C3877" t="s">
        <v>5672</v>
      </c>
      <c r="D3877" t="s">
        <v>10206</v>
      </c>
      <c r="E3877">
        <v>1420949.63</v>
      </c>
      <c r="G3877" s="35"/>
      <c r="H3877" s="36">
        <f t="shared" si="182"/>
        <v>895198.26689999993</v>
      </c>
      <c r="I3877" s="37">
        <f t="shared" si="180"/>
        <v>895198.26689999993</v>
      </c>
      <c r="J3877" s="4"/>
      <c r="K3877" s="38">
        <f t="shared" si="181"/>
        <v>0</v>
      </c>
    </row>
    <row r="3878" spans="1:11">
      <c r="A3878" t="s">
        <v>117</v>
      </c>
      <c r="B3878" t="s">
        <v>10176</v>
      </c>
      <c r="C3878" t="s">
        <v>5672</v>
      </c>
      <c r="D3878" t="s">
        <v>10207</v>
      </c>
      <c r="E3878">
        <v>298809.24</v>
      </c>
      <c r="G3878" s="35"/>
      <c r="H3878" s="36">
        <f t="shared" si="182"/>
        <v>188249.82120000001</v>
      </c>
      <c r="I3878" s="37">
        <f t="shared" si="180"/>
        <v>188249.82120000001</v>
      </c>
      <c r="J3878" s="4"/>
      <c r="K3878" s="38">
        <f t="shared" si="181"/>
        <v>0</v>
      </c>
    </row>
    <row r="3879" spans="1:11">
      <c r="A3879" t="s">
        <v>118</v>
      </c>
      <c r="B3879" t="s">
        <v>10176</v>
      </c>
      <c r="C3879" t="s">
        <v>5672</v>
      </c>
      <c r="D3879" t="s">
        <v>10208</v>
      </c>
      <c r="E3879">
        <v>175661.18</v>
      </c>
      <c r="G3879" s="35"/>
      <c r="H3879" s="36">
        <f t="shared" si="182"/>
        <v>110666.5434</v>
      </c>
      <c r="I3879" s="37">
        <f t="shared" si="180"/>
        <v>110666.5434</v>
      </c>
      <c r="J3879" s="4"/>
      <c r="K3879" s="38">
        <f t="shared" si="181"/>
        <v>0</v>
      </c>
    </row>
    <row r="3880" spans="1:11">
      <c r="A3880" t="s">
        <v>119</v>
      </c>
      <c r="B3880" t="s">
        <v>10176</v>
      </c>
      <c r="C3880" t="s">
        <v>5672</v>
      </c>
      <c r="D3880" t="s">
        <v>10209</v>
      </c>
      <c r="E3880">
        <v>1156396.51</v>
      </c>
      <c r="G3880" s="35"/>
      <c r="H3880" s="36">
        <f t="shared" si="182"/>
        <v>728529.80130000005</v>
      </c>
      <c r="I3880" s="37">
        <f t="shared" si="180"/>
        <v>728529.80130000005</v>
      </c>
      <c r="J3880" s="4"/>
      <c r="K3880" s="38">
        <f t="shared" si="181"/>
        <v>0</v>
      </c>
    </row>
    <row r="3881" spans="1:11">
      <c r="A3881" t="s">
        <v>4892</v>
      </c>
      <c r="B3881" t="s">
        <v>10176</v>
      </c>
      <c r="C3881" t="s">
        <v>5672</v>
      </c>
      <c r="D3881" t="s">
        <v>10209</v>
      </c>
      <c r="E3881">
        <v>744990.52</v>
      </c>
      <c r="G3881" s="35"/>
      <c r="H3881" s="36">
        <f t="shared" si="182"/>
        <v>469344.02760000003</v>
      </c>
      <c r="I3881" s="37">
        <f t="shared" si="180"/>
        <v>469344.02760000003</v>
      </c>
      <c r="J3881" s="4"/>
      <c r="K3881" s="38">
        <f t="shared" si="181"/>
        <v>0</v>
      </c>
    </row>
    <row r="3882" spans="1:11">
      <c r="A3882" t="s">
        <v>120</v>
      </c>
      <c r="B3882" t="s">
        <v>10176</v>
      </c>
      <c r="C3882" t="s">
        <v>5672</v>
      </c>
      <c r="D3882" t="s">
        <v>10210</v>
      </c>
      <c r="E3882">
        <v>527958.53</v>
      </c>
      <c r="G3882" s="35"/>
      <c r="H3882" s="36">
        <f t="shared" si="182"/>
        <v>332613.87390000001</v>
      </c>
      <c r="I3882" s="37">
        <f t="shared" si="180"/>
        <v>332613.87390000001</v>
      </c>
      <c r="J3882" s="4"/>
      <c r="K3882" s="38">
        <f t="shared" si="181"/>
        <v>0</v>
      </c>
    </row>
    <row r="3883" spans="1:11">
      <c r="A3883" t="s">
        <v>5199</v>
      </c>
      <c r="B3883" t="s">
        <v>10176</v>
      </c>
      <c r="C3883" t="s">
        <v>5960</v>
      </c>
      <c r="D3883" t="s">
        <v>10535</v>
      </c>
      <c r="E3883">
        <v>618.17999999999995</v>
      </c>
      <c r="G3883" s="35"/>
      <c r="H3883" s="36">
        <f t="shared" si="182"/>
        <v>389.45339999999999</v>
      </c>
      <c r="I3883" s="37">
        <f t="shared" si="180"/>
        <v>389.45339999999999</v>
      </c>
      <c r="J3883" s="4"/>
      <c r="K3883" s="38">
        <f t="shared" si="181"/>
        <v>0</v>
      </c>
    </row>
    <row r="3884" spans="1:11">
      <c r="A3884" t="s">
        <v>5200</v>
      </c>
      <c r="B3884" t="s">
        <v>10176</v>
      </c>
      <c r="C3884" t="s">
        <v>5960</v>
      </c>
      <c r="D3884" t="s">
        <v>10897</v>
      </c>
      <c r="E3884">
        <v>1002.99</v>
      </c>
      <c r="G3884" s="35"/>
      <c r="H3884" s="36">
        <f t="shared" si="182"/>
        <v>631.88369999999998</v>
      </c>
      <c r="I3884" s="37">
        <f t="shared" si="180"/>
        <v>631.88369999999998</v>
      </c>
      <c r="J3884" s="4"/>
      <c r="K3884" s="38">
        <f t="shared" si="181"/>
        <v>0</v>
      </c>
    </row>
    <row r="3885" spans="1:11">
      <c r="A3885" t="s">
        <v>5201</v>
      </c>
      <c r="B3885" t="s">
        <v>10176</v>
      </c>
      <c r="C3885" t="s">
        <v>5960</v>
      </c>
      <c r="D3885" t="s">
        <v>10898</v>
      </c>
      <c r="E3885">
        <v>618.17999999999995</v>
      </c>
      <c r="G3885" s="35"/>
      <c r="H3885" s="36">
        <f t="shared" si="182"/>
        <v>389.45339999999999</v>
      </c>
      <c r="I3885" s="37">
        <f t="shared" si="180"/>
        <v>389.45339999999999</v>
      </c>
      <c r="J3885" s="4"/>
      <c r="K3885" s="38">
        <f t="shared" si="181"/>
        <v>0</v>
      </c>
    </row>
    <row r="3886" spans="1:11">
      <c r="A3886" t="s">
        <v>5202</v>
      </c>
      <c r="B3886" t="s">
        <v>10176</v>
      </c>
      <c r="C3886" t="s">
        <v>5960</v>
      </c>
      <c r="D3886" t="s">
        <v>10899</v>
      </c>
      <c r="E3886">
        <v>409.09</v>
      </c>
      <c r="G3886" s="35"/>
      <c r="H3886" s="36">
        <f t="shared" si="182"/>
        <v>257.72669999999999</v>
      </c>
      <c r="I3886" s="37">
        <f t="shared" si="180"/>
        <v>257.72669999999999</v>
      </c>
      <c r="J3886" s="4"/>
      <c r="K3886" s="38">
        <f t="shared" si="181"/>
        <v>0</v>
      </c>
    </row>
    <row r="3887" spans="1:11">
      <c r="A3887" t="s">
        <v>5203</v>
      </c>
      <c r="B3887" t="s">
        <v>10176</v>
      </c>
      <c r="C3887" t="s">
        <v>5960</v>
      </c>
      <c r="D3887" t="s">
        <v>10900</v>
      </c>
      <c r="E3887">
        <v>4727.87</v>
      </c>
      <c r="G3887" s="35"/>
      <c r="H3887" s="36">
        <f t="shared" si="182"/>
        <v>2978.5580999999997</v>
      </c>
      <c r="I3887" s="37">
        <f t="shared" si="180"/>
        <v>2978.5580999999997</v>
      </c>
      <c r="J3887" s="4"/>
      <c r="K3887" s="38">
        <f t="shared" si="181"/>
        <v>0</v>
      </c>
    </row>
    <row r="3888" spans="1:11">
      <c r="A3888" t="s">
        <v>5204</v>
      </c>
      <c r="B3888" t="s">
        <v>10176</v>
      </c>
      <c r="C3888" t="s">
        <v>5960</v>
      </c>
      <c r="D3888" t="s">
        <v>10900</v>
      </c>
      <c r="E3888">
        <v>618.17999999999995</v>
      </c>
      <c r="G3888" s="35"/>
      <c r="H3888" s="36">
        <f t="shared" si="182"/>
        <v>389.45339999999999</v>
      </c>
      <c r="I3888" s="37">
        <f t="shared" si="180"/>
        <v>389.45339999999999</v>
      </c>
      <c r="J3888" s="4"/>
      <c r="K3888" s="38">
        <f t="shared" si="181"/>
        <v>0</v>
      </c>
    </row>
    <row r="3889" spans="1:11">
      <c r="A3889" t="s">
        <v>5205</v>
      </c>
      <c r="B3889" t="s">
        <v>10176</v>
      </c>
      <c r="C3889" t="s">
        <v>5960</v>
      </c>
      <c r="D3889" t="s">
        <v>10901</v>
      </c>
      <c r="E3889">
        <v>712.68</v>
      </c>
      <c r="G3889" s="35"/>
      <c r="H3889" s="36">
        <f t="shared" si="182"/>
        <v>448.98839999999996</v>
      </c>
      <c r="I3889" s="37">
        <f t="shared" si="180"/>
        <v>448.98839999999996</v>
      </c>
      <c r="J3889" s="4"/>
      <c r="K3889" s="38">
        <f t="shared" si="181"/>
        <v>0</v>
      </c>
    </row>
    <row r="3890" spans="1:11">
      <c r="A3890" t="s">
        <v>5206</v>
      </c>
      <c r="B3890" t="s">
        <v>10176</v>
      </c>
      <c r="C3890" t="s">
        <v>5960</v>
      </c>
      <c r="D3890" t="s">
        <v>10902</v>
      </c>
      <c r="E3890">
        <v>618.17999999999995</v>
      </c>
      <c r="G3890" s="35"/>
      <c r="H3890" s="36">
        <f t="shared" si="182"/>
        <v>389.45339999999999</v>
      </c>
      <c r="I3890" s="37">
        <f t="shared" si="180"/>
        <v>389.45339999999999</v>
      </c>
      <c r="J3890" s="4"/>
      <c r="K3890" s="38">
        <f t="shared" si="181"/>
        <v>0</v>
      </c>
    </row>
    <row r="3891" spans="1:11">
      <c r="A3891" t="s">
        <v>5207</v>
      </c>
      <c r="B3891" t="s">
        <v>10176</v>
      </c>
      <c r="C3891" t="s">
        <v>5960</v>
      </c>
      <c r="D3891" t="s">
        <v>10903</v>
      </c>
      <c r="E3891">
        <v>618.17999999999995</v>
      </c>
      <c r="G3891" s="35"/>
      <c r="H3891" s="36">
        <f t="shared" si="182"/>
        <v>389.45339999999999</v>
      </c>
      <c r="I3891" s="37">
        <f t="shared" si="180"/>
        <v>389.45339999999999</v>
      </c>
      <c r="J3891" s="4"/>
      <c r="K3891" s="38">
        <f t="shared" si="181"/>
        <v>0</v>
      </c>
    </row>
    <row r="3892" spans="1:11">
      <c r="A3892" t="s">
        <v>5208</v>
      </c>
      <c r="B3892" t="s">
        <v>10176</v>
      </c>
      <c r="C3892" t="s">
        <v>5960</v>
      </c>
      <c r="D3892" t="s">
        <v>10904</v>
      </c>
      <c r="E3892">
        <v>1767.92</v>
      </c>
      <c r="G3892" s="35"/>
      <c r="H3892" s="36">
        <f t="shared" si="182"/>
        <v>1113.7896000000001</v>
      </c>
      <c r="I3892" s="37">
        <f t="shared" si="180"/>
        <v>1113.7896000000001</v>
      </c>
      <c r="J3892" s="4"/>
      <c r="K3892" s="38">
        <f t="shared" si="181"/>
        <v>0</v>
      </c>
    </row>
    <row r="3893" spans="1:11">
      <c r="A3893" t="s">
        <v>5209</v>
      </c>
      <c r="B3893" t="s">
        <v>10176</v>
      </c>
      <c r="C3893" t="s">
        <v>5960</v>
      </c>
      <c r="D3893" t="s">
        <v>10905</v>
      </c>
      <c r="E3893">
        <v>12248.29</v>
      </c>
      <c r="G3893" s="35"/>
      <c r="H3893" s="36">
        <f t="shared" si="182"/>
        <v>7716.422700000001</v>
      </c>
      <c r="I3893" s="37">
        <f t="shared" si="180"/>
        <v>7716.422700000001</v>
      </c>
      <c r="J3893" s="4"/>
      <c r="K3893" s="38">
        <f t="shared" si="181"/>
        <v>0</v>
      </c>
    </row>
    <row r="3894" spans="1:11">
      <c r="A3894" t="s">
        <v>5210</v>
      </c>
      <c r="B3894" t="s">
        <v>10176</v>
      </c>
      <c r="C3894" t="s">
        <v>5960</v>
      </c>
      <c r="D3894" t="s">
        <v>10906</v>
      </c>
      <c r="E3894">
        <v>7832.43</v>
      </c>
      <c r="G3894" s="35"/>
      <c r="H3894" s="36">
        <f t="shared" si="182"/>
        <v>4934.4309000000003</v>
      </c>
      <c r="I3894" s="37">
        <f t="shared" si="180"/>
        <v>4934.4309000000003</v>
      </c>
      <c r="J3894" s="4"/>
      <c r="K3894" s="38">
        <f t="shared" si="181"/>
        <v>0</v>
      </c>
    </row>
    <row r="3895" spans="1:11">
      <c r="A3895" t="s">
        <v>5211</v>
      </c>
      <c r="B3895" t="s">
        <v>10176</v>
      </c>
      <c r="C3895" t="s">
        <v>5960</v>
      </c>
      <c r="D3895" t="s">
        <v>10907</v>
      </c>
      <c r="E3895">
        <v>618.17999999999995</v>
      </c>
      <c r="G3895" s="35"/>
      <c r="H3895" s="36">
        <f t="shared" si="182"/>
        <v>389.45339999999999</v>
      </c>
      <c r="I3895" s="37">
        <f t="shared" si="180"/>
        <v>389.45339999999999</v>
      </c>
      <c r="J3895" s="4"/>
      <c r="K3895" s="38">
        <f t="shared" si="181"/>
        <v>0</v>
      </c>
    </row>
    <row r="3896" spans="1:11">
      <c r="A3896" t="s">
        <v>5212</v>
      </c>
      <c r="B3896" t="s">
        <v>10176</v>
      </c>
      <c r="C3896" t="s">
        <v>5960</v>
      </c>
      <c r="D3896" t="s">
        <v>10908</v>
      </c>
      <c r="E3896">
        <v>847.28</v>
      </c>
      <c r="G3896" s="35"/>
      <c r="H3896" s="36">
        <f t="shared" si="182"/>
        <v>533.78639999999996</v>
      </c>
      <c r="I3896" s="37">
        <f t="shared" si="180"/>
        <v>533.78639999999996</v>
      </c>
      <c r="J3896" s="4"/>
      <c r="K3896" s="38">
        <f t="shared" si="181"/>
        <v>0</v>
      </c>
    </row>
    <row r="3897" spans="1:11">
      <c r="A3897" t="s">
        <v>5213</v>
      </c>
      <c r="B3897" t="s">
        <v>10176</v>
      </c>
      <c r="C3897" t="s">
        <v>5960</v>
      </c>
      <c r="D3897" t="s">
        <v>10909</v>
      </c>
      <c r="E3897">
        <v>1049.98</v>
      </c>
      <c r="G3897" s="35"/>
      <c r="H3897" s="36">
        <f t="shared" si="182"/>
        <v>661.48739999999998</v>
      </c>
      <c r="I3897" s="37">
        <f t="shared" si="180"/>
        <v>661.48739999999998</v>
      </c>
      <c r="J3897" s="4"/>
      <c r="K3897" s="38">
        <f t="shared" si="181"/>
        <v>0</v>
      </c>
    </row>
    <row r="3898" spans="1:11">
      <c r="A3898" t="s">
        <v>5214</v>
      </c>
      <c r="B3898" t="s">
        <v>10176</v>
      </c>
      <c r="C3898" t="s">
        <v>5960</v>
      </c>
      <c r="D3898" t="s">
        <v>10910</v>
      </c>
      <c r="E3898">
        <v>312</v>
      </c>
      <c r="G3898" s="35"/>
      <c r="H3898" s="36">
        <f t="shared" si="182"/>
        <v>196.56</v>
      </c>
      <c r="I3898" s="37">
        <f t="shared" si="180"/>
        <v>196.56</v>
      </c>
      <c r="J3898" s="4"/>
      <c r="K3898" s="38">
        <f t="shared" si="181"/>
        <v>0</v>
      </c>
    </row>
    <row r="3899" spans="1:11">
      <c r="A3899" t="s">
        <v>5215</v>
      </c>
      <c r="B3899" t="s">
        <v>10176</v>
      </c>
      <c r="C3899" t="s">
        <v>5960</v>
      </c>
      <c r="D3899" t="s">
        <v>10911</v>
      </c>
      <c r="E3899">
        <v>2375.5300000000002</v>
      </c>
      <c r="G3899" s="35"/>
      <c r="H3899" s="36">
        <f t="shared" si="182"/>
        <v>1496.5839000000001</v>
      </c>
      <c r="I3899" s="37">
        <f t="shared" si="180"/>
        <v>1496.5839000000001</v>
      </c>
      <c r="J3899" s="4"/>
      <c r="K3899" s="38">
        <f t="shared" si="181"/>
        <v>0</v>
      </c>
    </row>
    <row r="3900" spans="1:11">
      <c r="A3900" t="s">
        <v>5216</v>
      </c>
      <c r="B3900" t="s">
        <v>10176</v>
      </c>
      <c r="C3900" t="s">
        <v>5960</v>
      </c>
      <c r="D3900" t="s">
        <v>10536</v>
      </c>
      <c r="E3900">
        <v>1841.3</v>
      </c>
      <c r="G3900" s="35"/>
      <c r="H3900" s="36">
        <f t="shared" si="182"/>
        <v>1160.019</v>
      </c>
      <c r="I3900" s="37">
        <f t="shared" si="180"/>
        <v>1160.019</v>
      </c>
      <c r="J3900" s="4"/>
      <c r="K3900" s="38">
        <f t="shared" si="181"/>
        <v>0</v>
      </c>
    </row>
    <row r="3901" spans="1:11">
      <c r="A3901" t="s">
        <v>5217</v>
      </c>
      <c r="B3901" t="s">
        <v>10176</v>
      </c>
      <c r="C3901" t="s">
        <v>5960</v>
      </c>
      <c r="D3901" t="s">
        <v>10537</v>
      </c>
      <c r="E3901">
        <v>1888.85</v>
      </c>
      <c r="G3901" s="35"/>
      <c r="H3901" s="36">
        <f t="shared" si="182"/>
        <v>1189.9755</v>
      </c>
      <c r="I3901" s="37">
        <f t="shared" si="180"/>
        <v>1189.9755</v>
      </c>
      <c r="J3901" s="4"/>
      <c r="K3901" s="38">
        <f t="shared" si="181"/>
        <v>0</v>
      </c>
    </row>
    <row r="3902" spans="1:11">
      <c r="A3902" t="s">
        <v>5218</v>
      </c>
      <c r="B3902" t="s">
        <v>10176</v>
      </c>
      <c r="C3902" t="s">
        <v>5960</v>
      </c>
      <c r="D3902" t="s">
        <v>10912</v>
      </c>
      <c r="E3902">
        <v>1227.3399999999999</v>
      </c>
      <c r="G3902" s="35"/>
      <c r="H3902" s="36">
        <f t="shared" si="182"/>
        <v>773.2242</v>
      </c>
      <c r="I3902" s="37">
        <f t="shared" si="180"/>
        <v>773.2242</v>
      </c>
      <c r="J3902" s="4"/>
      <c r="K3902" s="38">
        <f t="shared" si="181"/>
        <v>0</v>
      </c>
    </row>
    <row r="3903" spans="1:11">
      <c r="A3903" t="s">
        <v>5219</v>
      </c>
      <c r="B3903" t="s">
        <v>10176</v>
      </c>
      <c r="C3903" t="s">
        <v>5960</v>
      </c>
      <c r="D3903" t="s">
        <v>10913</v>
      </c>
      <c r="E3903">
        <v>968.16</v>
      </c>
      <c r="G3903" s="35"/>
      <c r="H3903" s="36">
        <f t="shared" si="182"/>
        <v>609.94079999999997</v>
      </c>
      <c r="I3903" s="37">
        <f t="shared" si="180"/>
        <v>609.94079999999997</v>
      </c>
      <c r="J3903" s="4"/>
      <c r="K3903" s="38">
        <f t="shared" si="181"/>
        <v>0</v>
      </c>
    </row>
    <row r="3904" spans="1:11">
      <c r="A3904" t="s">
        <v>5220</v>
      </c>
      <c r="B3904" t="s">
        <v>10176</v>
      </c>
      <c r="C3904" t="s">
        <v>5960</v>
      </c>
      <c r="D3904" t="s">
        <v>10914</v>
      </c>
      <c r="E3904">
        <v>2726.59</v>
      </c>
      <c r="G3904" s="35"/>
      <c r="H3904" s="36">
        <f t="shared" si="182"/>
        <v>1717.7517</v>
      </c>
      <c r="I3904" s="37">
        <f t="shared" si="180"/>
        <v>1717.7517</v>
      </c>
      <c r="J3904" s="4"/>
      <c r="K3904" s="38">
        <f t="shared" si="181"/>
        <v>0</v>
      </c>
    </row>
    <row r="3905" spans="1:11">
      <c r="A3905" t="s">
        <v>5221</v>
      </c>
      <c r="B3905" t="s">
        <v>10176</v>
      </c>
      <c r="C3905" t="s">
        <v>5960</v>
      </c>
      <c r="D3905" t="s">
        <v>10915</v>
      </c>
      <c r="E3905">
        <v>1720.93</v>
      </c>
      <c r="G3905" s="35"/>
      <c r="H3905" s="36">
        <f t="shared" si="182"/>
        <v>1084.1858999999999</v>
      </c>
      <c r="I3905" s="37">
        <f t="shared" si="180"/>
        <v>1084.1858999999999</v>
      </c>
      <c r="J3905" s="4"/>
      <c r="K3905" s="38">
        <f t="shared" si="181"/>
        <v>0</v>
      </c>
    </row>
    <row r="3906" spans="1:11">
      <c r="A3906" t="s">
        <v>5222</v>
      </c>
      <c r="B3906" t="s">
        <v>10176</v>
      </c>
      <c r="C3906" t="s">
        <v>5960</v>
      </c>
      <c r="D3906" t="s">
        <v>10916</v>
      </c>
      <c r="E3906">
        <v>920.65</v>
      </c>
      <c r="G3906" s="35"/>
      <c r="H3906" s="36">
        <f t="shared" si="182"/>
        <v>580.0095</v>
      </c>
      <c r="I3906" s="37">
        <f t="shared" si="180"/>
        <v>580.0095</v>
      </c>
      <c r="J3906" s="4"/>
      <c r="K3906" s="38">
        <f t="shared" si="181"/>
        <v>0</v>
      </c>
    </row>
    <row r="3907" spans="1:11">
      <c r="A3907" t="s">
        <v>5223</v>
      </c>
      <c r="B3907" t="s">
        <v>10176</v>
      </c>
      <c r="C3907" t="s">
        <v>5960</v>
      </c>
      <c r="D3907" t="s">
        <v>10917</v>
      </c>
      <c r="E3907">
        <v>488.31</v>
      </c>
      <c r="G3907" s="35"/>
      <c r="H3907" s="36">
        <f t="shared" si="182"/>
        <v>307.63530000000003</v>
      </c>
      <c r="I3907" s="37">
        <f t="shared" si="180"/>
        <v>307.63530000000003</v>
      </c>
      <c r="J3907" s="4"/>
      <c r="K3907" s="38">
        <f t="shared" si="181"/>
        <v>0</v>
      </c>
    </row>
    <row r="3908" spans="1:11">
      <c r="A3908" t="s">
        <v>5224</v>
      </c>
      <c r="B3908" t="s">
        <v>10176</v>
      </c>
      <c r="C3908" t="s">
        <v>5960</v>
      </c>
      <c r="D3908" t="s">
        <v>10918</v>
      </c>
      <c r="E3908">
        <v>765.47</v>
      </c>
      <c r="G3908" s="35"/>
      <c r="H3908" s="36">
        <f t="shared" si="182"/>
        <v>482.24610000000001</v>
      </c>
      <c r="I3908" s="37">
        <f t="shared" si="180"/>
        <v>482.24610000000001</v>
      </c>
      <c r="J3908" s="4"/>
      <c r="K3908" s="38">
        <f t="shared" si="181"/>
        <v>0</v>
      </c>
    </row>
    <row r="3909" spans="1:11">
      <c r="A3909" t="s">
        <v>5225</v>
      </c>
      <c r="B3909" t="s">
        <v>10176</v>
      </c>
      <c r="C3909" t="s">
        <v>5960</v>
      </c>
      <c r="D3909" t="s">
        <v>10919</v>
      </c>
      <c r="E3909">
        <v>1538.33</v>
      </c>
      <c r="G3909" s="35"/>
      <c r="H3909" s="36">
        <f t="shared" si="182"/>
        <v>969.14789999999994</v>
      </c>
      <c r="I3909" s="37">
        <f t="shared" si="180"/>
        <v>969.14789999999994</v>
      </c>
      <c r="J3909" s="4"/>
      <c r="K3909" s="38">
        <f t="shared" si="181"/>
        <v>0</v>
      </c>
    </row>
    <row r="3910" spans="1:11">
      <c r="A3910" t="s">
        <v>5226</v>
      </c>
      <c r="B3910" t="s">
        <v>10176</v>
      </c>
      <c r="C3910" t="s">
        <v>5960</v>
      </c>
      <c r="D3910" t="s">
        <v>10920</v>
      </c>
      <c r="E3910">
        <v>1767.92</v>
      </c>
      <c r="G3910" s="35"/>
      <c r="H3910" s="36">
        <f t="shared" si="182"/>
        <v>1113.7896000000001</v>
      </c>
      <c r="I3910" s="37">
        <f t="shared" ref="I3910:I3973" si="183">H3910*$H$4</f>
        <v>1113.7896000000001</v>
      </c>
      <c r="J3910" s="4"/>
      <c r="K3910" s="38">
        <f t="shared" ref="K3910:K3973" si="184">J3910*I3910</f>
        <v>0</v>
      </c>
    </row>
    <row r="3911" spans="1:11">
      <c r="A3911" t="s">
        <v>5227</v>
      </c>
      <c r="B3911" t="s">
        <v>10176</v>
      </c>
      <c r="C3911" t="s">
        <v>5960</v>
      </c>
      <c r="D3911" t="s">
        <v>10921</v>
      </c>
      <c r="E3911">
        <v>3064.44</v>
      </c>
      <c r="G3911" s="35"/>
      <c r="H3911" s="36">
        <f t="shared" ref="H3911:H3974" si="185">+E3911*$H$1*(1-G3911)</f>
        <v>1930.5972000000002</v>
      </c>
      <c r="I3911" s="37">
        <f t="shared" si="183"/>
        <v>1930.5972000000002</v>
      </c>
      <c r="J3911" s="4"/>
      <c r="K3911" s="38">
        <f t="shared" si="184"/>
        <v>0</v>
      </c>
    </row>
    <row r="3912" spans="1:11">
      <c r="A3912" t="s">
        <v>5228</v>
      </c>
      <c r="B3912" t="s">
        <v>10176</v>
      </c>
      <c r="C3912" t="s">
        <v>5960</v>
      </c>
      <c r="D3912" t="s">
        <v>10922</v>
      </c>
      <c r="E3912">
        <v>765.47</v>
      </c>
      <c r="G3912" s="35"/>
      <c r="H3912" s="36">
        <f t="shared" si="185"/>
        <v>482.24610000000001</v>
      </c>
      <c r="I3912" s="37">
        <f t="shared" si="183"/>
        <v>482.24610000000001</v>
      </c>
      <c r="J3912" s="4"/>
      <c r="K3912" s="38">
        <f t="shared" si="184"/>
        <v>0</v>
      </c>
    </row>
    <row r="3913" spans="1:11">
      <c r="A3913" t="s">
        <v>5229</v>
      </c>
      <c r="B3913" t="s">
        <v>10176</v>
      </c>
      <c r="C3913" t="s">
        <v>5960</v>
      </c>
      <c r="D3913" t="s">
        <v>10923</v>
      </c>
      <c r="E3913">
        <v>1259.04</v>
      </c>
      <c r="G3913" s="35"/>
      <c r="H3913" s="36">
        <f t="shared" si="185"/>
        <v>793.1952</v>
      </c>
      <c r="I3913" s="37">
        <f t="shared" si="183"/>
        <v>793.1952</v>
      </c>
      <c r="J3913" s="4"/>
      <c r="K3913" s="38">
        <f t="shared" si="184"/>
        <v>0</v>
      </c>
    </row>
    <row r="3914" spans="1:11">
      <c r="A3914" t="s">
        <v>5230</v>
      </c>
      <c r="B3914" t="s">
        <v>10176</v>
      </c>
      <c r="C3914" t="s">
        <v>5960</v>
      </c>
      <c r="D3914" t="s">
        <v>10924</v>
      </c>
      <c r="E3914">
        <v>441.31</v>
      </c>
      <c r="G3914" s="35"/>
      <c r="H3914" s="36">
        <f t="shared" si="185"/>
        <v>278.02530000000002</v>
      </c>
      <c r="I3914" s="37">
        <f t="shared" si="183"/>
        <v>278.02530000000002</v>
      </c>
      <c r="J3914" s="4"/>
      <c r="K3914" s="38">
        <f t="shared" si="184"/>
        <v>0</v>
      </c>
    </row>
    <row r="3915" spans="1:11">
      <c r="A3915" t="s">
        <v>5231</v>
      </c>
      <c r="B3915" t="s">
        <v>10176</v>
      </c>
      <c r="C3915" t="s">
        <v>5960</v>
      </c>
      <c r="D3915" t="s">
        <v>10925</v>
      </c>
      <c r="E3915">
        <v>1538.33</v>
      </c>
      <c r="G3915" s="35"/>
      <c r="H3915" s="36">
        <f t="shared" si="185"/>
        <v>969.14789999999994</v>
      </c>
      <c r="I3915" s="37">
        <f t="shared" si="183"/>
        <v>969.14789999999994</v>
      </c>
      <c r="J3915" s="4"/>
      <c r="K3915" s="38">
        <f t="shared" si="184"/>
        <v>0</v>
      </c>
    </row>
    <row r="3916" spans="1:11">
      <c r="A3916" t="s">
        <v>5232</v>
      </c>
      <c r="B3916" t="s">
        <v>10176</v>
      </c>
      <c r="C3916" t="s">
        <v>5960</v>
      </c>
      <c r="D3916" t="s">
        <v>10926</v>
      </c>
      <c r="E3916">
        <v>739.03</v>
      </c>
      <c r="G3916" s="35"/>
      <c r="H3916" s="36">
        <f t="shared" si="185"/>
        <v>465.58889999999997</v>
      </c>
      <c r="I3916" s="37">
        <f t="shared" si="183"/>
        <v>465.58889999999997</v>
      </c>
      <c r="J3916" s="4"/>
      <c r="K3916" s="38">
        <f t="shared" si="184"/>
        <v>0</v>
      </c>
    </row>
    <row r="3917" spans="1:11">
      <c r="A3917" t="s">
        <v>5233</v>
      </c>
      <c r="B3917" t="s">
        <v>10176</v>
      </c>
      <c r="C3917" t="s">
        <v>5960</v>
      </c>
      <c r="D3917" t="s">
        <v>10927</v>
      </c>
      <c r="E3917">
        <v>1361.99</v>
      </c>
      <c r="G3917" s="35"/>
      <c r="H3917" s="36">
        <f t="shared" si="185"/>
        <v>858.05370000000005</v>
      </c>
      <c r="I3917" s="37">
        <f t="shared" si="183"/>
        <v>858.05370000000005</v>
      </c>
      <c r="J3917" s="4"/>
      <c r="K3917" s="38">
        <f t="shared" si="184"/>
        <v>0</v>
      </c>
    </row>
    <row r="3918" spans="1:11">
      <c r="A3918" t="s">
        <v>5234</v>
      </c>
      <c r="B3918" t="s">
        <v>10176</v>
      </c>
      <c r="C3918" t="s">
        <v>5960</v>
      </c>
      <c r="D3918" t="s">
        <v>10928</v>
      </c>
      <c r="E3918">
        <v>4107.5600000000004</v>
      </c>
      <c r="G3918" s="35"/>
      <c r="H3918" s="36">
        <f t="shared" si="185"/>
        <v>2587.7628000000004</v>
      </c>
      <c r="I3918" s="37">
        <f t="shared" si="183"/>
        <v>2587.7628000000004</v>
      </c>
      <c r="J3918" s="4"/>
      <c r="K3918" s="38">
        <f t="shared" si="184"/>
        <v>0</v>
      </c>
    </row>
    <row r="3919" spans="1:11">
      <c r="A3919" t="s">
        <v>5235</v>
      </c>
      <c r="B3919" t="s">
        <v>10176</v>
      </c>
      <c r="C3919" t="s">
        <v>5960</v>
      </c>
      <c r="D3919" t="s">
        <v>10929</v>
      </c>
      <c r="E3919">
        <v>1232.6400000000001</v>
      </c>
      <c r="G3919" s="35"/>
      <c r="H3919" s="36">
        <f t="shared" si="185"/>
        <v>776.56320000000005</v>
      </c>
      <c r="I3919" s="37">
        <f t="shared" si="183"/>
        <v>776.56320000000005</v>
      </c>
      <c r="J3919" s="4"/>
      <c r="K3919" s="38">
        <f t="shared" si="184"/>
        <v>0</v>
      </c>
    </row>
    <row r="3920" spans="1:11">
      <c r="A3920" t="s">
        <v>5236</v>
      </c>
      <c r="B3920" t="s">
        <v>10176</v>
      </c>
      <c r="C3920" t="s">
        <v>5960</v>
      </c>
      <c r="D3920" t="s">
        <v>10538</v>
      </c>
      <c r="E3920">
        <v>12639.47</v>
      </c>
      <c r="G3920" s="35"/>
      <c r="H3920" s="36">
        <f t="shared" si="185"/>
        <v>7962.8660999999993</v>
      </c>
      <c r="I3920" s="37">
        <f t="shared" si="183"/>
        <v>7962.8660999999993</v>
      </c>
      <c r="J3920" s="4"/>
      <c r="K3920" s="38">
        <f t="shared" si="184"/>
        <v>0</v>
      </c>
    </row>
    <row r="3921" spans="1:11">
      <c r="A3921" t="s">
        <v>5237</v>
      </c>
      <c r="B3921" t="s">
        <v>10176</v>
      </c>
      <c r="C3921" t="s">
        <v>5960</v>
      </c>
      <c r="D3921" t="s">
        <v>10930</v>
      </c>
      <c r="E3921">
        <v>3579.13</v>
      </c>
      <c r="G3921" s="35"/>
      <c r="H3921" s="36">
        <f t="shared" si="185"/>
        <v>2254.8519000000001</v>
      </c>
      <c r="I3921" s="37">
        <f t="shared" si="183"/>
        <v>2254.8519000000001</v>
      </c>
      <c r="J3921" s="4"/>
      <c r="K3921" s="38">
        <f t="shared" si="184"/>
        <v>0</v>
      </c>
    </row>
    <row r="3922" spans="1:11">
      <c r="A3922" t="s">
        <v>5238</v>
      </c>
      <c r="B3922" t="s">
        <v>10176</v>
      </c>
      <c r="C3922" t="s">
        <v>5960</v>
      </c>
      <c r="D3922" t="s">
        <v>10931</v>
      </c>
      <c r="E3922">
        <v>488.31</v>
      </c>
      <c r="G3922" s="35"/>
      <c r="H3922" s="36">
        <f t="shared" si="185"/>
        <v>307.63530000000003</v>
      </c>
      <c r="I3922" s="37">
        <f t="shared" si="183"/>
        <v>307.63530000000003</v>
      </c>
      <c r="J3922" s="4"/>
      <c r="K3922" s="38">
        <f t="shared" si="184"/>
        <v>0</v>
      </c>
    </row>
    <row r="3923" spans="1:11">
      <c r="A3923" t="s">
        <v>5239</v>
      </c>
      <c r="B3923" t="s">
        <v>10176</v>
      </c>
      <c r="C3923" t="s">
        <v>5960</v>
      </c>
      <c r="D3923" t="s">
        <v>10932</v>
      </c>
      <c r="E3923">
        <v>1096.97</v>
      </c>
      <c r="G3923" s="35"/>
      <c r="H3923" s="36">
        <f t="shared" si="185"/>
        <v>691.09109999999998</v>
      </c>
      <c r="I3923" s="37">
        <f t="shared" si="183"/>
        <v>691.09109999999998</v>
      </c>
      <c r="J3923" s="4"/>
      <c r="K3923" s="38">
        <f t="shared" si="184"/>
        <v>0</v>
      </c>
    </row>
    <row r="3924" spans="1:11">
      <c r="A3924" t="s">
        <v>5240</v>
      </c>
      <c r="B3924" t="s">
        <v>10176</v>
      </c>
      <c r="C3924" t="s">
        <v>5960</v>
      </c>
      <c r="D3924" t="s">
        <v>10933</v>
      </c>
      <c r="E3924">
        <v>1232.6400000000001</v>
      </c>
      <c r="G3924" s="35"/>
      <c r="H3924" s="36">
        <f t="shared" si="185"/>
        <v>776.56320000000005</v>
      </c>
      <c r="I3924" s="37">
        <f t="shared" si="183"/>
        <v>776.56320000000005</v>
      </c>
      <c r="J3924" s="4"/>
      <c r="K3924" s="38">
        <f t="shared" si="184"/>
        <v>0</v>
      </c>
    </row>
    <row r="3925" spans="1:11">
      <c r="A3925" t="s">
        <v>5241</v>
      </c>
      <c r="B3925" t="s">
        <v>10176</v>
      </c>
      <c r="C3925" t="s">
        <v>5960</v>
      </c>
      <c r="D3925" t="s">
        <v>10934</v>
      </c>
      <c r="E3925">
        <v>2876.01</v>
      </c>
      <c r="G3925" s="35"/>
      <c r="H3925" s="36">
        <f t="shared" si="185"/>
        <v>1811.8863000000001</v>
      </c>
      <c r="I3925" s="37">
        <f t="shared" si="183"/>
        <v>1811.8863000000001</v>
      </c>
      <c r="J3925" s="4"/>
      <c r="K3925" s="38">
        <f t="shared" si="184"/>
        <v>0</v>
      </c>
    </row>
    <row r="3926" spans="1:11">
      <c r="A3926" t="s">
        <v>5242</v>
      </c>
      <c r="B3926" t="s">
        <v>10176</v>
      </c>
      <c r="C3926" t="s">
        <v>5960</v>
      </c>
      <c r="D3926" t="s">
        <v>10935</v>
      </c>
      <c r="E3926">
        <v>739.03</v>
      </c>
      <c r="G3926" s="35"/>
      <c r="H3926" s="36">
        <f t="shared" si="185"/>
        <v>465.58889999999997</v>
      </c>
      <c r="I3926" s="37">
        <f t="shared" si="183"/>
        <v>465.58889999999997</v>
      </c>
      <c r="J3926" s="4"/>
      <c r="K3926" s="38">
        <f t="shared" si="184"/>
        <v>0</v>
      </c>
    </row>
    <row r="3927" spans="1:11">
      <c r="A3927" t="s">
        <v>10090</v>
      </c>
      <c r="B3927" t="s">
        <v>10176</v>
      </c>
      <c r="C3927" t="s">
        <v>5960</v>
      </c>
      <c r="D3927" t="s">
        <v>10936</v>
      </c>
      <c r="E3927">
        <v>968.16</v>
      </c>
      <c r="G3927" s="35"/>
      <c r="H3927" s="36">
        <f t="shared" si="185"/>
        <v>609.94079999999997</v>
      </c>
      <c r="I3927" s="37">
        <f t="shared" si="183"/>
        <v>609.94079999999997</v>
      </c>
      <c r="J3927" s="4"/>
      <c r="K3927" s="38">
        <f t="shared" si="184"/>
        <v>0</v>
      </c>
    </row>
    <row r="3928" spans="1:11">
      <c r="A3928" t="s">
        <v>5243</v>
      </c>
      <c r="B3928" t="s">
        <v>10176</v>
      </c>
      <c r="C3928" t="s">
        <v>5960</v>
      </c>
      <c r="D3928" t="s">
        <v>10937</v>
      </c>
      <c r="E3928">
        <v>1259.04</v>
      </c>
      <c r="G3928" s="35"/>
      <c r="H3928" s="36">
        <f t="shared" si="185"/>
        <v>793.1952</v>
      </c>
      <c r="I3928" s="37">
        <f t="shared" si="183"/>
        <v>793.1952</v>
      </c>
      <c r="J3928" s="4"/>
      <c r="K3928" s="38">
        <f t="shared" si="184"/>
        <v>0</v>
      </c>
    </row>
    <row r="3929" spans="1:11">
      <c r="A3929" t="s">
        <v>5244</v>
      </c>
      <c r="B3929" t="s">
        <v>10176</v>
      </c>
      <c r="C3929" t="s">
        <v>5960</v>
      </c>
      <c r="D3929" t="s">
        <v>10938</v>
      </c>
      <c r="E3929">
        <v>1232.6400000000001</v>
      </c>
      <c r="G3929" s="35"/>
      <c r="H3929" s="36">
        <f t="shared" si="185"/>
        <v>776.56320000000005</v>
      </c>
      <c r="I3929" s="37">
        <f t="shared" si="183"/>
        <v>776.56320000000005</v>
      </c>
      <c r="J3929" s="4"/>
      <c r="K3929" s="38">
        <f t="shared" si="184"/>
        <v>0</v>
      </c>
    </row>
    <row r="3930" spans="1:11">
      <c r="A3930" t="s">
        <v>5245</v>
      </c>
      <c r="B3930" t="s">
        <v>10176</v>
      </c>
      <c r="C3930" t="s">
        <v>5960</v>
      </c>
      <c r="D3930" t="s">
        <v>10939</v>
      </c>
      <c r="E3930">
        <v>2146.98</v>
      </c>
      <c r="G3930" s="35"/>
      <c r="H3930" s="36">
        <f t="shared" si="185"/>
        <v>1352.5974000000001</v>
      </c>
      <c r="I3930" s="37">
        <f t="shared" si="183"/>
        <v>1352.5974000000001</v>
      </c>
      <c r="J3930" s="4"/>
      <c r="K3930" s="38">
        <f t="shared" si="184"/>
        <v>0</v>
      </c>
    </row>
    <row r="3931" spans="1:11">
      <c r="A3931" t="s">
        <v>5246</v>
      </c>
      <c r="B3931" t="s">
        <v>10176</v>
      </c>
      <c r="C3931" t="s">
        <v>5960</v>
      </c>
      <c r="D3931" t="s">
        <v>10940</v>
      </c>
      <c r="E3931">
        <v>1923.65</v>
      </c>
      <c r="G3931" s="35"/>
      <c r="H3931" s="36">
        <f t="shared" si="185"/>
        <v>1211.8995</v>
      </c>
      <c r="I3931" s="37">
        <f t="shared" si="183"/>
        <v>1211.8995</v>
      </c>
      <c r="J3931" s="4"/>
      <c r="K3931" s="38">
        <f t="shared" si="184"/>
        <v>0</v>
      </c>
    </row>
    <row r="3932" spans="1:11">
      <c r="A3932" t="s">
        <v>5247</v>
      </c>
      <c r="B3932" t="s">
        <v>10176</v>
      </c>
      <c r="C3932" t="s">
        <v>5960</v>
      </c>
      <c r="D3932" t="s">
        <v>10539</v>
      </c>
      <c r="E3932">
        <v>2146.98</v>
      </c>
      <c r="G3932" s="35"/>
      <c r="H3932" s="36">
        <f t="shared" si="185"/>
        <v>1352.5974000000001</v>
      </c>
      <c r="I3932" s="37">
        <f t="shared" si="183"/>
        <v>1352.5974000000001</v>
      </c>
      <c r="J3932" s="4"/>
      <c r="K3932" s="38">
        <f t="shared" si="184"/>
        <v>0</v>
      </c>
    </row>
    <row r="3933" spans="1:11">
      <c r="A3933" t="s">
        <v>5248</v>
      </c>
      <c r="B3933" t="s">
        <v>10176</v>
      </c>
      <c r="C3933" t="s">
        <v>5960</v>
      </c>
      <c r="D3933" t="s">
        <v>10540</v>
      </c>
      <c r="E3933">
        <v>4066.4</v>
      </c>
      <c r="G3933" s="35"/>
      <c r="H3933" s="36">
        <f t="shared" si="185"/>
        <v>2561.8319999999999</v>
      </c>
      <c r="I3933" s="37">
        <f t="shared" si="183"/>
        <v>2561.8319999999999</v>
      </c>
      <c r="J3933" s="4"/>
      <c r="K3933" s="38">
        <f t="shared" si="184"/>
        <v>0</v>
      </c>
    </row>
    <row r="3934" spans="1:11">
      <c r="A3934" t="s">
        <v>5249</v>
      </c>
      <c r="B3934" t="s">
        <v>10176</v>
      </c>
      <c r="C3934" t="s">
        <v>5960</v>
      </c>
      <c r="D3934" t="s">
        <v>10941</v>
      </c>
      <c r="E3934">
        <v>2876.01</v>
      </c>
      <c r="G3934" s="35"/>
      <c r="H3934" s="36">
        <f t="shared" si="185"/>
        <v>1811.8863000000001</v>
      </c>
      <c r="I3934" s="37">
        <f t="shared" si="183"/>
        <v>1811.8863000000001</v>
      </c>
      <c r="J3934" s="4"/>
      <c r="K3934" s="38">
        <f t="shared" si="184"/>
        <v>0</v>
      </c>
    </row>
    <row r="3935" spans="1:11">
      <c r="A3935" t="s">
        <v>5250</v>
      </c>
      <c r="B3935" t="s">
        <v>10176</v>
      </c>
      <c r="C3935" t="s">
        <v>5960</v>
      </c>
      <c r="D3935" t="s">
        <v>10942</v>
      </c>
      <c r="E3935">
        <v>618.17999999999995</v>
      </c>
      <c r="G3935" s="35"/>
      <c r="H3935" s="36">
        <f t="shared" si="185"/>
        <v>389.45339999999999</v>
      </c>
      <c r="I3935" s="37">
        <f t="shared" si="183"/>
        <v>389.45339999999999</v>
      </c>
      <c r="J3935" s="4"/>
      <c r="K3935" s="38">
        <f t="shared" si="184"/>
        <v>0</v>
      </c>
    </row>
    <row r="3936" spans="1:11">
      <c r="A3936" t="s">
        <v>5251</v>
      </c>
      <c r="B3936" t="s">
        <v>10176</v>
      </c>
      <c r="C3936" t="s">
        <v>5960</v>
      </c>
      <c r="D3936" t="s">
        <v>10943</v>
      </c>
      <c r="E3936">
        <v>882.13</v>
      </c>
      <c r="G3936" s="35"/>
      <c r="H3936" s="36">
        <f t="shared" si="185"/>
        <v>555.74189999999999</v>
      </c>
      <c r="I3936" s="37">
        <f t="shared" si="183"/>
        <v>555.74189999999999</v>
      </c>
      <c r="J3936" s="4"/>
      <c r="K3936" s="38">
        <f t="shared" si="184"/>
        <v>0</v>
      </c>
    </row>
    <row r="3937" spans="1:11">
      <c r="A3937" t="s">
        <v>5252</v>
      </c>
      <c r="B3937" t="s">
        <v>10176</v>
      </c>
      <c r="C3937" t="s">
        <v>5960</v>
      </c>
      <c r="D3937" t="s">
        <v>10541</v>
      </c>
      <c r="E3937">
        <v>692.09</v>
      </c>
      <c r="G3937" s="35"/>
      <c r="H3937" s="36">
        <f t="shared" si="185"/>
        <v>436.01670000000001</v>
      </c>
      <c r="I3937" s="37">
        <f t="shared" si="183"/>
        <v>436.01670000000001</v>
      </c>
      <c r="J3937" s="4"/>
      <c r="K3937" s="38">
        <f t="shared" si="184"/>
        <v>0</v>
      </c>
    </row>
    <row r="3938" spans="1:11">
      <c r="A3938" t="s">
        <v>5253</v>
      </c>
      <c r="B3938" t="s">
        <v>10176</v>
      </c>
      <c r="C3938" t="s">
        <v>5960</v>
      </c>
      <c r="D3938" t="s">
        <v>10944</v>
      </c>
      <c r="E3938">
        <v>618.17999999999995</v>
      </c>
      <c r="G3938" s="35"/>
      <c r="H3938" s="36">
        <f t="shared" si="185"/>
        <v>389.45339999999999</v>
      </c>
      <c r="I3938" s="37">
        <f t="shared" si="183"/>
        <v>389.45339999999999</v>
      </c>
      <c r="J3938" s="4"/>
      <c r="K3938" s="38">
        <f t="shared" si="184"/>
        <v>0</v>
      </c>
    </row>
    <row r="3939" spans="1:11">
      <c r="A3939" t="s">
        <v>5254</v>
      </c>
      <c r="B3939" t="s">
        <v>10176</v>
      </c>
      <c r="C3939" t="s">
        <v>5960</v>
      </c>
      <c r="D3939" t="s">
        <v>10945</v>
      </c>
      <c r="E3939">
        <v>488.31</v>
      </c>
      <c r="G3939" s="35"/>
      <c r="H3939" s="36">
        <f t="shared" si="185"/>
        <v>307.63530000000003</v>
      </c>
      <c r="I3939" s="37">
        <f t="shared" si="183"/>
        <v>307.63530000000003</v>
      </c>
      <c r="J3939" s="4"/>
      <c r="K3939" s="38">
        <f t="shared" si="184"/>
        <v>0</v>
      </c>
    </row>
    <row r="3940" spans="1:11">
      <c r="A3940" t="s">
        <v>5255</v>
      </c>
      <c r="B3940" t="s">
        <v>10176</v>
      </c>
      <c r="C3940" t="s">
        <v>5960</v>
      </c>
      <c r="D3940" t="s">
        <v>10946</v>
      </c>
      <c r="E3940">
        <v>1767.92</v>
      </c>
      <c r="G3940" s="35"/>
      <c r="H3940" s="36">
        <f t="shared" si="185"/>
        <v>1113.7896000000001</v>
      </c>
      <c r="I3940" s="37">
        <f t="shared" si="183"/>
        <v>1113.7896000000001</v>
      </c>
      <c r="J3940" s="4"/>
      <c r="K3940" s="38">
        <f t="shared" si="184"/>
        <v>0</v>
      </c>
    </row>
    <row r="3941" spans="1:11">
      <c r="A3941" t="s">
        <v>5256</v>
      </c>
      <c r="B3941" t="s">
        <v>10176</v>
      </c>
      <c r="C3941" t="s">
        <v>5960</v>
      </c>
      <c r="D3941" t="s">
        <v>10947</v>
      </c>
      <c r="E3941">
        <v>753.31</v>
      </c>
      <c r="G3941" s="35"/>
      <c r="H3941" s="36">
        <f t="shared" si="185"/>
        <v>474.58529999999996</v>
      </c>
      <c r="I3941" s="37">
        <f t="shared" si="183"/>
        <v>474.58529999999996</v>
      </c>
      <c r="J3941" s="4"/>
      <c r="K3941" s="38">
        <f t="shared" si="184"/>
        <v>0</v>
      </c>
    </row>
    <row r="3942" spans="1:11">
      <c r="A3942" t="s">
        <v>5257</v>
      </c>
      <c r="B3942" t="s">
        <v>10176</v>
      </c>
      <c r="C3942" t="s">
        <v>5961</v>
      </c>
      <c r="D3942" t="s">
        <v>10948</v>
      </c>
      <c r="E3942">
        <v>40972.300000000003</v>
      </c>
      <c r="G3942" s="35"/>
      <c r="H3942" s="36">
        <f t="shared" si="185"/>
        <v>25812.549000000003</v>
      </c>
      <c r="I3942" s="37">
        <f t="shared" si="183"/>
        <v>25812.549000000003</v>
      </c>
      <c r="J3942" s="4"/>
      <c r="K3942" s="38">
        <f t="shared" si="184"/>
        <v>0</v>
      </c>
    </row>
    <row r="3943" spans="1:11">
      <c r="A3943" t="s">
        <v>5258</v>
      </c>
      <c r="B3943" t="s">
        <v>10176</v>
      </c>
      <c r="C3943" t="s">
        <v>5962</v>
      </c>
      <c r="D3943" t="s">
        <v>11432</v>
      </c>
      <c r="E3943">
        <v>28915.64</v>
      </c>
      <c r="G3943" s="35"/>
      <c r="H3943" s="36">
        <f t="shared" si="185"/>
        <v>18216.853200000001</v>
      </c>
      <c r="I3943" s="37">
        <f t="shared" si="183"/>
        <v>18216.853200000001</v>
      </c>
      <c r="J3943" s="4"/>
      <c r="K3943" s="38">
        <f t="shared" si="184"/>
        <v>0</v>
      </c>
    </row>
    <row r="3944" spans="1:11">
      <c r="A3944" t="s">
        <v>5259</v>
      </c>
      <c r="B3944" t="s">
        <v>10176</v>
      </c>
      <c r="C3944" t="s">
        <v>5962</v>
      </c>
      <c r="D3944" t="s">
        <v>10542</v>
      </c>
      <c r="E3944">
        <v>54193</v>
      </c>
      <c r="G3944" s="35"/>
      <c r="H3944" s="36">
        <f t="shared" si="185"/>
        <v>34141.590000000004</v>
      </c>
      <c r="I3944" s="37">
        <f t="shared" si="183"/>
        <v>34141.590000000004</v>
      </c>
      <c r="J3944" s="4"/>
      <c r="K3944" s="38">
        <f t="shared" si="184"/>
        <v>0</v>
      </c>
    </row>
    <row r="3945" spans="1:11">
      <c r="A3945" t="s">
        <v>5260</v>
      </c>
      <c r="B3945" t="s">
        <v>10176</v>
      </c>
      <c r="C3945" t="s">
        <v>5962</v>
      </c>
      <c r="D3945" t="s">
        <v>10949</v>
      </c>
      <c r="E3945">
        <v>26556.99</v>
      </c>
      <c r="G3945" s="35"/>
      <c r="H3945" s="36">
        <f t="shared" si="185"/>
        <v>16730.903700000003</v>
      </c>
      <c r="I3945" s="37">
        <f t="shared" si="183"/>
        <v>16730.903700000003</v>
      </c>
      <c r="J3945" s="4"/>
      <c r="K3945" s="38">
        <f t="shared" si="184"/>
        <v>0</v>
      </c>
    </row>
    <row r="3946" spans="1:11">
      <c r="A3946" t="s">
        <v>5262</v>
      </c>
      <c r="B3946" t="s">
        <v>10176</v>
      </c>
      <c r="C3946" t="s">
        <v>5962</v>
      </c>
      <c r="D3946" t="s">
        <v>10544</v>
      </c>
      <c r="E3946">
        <v>21642.25</v>
      </c>
      <c r="G3946" s="35"/>
      <c r="H3946" s="36">
        <f t="shared" si="185"/>
        <v>13634.6175</v>
      </c>
      <c r="I3946" s="37">
        <f t="shared" si="183"/>
        <v>13634.6175</v>
      </c>
      <c r="J3946" s="4"/>
      <c r="K3946" s="38">
        <f t="shared" si="184"/>
        <v>0</v>
      </c>
    </row>
    <row r="3947" spans="1:11">
      <c r="A3947" t="s">
        <v>5261</v>
      </c>
      <c r="B3947" t="s">
        <v>10176</v>
      </c>
      <c r="C3947" t="s">
        <v>5962</v>
      </c>
      <c r="D3947" t="s">
        <v>10543</v>
      </c>
      <c r="E3947">
        <v>21642.25</v>
      </c>
      <c r="G3947" s="35"/>
      <c r="H3947" s="36">
        <f t="shared" si="185"/>
        <v>13634.6175</v>
      </c>
      <c r="I3947" s="37">
        <f t="shared" si="183"/>
        <v>13634.6175</v>
      </c>
      <c r="J3947" s="4"/>
      <c r="K3947" s="38">
        <f t="shared" si="184"/>
        <v>0</v>
      </c>
    </row>
    <row r="3948" spans="1:11">
      <c r="A3948" t="s">
        <v>5263</v>
      </c>
      <c r="B3948" t="s">
        <v>10176</v>
      </c>
      <c r="C3948" t="s">
        <v>5962</v>
      </c>
      <c r="D3948" t="s">
        <v>10950</v>
      </c>
      <c r="E3948">
        <v>99665.11</v>
      </c>
      <c r="G3948" s="35"/>
      <c r="H3948" s="36">
        <f t="shared" si="185"/>
        <v>62789.0193</v>
      </c>
      <c r="I3948" s="37">
        <f t="shared" si="183"/>
        <v>62789.0193</v>
      </c>
      <c r="J3948" s="4"/>
      <c r="K3948" s="38">
        <f t="shared" si="184"/>
        <v>0</v>
      </c>
    </row>
    <row r="3949" spans="1:11">
      <c r="A3949" t="s">
        <v>5264</v>
      </c>
      <c r="B3949" t="s">
        <v>10176</v>
      </c>
      <c r="C3949" t="s">
        <v>5962</v>
      </c>
      <c r="D3949" t="s">
        <v>10951</v>
      </c>
      <c r="E3949">
        <v>100809.06</v>
      </c>
      <c r="G3949" s="35"/>
      <c r="H3949" s="36">
        <f t="shared" si="185"/>
        <v>63509.707799999996</v>
      </c>
      <c r="I3949" s="37">
        <f t="shared" si="183"/>
        <v>63509.707799999996</v>
      </c>
      <c r="J3949" s="4"/>
      <c r="K3949" s="38">
        <f t="shared" si="184"/>
        <v>0</v>
      </c>
    </row>
    <row r="3950" spans="1:11">
      <c r="A3950" t="s">
        <v>5265</v>
      </c>
      <c r="B3950" t="s">
        <v>10176</v>
      </c>
      <c r="C3950" t="s">
        <v>5962</v>
      </c>
      <c r="D3950" t="s">
        <v>11433</v>
      </c>
      <c r="E3950">
        <v>216058.79</v>
      </c>
      <c r="G3950" s="35"/>
      <c r="H3950" s="36">
        <f t="shared" si="185"/>
        <v>136117.03770000002</v>
      </c>
      <c r="I3950" s="37">
        <f t="shared" si="183"/>
        <v>136117.03770000002</v>
      </c>
      <c r="J3950" s="4"/>
      <c r="K3950" s="38">
        <f t="shared" si="184"/>
        <v>0</v>
      </c>
    </row>
    <row r="3951" spans="1:11">
      <c r="A3951" t="s">
        <v>5266</v>
      </c>
      <c r="B3951" t="s">
        <v>10176</v>
      </c>
      <c r="C3951" t="s">
        <v>5962</v>
      </c>
      <c r="D3951" t="s">
        <v>11434</v>
      </c>
      <c r="E3951">
        <v>213577.67</v>
      </c>
      <c r="G3951" s="35"/>
      <c r="H3951" s="36">
        <f t="shared" si="185"/>
        <v>134553.93210000001</v>
      </c>
      <c r="I3951" s="37">
        <f t="shared" si="183"/>
        <v>134553.93210000001</v>
      </c>
      <c r="J3951" s="4"/>
      <c r="K3951" s="38">
        <f t="shared" si="184"/>
        <v>0</v>
      </c>
    </row>
    <row r="3952" spans="1:11">
      <c r="A3952" t="s">
        <v>5267</v>
      </c>
      <c r="B3952" t="s">
        <v>10176</v>
      </c>
      <c r="C3952" t="s">
        <v>5962</v>
      </c>
      <c r="D3952" t="s">
        <v>11435</v>
      </c>
      <c r="E3952">
        <v>40925.32</v>
      </c>
      <c r="G3952" s="35"/>
      <c r="H3952" s="36">
        <f t="shared" si="185"/>
        <v>25782.9516</v>
      </c>
      <c r="I3952" s="37">
        <f t="shared" si="183"/>
        <v>25782.9516</v>
      </c>
      <c r="J3952" s="4"/>
      <c r="K3952" s="38">
        <f t="shared" si="184"/>
        <v>0</v>
      </c>
    </row>
    <row r="3953" spans="1:11">
      <c r="A3953" t="s">
        <v>5268</v>
      </c>
      <c r="B3953" t="s">
        <v>10176</v>
      </c>
      <c r="C3953" t="s">
        <v>5962</v>
      </c>
      <c r="D3953" t="s">
        <v>11436</v>
      </c>
      <c r="E3953">
        <v>173697.06</v>
      </c>
      <c r="G3953" s="35"/>
      <c r="H3953" s="36">
        <f t="shared" si="185"/>
        <v>109429.14780000001</v>
      </c>
      <c r="I3953" s="37">
        <f t="shared" si="183"/>
        <v>109429.14780000001</v>
      </c>
      <c r="J3953" s="4"/>
      <c r="K3953" s="38">
        <f t="shared" si="184"/>
        <v>0</v>
      </c>
    </row>
    <row r="3954" spans="1:11">
      <c r="A3954" t="s">
        <v>5269</v>
      </c>
      <c r="B3954" t="s">
        <v>10176</v>
      </c>
      <c r="C3954" t="s">
        <v>5962</v>
      </c>
      <c r="D3954" t="s">
        <v>11437</v>
      </c>
      <c r="E3954">
        <v>125640.88</v>
      </c>
      <c r="G3954" s="35"/>
      <c r="H3954" s="36">
        <f t="shared" si="185"/>
        <v>79153.754400000005</v>
      </c>
      <c r="I3954" s="37">
        <f t="shared" si="183"/>
        <v>79153.754400000005</v>
      </c>
      <c r="J3954" s="4"/>
      <c r="K3954" s="38">
        <f t="shared" si="184"/>
        <v>0</v>
      </c>
    </row>
    <row r="3955" spans="1:11">
      <c r="A3955" t="s">
        <v>5270</v>
      </c>
      <c r="B3955" t="s">
        <v>10176</v>
      </c>
      <c r="C3955" t="s">
        <v>5962</v>
      </c>
      <c r="D3955" t="s">
        <v>11438</v>
      </c>
      <c r="E3955">
        <v>114280.5</v>
      </c>
      <c r="G3955" s="35"/>
      <c r="H3955" s="36">
        <f t="shared" si="185"/>
        <v>71996.714999999997</v>
      </c>
      <c r="I3955" s="37">
        <f t="shared" si="183"/>
        <v>71996.714999999997</v>
      </c>
      <c r="J3955" s="4"/>
      <c r="K3955" s="38">
        <f t="shared" si="184"/>
        <v>0</v>
      </c>
    </row>
    <row r="3956" spans="1:11">
      <c r="A3956" t="s">
        <v>11556</v>
      </c>
      <c r="B3956" t="s">
        <v>10176</v>
      </c>
      <c r="C3956" t="s">
        <v>5962</v>
      </c>
      <c r="D3956" t="s">
        <v>11557</v>
      </c>
      <c r="E3956">
        <v>48831.14</v>
      </c>
      <c r="G3956" s="35"/>
      <c r="H3956" s="36">
        <f t="shared" si="185"/>
        <v>30763.618200000001</v>
      </c>
      <c r="I3956" s="37">
        <f t="shared" si="183"/>
        <v>30763.618200000001</v>
      </c>
      <c r="J3956" s="4"/>
      <c r="K3956" s="38">
        <f t="shared" si="184"/>
        <v>0</v>
      </c>
    </row>
    <row r="3957" spans="1:11">
      <c r="A3957" t="s">
        <v>5271</v>
      </c>
      <c r="B3957" t="s">
        <v>10176</v>
      </c>
      <c r="C3957" t="s">
        <v>5962</v>
      </c>
      <c r="D3957" t="s">
        <v>11439</v>
      </c>
      <c r="E3957">
        <v>142354.15</v>
      </c>
      <c r="G3957" s="35"/>
      <c r="H3957" s="36">
        <f t="shared" si="185"/>
        <v>89683.114499999996</v>
      </c>
      <c r="I3957" s="37">
        <f t="shared" si="183"/>
        <v>89683.114499999996</v>
      </c>
      <c r="J3957" s="4"/>
      <c r="K3957" s="38">
        <f t="shared" si="184"/>
        <v>0</v>
      </c>
    </row>
    <row r="3958" spans="1:11">
      <c r="A3958" t="s">
        <v>5272</v>
      </c>
      <c r="B3958" t="s">
        <v>10176</v>
      </c>
      <c r="C3958" t="s">
        <v>5962</v>
      </c>
      <c r="D3958" t="s">
        <v>11440</v>
      </c>
      <c r="E3958">
        <v>85183.27</v>
      </c>
      <c r="G3958" s="35"/>
      <c r="H3958" s="36">
        <f t="shared" si="185"/>
        <v>53665.460100000004</v>
      </c>
      <c r="I3958" s="37">
        <f t="shared" si="183"/>
        <v>53665.460100000004</v>
      </c>
      <c r="J3958" s="4"/>
      <c r="K3958" s="38">
        <f t="shared" si="184"/>
        <v>0</v>
      </c>
    </row>
    <row r="3959" spans="1:11">
      <c r="A3959" t="s">
        <v>5273</v>
      </c>
      <c r="B3959" t="s">
        <v>10176</v>
      </c>
      <c r="C3959" t="s">
        <v>5962</v>
      </c>
      <c r="D3959" t="s">
        <v>11441</v>
      </c>
      <c r="E3959">
        <v>106786.47</v>
      </c>
      <c r="G3959" s="35"/>
      <c r="H3959" s="36">
        <f t="shared" si="185"/>
        <v>67275.4761</v>
      </c>
      <c r="I3959" s="37">
        <f t="shared" si="183"/>
        <v>67275.4761</v>
      </c>
      <c r="J3959" s="4"/>
      <c r="K3959" s="38">
        <f t="shared" si="184"/>
        <v>0</v>
      </c>
    </row>
    <row r="3960" spans="1:11">
      <c r="A3960" t="s">
        <v>5274</v>
      </c>
      <c r="B3960" t="s">
        <v>10176</v>
      </c>
      <c r="C3960" t="s">
        <v>5962</v>
      </c>
      <c r="D3960" t="s">
        <v>11442</v>
      </c>
      <c r="E3960">
        <v>230855.79</v>
      </c>
      <c r="G3960" s="35"/>
      <c r="H3960" s="36">
        <f t="shared" si="185"/>
        <v>145439.1477</v>
      </c>
      <c r="I3960" s="37">
        <f t="shared" si="183"/>
        <v>145439.1477</v>
      </c>
      <c r="J3960" s="4"/>
      <c r="K3960" s="38">
        <f t="shared" si="184"/>
        <v>0</v>
      </c>
    </row>
    <row r="3961" spans="1:11">
      <c r="A3961" t="s">
        <v>5275</v>
      </c>
      <c r="B3961" t="s">
        <v>10176</v>
      </c>
      <c r="C3961" t="s">
        <v>5962</v>
      </c>
      <c r="D3961" t="s">
        <v>10952</v>
      </c>
      <c r="E3961">
        <v>130973.18</v>
      </c>
      <c r="G3961" s="35"/>
      <c r="H3961" s="36">
        <f t="shared" si="185"/>
        <v>82513.103399999993</v>
      </c>
      <c r="I3961" s="37">
        <f t="shared" si="183"/>
        <v>82513.103399999993</v>
      </c>
      <c r="J3961" s="4"/>
      <c r="K3961" s="38">
        <f t="shared" si="184"/>
        <v>0</v>
      </c>
    </row>
    <row r="3962" spans="1:11">
      <c r="A3962" t="s">
        <v>5276</v>
      </c>
      <c r="B3962" t="s">
        <v>10176</v>
      </c>
      <c r="C3962" t="s">
        <v>5962</v>
      </c>
      <c r="D3962" t="s">
        <v>11443</v>
      </c>
      <c r="E3962">
        <v>137188.66</v>
      </c>
      <c r="G3962" s="35"/>
      <c r="H3962" s="36">
        <f t="shared" si="185"/>
        <v>86428.855800000005</v>
      </c>
      <c r="I3962" s="37">
        <f t="shared" si="183"/>
        <v>86428.855800000005</v>
      </c>
      <c r="J3962" s="4"/>
      <c r="K3962" s="38">
        <f t="shared" si="184"/>
        <v>0</v>
      </c>
    </row>
    <row r="3963" spans="1:11">
      <c r="A3963" t="s">
        <v>5277</v>
      </c>
      <c r="B3963" t="s">
        <v>10176</v>
      </c>
      <c r="C3963" t="s">
        <v>5962</v>
      </c>
      <c r="D3963" t="s">
        <v>10953</v>
      </c>
      <c r="E3963">
        <v>286168.98</v>
      </c>
      <c r="G3963" s="35"/>
      <c r="H3963" s="36">
        <f t="shared" si="185"/>
        <v>180286.45739999998</v>
      </c>
      <c r="I3963" s="37">
        <f t="shared" si="183"/>
        <v>180286.45739999998</v>
      </c>
      <c r="J3963" s="4"/>
      <c r="K3963" s="38">
        <f t="shared" si="184"/>
        <v>0</v>
      </c>
    </row>
    <row r="3964" spans="1:11">
      <c r="A3964" t="s">
        <v>5278</v>
      </c>
      <c r="B3964" t="s">
        <v>10176</v>
      </c>
      <c r="C3964" t="s">
        <v>5962</v>
      </c>
      <c r="D3964" t="s">
        <v>10954</v>
      </c>
      <c r="E3964">
        <v>203299.49</v>
      </c>
      <c r="G3964" s="35"/>
      <c r="H3964" s="36">
        <f t="shared" si="185"/>
        <v>128078.67869999999</v>
      </c>
      <c r="I3964" s="37">
        <f t="shared" si="183"/>
        <v>128078.67869999999</v>
      </c>
      <c r="J3964" s="4"/>
      <c r="K3964" s="38">
        <f t="shared" si="184"/>
        <v>0</v>
      </c>
    </row>
    <row r="3965" spans="1:11">
      <c r="A3965" t="s">
        <v>5279</v>
      </c>
      <c r="B3965" t="s">
        <v>10176</v>
      </c>
      <c r="C3965" t="s">
        <v>5962</v>
      </c>
      <c r="D3965" t="s">
        <v>10955</v>
      </c>
      <c r="E3965">
        <v>187076.64</v>
      </c>
      <c r="G3965" s="35"/>
      <c r="H3965" s="36">
        <f t="shared" si="185"/>
        <v>117858.28320000001</v>
      </c>
      <c r="I3965" s="37">
        <f t="shared" si="183"/>
        <v>117858.28320000001</v>
      </c>
      <c r="J3965" s="4"/>
      <c r="K3965" s="38">
        <f t="shared" si="184"/>
        <v>0</v>
      </c>
    </row>
    <row r="3966" spans="1:11">
      <c r="A3966" t="s">
        <v>5280</v>
      </c>
      <c r="B3966" t="s">
        <v>10176</v>
      </c>
      <c r="C3966" t="s">
        <v>5962</v>
      </c>
      <c r="D3966" t="s">
        <v>10956</v>
      </c>
      <c r="E3966">
        <v>286168.98</v>
      </c>
      <c r="G3966" s="35"/>
      <c r="H3966" s="36">
        <f t="shared" si="185"/>
        <v>180286.45739999998</v>
      </c>
      <c r="I3966" s="37">
        <f t="shared" si="183"/>
        <v>180286.45739999998</v>
      </c>
      <c r="J3966" s="4"/>
      <c r="K3966" s="38">
        <f t="shared" si="184"/>
        <v>0</v>
      </c>
    </row>
    <row r="3967" spans="1:11">
      <c r="A3967" t="s">
        <v>5281</v>
      </c>
      <c r="B3967" t="s">
        <v>10176</v>
      </c>
      <c r="C3967" t="s">
        <v>5962</v>
      </c>
      <c r="D3967" t="s">
        <v>10957</v>
      </c>
      <c r="E3967">
        <v>155190.53</v>
      </c>
      <c r="G3967" s="35"/>
      <c r="H3967" s="36">
        <f t="shared" si="185"/>
        <v>97770.033899999995</v>
      </c>
      <c r="I3967" s="37">
        <f t="shared" si="183"/>
        <v>97770.033899999995</v>
      </c>
      <c r="J3967" s="4"/>
      <c r="K3967" s="38">
        <f t="shared" si="184"/>
        <v>0</v>
      </c>
    </row>
    <row r="3968" spans="1:11">
      <c r="A3968" t="s">
        <v>5282</v>
      </c>
      <c r="B3968" t="s">
        <v>10176</v>
      </c>
      <c r="C3968" t="s">
        <v>5962</v>
      </c>
      <c r="D3968" t="s">
        <v>10958</v>
      </c>
      <c r="E3968">
        <v>112440.25</v>
      </c>
      <c r="G3968" s="35"/>
      <c r="H3968" s="36">
        <f t="shared" si="185"/>
        <v>70837.357499999998</v>
      </c>
      <c r="I3968" s="37">
        <f t="shared" si="183"/>
        <v>70837.357499999998</v>
      </c>
      <c r="J3968" s="4"/>
      <c r="K3968" s="38">
        <f t="shared" si="184"/>
        <v>0</v>
      </c>
    </row>
    <row r="3969" spans="1:11">
      <c r="A3969" t="s">
        <v>12802</v>
      </c>
      <c r="B3969" t="s">
        <v>10176</v>
      </c>
      <c r="C3969" t="s">
        <v>5962</v>
      </c>
      <c r="D3969" t="s">
        <v>12803</v>
      </c>
      <c r="E3969">
        <v>112421.92</v>
      </c>
      <c r="G3969" s="35"/>
      <c r="H3969" s="36">
        <f t="shared" si="185"/>
        <v>70825.809599999993</v>
      </c>
      <c r="I3969" s="37">
        <f t="shared" si="183"/>
        <v>70825.809599999993</v>
      </c>
      <c r="J3969" s="4"/>
      <c r="K3969" s="38">
        <f t="shared" si="184"/>
        <v>0</v>
      </c>
    </row>
    <row r="3970" spans="1:11">
      <c r="A3970" t="s">
        <v>5283</v>
      </c>
      <c r="B3970" t="s">
        <v>10176</v>
      </c>
      <c r="C3970" t="s">
        <v>5962</v>
      </c>
      <c r="D3970" t="s">
        <v>11444</v>
      </c>
      <c r="E3970">
        <v>75863.75</v>
      </c>
      <c r="G3970" s="35"/>
      <c r="H3970" s="36">
        <f t="shared" si="185"/>
        <v>47794.162499999999</v>
      </c>
      <c r="I3970" s="37">
        <f t="shared" si="183"/>
        <v>47794.162499999999</v>
      </c>
      <c r="J3970" s="4"/>
      <c r="K3970" s="38">
        <f t="shared" si="184"/>
        <v>0</v>
      </c>
    </row>
    <row r="3971" spans="1:11">
      <c r="A3971" t="s">
        <v>5284</v>
      </c>
      <c r="B3971" t="s">
        <v>10176</v>
      </c>
      <c r="C3971" t="s">
        <v>5962</v>
      </c>
      <c r="D3971" t="s">
        <v>10959</v>
      </c>
      <c r="E3971">
        <v>111960.38</v>
      </c>
      <c r="G3971" s="35"/>
      <c r="H3971" s="36">
        <f t="shared" si="185"/>
        <v>70535.039400000009</v>
      </c>
      <c r="I3971" s="37">
        <f t="shared" si="183"/>
        <v>70535.039400000009</v>
      </c>
      <c r="J3971" s="4"/>
      <c r="K3971" s="38">
        <f t="shared" si="184"/>
        <v>0</v>
      </c>
    </row>
    <row r="3972" spans="1:11">
      <c r="A3972" t="s">
        <v>5285</v>
      </c>
      <c r="B3972" t="s">
        <v>10176</v>
      </c>
      <c r="C3972" t="s">
        <v>5962</v>
      </c>
      <c r="D3972" t="s">
        <v>11445</v>
      </c>
      <c r="E3972">
        <v>77900.91</v>
      </c>
      <c r="G3972" s="35"/>
      <c r="H3972" s="36">
        <f t="shared" si="185"/>
        <v>49077.573300000004</v>
      </c>
      <c r="I3972" s="37">
        <f t="shared" si="183"/>
        <v>49077.573300000004</v>
      </c>
      <c r="J3972" s="4"/>
      <c r="K3972" s="38">
        <f t="shared" si="184"/>
        <v>0</v>
      </c>
    </row>
    <row r="3973" spans="1:11">
      <c r="A3973" t="s">
        <v>5286</v>
      </c>
      <c r="B3973" t="s">
        <v>10176</v>
      </c>
      <c r="C3973" t="s">
        <v>5962</v>
      </c>
      <c r="D3973" t="s">
        <v>10961</v>
      </c>
      <c r="E3973">
        <v>220448.26</v>
      </c>
      <c r="G3973" s="35"/>
      <c r="H3973" s="36">
        <f t="shared" si="185"/>
        <v>138882.4038</v>
      </c>
      <c r="I3973" s="37">
        <f t="shared" si="183"/>
        <v>138882.4038</v>
      </c>
      <c r="J3973" s="4"/>
      <c r="K3973" s="38">
        <f t="shared" si="184"/>
        <v>0</v>
      </c>
    </row>
    <row r="3974" spans="1:11">
      <c r="A3974" t="s">
        <v>5287</v>
      </c>
      <c r="B3974" t="s">
        <v>10176</v>
      </c>
      <c r="C3974" t="s">
        <v>5962</v>
      </c>
      <c r="D3974" t="s">
        <v>11446</v>
      </c>
      <c r="E3974">
        <v>127775.17</v>
      </c>
      <c r="G3974" s="35"/>
      <c r="H3974" s="36">
        <f t="shared" si="185"/>
        <v>80498.357099999994</v>
      </c>
      <c r="I3974" s="37">
        <f t="shared" ref="I3974:I4037" si="186">H3974*$H$4</f>
        <v>80498.357099999994</v>
      </c>
      <c r="J3974" s="4"/>
      <c r="K3974" s="38">
        <f t="shared" ref="K3974:K4037" si="187">J3974*I3974</f>
        <v>0</v>
      </c>
    </row>
    <row r="3975" spans="1:11">
      <c r="A3975" t="s">
        <v>5288</v>
      </c>
      <c r="B3975" t="s">
        <v>10176</v>
      </c>
      <c r="C3975" t="s">
        <v>5962</v>
      </c>
      <c r="D3975" t="s">
        <v>11447</v>
      </c>
      <c r="E3975">
        <v>163295.85999999999</v>
      </c>
      <c r="G3975" s="35"/>
      <c r="H3975" s="36">
        <f t="shared" ref="H3975:H4038" si="188">+E3975*$H$1*(1-G3975)</f>
        <v>102876.3918</v>
      </c>
      <c r="I3975" s="37">
        <f t="shared" si="186"/>
        <v>102876.3918</v>
      </c>
      <c r="J3975" s="4"/>
      <c r="K3975" s="38">
        <f t="shared" si="187"/>
        <v>0</v>
      </c>
    </row>
    <row r="3976" spans="1:11">
      <c r="A3976" t="s">
        <v>5289</v>
      </c>
      <c r="B3976" t="s">
        <v>10176</v>
      </c>
      <c r="C3976" t="s">
        <v>5962</v>
      </c>
      <c r="D3976" t="s">
        <v>11448</v>
      </c>
      <c r="E3976">
        <v>309597.09999999998</v>
      </c>
      <c r="G3976" s="35"/>
      <c r="H3976" s="36">
        <f t="shared" si="188"/>
        <v>195046.17299999998</v>
      </c>
      <c r="I3976" s="37">
        <f t="shared" si="186"/>
        <v>195046.17299999998</v>
      </c>
      <c r="J3976" s="4"/>
      <c r="K3976" s="38">
        <f t="shared" si="187"/>
        <v>0</v>
      </c>
    </row>
    <row r="3977" spans="1:11">
      <c r="A3977" t="s">
        <v>5290</v>
      </c>
      <c r="B3977" t="s">
        <v>10176</v>
      </c>
      <c r="C3977" t="s">
        <v>5962</v>
      </c>
      <c r="D3977" t="s">
        <v>11449</v>
      </c>
      <c r="E3977">
        <v>398043.32</v>
      </c>
      <c r="G3977" s="35"/>
      <c r="H3977" s="36">
        <f t="shared" si="188"/>
        <v>250767.2916</v>
      </c>
      <c r="I3977" s="37">
        <f t="shared" si="186"/>
        <v>250767.2916</v>
      </c>
      <c r="J3977" s="4"/>
      <c r="K3977" s="38">
        <f t="shared" si="187"/>
        <v>0</v>
      </c>
    </row>
    <row r="3978" spans="1:11">
      <c r="A3978" t="s">
        <v>5291</v>
      </c>
      <c r="B3978" t="s">
        <v>10176</v>
      </c>
      <c r="C3978" t="s">
        <v>5962</v>
      </c>
      <c r="D3978" t="s">
        <v>10962</v>
      </c>
      <c r="E3978">
        <v>249145.88</v>
      </c>
      <c r="G3978" s="35"/>
      <c r="H3978" s="36">
        <f t="shared" si="188"/>
        <v>156961.9044</v>
      </c>
      <c r="I3978" s="37">
        <f t="shared" si="186"/>
        <v>156961.9044</v>
      </c>
      <c r="J3978" s="4"/>
      <c r="K3978" s="38">
        <f t="shared" si="187"/>
        <v>0</v>
      </c>
    </row>
    <row r="3979" spans="1:11">
      <c r="A3979" t="s">
        <v>5292</v>
      </c>
      <c r="B3979" t="s">
        <v>10176</v>
      </c>
      <c r="C3979" t="s">
        <v>5962</v>
      </c>
      <c r="D3979" t="s">
        <v>10963</v>
      </c>
      <c r="E3979">
        <v>146281.70000000001</v>
      </c>
      <c r="G3979" s="35"/>
      <c r="H3979" s="36">
        <f t="shared" si="188"/>
        <v>92157.471000000005</v>
      </c>
      <c r="I3979" s="37">
        <f t="shared" si="186"/>
        <v>92157.471000000005</v>
      </c>
      <c r="J3979" s="4"/>
      <c r="K3979" s="38">
        <f t="shared" si="187"/>
        <v>0</v>
      </c>
    </row>
    <row r="3980" spans="1:11">
      <c r="A3980" t="s">
        <v>5293</v>
      </c>
      <c r="B3980" t="s">
        <v>10176</v>
      </c>
      <c r="C3980" t="s">
        <v>5962</v>
      </c>
      <c r="D3980" t="s">
        <v>10964</v>
      </c>
      <c r="E3980">
        <v>249145.88</v>
      </c>
      <c r="G3980" s="35"/>
      <c r="H3980" s="36">
        <f t="shared" si="188"/>
        <v>156961.9044</v>
      </c>
      <c r="I3980" s="37">
        <f t="shared" si="186"/>
        <v>156961.9044</v>
      </c>
      <c r="J3980" s="4"/>
      <c r="K3980" s="38">
        <f t="shared" si="187"/>
        <v>0</v>
      </c>
    </row>
    <row r="3981" spans="1:11">
      <c r="A3981" t="s">
        <v>5294</v>
      </c>
      <c r="B3981" t="s">
        <v>10176</v>
      </c>
      <c r="C3981" t="s">
        <v>5962</v>
      </c>
      <c r="D3981" t="s">
        <v>10965</v>
      </c>
      <c r="E3981">
        <v>90739.93</v>
      </c>
      <c r="G3981" s="35"/>
      <c r="H3981" s="36">
        <f t="shared" si="188"/>
        <v>57166.155899999998</v>
      </c>
      <c r="I3981" s="37">
        <f t="shared" si="186"/>
        <v>57166.155899999998</v>
      </c>
      <c r="J3981" s="4"/>
      <c r="K3981" s="38">
        <f t="shared" si="187"/>
        <v>0</v>
      </c>
    </row>
    <row r="3982" spans="1:11">
      <c r="A3982" t="s">
        <v>5295</v>
      </c>
      <c r="B3982" t="s">
        <v>10176</v>
      </c>
      <c r="C3982" t="s">
        <v>5962</v>
      </c>
      <c r="D3982" t="s">
        <v>11450</v>
      </c>
      <c r="E3982">
        <v>135301.41</v>
      </c>
      <c r="G3982" s="35"/>
      <c r="H3982" s="36">
        <f t="shared" si="188"/>
        <v>85239.888300000006</v>
      </c>
      <c r="I3982" s="37">
        <f t="shared" si="186"/>
        <v>85239.888300000006</v>
      </c>
      <c r="J3982" s="4"/>
      <c r="K3982" s="38">
        <f t="shared" si="187"/>
        <v>0</v>
      </c>
    </row>
    <row r="3983" spans="1:11">
      <c r="A3983" t="s">
        <v>5296</v>
      </c>
      <c r="B3983" t="s">
        <v>10176</v>
      </c>
      <c r="C3983" t="s">
        <v>5962</v>
      </c>
      <c r="D3983" t="s">
        <v>10966</v>
      </c>
      <c r="E3983">
        <v>197308.37</v>
      </c>
      <c r="G3983" s="35"/>
      <c r="H3983" s="36">
        <f t="shared" si="188"/>
        <v>124304.27309999999</v>
      </c>
      <c r="I3983" s="37">
        <f t="shared" si="186"/>
        <v>124304.27309999999</v>
      </c>
      <c r="J3983" s="4"/>
      <c r="K3983" s="38">
        <f t="shared" si="187"/>
        <v>0</v>
      </c>
    </row>
    <row r="3984" spans="1:11">
      <c r="A3984" t="s">
        <v>5297</v>
      </c>
      <c r="B3984" t="s">
        <v>10176</v>
      </c>
      <c r="C3984" t="s">
        <v>5962</v>
      </c>
      <c r="D3984" t="s">
        <v>10967</v>
      </c>
      <c r="E3984">
        <v>231335.64</v>
      </c>
      <c r="G3984" s="35"/>
      <c r="H3984" s="36">
        <f t="shared" si="188"/>
        <v>145741.45320000002</v>
      </c>
      <c r="I3984" s="37">
        <f t="shared" si="186"/>
        <v>145741.45320000002</v>
      </c>
      <c r="J3984" s="4"/>
      <c r="K3984" s="38">
        <f t="shared" si="187"/>
        <v>0</v>
      </c>
    </row>
    <row r="3985" spans="1:11">
      <c r="A3985" t="s">
        <v>5298</v>
      </c>
      <c r="B3985" t="s">
        <v>10176</v>
      </c>
      <c r="C3985" t="s">
        <v>5962</v>
      </c>
      <c r="D3985" t="s">
        <v>11451</v>
      </c>
      <c r="E3985">
        <v>256292.56</v>
      </c>
      <c r="G3985" s="35"/>
      <c r="H3985" s="36">
        <f t="shared" si="188"/>
        <v>161464.31279999999</v>
      </c>
      <c r="I3985" s="37">
        <f t="shared" si="186"/>
        <v>161464.31279999999</v>
      </c>
      <c r="J3985" s="4"/>
      <c r="K3985" s="38">
        <f t="shared" si="187"/>
        <v>0</v>
      </c>
    </row>
    <row r="3986" spans="1:11">
      <c r="A3986" t="s">
        <v>5299</v>
      </c>
      <c r="B3986" t="s">
        <v>10176</v>
      </c>
      <c r="C3986" t="s">
        <v>5962</v>
      </c>
      <c r="D3986" t="s">
        <v>10968</v>
      </c>
      <c r="E3986">
        <v>278992.2</v>
      </c>
      <c r="G3986" s="35"/>
      <c r="H3986" s="36">
        <f t="shared" si="188"/>
        <v>175765.08600000001</v>
      </c>
      <c r="I3986" s="37">
        <f t="shared" si="186"/>
        <v>175765.08600000001</v>
      </c>
      <c r="J3986" s="4"/>
      <c r="K3986" s="38">
        <f t="shared" si="187"/>
        <v>0</v>
      </c>
    </row>
    <row r="3987" spans="1:11">
      <c r="A3987" t="s">
        <v>5300</v>
      </c>
      <c r="B3987" t="s">
        <v>10176</v>
      </c>
      <c r="C3987" t="s">
        <v>5962</v>
      </c>
      <c r="D3987" t="s">
        <v>11452</v>
      </c>
      <c r="E3987">
        <v>67872.95</v>
      </c>
      <c r="G3987" s="35"/>
      <c r="H3987" s="36">
        <f t="shared" si="188"/>
        <v>42759.958500000001</v>
      </c>
      <c r="I3987" s="37">
        <f t="shared" si="186"/>
        <v>42759.958500000001</v>
      </c>
      <c r="J3987" s="4"/>
      <c r="K3987" s="38">
        <f t="shared" si="187"/>
        <v>0</v>
      </c>
    </row>
    <row r="3988" spans="1:11">
      <c r="A3988" t="s">
        <v>5301</v>
      </c>
      <c r="B3988" t="s">
        <v>10176</v>
      </c>
      <c r="C3988" t="s">
        <v>5962</v>
      </c>
      <c r="D3988" t="s">
        <v>10969</v>
      </c>
      <c r="E3988">
        <v>70278.070000000007</v>
      </c>
      <c r="G3988" s="35"/>
      <c r="H3988" s="36">
        <f t="shared" si="188"/>
        <v>44275.184100000006</v>
      </c>
      <c r="I3988" s="37">
        <f t="shared" si="186"/>
        <v>44275.184100000006</v>
      </c>
      <c r="J3988" s="4"/>
      <c r="K3988" s="38">
        <f t="shared" si="187"/>
        <v>0</v>
      </c>
    </row>
    <row r="3989" spans="1:11">
      <c r="A3989" t="s">
        <v>5302</v>
      </c>
      <c r="B3989" t="s">
        <v>10176</v>
      </c>
      <c r="C3989" t="s">
        <v>5962</v>
      </c>
      <c r="D3989" t="s">
        <v>10970</v>
      </c>
      <c r="E3989">
        <v>125099.78</v>
      </c>
      <c r="G3989" s="35"/>
      <c r="H3989" s="36">
        <f t="shared" si="188"/>
        <v>78812.861399999994</v>
      </c>
      <c r="I3989" s="37">
        <f t="shared" si="186"/>
        <v>78812.861399999994</v>
      </c>
      <c r="J3989" s="4"/>
      <c r="K3989" s="38">
        <f t="shared" si="187"/>
        <v>0</v>
      </c>
    </row>
    <row r="3990" spans="1:11">
      <c r="A3990" t="s">
        <v>11613</v>
      </c>
      <c r="B3990" t="s">
        <v>10176</v>
      </c>
      <c r="C3990" t="s">
        <v>5962</v>
      </c>
      <c r="D3990" t="s">
        <v>11614</v>
      </c>
      <c r="E3990">
        <v>58211.89</v>
      </c>
      <c r="G3990" s="35"/>
      <c r="H3990" s="36">
        <f t="shared" si="188"/>
        <v>36673.490700000002</v>
      </c>
      <c r="I3990" s="37">
        <f t="shared" si="186"/>
        <v>36673.490700000002</v>
      </c>
      <c r="J3990" s="4"/>
      <c r="K3990" s="38">
        <f t="shared" si="187"/>
        <v>0</v>
      </c>
    </row>
    <row r="3991" spans="1:11">
      <c r="A3991" t="s">
        <v>5303</v>
      </c>
      <c r="B3991" t="s">
        <v>10176</v>
      </c>
      <c r="C3991" t="s">
        <v>5962</v>
      </c>
      <c r="D3991" t="s">
        <v>10971</v>
      </c>
      <c r="E3991">
        <v>313014.19</v>
      </c>
      <c r="G3991" s="35"/>
      <c r="H3991" s="36">
        <f t="shared" si="188"/>
        <v>197198.93970000002</v>
      </c>
      <c r="I3991" s="37">
        <f t="shared" si="186"/>
        <v>197198.93970000002</v>
      </c>
      <c r="J3991" s="4"/>
      <c r="K3991" s="38">
        <f t="shared" si="187"/>
        <v>0</v>
      </c>
    </row>
    <row r="3992" spans="1:11">
      <c r="A3992" t="s">
        <v>5304</v>
      </c>
      <c r="B3992" t="s">
        <v>10176</v>
      </c>
      <c r="C3992" t="s">
        <v>5962</v>
      </c>
      <c r="D3992" t="s">
        <v>11453</v>
      </c>
      <c r="E3992">
        <v>35651.089999999997</v>
      </c>
      <c r="G3992" s="35"/>
      <c r="H3992" s="36">
        <f t="shared" si="188"/>
        <v>22460.186699999998</v>
      </c>
      <c r="I3992" s="37">
        <f t="shared" si="186"/>
        <v>22460.186699999998</v>
      </c>
      <c r="J3992" s="4"/>
      <c r="K3992" s="38">
        <f t="shared" si="187"/>
        <v>0</v>
      </c>
    </row>
    <row r="3993" spans="1:11">
      <c r="A3993" t="s">
        <v>5305</v>
      </c>
      <c r="B3993" t="s">
        <v>10176</v>
      </c>
      <c r="C3993" t="s">
        <v>5962</v>
      </c>
      <c r="D3993" t="s">
        <v>10972</v>
      </c>
      <c r="E3993">
        <v>35030.28</v>
      </c>
      <c r="G3993" s="35"/>
      <c r="H3993" s="36">
        <f t="shared" si="188"/>
        <v>22069.076399999998</v>
      </c>
      <c r="I3993" s="37">
        <f t="shared" si="186"/>
        <v>22069.076399999998</v>
      </c>
      <c r="J3993" s="4"/>
      <c r="K3993" s="38">
        <f t="shared" si="187"/>
        <v>0</v>
      </c>
    </row>
    <row r="3994" spans="1:11">
      <c r="A3994" t="s">
        <v>5306</v>
      </c>
      <c r="B3994" t="s">
        <v>10176</v>
      </c>
      <c r="C3994" t="s">
        <v>5962</v>
      </c>
      <c r="D3994" t="s">
        <v>10973</v>
      </c>
      <c r="E3994">
        <v>56112.959999999999</v>
      </c>
      <c r="G3994" s="35"/>
      <c r="H3994" s="36">
        <f t="shared" si="188"/>
        <v>35351.164799999999</v>
      </c>
      <c r="I3994" s="37">
        <f t="shared" si="186"/>
        <v>35351.164799999999</v>
      </c>
      <c r="J3994" s="4"/>
      <c r="K3994" s="38">
        <f t="shared" si="187"/>
        <v>0</v>
      </c>
    </row>
    <row r="3995" spans="1:11">
      <c r="A3995" t="s">
        <v>5307</v>
      </c>
      <c r="B3995" t="s">
        <v>10176</v>
      </c>
      <c r="C3995" t="s">
        <v>5962</v>
      </c>
      <c r="D3995" t="s">
        <v>11454</v>
      </c>
      <c r="E3995">
        <v>42609.86</v>
      </c>
      <c r="G3995" s="35"/>
      <c r="H3995" s="36">
        <f t="shared" si="188"/>
        <v>26844.211800000001</v>
      </c>
      <c r="I3995" s="37">
        <f t="shared" si="186"/>
        <v>26844.211800000001</v>
      </c>
      <c r="J3995" s="4"/>
      <c r="K3995" s="38">
        <f t="shared" si="187"/>
        <v>0</v>
      </c>
    </row>
    <row r="3996" spans="1:11">
      <c r="A3996" t="s">
        <v>5308</v>
      </c>
      <c r="B3996" t="s">
        <v>10176</v>
      </c>
      <c r="C3996" t="s">
        <v>5962</v>
      </c>
      <c r="D3996" t="s">
        <v>10974</v>
      </c>
      <c r="E3996">
        <v>40575.85</v>
      </c>
      <c r="G3996" s="35"/>
      <c r="H3996" s="36">
        <f t="shared" si="188"/>
        <v>25562.785499999998</v>
      </c>
      <c r="I3996" s="37">
        <f t="shared" si="186"/>
        <v>25562.785499999998</v>
      </c>
      <c r="J3996" s="4"/>
      <c r="K3996" s="38">
        <f t="shared" si="187"/>
        <v>0</v>
      </c>
    </row>
    <row r="3997" spans="1:11">
      <c r="A3997" t="s">
        <v>5309</v>
      </c>
      <c r="B3997" t="s">
        <v>10176</v>
      </c>
      <c r="C3997" t="s">
        <v>5962</v>
      </c>
      <c r="D3997" t="s">
        <v>10545</v>
      </c>
      <c r="E3997">
        <v>48295.839999999997</v>
      </c>
      <c r="G3997" s="35"/>
      <c r="H3997" s="36">
        <f t="shared" si="188"/>
        <v>30426.379199999999</v>
      </c>
      <c r="I3997" s="37">
        <f t="shared" si="186"/>
        <v>30426.379199999999</v>
      </c>
      <c r="J3997" s="4"/>
      <c r="K3997" s="38">
        <f t="shared" si="187"/>
        <v>0</v>
      </c>
    </row>
    <row r="3998" spans="1:11">
      <c r="A3998" t="s">
        <v>5310</v>
      </c>
      <c r="B3998" t="s">
        <v>10176</v>
      </c>
      <c r="C3998" t="s">
        <v>5962</v>
      </c>
      <c r="D3998" t="s">
        <v>11455</v>
      </c>
      <c r="E3998">
        <v>37996.550000000003</v>
      </c>
      <c r="G3998" s="35"/>
      <c r="H3998" s="36">
        <f t="shared" si="188"/>
        <v>23937.826500000003</v>
      </c>
      <c r="I3998" s="37">
        <f t="shared" si="186"/>
        <v>23937.826500000003</v>
      </c>
      <c r="J3998" s="4"/>
      <c r="K3998" s="38">
        <f t="shared" si="187"/>
        <v>0</v>
      </c>
    </row>
    <row r="3999" spans="1:11">
      <c r="A3999" t="s">
        <v>5311</v>
      </c>
      <c r="B3999" t="s">
        <v>10176</v>
      </c>
      <c r="C3999" t="s">
        <v>5962</v>
      </c>
      <c r="D3999" t="s">
        <v>10546</v>
      </c>
      <c r="E3999">
        <v>41927.800000000003</v>
      </c>
      <c r="G3999" s="35"/>
      <c r="H3999" s="36">
        <f t="shared" si="188"/>
        <v>26414.514000000003</v>
      </c>
      <c r="I3999" s="37">
        <f t="shared" si="186"/>
        <v>26414.514000000003</v>
      </c>
      <c r="J3999" s="4"/>
      <c r="K3999" s="38">
        <f t="shared" si="187"/>
        <v>0</v>
      </c>
    </row>
    <row r="4000" spans="1:11">
      <c r="A4000" t="s">
        <v>5312</v>
      </c>
      <c r="B4000" t="s">
        <v>10176</v>
      </c>
      <c r="C4000" t="s">
        <v>5962</v>
      </c>
      <c r="D4000" t="s">
        <v>10975</v>
      </c>
      <c r="E4000">
        <v>42001.18</v>
      </c>
      <c r="G4000" s="35"/>
      <c r="H4000" s="36">
        <f t="shared" si="188"/>
        <v>26460.743399999999</v>
      </c>
      <c r="I4000" s="37">
        <f t="shared" si="186"/>
        <v>26460.743399999999</v>
      </c>
      <c r="J4000" s="4"/>
      <c r="K4000" s="38">
        <f t="shared" si="187"/>
        <v>0</v>
      </c>
    </row>
    <row r="4001" spans="1:11">
      <c r="A4001" t="s">
        <v>5313</v>
      </c>
      <c r="B4001" t="s">
        <v>10176</v>
      </c>
      <c r="C4001" t="s">
        <v>5962</v>
      </c>
      <c r="D4001" t="s">
        <v>10976</v>
      </c>
      <c r="E4001">
        <v>32055.57</v>
      </c>
      <c r="G4001" s="35"/>
      <c r="H4001" s="36">
        <f t="shared" si="188"/>
        <v>20195.009099999999</v>
      </c>
      <c r="I4001" s="37">
        <f t="shared" si="186"/>
        <v>20195.009099999999</v>
      </c>
      <c r="J4001" s="4"/>
      <c r="K4001" s="38">
        <f t="shared" si="187"/>
        <v>0</v>
      </c>
    </row>
    <row r="4002" spans="1:11">
      <c r="A4002" t="s">
        <v>5314</v>
      </c>
      <c r="B4002" t="s">
        <v>10176</v>
      </c>
      <c r="C4002" t="s">
        <v>5962</v>
      </c>
      <c r="D4002" t="s">
        <v>10977</v>
      </c>
      <c r="E4002">
        <v>31108.52</v>
      </c>
      <c r="G4002" s="35"/>
      <c r="H4002" s="36">
        <f t="shared" si="188"/>
        <v>19598.367600000001</v>
      </c>
      <c r="I4002" s="37">
        <f t="shared" si="186"/>
        <v>19598.367600000001</v>
      </c>
      <c r="J4002" s="4"/>
      <c r="K4002" s="38">
        <f t="shared" si="187"/>
        <v>0</v>
      </c>
    </row>
    <row r="4003" spans="1:11">
      <c r="A4003" t="s">
        <v>5315</v>
      </c>
      <c r="B4003" t="s">
        <v>10176</v>
      </c>
      <c r="C4003" t="s">
        <v>5962</v>
      </c>
      <c r="D4003" t="s">
        <v>10547</v>
      </c>
      <c r="E4003">
        <v>50718.37</v>
      </c>
      <c r="G4003" s="35"/>
      <c r="H4003" s="36">
        <f t="shared" si="188"/>
        <v>31952.573100000001</v>
      </c>
      <c r="I4003" s="37">
        <f t="shared" si="186"/>
        <v>31952.573100000001</v>
      </c>
      <c r="J4003" s="4"/>
      <c r="K4003" s="38">
        <f t="shared" si="187"/>
        <v>0</v>
      </c>
    </row>
    <row r="4004" spans="1:11">
      <c r="A4004" t="s">
        <v>5316</v>
      </c>
      <c r="B4004" t="s">
        <v>10176</v>
      </c>
      <c r="C4004" t="s">
        <v>5962</v>
      </c>
      <c r="D4004" t="s">
        <v>10960</v>
      </c>
      <c r="E4004">
        <v>47017.27</v>
      </c>
      <c r="G4004" s="35"/>
      <c r="H4004" s="36">
        <f t="shared" si="188"/>
        <v>29620.880099999998</v>
      </c>
      <c r="I4004" s="37">
        <f t="shared" si="186"/>
        <v>29620.880099999998</v>
      </c>
      <c r="J4004" s="4"/>
      <c r="K4004" s="38">
        <f t="shared" si="187"/>
        <v>0</v>
      </c>
    </row>
    <row r="4005" spans="1:11">
      <c r="A4005" t="s">
        <v>5317</v>
      </c>
      <c r="B4005" t="s">
        <v>10176</v>
      </c>
      <c r="C4005" t="s">
        <v>5962</v>
      </c>
      <c r="D4005" t="s">
        <v>10978</v>
      </c>
      <c r="E4005">
        <v>127775.17</v>
      </c>
      <c r="G4005" s="35"/>
      <c r="H4005" s="36">
        <f t="shared" si="188"/>
        <v>80498.357099999994</v>
      </c>
      <c r="I4005" s="37">
        <f t="shared" si="186"/>
        <v>80498.357099999994</v>
      </c>
      <c r="J4005" s="4"/>
      <c r="K4005" s="38">
        <f t="shared" si="187"/>
        <v>0</v>
      </c>
    </row>
    <row r="4006" spans="1:11">
      <c r="A4006" t="s">
        <v>5318</v>
      </c>
      <c r="B4006" t="s">
        <v>10176</v>
      </c>
      <c r="C4006" t="s">
        <v>5962</v>
      </c>
      <c r="D4006" t="s">
        <v>10979</v>
      </c>
      <c r="E4006">
        <v>84965.25</v>
      </c>
      <c r="G4006" s="35"/>
      <c r="H4006" s="36">
        <f t="shared" si="188"/>
        <v>53528.107499999998</v>
      </c>
      <c r="I4006" s="37">
        <f t="shared" si="186"/>
        <v>53528.107499999998</v>
      </c>
      <c r="J4006" s="4"/>
      <c r="K4006" s="38">
        <f t="shared" si="187"/>
        <v>0</v>
      </c>
    </row>
    <row r="4007" spans="1:11">
      <c r="A4007" t="s">
        <v>5319</v>
      </c>
      <c r="B4007" t="s">
        <v>10176</v>
      </c>
      <c r="C4007" t="s">
        <v>5962</v>
      </c>
      <c r="D4007" t="s">
        <v>11456</v>
      </c>
      <c r="E4007">
        <v>91965.71</v>
      </c>
      <c r="G4007" s="35"/>
      <c r="H4007" s="36">
        <f t="shared" si="188"/>
        <v>57938.397300000004</v>
      </c>
      <c r="I4007" s="37">
        <f t="shared" si="186"/>
        <v>57938.397300000004</v>
      </c>
      <c r="J4007" s="4"/>
      <c r="K4007" s="38">
        <f t="shared" si="187"/>
        <v>0</v>
      </c>
    </row>
    <row r="4008" spans="1:11">
      <c r="A4008" t="s">
        <v>5321</v>
      </c>
      <c r="B4008" t="s">
        <v>10176</v>
      </c>
      <c r="C4008" t="s">
        <v>5963</v>
      </c>
      <c r="D4008" t="s">
        <v>11458</v>
      </c>
      <c r="E4008">
        <v>15365.54</v>
      </c>
      <c r="G4008" s="35"/>
      <c r="H4008" s="36">
        <f t="shared" si="188"/>
        <v>9680.2902000000013</v>
      </c>
      <c r="I4008" s="37">
        <f t="shared" si="186"/>
        <v>9680.2902000000013</v>
      </c>
      <c r="J4008" s="4"/>
      <c r="K4008" s="38">
        <f t="shared" si="187"/>
        <v>0</v>
      </c>
    </row>
    <row r="4009" spans="1:11">
      <c r="A4009" t="s">
        <v>5320</v>
      </c>
      <c r="B4009" t="s">
        <v>10176</v>
      </c>
      <c r="C4009" t="s">
        <v>5963</v>
      </c>
      <c r="D4009" t="s">
        <v>11457</v>
      </c>
      <c r="E4009">
        <v>24170.36</v>
      </c>
      <c r="G4009" s="35"/>
      <c r="H4009" s="36">
        <f t="shared" si="188"/>
        <v>15227.326800000001</v>
      </c>
      <c r="I4009" s="37">
        <f t="shared" si="186"/>
        <v>15227.326800000001</v>
      </c>
      <c r="J4009" s="4"/>
      <c r="K4009" s="38">
        <f t="shared" si="187"/>
        <v>0</v>
      </c>
    </row>
    <row r="4010" spans="1:11">
      <c r="A4010" t="s">
        <v>5322</v>
      </c>
      <c r="B4010" t="s">
        <v>10176</v>
      </c>
      <c r="C4010" t="s">
        <v>5963</v>
      </c>
      <c r="D4010" t="s">
        <v>11459</v>
      </c>
      <c r="E4010">
        <v>17731.580000000002</v>
      </c>
      <c r="G4010" s="35"/>
      <c r="H4010" s="36">
        <f t="shared" si="188"/>
        <v>11170.895400000001</v>
      </c>
      <c r="I4010" s="37">
        <f t="shared" si="186"/>
        <v>11170.895400000001</v>
      </c>
      <c r="J4010" s="4"/>
      <c r="K4010" s="38">
        <f t="shared" si="187"/>
        <v>0</v>
      </c>
    </row>
    <row r="4011" spans="1:11">
      <c r="A4011" t="s">
        <v>5323</v>
      </c>
      <c r="B4011" t="s">
        <v>10176</v>
      </c>
      <c r="C4011" t="s">
        <v>5963</v>
      </c>
      <c r="D4011" t="s">
        <v>11460</v>
      </c>
      <c r="E4011">
        <v>14135.54</v>
      </c>
      <c r="G4011" s="35"/>
      <c r="H4011" s="36">
        <f t="shared" si="188"/>
        <v>8905.3901999999998</v>
      </c>
      <c r="I4011" s="37">
        <f t="shared" si="186"/>
        <v>8905.3901999999998</v>
      </c>
      <c r="J4011" s="4"/>
      <c r="K4011" s="38">
        <f t="shared" si="187"/>
        <v>0</v>
      </c>
    </row>
    <row r="4012" spans="1:11">
      <c r="A4012" t="s">
        <v>5324</v>
      </c>
      <c r="B4012" t="s">
        <v>10176</v>
      </c>
      <c r="C4012" t="s">
        <v>5963</v>
      </c>
      <c r="D4012" t="s">
        <v>10548</v>
      </c>
      <c r="E4012">
        <v>4987.0600000000004</v>
      </c>
      <c r="G4012" s="35"/>
      <c r="H4012" s="36">
        <f t="shared" si="188"/>
        <v>3141.8478000000005</v>
      </c>
      <c r="I4012" s="37">
        <f t="shared" si="186"/>
        <v>3141.8478000000005</v>
      </c>
      <c r="J4012" s="4"/>
      <c r="K4012" s="38">
        <f t="shared" si="187"/>
        <v>0</v>
      </c>
    </row>
    <row r="4013" spans="1:11">
      <c r="A4013" t="s">
        <v>5325</v>
      </c>
      <c r="B4013" t="s">
        <v>10176</v>
      </c>
      <c r="C4013" t="s">
        <v>5963</v>
      </c>
      <c r="D4013" t="s">
        <v>10980</v>
      </c>
      <c r="E4013">
        <v>18017.18</v>
      </c>
      <c r="G4013" s="35"/>
      <c r="H4013" s="36">
        <f t="shared" si="188"/>
        <v>11350.823400000001</v>
      </c>
      <c r="I4013" s="37">
        <f t="shared" si="186"/>
        <v>11350.823400000001</v>
      </c>
      <c r="J4013" s="4"/>
      <c r="K4013" s="38">
        <f t="shared" si="187"/>
        <v>0</v>
      </c>
    </row>
    <row r="4014" spans="1:11">
      <c r="A4014" t="s">
        <v>5326</v>
      </c>
      <c r="B4014" t="s">
        <v>10176</v>
      </c>
      <c r="C4014" t="s">
        <v>5964</v>
      </c>
      <c r="D4014" t="s">
        <v>11461</v>
      </c>
      <c r="E4014">
        <v>20212.7</v>
      </c>
      <c r="G4014" s="35"/>
      <c r="H4014" s="36">
        <f t="shared" si="188"/>
        <v>12734.001</v>
      </c>
      <c r="I4014" s="37">
        <f t="shared" si="186"/>
        <v>12734.001</v>
      </c>
      <c r="J4014" s="4"/>
      <c r="K4014" s="38">
        <f t="shared" si="187"/>
        <v>0</v>
      </c>
    </row>
    <row r="4015" spans="1:11">
      <c r="A4015" t="s">
        <v>5327</v>
      </c>
      <c r="B4015" t="s">
        <v>10176</v>
      </c>
      <c r="C4015" t="s">
        <v>5964</v>
      </c>
      <c r="D4015" t="s">
        <v>11462</v>
      </c>
      <c r="E4015">
        <v>50718.37</v>
      </c>
      <c r="G4015" s="35"/>
      <c r="H4015" s="36">
        <f t="shared" si="188"/>
        <v>31952.573100000001</v>
      </c>
      <c r="I4015" s="37">
        <f t="shared" si="186"/>
        <v>31952.573100000001</v>
      </c>
      <c r="J4015" s="4"/>
      <c r="K4015" s="38">
        <f t="shared" si="187"/>
        <v>0</v>
      </c>
    </row>
    <row r="4016" spans="1:11">
      <c r="A4016" t="s">
        <v>5328</v>
      </c>
      <c r="B4016" t="s">
        <v>10176</v>
      </c>
      <c r="C4016" t="s">
        <v>5964</v>
      </c>
      <c r="D4016" t="s">
        <v>11463</v>
      </c>
      <c r="E4016">
        <v>14479.71</v>
      </c>
      <c r="G4016" s="35"/>
      <c r="H4016" s="36">
        <f t="shared" si="188"/>
        <v>9122.2173000000003</v>
      </c>
      <c r="I4016" s="37">
        <f t="shared" si="186"/>
        <v>9122.2173000000003</v>
      </c>
      <c r="J4016" s="4"/>
      <c r="K4016" s="38">
        <f t="shared" si="187"/>
        <v>0</v>
      </c>
    </row>
    <row r="4017" spans="1:11">
      <c r="A4017" t="s">
        <v>5329</v>
      </c>
      <c r="B4017" t="s">
        <v>10176</v>
      </c>
      <c r="C4017" t="s">
        <v>5964</v>
      </c>
      <c r="D4017" t="s">
        <v>10549</v>
      </c>
      <c r="E4017">
        <v>18584.13</v>
      </c>
      <c r="G4017" s="35"/>
      <c r="H4017" s="36">
        <f t="shared" si="188"/>
        <v>11708.001900000001</v>
      </c>
      <c r="I4017" s="37">
        <f t="shared" si="186"/>
        <v>11708.001900000001</v>
      </c>
      <c r="J4017" s="4"/>
      <c r="K4017" s="38">
        <f t="shared" si="187"/>
        <v>0</v>
      </c>
    </row>
    <row r="4018" spans="1:11">
      <c r="A4018" t="s">
        <v>5330</v>
      </c>
      <c r="B4018" t="s">
        <v>10176</v>
      </c>
      <c r="C4018" t="s">
        <v>5964</v>
      </c>
      <c r="D4018" t="s">
        <v>11464</v>
      </c>
      <c r="E4018">
        <v>21430.04</v>
      </c>
      <c r="G4018" s="35"/>
      <c r="H4018" s="36">
        <f t="shared" si="188"/>
        <v>13500.925200000001</v>
      </c>
      <c r="I4018" s="37">
        <f t="shared" si="186"/>
        <v>13500.925200000001</v>
      </c>
      <c r="J4018" s="4"/>
      <c r="K4018" s="38">
        <f t="shared" si="187"/>
        <v>0</v>
      </c>
    </row>
    <row r="4019" spans="1:11">
      <c r="A4019" t="s">
        <v>5331</v>
      </c>
      <c r="B4019" t="s">
        <v>10176</v>
      </c>
      <c r="C4019" t="s">
        <v>5964</v>
      </c>
      <c r="D4019" t="s">
        <v>11465</v>
      </c>
      <c r="E4019">
        <v>477828.83</v>
      </c>
      <c r="G4019" s="35"/>
      <c r="H4019" s="36">
        <f t="shared" si="188"/>
        <v>301032.1629</v>
      </c>
      <c r="I4019" s="37">
        <f t="shared" si="186"/>
        <v>301032.1629</v>
      </c>
      <c r="J4019" s="4"/>
      <c r="K4019" s="38">
        <f t="shared" si="187"/>
        <v>0</v>
      </c>
    </row>
    <row r="4020" spans="1:11">
      <c r="A4020" t="s">
        <v>5332</v>
      </c>
      <c r="B4020" t="s">
        <v>10176</v>
      </c>
      <c r="C4020" t="s">
        <v>5964</v>
      </c>
      <c r="D4020" t="s">
        <v>10550</v>
      </c>
      <c r="E4020">
        <v>20868.349999999999</v>
      </c>
      <c r="G4020" s="35"/>
      <c r="H4020" s="36">
        <f t="shared" si="188"/>
        <v>13147.0605</v>
      </c>
      <c r="I4020" s="37">
        <f t="shared" si="186"/>
        <v>13147.0605</v>
      </c>
      <c r="J4020" s="4"/>
      <c r="K4020" s="38">
        <f t="shared" si="187"/>
        <v>0</v>
      </c>
    </row>
    <row r="4021" spans="1:11">
      <c r="A4021" t="s">
        <v>5333</v>
      </c>
      <c r="B4021" t="s">
        <v>10176</v>
      </c>
      <c r="C4021" t="s">
        <v>5964</v>
      </c>
      <c r="D4021" t="s">
        <v>11466</v>
      </c>
      <c r="E4021">
        <v>24596.38</v>
      </c>
      <c r="G4021" s="35"/>
      <c r="H4021" s="36">
        <f t="shared" si="188"/>
        <v>15495.7194</v>
      </c>
      <c r="I4021" s="37">
        <f t="shared" si="186"/>
        <v>15495.7194</v>
      </c>
      <c r="J4021" s="4"/>
      <c r="K4021" s="38">
        <f t="shared" si="187"/>
        <v>0</v>
      </c>
    </row>
    <row r="4022" spans="1:11">
      <c r="A4022" t="s">
        <v>5334</v>
      </c>
      <c r="B4022" t="s">
        <v>10176</v>
      </c>
      <c r="C4022" t="s">
        <v>5965</v>
      </c>
      <c r="D4022" t="s">
        <v>11467</v>
      </c>
      <c r="E4022">
        <v>11410.53</v>
      </c>
      <c r="G4022" s="35"/>
      <c r="H4022" s="36">
        <f t="shared" si="188"/>
        <v>7188.6339000000007</v>
      </c>
      <c r="I4022" s="37">
        <f t="shared" si="186"/>
        <v>7188.6339000000007</v>
      </c>
      <c r="J4022" s="4"/>
      <c r="K4022" s="38">
        <f t="shared" si="187"/>
        <v>0</v>
      </c>
    </row>
    <row r="4023" spans="1:11">
      <c r="A4023" t="s">
        <v>5335</v>
      </c>
      <c r="B4023" t="s">
        <v>10176</v>
      </c>
      <c r="C4023" t="s">
        <v>5966</v>
      </c>
      <c r="D4023" t="s">
        <v>11468</v>
      </c>
      <c r="E4023">
        <v>11410.53</v>
      </c>
      <c r="G4023" s="35"/>
      <c r="H4023" s="36">
        <f t="shared" si="188"/>
        <v>7188.6339000000007</v>
      </c>
      <c r="I4023" s="37">
        <f t="shared" si="186"/>
        <v>7188.6339000000007</v>
      </c>
      <c r="J4023" s="4"/>
      <c r="K4023" s="38">
        <f t="shared" si="187"/>
        <v>0</v>
      </c>
    </row>
    <row r="4024" spans="1:11">
      <c r="A4024" t="s">
        <v>5336</v>
      </c>
      <c r="B4024" t="s">
        <v>10176</v>
      </c>
      <c r="C4024" t="s">
        <v>5966</v>
      </c>
      <c r="D4024" t="s">
        <v>11469</v>
      </c>
      <c r="E4024">
        <v>10349.450000000001</v>
      </c>
      <c r="G4024" s="35"/>
      <c r="H4024" s="36">
        <f t="shared" si="188"/>
        <v>6520.1535000000003</v>
      </c>
      <c r="I4024" s="37">
        <f t="shared" si="186"/>
        <v>6520.1535000000003</v>
      </c>
      <c r="J4024" s="4"/>
      <c r="K4024" s="38">
        <f t="shared" si="187"/>
        <v>0</v>
      </c>
    </row>
    <row r="4025" spans="1:11">
      <c r="A4025" t="s">
        <v>5337</v>
      </c>
      <c r="B4025" t="s">
        <v>10176</v>
      </c>
      <c r="C4025" t="s">
        <v>5967</v>
      </c>
      <c r="D4025" t="s">
        <v>11470</v>
      </c>
      <c r="E4025">
        <v>13168.96</v>
      </c>
      <c r="G4025" s="35"/>
      <c r="H4025" s="36">
        <f t="shared" si="188"/>
        <v>8296.4447999999993</v>
      </c>
      <c r="I4025" s="37">
        <f t="shared" si="186"/>
        <v>8296.4447999999993</v>
      </c>
      <c r="J4025" s="4"/>
      <c r="K4025" s="38">
        <f t="shared" si="187"/>
        <v>0</v>
      </c>
    </row>
    <row r="4026" spans="1:11">
      <c r="A4026" t="s">
        <v>10076</v>
      </c>
      <c r="B4026" t="s">
        <v>10176</v>
      </c>
      <c r="C4026" t="s">
        <v>5743</v>
      </c>
      <c r="D4026" t="s">
        <v>11358</v>
      </c>
      <c r="E4026">
        <v>31662.7</v>
      </c>
      <c r="G4026" s="35"/>
      <c r="H4026" s="36">
        <f t="shared" si="188"/>
        <v>19947.501</v>
      </c>
      <c r="I4026" s="37">
        <f t="shared" si="186"/>
        <v>19947.501</v>
      </c>
      <c r="J4026" s="4"/>
      <c r="K4026" s="38">
        <f t="shared" si="187"/>
        <v>0</v>
      </c>
    </row>
    <row r="4027" spans="1:11">
      <c r="A4027" t="s">
        <v>4435</v>
      </c>
      <c r="B4027" t="s">
        <v>10176</v>
      </c>
      <c r="C4027" t="s">
        <v>5743</v>
      </c>
      <c r="D4027" t="s">
        <v>11359</v>
      </c>
      <c r="E4027">
        <v>6514.94</v>
      </c>
      <c r="G4027" s="35"/>
      <c r="H4027" s="36">
        <f t="shared" si="188"/>
        <v>4104.4121999999998</v>
      </c>
      <c r="I4027" s="37">
        <f t="shared" si="186"/>
        <v>4104.4121999999998</v>
      </c>
      <c r="J4027" s="4"/>
      <c r="K4027" s="38">
        <f t="shared" si="187"/>
        <v>0</v>
      </c>
    </row>
    <row r="4028" spans="1:11">
      <c r="A4028" t="s">
        <v>4436</v>
      </c>
      <c r="B4028" t="s">
        <v>10176</v>
      </c>
      <c r="C4028" t="s">
        <v>5743</v>
      </c>
      <c r="D4028" t="s">
        <v>11360</v>
      </c>
      <c r="E4028">
        <v>7932.35</v>
      </c>
      <c r="G4028" s="35"/>
      <c r="H4028" s="36">
        <f t="shared" si="188"/>
        <v>4997.3805000000002</v>
      </c>
      <c r="I4028" s="37">
        <f t="shared" si="186"/>
        <v>4997.3805000000002</v>
      </c>
      <c r="J4028" s="4"/>
      <c r="K4028" s="38">
        <f t="shared" si="187"/>
        <v>0</v>
      </c>
    </row>
    <row r="4029" spans="1:11">
      <c r="A4029" t="s">
        <v>4437</v>
      </c>
      <c r="B4029" t="s">
        <v>10176</v>
      </c>
      <c r="C4029" t="s">
        <v>5743</v>
      </c>
      <c r="D4029" t="s">
        <v>11361</v>
      </c>
      <c r="E4029">
        <v>8107.83</v>
      </c>
      <c r="G4029" s="35"/>
      <c r="H4029" s="36">
        <f t="shared" si="188"/>
        <v>5107.9328999999998</v>
      </c>
      <c r="I4029" s="37">
        <f t="shared" si="186"/>
        <v>5107.9328999999998</v>
      </c>
      <c r="J4029" s="4"/>
      <c r="K4029" s="38">
        <f t="shared" si="187"/>
        <v>0</v>
      </c>
    </row>
    <row r="4030" spans="1:11">
      <c r="A4030" t="s">
        <v>4438</v>
      </c>
      <c r="B4030" t="s">
        <v>10176</v>
      </c>
      <c r="C4030" t="s">
        <v>5743</v>
      </c>
      <c r="D4030" t="s">
        <v>11362</v>
      </c>
      <c r="E4030">
        <v>8613.8799999999992</v>
      </c>
      <c r="G4030" s="35"/>
      <c r="H4030" s="36">
        <f t="shared" si="188"/>
        <v>5426.7443999999996</v>
      </c>
      <c r="I4030" s="37">
        <f t="shared" si="186"/>
        <v>5426.7443999999996</v>
      </c>
      <c r="J4030" s="4"/>
      <c r="K4030" s="38">
        <f t="shared" si="187"/>
        <v>0</v>
      </c>
    </row>
    <row r="4031" spans="1:11">
      <c r="A4031" t="s">
        <v>4439</v>
      </c>
      <c r="B4031" t="s">
        <v>10176</v>
      </c>
      <c r="C4031" t="s">
        <v>5743</v>
      </c>
      <c r="D4031" t="s">
        <v>11363</v>
      </c>
      <c r="E4031">
        <v>10111.01</v>
      </c>
      <c r="G4031" s="35"/>
      <c r="H4031" s="36">
        <f t="shared" si="188"/>
        <v>6369.9363000000003</v>
      </c>
      <c r="I4031" s="37">
        <f t="shared" si="186"/>
        <v>6369.9363000000003</v>
      </c>
      <c r="J4031" s="4"/>
      <c r="K4031" s="38">
        <f t="shared" si="187"/>
        <v>0</v>
      </c>
    </row>
    <row r="4032" spans="1:11">
      <c r="A4032" t="s">
        <v>5338</v>
      </c>
      <c r="B4032" t="s">
        <v>10176</v>
      </c>
      <c r="C4032" t="s">
        <v>5968</v>
      </c>
      <c r="D4032" t="s">
        <v>11471</v>
      </c>
      <c r="E4032">
        <v>13648.29</v>
      </c>
      <c r="G4032" s="35"/>
      <c r="H4032" s="36">
        <f t="shared" si="188"/>
        <v>8598.422700000001</v>
      </c>
      <c r="I4032" s="37">
        <f t="shared" si="186"/>
        <v>8598.422700000001</v>
      </c>
      <c r="J4032" s="4"/>
      <c r="K4032" s="38">
        <f t="shared" si="187"/>
        <v>0</v>
      </c>
    </row>
    <row r="4033" spans="1:11">
      <c r="A4033" t="s">
        <v>5339</v>
      </c>
      <c r="B4033" t="s">
        <v>10176</v>
      </c>
      <c r="C4033" t="s">
        <v>5968</v>
      </c>
      <c r="D4033" t="s">
        <v>11472</v>
      </c>
      <c r="E4033">
        <v>10111.370000000001</v>
      </c>
      <c r="G4033" s="35"/>
      <c r="H4033" s="36">
        <f t="shared" si="188"/>
        <v>6370.1631000000007</v>
      </c>
      <c r="I4033" s="37">
        <f t="shared" si="186"/>
        <v>6370.1631000000007</v>
      </c>
      <c r="J4033" s="4"/>
      <c r="K4033" s="38">
        <f t="shared" si="187"/>
        <v>0</v>
      </c>
    </row>
    <row r="4034" spans="1:11">
      <c r="A4034" t="s">
        <v>5340</v>
      </c>
      <c r="B4034" t="s">
        <v>10176</v>
      </c>
      <c r="C4034" t="s">
        <v>5968</v>
      </c>
      <c r="D4034" t="s">
        <v>11473</v>
      </c>
      <c r="E4034">
        <v>9502.17</v>
      </c>
      <c r="G4034" s="35"/>
      <c r="H4034" s="36">
        <f t="shared" si="188"/>
        <v>5986.3671000000004</v>
      </c>
      <c r="I4034" s="37">
        <f t="shared" si="186"/>
        <v>5986.3671000000004</v>
      </c>
      <c r="J4034" s="4"/>
      <c r="K4034" s="38">
        <f t="shared" si="187"/>
        <v>0</v>
      </c>
    </row>
    <row r="4035" spans="1:11">
      <c r="A4035" t="s">
        <v>5341</v>
      </c>
      <c r="B4035" t="s">
        <v>10176</v>
      </c>
      <c r="C4035" t="s">
        <v>5968</v>
      </c>
      <c r="D4035" t="s">
        <v>11474</v>
      </c>
      <c r="E4035">
        <v>8549.84</v>
      </c>
      <c r="G4035" s="35"/>
      <c r="H4035" s="36">
        <f t="shared" si="188"/>
        <v>5386.3991999999998</v>
      </c>
      <c r="I4035" s="37">
        <f t="shared" si="186"/>
        <v>5386.3991999999998</v>
      </c>
      <c r="J4035" s="4"/>
      <c r="K4035" s="38">
        <f t="shared" si="187"/>
        <v>0</v>
      </c>
    </row>
    <row r="4036" spans="1:11">
      <c r="A4036" t="s">
        <v>5342</v>
      </c>
      <c r="B4036" t="s">
        <v>10176</v>
      </c>
      <c r="C4036" t="s">
        <v>5968</v>
      </c>
      <c r="D4036" t="s">
        <v>11475</v>
      </c>
      <c r="E4036">
        <v>10637.68</v>
      </c>
      <c r="G4036" s="35"/>
      <c r="H4036" s="36">
        <f t="shared" si="188"/>
        <v>6701.7384000000002</v>
      </c>
      <c r="I4036" s="37">
        <f t="shared" si="186"/>
        <v>6701.7384000000002</v>
      </c>
      <c r="J4036" s="4"/>
      <c r="K4036" s="38">
        <f t="shared" si="187"/>
        <v>0</v>
      </c>
    </row>
    <row r="4037" spans="1:11">
      <c r="A4037" t="s">
        <v>11843</v>
      </c>
      <c r="B4037" t="s">
        <v>10176</v>
      </c>
      <c r="C4037" t="s">
        <v>5968</v>
      </c>
      <c r="D4037" t="s">
        <v>11844</v>
      </c>
      <c r="E4037">
        <v>7433.31</v>
      </c>
      <c r="G4037" s="35"/>
      <c r="H4037" s="36">
        <f t="shared" si="188"/>
        <v>4682.9853000000003</v>
      </c>
      <c r="I4037" s="37">
        <f t="shared" si="186"/>
        <v>4682.9853000000003</v>
      </c>
      <c r="J4037" s="4"/>
      <c r="K4037" s="38">
        <f t="shared" si="187"/>
        <v>0</v>
      </c>
    </row>
    <row r="4038" spans="1:11">
      <c r="A4038" t="s">
        <v>5343</v>
      </c>
      <c r="B4038" t="s">
        <v>10176</v>
      </c>
      <c r="C4038" t="s">
        <v>5968</v>
      </c>
      <c r="D4038" t="s">
        <v>11476</v>
      </c>
      <c r="E4038">
        <v>11640.69</v>
      </c>
      <c r="G4038" s="35"/>
      <c r="H4038" s="36">
        <f t="shared" si="188"/>
        <v>7333.6347000000005</v>
      </c>
      <c r="I4038" s="37">
        <f t="shared" ref="I4038:I4101" si="189">H4038*$H$4</f>
        <v>7333.6347000000005</v>
      </c>
      <c r="J4038" s="4"/>
      <c r="K4038" s="38">
        <f t="shared" ref="K4038:K4101" si="190">J4038*I4038</f>
        <v>0</v>
      </c>
    </row>
    <row r="4039" spans="1:11">
      <c r="A4039" t="s">
        <v>5344</v>
      </c>
      <c r="B4039" t="s">
        <v>10176</v>
      </c>
      <c r="C4039" t="s">
        <v>5968</v>
      </c>
      <c r="D4039" t="s">
        <v>11477</v>
      </c>
      <c r="E4039">
        <v>13248.13</v>
      </c>
      <c r="G4039" s="35"/>
      <c r="H4039" s="36">
        <f t="shared" ref="H4039:H4102" si="191">+E4039*$H$1*(1-G4039)</f>
        <v>8346.321899999999</v>
      </c>
      <c r="I4039" s="37">
        <f t="shared" si="189"/>
        <v>8346.321899999999</v>
      </c>
      <c r="J4039" s="4"/>
      <c r="K4039" s="38">
        <f t="shared" si="190"/>
        <v>0</v>
      </c>
    </row>
    <row r="4040" spans="1:11">
      <c r="A4040" t="s">
        <v>5346</v>
      </c>
      <c r="B4040" t="s">
        <v>10176</v>
      </c>
      <c r="C4040" t="s">
        <v>5968</v>
      </c>
      <c r="D4040" t="s">
        <v>11479</v>
      </c>
      <c r="E4040">
        <v>9982.0300000000007</v>
      </c>
      <c r="G4040" s="35"/>
      <c r="H4040" s="36">
        <f t="shared" si="191"/>
        <v>6288.6789000000008</v>
      </c>
      <c r="I4040" s="37">
        <f t="shared" si="189"/>
        <v>6288.6789000000008</v>
      </c>
      <c r="J4040" s="4"/>
      <c r="K4040" s="38">
        <f t="shared" si="190"/>
        <v>0</v>
      </c>
    </row>
    <row r="4041" spans="1:11">
      <c r="A4041" t="s">
        <v>5345</v>
      </c>
      <c r="B4041" t="s">
        <v>10176</v>
      </c>
      <c r="C4041" t="s">
        <v>5968</v>
      </c>
      <c r="D4041" t="s">
        <v>11478</v>
      </c>
      <c r="E4041">
        <v>7961.77</v>
      </c>
      <c r="G4041" s="35"/>
      <c r="H4041" s="36">
        <f t="shared" si="191"/>
        <v>5015.9151000000002</v>
      </c>
      <c r="I4041" s="37">
        <f t="shared" si="189"/>
        <v>5015.9151000000002</v>
      </c>
      <c r="J4041" s="4"/>
      <c r="K4041" s="38">
        <f t="shared" si="190"/>
        <v>0</v>
      </c>
    </row>
    <row r="4042" spans="1:11">
      <c r="A4042" t="s">
        <v>5347</v>
      </c>
      <c r="B4042" t="s">
        <v>10176</v>
      </c>
      <c r="C4042" t="s">
        <v>5969</v>
      </c>
      <c r="D4042" t="s">
        <v>11480</v>
      </c>
      <c r="E4042">
        <v>7864.63</v>
      </c>
      <c r="G4042" s="35"/>
      <c r="H4042" s="36">
        <f t="shared" si="191"/>
        <v>4954.7169000000004</v>
      </c>
      <c r="I4042" s="37">
        <f t="shared" si="189"/>
        <v>4954.7169000000004</v>
      </c>
      <c r="J4042" s="4"/>
      <c r="K4042" s="38">
        <f t="shared" si="190"/>
        <v>0</v>
      </c>
    </row>
    <row r="4043" spans="1:11">
      <c r="A4043" t="s">
        <v>5348</v>
      </c>
      <c r="B4043" t="s">
        <v>10176</v>
      </c>
      <c r="C4043" t="s">
        <v>5970</v>
      </c>
      <c r="D4043" t="s">
        <v>11481</v>
      </c>
      <c r="E4043">
        <v>11640.69</v>
      </c>
      <c r="G4043" s="35"/>
      <c r="H4043" s="36">
        <f t="shared" si="191"/>
        <v>7333.6347000000005</v>
      </c>
      <c r="I4043" s="37">
        <f t="shared" si="189"/>
        <v>7333.6347000000005</v>
      </c>
      <c r="J4043" s="4"/>
      <c r="K4043" s="38">
        <f t="shared" si="190"/>
        <v>0</v>
      </c>
    </row>
    <row r="4044" spans="1:11">
      <c r="A4044" t="s">
        <v>5349</v>
      </c>
      <c r="B4044" t="s">
        <v>10176</v>
      </c>
      <c r="C4044" t="s">
        <v>5970</v>
      </c>
      <c r="D4044" t="s">
        <v>11482</v>
      </c>
      <c r="E4044">
        <v>1361.99</v>
      </c>
      <c r="G4044" s="35"/>
      <c r="H4044" s="36">
        <f t="shared" si="191"/>
        <v>858.05370000000005</v>
      </c>
      <c r="I4044" s="37">
        <f t="shared" si="189"/>
        <v>858.05370000000005</v>
      </c>
      <c r="J4044" s="4"/>
      <c r="K4044" s="38">
        <f t="shared" si="190"/>
        <v>0</v>
      </c>
    </row>
    <row r="4045" spans="1:11">
      <c r="A4045" t="s">
        <v>5350</v>
      </c>
      <c r="B4045" t="s">
        <v>10176</v>
      </c>
      <c r="C4045" t="s">
        <v>5971</v>
      </c>
      <c r="D4045" t="s">
        <v>11483</v>
      </c>
      <c r="E4045">
        <v>70089.600000000006</v>
      </c>
      <c r="G4045" s="35"/>
      <c r="H4045" s="36">
        <f t="shared" si="191"/>
        <v>44156.448000000004</v>
      </c>
      <c r="I4045" s="37">
        <f t="shared" si="189"/>
        <v>44156.448000000004</v>
      </c>
      <c r="J4045" s="4"/>
      <c r="K4045" s="38">
        <f t="shared" si="190"/>
        <v>0</v>
      </c>
    </row>
    <row r="4046" spans="1:11">
      <c r="A4046" t="s">
        <v>5351</v>
      </c>
      <c r="B4046" t="s">
        <v>10176</v>
      </c>
      <c r="C4046" t="s">
        <v>5972</v>
      </c>
      <c r="D4046" t="s">
        <v>11484</v>
      </c>
      <c r="E4046">
        <v>1132.8900000000001</v>
      </c>
      <c r="G4046" s="35"/>
      <c r="H4046" s="36">
        <f t="shared" si="191"/>
        <v>713.72070000000008</v>
      </c>
      <c r="I4046" s="37">
        <f t="shared" si="189"/>
        <v>713.72070000000008</v>
      </c>
      <c r="J4046" s="4"/>
      <c r="K4046" s="38">
        <f t="shared" si="190"/>
        <v>0</v>
      </c>
    </row>
    <row r="4047" spans="1:11">
      <c r="A4047" t="s">
        <v>5352</v>
      </c>
      <c r="B4047" t="s">
        <v>10176</v>
      </c>
      <c r="C4047" t="s">
        <v>5972</v>
      </c>
      <c r="D4047" t="s">
        <v>11485</v>
      </c>
      <c r="E4047">
        <v>1049.98</v>
      </c>
      <c r="G4047" s="35"/>
      <c r="H4047" s="36">
        <f t="shared" si="191"/>
        <v>661.48739999999998</v>
      </c>
      <c r="I4047" s="37">
        <f t="shared" si="189"/>
        <v>661.48739999999998</v>
      </c>
      <c r="J4047" s="4"/>
      <c r="K4047" s="38">
        <f t="shared" si="190"/>
        <v>0</v>
      </c>
    </row>
    <row r="4048" spans="1:11">
      <c r="A4048" t="s">
        <v>5353</v>
      </c>
      <c r="B4048" t="s">
        <v>10176</v>
      </c>
      <c r="C4048" t="s">
        <v>5972</v>
      </c>
      <c r="D4048" t="s">
        <v>11486</v>
      </c>
      <c r="E4048">
        <v>3808.23</v>
      </c>
      <c r="G4048" s="35"/>
      <c r="H4048" s="36">
        <f t="shared" si="191"/>
        <v>2399.1849000000002</v>
      </c>
      <c r="I4048" s="37">
        <f t="shared" si="189"/>
        <v>2399.1849000000002</v>
      </c>
      <c r="J4048" s="4"/>
      <c r="K4048" s="38">
        <f t="shared" si="190"/>
        <v>0</v>
      </c>
    </row>
    <row r="4049" spans="1:11">
      <c r="A4049" t="s">
        <v>5354</v>
      </c>
      <c r="B4049" t="s">
        <v>10176</v>
      </c>
      <c r="C4049" t="s">
        <v>5972</v>
      </c>
      <c r="D4049" t="s">
        <v>11487</v>
      </c>
      <c r="E4049">
        <v>1694.55</v>
      </c>
      <c r="G4049" s="35"/>
      <c r="H4049" s="36">
        <f t="shared" si="191"/>
        <v>1067.5664999999999</v>
      </c>
      <c r="I4049" s="37">
        <f t="shared" si="189"/>
        <v>1067.5664999999999</v>
      </c>
      <c r="J4049" s="4"/>
      <c r="K4049" s="38">
        <f t="shared" si="190"/>
        <v>0</v>
      </c>
    </row>
    <row r="4050" spans="1:11">
      <c r="A4050" t="s">
        <v>5355</v>
      </c>
      <c r="B4050" t="s">
        <v>10176</v>
      </c>
      <c r="C4050" t="s">
        <v>5972</v>
      </c>
      <c r="D4050" t="s">
        <v>11488</v>
      </c>
      <c r="E4050">
        <v>11769.49</v>
      </c>
      <c r="G4050" s="35"/>
      <c r="H4050" s="36">
        <f t="shared" si="191"/>
        <v>7414.7786999999998</v>
      </c>
      <c r="I4050" s="37">
        <f t="shared" si="189"/>
        <v>7414.7786999999998</v>
      </c>
      <c r="J4050" s="4"/>
      <c r="K4050" s="38">
        <f t="shared" si="190"/>
        <v>0</v>
      </c>
    </row>
    <row r="4051" spans="1:11">
      <c r="A4051" t="s">
        <v>5356</v>
      </c>
      <c r="B4051" t="s">
        <v>10176</v>
      </c>
      <c r="C4051" t="s">
        <v>5972</v>
      </c>
      <c r="D4051" t="s">
        <v>11489</v>
      </c>
      <c r="E4051">
        <v>57480.21</v>
      </c>
      <c r="G4051" s="35"/>
      <c r="H4051" s="36">
        <f t="shared" si="191"/>
        <v>36212.532299999999</v>
      </c>
      <c r="I4051" s="37">
        <f t="shared" si="189"/>
        <v>36212.532299999999</v>
      </c>
      <c r="J4051" s="4"/>
      <c r="K4051" s="38">
        <f t="shared" si="190"/>
        <v>0</v>
      </c>
    </row>
    <row r="4052" spans="1:11">
      <c r="A4052" t="s">
        <v>5357</v>
      </c>
      <c r="B4052" t="s">
        <v>10176</v>
      </c>
      <c r="C4052" t="s">
        <v>5972</v>
      </c>
      <c r="D4052" t="s">
        <v>11490</v>
      </c>
      <c r="E4052">
        <v>2146.98</v>
      </c>
      <c r="G4052" s="35"/>
      <c r="H4052" s="36">
        <f t="shared" si="191"/>
        <v>1352.5974000000001</v>
      </c>
      <c r="I4052" s="37">
        <f t="shared" si="189"/>
        <v>1352.5974000000001</v>
      </c>
      <c r="J4052" s="4"/>
      <c r="K4052" s="38">
        <f t="shared" si="190"/>
        <v>0</v>
      </c>
    </row>
    <row r="4053" spans="1:11">
      <c r="A4053" t="s">
        <v>5358</v>
      </c>
      <c r="B4053" t="s">
        <v>10176</v>
      </c>
      <c r="C4053" t="s">
        <v>5973</v>
      </c>
      <c r="D4053" t="s">
        <v>11491</v>
      </c>
      <c r="E4053">
        <v>4066.4</v>
      </c>
      <c r="G4053" s="35"/>
      <c r="H4053" s="36">
        <f t="shared" si="191"/>
        <v>2561.8319999999999</v>
      </c>
      <c r="I4053" s="37">
        <f t="shared" si="189"/>
        <v>2561.8319999999999</v>
      </c>
      <c r="J4053" s="4"/>
      <c r="K4053" s="38">
        <f t="shared" si="190"/>
        <v>0</v>
      </c>
    </row>
    <row r="4054" spans="1:11">
      <c r="A4054" t="s">
        <v>5359</v>
      </c>
      <c r="B4054" t="s">
        <v>10176</v>
      </c>
      <c r="C4054" t="s">
        <v>5973</v>
      </c>
      <c r="D4054" t="s">
        <v>11492</v>
      </c>
      <c r="E4054">
        <v>7915.31</v>
      </c>
      <c r="G4054" s="35"/>
      <c r="H4054" s="36">
        <f t="shared" si="191"/>
        <v>4986.6453000000001</v>
      </c>
      <c r="I4054" s="37">
        <f t="shared" si="189"/>
        <v>4986.6453000000001</v>
      </c>
      <c r="J4054" s="4"/>
      <c r="K4054" s="38">
        <f t="shared" si="190"/>
        <v>0</v>
      </c>
    </row>
    <row r="4055" spans="1:11">
      <c r="A4055" t="s">
        <v>5360</v>
      </c>
      <c r="B4055" t="s">
        <v>10176</v>
      </c>
      <c r="C4055" t="s">
        <v>5974</v>
      </c>
      <c r="D4055" t="s">
        <v>11493</v>
      </c>
      <c r="E4055">
        <v>2049.8200000000002</v>
      </c>
      <c r="G4055" s="35"/>
      <c r="H4055" s="36">
        <f t="shared" si="191"/>
        <v>1291.3866</v>
      </c>
      <c r="I4055" s="37">
        <f t="shared" si="189"/>
        <v>1291.3866</v>
      </c>
      <c r="J4055" s="4"/>
      <c r="K4055" s="38">
        <f t="shared" si="190"/>
        <v>0</v>
      </c>
    </row>
    <row r="4056" spans="1:11">
      <c r="A4056" t="s">
        <v>5361</v>
      </c>
      <c r="B4056" t="s">
        <v>10176</v>
      </c>
      <c r="C4056" t="s">
        <v>5974</v>
      </c>
      <c r="D4056" t="s">
        <v>11494</v>
      </c>
      <c r="E4056">
        <v>4134.01</v>
      </c>
      <c r="G4056" s="35"/>
      <c r="H4056" s="36">
        <f t="shared" si="191"/>
        <v>2604.4263000000001</v>
      </c>
      <c r="I4056" s="37">
        <f t="shared" si="189"/>
        <v>2604.4263000000001</v>
      </c>
      <c r="J4056" s="4"/>
      <c r="K4056" s="38">
        <f t="shared" si="190"/>
        <v>0</v>
      </c>
    </row>
    <row r="4057" spans="1:11">
      <c r="A4057" t="s">
        <v>5362</v>
      </c>
      <c r="B4057" t="s">
        <v>10176</v>
      </c>
      <c r="C4057" t="s">
        <v>5974</v>
      </c>
      <c r="D4057" t="s">
        <v>10551</v>
      </c>
      <c r="E4057">
        <v>8259.5</v>
      </c>
      <c r="G4057" s="35"/>
      <c r="H4057" s="36">
        <f t="shared" si="191"/>
        <v>5203.4849999999997</v>
      </c>
      <c r="I4057" s="37">
        <f t="shared" si="189"/>
        <v>5203.4849999999997</v>
      </c>
      <c r="J4057" s="4"/>
      <c r="K4057" s="38">
        <f t="shared" si="190"/>
        <v>0</v>
      </c>
    </row>
    <row r="4058" spans="1:11">
      <c r="A4058" t="s">
        <v>5363</v>
      </c>
      <c r="B4058" t="s">
        <v>10176</v>
      </c>
      <c r="C4058" t="s">
        <v>5974</v>
      </c>
      <c r="D4058" t="s">
        <v>11495</v>
      </c>
      <c r="E4058">
        <v>5025.6099999999997</v>
      </c>
      <c r="G4058" s="35"/>
      <c r="H4058" s="36">
        <f t="shared" si="191"/>
        <v>3166.1342999999997</v>
      </c>
      <c r="I4058" s="37">
        <f t="shared" si="189"/>
        <v>3166.1342999999997</v>
      </c>
      <c r="J4058" s="4"/>
      <c r="K4058" s="38">
        <f t="shared" si="190"/>
        <v>0</v>
      </c>
    </row>
    <row r="4059" spans="1:11">
      <c r="A4059" t="s">
        <v>5364</v>
      </c>
      <c r="B4059" t="s">
        <v>10176</v>
      </c>
      <c r="C4059" t="s">
        <v>5975</v>
      </c>
      <c r="D4059" t="s">
        <v>10552</v>
      </c>
      <c r="E4059">
        <v>95346.91</v>
      </c>
      <c r="G4059" s="35"/>
      <c r="H4059" s="36">
        <f t="shared" si="191"/>
        <v>60068.5533</v>
      </c>
      <c r="I4059" s="37">
        <f t="shared" si="189"/>
        <v>60068.5533</v>
      </c>
      <c r="J4059" s="4"/>
      <c r="K4059" s="38">
        <f t="shared" si="190"/>
        <v>0</v>
      </c>
    </row>
    <row r="4060" spans="1:11">
      <c r="A4060" t="s">
        <v>5365</v>
      </c>
      <c r="B4060" t="s">
        <v>10176</v>
      </c>
      <c r="C4060" t="s">
        <v>5975</v>
      </c>
      <c r="D4060" t="s">
        <v>10553</v>
      </c>
      <c r="E4060">
        <v>156610.03</v>
      </c>
      <c r="G4060" s="35"/>
      <c r="H4060" s="36">
        <f t="shared" si="191"/>
        <v>98664.318899999998</v>
      </c>
      <c r="I4060" s="37">
        <f t="shared" si="189"/>
        <v>98664.318899999998</v>
      </c>
      <c r="J4060" s="4"/>
      <c r="K4060" s="38">
        <f t="shared" si="190"/>
        <v>0</v>
      </c>
    </row>
    <row r="4061" spans="1:11">
      <c r="A4061" t="s">
        <v>5366</v>
      </c>
      <c r="B4061" t="s">
        <v>10176</v>
      </c>
      <c r="C4061" t="s">
        <v>5975</v>
      </c>
      <c r="D4061" t="s">
        <v>11496</v>
      </c>
      <c r="E4061">
        <v>229909.78</v>
      </c>
      <c r="G4061" s="35"/>
      <c r="H4061" s="36">
        <f t="shared" si="191"/>
        <v>144843.16140000001</v>
      </c>
      <c r="I4061" s="37">
        <f t="shared" si="189"/>
        <v>144843.16140000001</v>
      </c>
      <c r="J4061" s="4"/>
      <c r="K4061" s="38">
        <f t="shared" si="190"/>
        <v>0</v>
      </c>
    </row>
    <row r="4062" spans="1:11">
      <c r="A4062" t="s">
        <v>5367</v>
      </c>
      <c r="B4062" t="s">
        <v>10176</v>
      </c>
      <c r="C4062" t="s">
        <v>5975</v>
      </c>
      <c r="D4062" t="s">
        <v>11497</v>
      </c>
      <c r="E4062">
        <v>91965.71</v>
      </c>
      <c r="G4062" s="35"/>
      <c r="H4062" s="36">
        <f t="shared" si="191"/>
        <v>57938.397300000004</v>
      </c>
      <c r="I4062" s="37">
        <f t="shared" si="189"/>
        <v>57938.397300000004</v>
      </c>
      <c r="J4062" s="4"/>
      <c r="K4062" s="38">
        <f t="shared" si="190"/>
        <v>0</v>
      </c>
    </row>
    <row r="4063" spans="1:11">
      <c r="A4063" t="s">
        <v>5368</v>
      </c>
      <c r="B4063" t="s">
        <v>10176</v>
      </c>
      <c r="C4063" t="s">
        <v>5975</v>
      </c>
      <c r="D4063" t="s">
        <v>11498</v>
      </c>
      <c r="E4063">
        <v>306813.5</v>
      </c>
      <c r="G4063" s="35"/>
      <c r="H4063" s="36">
        <f t="shared" si="191"/>
        <v>193292.505</v>
      </c>
      <c r="I4063" s="37">
        <f t="shared" si="189"/>
        <v>193292.505</v>
      </c>
      <c r="J4063" s="4"/>
      <c r="K4063" s="38">
        <f t="shared" si="190"/>
        <v>0</v>
      </c>
    </row>
    <row r="4064" spans="1:11">
      <c r="A4064" t="s">
        <v>11356</v>
      </c>
      <c r="B4064" t="s">
        <v>10176</v>
      </c>
      <c r="C4064" t="s">
        <v>5742</v>
      </c>
      <c r="D4064" t="s">
        <v>11357</v>
      </c>
      <c r="E4064">
        <v>2726.68</v>
      </c>
      <c r="G4064" s="35"/>
      <c r="H4064" s="36">
        <f t="shared" si="191"/>
        <v>1717.8083999999999</v>
      </c>
      <c r="I4064" s="37">
        <f t="shared" si="189"/>
        <v>1717.8083999999999</v>
      </c>
      <c r="J4064" s="4"/>
      <c r="K4064" s="38">
        <f t="shared" si="190"/>
        <v>0</v>
      </c>
    </row>
    <row r="4065" spans="1:11">
      <c r="A4065" t="s">
        <v>4433</v>
      </c>
      <c r="B4065" t="s">
        <v>10176</v>
      </c>
      <c r="C4065" t="s">
        <v>5742</v>
      </c>
      <c r="D4065" t="s">
        <v>10289</v>
      </c>
      <c r="E4065">
        <v>1459.44</v>
      </c>
      <c r="G4065" s="35"/>
      <c r="H4065" s="36">
        <f t="shared" si="191"/>
        <v>919.44720000000007</v>
      </c>
      <c r="I4065" s="37">
        <f t="shared" si="189"/>
        <v>919.44720000000007</v>
      </c>
      <c r="J4065" s="4"/>
      <c r="K4065" s="38">
        <f t="shared" si="190"/>
        <v>0</v>
      </c>
    </row>
    <row r="4066" spans="1:11">
      <c r="A4066" t="s">
        <v>4434</v>
      </c>
      <c r="B4066" t="s">
        <v>10176</v>
      </c>
      <c r="C4066" t="s">
        <v>5742</v>
      </c>
      <c r="D4066" t="s">
        <v>10290</v>
      </c>
      <c r="E4066">
        <v>1459.44</v>
      </c>
      <c r="G4066" s="35"/>
      <c r="H4066" s="36">
        <f t="shared" si="191"/>
        <v>919.44720000000007</v>
      </c>
      <c r="I4066" s="37">
        <f t="shared" si="189"/>
        <v>919.44720000000007</v>
      </c>
      <c r="J4066" s="4"/>
      <c r="K4066" s="38">
        <f t="shared" si="190"/>
        <v>0</v>
      </c>
    </row>
    <row r="4067" spans="1:11">
      <c r="A4067" t="s">
        <v>5369</v>
      </c>
      <c r="B4067" t="s">
        <v>10176</v>
      </c>
      <c r="C4067" t="s">
        <v>5976</v>
      </c>
      <c r="D4067" t="s">
        <v>11499</v>
      </c>
      <c r="E4067">
        <v>2375.5300000000002</v>
      </c>
      <c r="G4067" s="35"/>
      <c r="H4067" s="36">
        <f t="shared" si="191"/>
        <v>1496.5839000000001</v>
      </c>
      <c r="I4067" s="37">
        <f t="shared" si="189"/>
        <v>1496.5839000000001</v>
      </c>
      <c r="J4067" s="4"/>
      <c r="K4067" s="38">
        <f t="shared" si="190"/>
        <v>0</v>
      </c>
    </row>
    <row r="4068" spans="1:11">
      <c r="A4068" t="s">
        <v>5370</v>
      </c>
      <c r="B4068" t="s">
        <v>10176</v>
      </c>
      <c r="C4068" t="s">
        <v>5976</v>
      </c>
      <c r="D4068" t="s">
        <v>11500</v>
      </c>
      <c r="E4068">
        <v>9882.26</v>
      </c>
      <c r="G4068" s="35"/>
      <c r="H4068" s="36">
        <f t="shared" si="191"/>
        <v>6225.8238000000001</v>
      </c>
      <c r="I4068" s="37">
        <f t="shared" si="189"/>
        <v>6225.8238000000001</v>
      </c>
      <c r="J4068" s="4"/>
      <c r="K4068" s="38">
        <f t="shared" si="190"/>
        <v>0</v>
      </c>
    </row>
    <row r="4069" spans="1:11">
      <c r="A4069" t="s">
        <v>5371</v>
      </c>
      <c r="B4069" t="s">
        <v>10176</v>
      </c>
      <c r="C4069" t="s">
        <v>5976</v>
      </c>
      <c r="D4069" t="s">
        <v>10981</v>
      </c>
      <c r="E4069">
        <v>4640.22</v>
      </c>
      <c r="G4069" s="35"/>
      <c r="H4069" s="36">
        <f t="shared" si="191"/>
        <v>2923.3386</v>
      </c>
      <c r="I4069" s="37">
        <f t="shared" si="189"/>
        <v>2923.3386</v>
      </c>
      <c r="J4069" s="4"/>
      <c r="K4069" s="38">
        <f t="shared" si="190"/>
        <v>0</v>
      </c>
    </row>
    <row r="4070" spans="1:11">
      <c r="A4070" t="s">
        <v>5372</v>
      </c>
      <c r="B4070" t="s">
        <v>10176</v>
      </c>
      <c r="C4070" t="s">
        <v>5976</v>
      </c>
      <c r="D4070" t="s">
        <v>10982</v>
      </c>
      <c r="E4070">
        <v>10146.74</v>
      </c>
      <c r="G4070" s="35"/>
      <c r="H4070" s="36">
        <f t="shared" si="191"/>
        <v>6392.4462000000003</v>
      </c>
      <c r="I4070" s="37">
        <f t="shared" si="189"/>
        <v>6392.4462000000003</v>
      </c>
      <c r="J4070" s="4"/>
      <c r="K4070" s="38">
        <f t="shared" si="190"/>
        <v>0</v>
      </c>
    </row>
    <row r="4071" spans="1:11">
      <c r="A4071" t="s">
        <v>11766</v>
      </c>
      <c r="B4071" t="s">
        <v>10176</v>
      </c>
      <c r="C4071" t="s">
        <v>5976</v>
      </c>
      <c r="D4071" t="s">
        <v>11767</v>
      </c>
      <c r="E4071">
        <v>11410.23</v>
      </c>
      <c r="G4071" s="35"/>
      <c r="H4071" s="36">
        <f t="shared" si="191"/>
        <v>7188.4448999999995</v>
      </c>
      <c r="I4071" s="37">
        <f t="shared" si="189"/>
        <v>7188.4448999999995</v>
      </c>
      <c r="J4071" s="4"/>
      <c r="K4071" s="38">
        <f t="shared" si="190"/>
        <v>0</v>
      </c>
    </row>
    <row r="4072" spans="1:11">
      <c r="A4072" t="s">
        <v>5373</v>
      </c>
      <c r="B4072" t="s">
        <v>10176</v>
      </c>
      <c r="C4072" t="s">
        <v>5976</v>
      </c>
      <c r="D4072" t="s">
        <v>10983</v>
      </c>
      <c r="E4072">
        <v>38100.01</v>
      </c>
      <c r="G4072" s="35"/>
      <c r="H4072" s="36">
        <f t="shared" si="191"/>
        <v>24003.006300000001</v>
      </c>
      <c r="I4072" s="37">
        <f t="shared" si="189"/>
        <v>24003.006300000001</v>
      </c>
      <c r="J4072" s="4"/>
      <c r="K4072" s="38">
        <f t="shared" si="190"/>
        <v>0</v>
      </c>
    </row>
    <row r="4073" spans="1:11">
      <c r="A4073" t="s">
        <v>5374</v>
      </c>
      <c r="B4073" t="s">
        <v>10176</v>
      </c>
      <c r="C4073" t="s">
        <v>5976</v>
      </c>
      <c r="D4073" t="s">
        <v>10554</v>
      </c>
      <c r="E4073">
        <v>4774.84</v>
      </c>
      <c r="G4073" s="35"/>
      <c r="H4073" s="36">
        <f t="shared" si="191"/>
        <v>3008.1492000000003</v>
      </c>
      <c r="I4073" s="37">
        <f t="shared" si="189"/>
        <v>3008.1492000000003</v>
      </c>
      <c r="J4073" s="4"/>
      <c r="K4073" s="38">
        <f t="shared" si="190"/>
        <v>0</v>
      </c>
    </row>
    <row r="4074" spans="1:11">
      <c r="A4074" t="s">
        <v>5375</v>
      </c>
      <c r="B4074" t="s">
        <v>10176</v>
      </c>
      <c r="C4074" t="s">
        <v>5976</v>
      </c>
      <c r="D4074" t="s">
        <v>10984</v>
      </c>
      <c r="E4074">
        <v>9882.26</v>
      </c>
      <c r="G4074" s="35"/>
      <c r="H4074" s="36">
        <f t="shared" si="191"/>
        <v>6225.8238000000001</v>
      </c>
      <c r="I4074" s="37">
        <f t="shared" si="189"/>
        <v>6225.8238000000001</v>
      </c>
      <c r="J4074" s="4"/>
      <c r="K4074" s="38">
        <f t="shared" si="190"/>
        <v>0</v>
      </c>
    </row>
    <row r="4075" spans="1:11">
      <c r="A4075" t="s">
        <v>5376</v>
      </c>
      <c r="B4075" t="s">
        <v>10176</v>
      </c>
      <c r="C4075" t="s">
        <v>5976</v>
      </c>
      <c r="D4075" t="s">
        <v>10985</v>
      </c>
      <c r="E4075">
        <v>22791.48</v>
      </c>
      <c r="G4075" s="35"/>
      <c r="H4075" s="36">
        <f t="shared" si="191"/>
        <v>14358.6324</v>
      </c>
      <c r="I4075" s="37">
        <f t="shared" si="189"/>
        <v>14358.6324</v>
      </c>
      <c r="J4075" s="4"/>
      <c r="K4075" s="38">
        <f t="shared" si="190"/>
        <v>0</v>
      </c>
    </row>
    <row r="4076" spans="1:11">
      <c r="A4076" t="s">
        <v>5377</v>
      </c>
      <c r="B4076" t="s">
        <v>10176</v>
      </c>
      <c r="C4076" t="s">
        <v>5976</v>
      </c>
      <c r="D4076" t="s">
        <v>11501</v>
      </c>
      <c r="E4076">
        <v>30620.21</v>
      </c>
      <c r="G4076" s="35"/>
      <c r="H4076" s="36">
        <f t="shared" si="191"/>
        <v>19290.7323</v>
      </c>
      <c r="I4076" s="37">
        <f t="shared" si="189"/>
        <v>19290.7323</v>
      </c>
      <c r="J4076" s="4"/>
      <c r="K4076" s="38">
        <f t="shared" si="190"/>
        <v>0</v>
      </c>
    </row>
    <row r="4077" spans="1:11">
      <c r="A4077" t="s">
        <v>5378</v>
      </c>
      <c r="B4077" t="s">
        <v>10176</v>
      </c>
      <c r="C4077" t="s">
        <v>5976</v>
      </c>
      <c r="D4077" t="s">
        <v>11502</v>
      </c>
      <c r="E4077">
        <v>28556.67</v>
      </c>
      <c r="G4077" s="35"/>
      <c r="H4077" s="36">
        <f t="shared" si="191"/>
        <v>17990.702099999999</v>
      </c>
      <c r="I4077" s="37">
        <f t="shared" si="189"/>
        <v>17990.702099999999</v>
      </c>
      <c r="J4077" s="4"/>
      <c r="K4077" s="38">
        <f t="shared" si="190"/>
        <v>0</v>
      </c>
    </row>
    <row r="4078" spans="1:11">
      <c r="A4078" t="s">
        <v>5379</v>
      </c>
      <c r="B4078" t="s">
        <v>10176</v>
      </c>
      <c r="C4078" t="s">
        <v>5976</v>
      </c>
      <c r="D4078" t="s">
        <v>11503</v>
      </c>
      <c r="E4078">
        <v>52435.62</v>
      </c>
      <c r="G4078" s="35"/>
      <c r="H4078" s="36">
        <f t="shared" si="191"/>
        <v>33034.440600000002</v>
      </c>
      <c r="I4078" s="37">
        <f t="shared" si="189"/>
        <v>33034.440600000002</v>
      </c>
      <c r="J4078" s="4"/>
      <c r="K4078" s="38">
        <f t="shared" si="190"/>
        <v>0</v>
      </c>
    </row>
    <row r="4079" spans="1:11">
      <c r="A4079" t="s">
        <v>5380</v>
      </c>
      <c r="B4079" t="s">
        <v>10176</v>
      </c>
      <c r="C4079" t="s">
        <v>5976</v>
      </c>
      <c r="D4079" t="s">
        <v>11504</v>
      </c>
      <c r="E4079">
        <v>50776.959999999999</v>
      </c>
      <c r="G4079" s="35"/>
      <c r="H4079" s="36">
        <f t="shared" si="191"/>
        <v>31989.484799999998</v>
      </c>
      <c r="I4079" s="37">
        <f t="shared" si="189"/>
        <v>31989.484799999998</v>
      </c>
      <c r="J4079" s="4"/>
      <c r="K4079" s="38">
        <f t="shared" si="190"/>
        <v>0</v>
      </c>
    </row>
    <row r="4080" spans="1:11">
      <c r="A4080" t="s">
        <v>5381</v>
      </c>
      <c r="B4080" t="s">
        <v>10176</v>
      </c>
      <c r="C4080" t="s">
        <v>5976</v>
      </c>
      <c r="D4080" t="s">
        <v>11505</v>
      </c>
      <c r="E4080">
        <v>30262.31</v>
      </c>
      <c r="G4080" s="35"/>
      <c r="H4080" s="36">
        <f t="shared" si="191"/>
        <v>19065.255300000001</v>
      </c>
      <c r="I4080" s="37">
        <f t="shared" si="189"/>
        <v>19065.255300000001</v>
      </c>
      <c r="J4080" s="4"/>
      <c r="K4080" s="38">
        <f t="shared" si="190"/>
        <v>0</v>
      </c>
    </row>
    <row r="4081" spans="1:11">
      <c r="A4081" t="s">
        <v>5382</v>
      </c>
      <c r="B4081" t="s">
        <v>10176</v>
      </c>
      <c r="C4081" t="s">
        <v>5976</v>
      </c>
      <c r="D4081" t="s">
        <v>11506</v>
      </c>
      <c r="E4081">
        <v>36903.269999999997</v>
      </c>
      <c r="G4081" s="35"/>
      <c r="H4081" s="36">
        <f t="shared" si="191"/>
        <v>23249.060099999999</v>
      </c>
      <c r="I4081" s="37">
        <f t="shared" si="189"/>
        <v>23249.060099999999</v>
      </c>
      <c r="J4081" s="4"/>
      <c r="K4081" s="38">
        <f t="shared" si="190"/>
        <v>0</v>
      </c>
    </row>
    <row r="4082" spans="1:11">
      <c r="A4082" t="s">
        <v>5383</v>
      </c>
      <c r="B4082" t="s">
        <v>10176</v>
      </c>
      <c r="C4082" t="s">
        <v>5976</v>
      </c>
      <c r="D4082" t="s">
        <v>11507</v>
      </c>
      <c r="E4082">
        <v>25060.92</v>
      </c>
      <c r="G4082" s="35"/>
      <c r="H4082" s="36">
        <f t="shared" si="191"/>
        <v>15788.379599999998</v>
      </c>
      <c r="I4082" s="37">
        <f t="shared" si="189"/>
        <v>15788.379599999998</v>
      </c>
      <c r="J4082" s="4"/>
      <c r="K4082" s="38">
        <f t="shared" si="190"/>
        <v>0</v>
      </c>
    </row>
    <row r="4083" spans="1:11">
      <c r="A4083" t="s">
        <v>5384</v>
      </c>
      <c r="B4083" t="s">
        <v>10176</v>
      </c>
      <c r="C4083" t="s">
        <v>5976</v>
      </c>
      <c r="D4083" t="s">
        <v>10986</v>
      </c>
      <c r="E4083">
        <v>9705.9</v>
      </c>
      <c r="G4083" s="35"/>
      <c r="H4083" s="36">
        <f t="shared" si="191"/>
        <v>6114.7169999999996</v>
      </c>
      <c r="I4083" s="37">
        <f t="shared" si="189"/>
        <v>6114.7169999999996</v>
      </c>
      <c r="J4083" s="4"/>
      <c r="K4083" s="38">
        <f t="shared" si="190"/>
        <v>0</v>
      </c>
    </row>
    <row r="4084" spans="1:11">
      <c r="A4084" t="s">
        <v>11558</v>
      </c>
      <c r="B4084" t="s">
        <v>10176</v>
      </c>
      <c r="C4084" t="s">
        <v>5976</v>
      </c>
      <c r="D4084" t="s">
        <v>11559</v>
      </c>
      <c r="E4084">
        <v>4241.0200000000004</v>
      </c>
      <c r="G4084" s="35"/>
      <c r="H4084" s="36">
        <f t="shared" si="191"/>
        <v>2671.8426000000004</v>
      </c>
      <c r="I4084" s="37">
        <f t="shared" si="189"/>
        <v>2671.8426000000004</v>
      </c>
      <c r="J4084" s="4"/>
      <c r="K4084" s="38">
        <f t="shared" si="190"/>
        <v>0</v>
      </c>
    </row>
    <row r="4085" spans="1:11">
      <c r="A4085" t="s">
        <v>11560</v>
      </c>
      <c r="B4085" t="s">
        <v>10176</v>
      </c>
      <c r="C4085" t="s">
        <v>5976</v>
      </c>
      <c r="D4085" t="s">
        <v>11561</v>
      </c>
      <c r="E4085">
        <v>5880.25</v>
      </c>
      <c r="G4085" s="35"/>
      <c r="H4085" s="36">
        <f t="shared" si="191"/>
        <v>3704.5574999999999</v>
      </c>
      <c r="I4085" s="37">
        <f t="shared" si="189"/>
        <v>3704.5574999999999</v>
      </c>
      <c r="J4085" s="4"/>
      <c r="K4085" s="38">
        <f t="shared" si="190"/>
        <v>0</v>
      </c>
    </row>
    <row r="4086" spans="1:11">
      <c r="A4086" t="s">
        <v>5385</v>
      </c>
      <c r="B4086" t="s">
        <v>10176</v>
      </c>
      <c r="C4086" t="s">
        <v>5976</v>
      </c>
      <c r="D4086" t="s">
        <v>11508</v>
      </c>
      <c r="E4086">
        <v>32845.85</v>
      </c>
      <c r="G4086" s="35"/>
      <c r="H4086" s="36">
        <f t="shared" si="191"/>
        <v>20692.8855</v>
      </c>
      <c r="I4086" s="37">
        <f t="shared" si="189"/>
        <v>20692.8855</v>
      </c>
      <c r="J4086" s="4"/>
      <c r="K4086" s="38">
        <f t="shared" si="190"/>
        <v>0</v>
      </c>
    </row>
    <row r="4087" spans="1:11">
      <c r="A4087" t="s">
        <v>5386</v>
      </c>
      <c r="B4087" t="s">
        <v>10176</v>
      </c>
      <c r="C4087" t="s">
        <v>5976</v>
      </c>
      <c r="D4087" t="s">
        <v>11509</v>
      </c>
      <c r="E4087">
        <v>63415.91</v>
      </c>
      <c r="G4087" s="35"/>
      <c r="H4087" s="36">
        <f t="shared" si="191"/>
        <v>39952.023300000001</v>
      </c>
      <c r="I4087" s="37">
        <f t="shared" si="189"/>
        <v>39952.023300000001</v>
      </c>
      <c r="J4087" s="4"/>
      <c r="K4087" s="38">
        <f t="shared" si="190"/>
        <v>0</v>
      </c>
    </row>
    <row r="4088" spans="1:11">
      <c r="A4088" t="s">
        <v>5388</v>
      </c>
      <c r="B4088" t="s">
        <v>10176</v>
      </c>
      <c r="C4088" t="s">
        <v>5976</v>
      </c>
      <c r="D4088" t="s">
        <v>11511</v>
      </c>
      <c r="E4088">
        <v>8503.39</v>
      </c>
      <c r="G4088" s="35"/>
      <c r="H4088" s="36">
        <f t="shared" si="191"/>
        <v>5357.1356999999998</v>
      </c>
      <c r="I4088" s="37">
        <f t="shared" si="189"/>
        <v>5357.1356999999998</v>
      </c>
      <c r="J4088" s="4"/>
      <c r="K4088" s="38">
        <f t="shared" si="190"/>
        <v>0</v>
      </c>
    </row>
    <row r="4089" spans="1:11">
      <c r="A4089" t="s">
        <v>5387</v>
      </c>
      <c r="B4089" t="s">
        <v>10176</v>
      </c>
      <c r="C4089" t="s">
        <v>5976</v>
      </c>
      <c r="D4089" t="s">
        <v>11510</v>
      </c>
      <c r="E4089">
        <v>6745.49</v>
      </c>
      <c r="G4089" s="35"/>
      <c r="H4089" s="36">
        <f t="shared" si="191"/>
        <v>4249.6587</v>
      </c>
      <c r="I4089" s="37">
        <f t="shared" si="189"/>
        <v>4249.6587</v>
      </c>
      <c r="J4089" s="4"/>
      <c r="K4089" s="38">
        <f t="shared" si="190"/>
        <v>0</v>
      </c>
    </row>
    <row r="4090" spans="1:11">
      <c r="A4090" t="s">
        <v>5389</v>
      </c>
      <c r="B4090" t="s">
        <v>10176</v>
      </c>
      <c r="C4090" t="s">
        <v>5976</v>
      </c>
      <c r="D4090" t="s">
        <v>10987</v>
      </c>
      <c r="E4090">
        <v>9752.92</v>
      </c>
      <c r="G4090" s="35"/>
      <c r="H4090" s="36">
        <f t="shared" si="191"/>
        <v>6144.3396000000002</v>
      </c>
      <c r="I4090" s="37">
        <f t="shared" si="189"/>
        <v>6144.3396000000002</v>
      </c>
      <c r="J4090" s="4"/>
      <c r="K4090" s="38">
        <f t="shared" si="190"/>
        <v>0</v>
      </c>
    </row>
    <row r="4091" spans="1:11">
      <c r="A4091" t="s">
        <v>5390</v>
      </c>
      <c r="B4091" t="s">
        <v>10176</v>
      </c>
      <c r="C4091" t="s">
        <v>5976</v>
      </c>
      <c r="D4091" t="s">
        <v>11512</v>
      </c>
      <c r="E4091">
        <v>29735.46</v>
      </c>
      <c r="G4091" s="35"/>
      <c r="H4091" s="36">
        <f t="shared" si="191"/>
        <v>18733.339799999998</v>
      </c>
      <c r="I4091" s="37">
        <f t="shared" si="189"/>
        <v>18733.339799999998</v>
      </c>
      <c r="J4091" s="4"/>
      <c r="K4091" s="38">
        <f t="shared" si="190"/>
        <v>0</v>
      </c>
    </row>
    <row r="4092" spans="1:11">
      <c r="A4092" t="s">
        <v>5391</v>
      </c>
      <c r="B4092" t="s">
        <v>10176</v>
      </c>
      <c r="C4092" t="s">
        <v>5976</v>
      </c>
      <c r="D4092" t="s">
        <v>10988</v>
      </c>
      <c r="E4092">
        <v>43297.69</v>
      </c>
      <c r="G4092" s="35"/>
      <c r="H4092" s="36">
        <f t="shared" si="191"/>
        <v>27277.544700000002</v>
      </c>
      <c r="I4092" s="37">
        <f t="shared" si="189"/>
        <v>27277.544700000002</v>
      </c>
      <c r="J4092" s="4"/>
      <c r="K4092" s="38">
        <f t="shared" si="190"/>
        <v>0</v>
      </c>
    </row>
    <row r="4093" spans="1:11">
      <c r="A4093" t="s">
        <v>5392</v>
      </c>
      <c r="B4093" t="s">
        <v>10176</v>
      </c>
      <c r="C4093" t="s">
        <v>5976</v>
      </c>
      <c r="D4093" t="s">
        <v>11513</v>
      </c>
      <c r="E4093">
        <v>48627.360000000001</v>
      </c>
      <c r="G4093" s="35"/>
      <c r="H4093" s="36">
        <f t="shared" si="191"/>
        <v>30635.236799999999</v>
      </c>
      <c r="I4093" s="37">
        <f t="shared" si="189"/>
        <v>30635.236799999999</v>
      </c>
      <c r="J4093" s="4"/>
      <c r="K4093" s="38">
        <f t="shared" si="190"/>
        <v>0</v>
      </c>
    </row>
    <row r="4094" spans="1:11">
      <c r="A4094" t="s">
        <v>5393</v>
      </c>
      <c r="B4094" t="s">
        <v>10176</v>
      </c>
      <c r="C4094" t="s">
        <v>5976</v>
      </c>
      <c r="D4094" t="s">
        <v>10989</v>
      </c>
      <c r="E4094">
        <v>3729.07</v>
      </c>
      <c r="G4094" s="35"/>
      <c r="H4094" s="36">
        <f t="shared" si="191"/>
        <v>2349.3141000000001</v>
      </c>
      <c r="I4094" s="37">
        <f t="shared" si="189"/>
        <v>2349.3141000000001</v>
      </c>
      <c r="J4094" s="4"/>
      <c r="K4094" s="38">
        <f t="shared" si="190"/>
        <v>0</v>
      </c>
    </row>
    <row r="4095" spans="1:11">
      <c r="A4095" t="s">
        <v>5394</v>
      </c>
      <c r="B4095" t="s">
        <v>10176</v>
      </c>
      <c r="C4095" t="s">
        <v>5976</v>
      </c>
      <c r="D4095" t="s">
        <v>10990</v>
      </c>
      <c r="E4095">
        <v>23911.16</v>
      </c>
      <c r="G4095" s="35"/>
      <c r="H4095" s="36">
        <f t="shared" si="191"/>
        <v>15064.0308</v>
      </c>
      <c r="I4095" s="37">
        <f t="shared" si="189"/>
        <v>15064.0308</v>
      </c>
      <c r="J4095" s="4"/>
      <c r="K4095" s="38">
        <f t="shared" si="190"/>
        <v>0</v>
      </c>
    </row>
    <row r="4096" spans="1:11">
      <c r="A4096" t="s">
        <v>5395</v>
      </c>
      <c r="B4096" t="s">
        <v>10176</v>
      </c>
      <c r="C4096" t="s">
        <v>5976</v>
      </c>
      <c r="D4096" t="s">
        <v>11514</v>
      </c>
      <c r="E4096">
        <v>23878.95</v>
      </c>
      <c r="G4096" s="35"/>
      <c r="H4096" s="36">
        <f t="shared" si="191"/>
        <v>15043.738500000001</v>
      </c>
      <c r="I4096" s="37">
        <f t="shared" si="189"/>
        <v>15043.738500000001</v>
      </c>
      <c r="J4096" s="4"/>
      <c r="K4096" s="38">
        <f t="shared" si="190"/>
        <v>0</v>
      </c>
    </row>
    <row r="4097" spans="1:11">
      <c r="A4097" t="s">
        <v>5396</v>
      </c>
      <c r="B4097" t="s">
        <v>10176</v>
      </c>
      <c r="C4097" t="s">
        <v>5976</v>
      </c>
      <c r="D4097" t="s">
        <v>11515</v>
      </c>
      <c r="E4097">
        <v>25981.57</v>
      </c>
      <c r="G4097" s="35"/>
      <c r="H4097" s="36">
        <f t="shared" si="191"/>
        <v>16368.3891</v>
      </c>
      <c r="I4097" s="37">
        <f t="shared" si="189"/>
        <v>16368.3891</v>
      </c>
      <c r="J4097" s="4"/>
      <c r="K4097" s="38">
        <f t="shared" si="190"/>
        <v>0</v>
      </c>
    </row>
    <row r="4098" spans="1:11">
      <c r="A4098" t="s">
        <v>5397</v>
      </c>
      <c r="B4098" t="s">
        <v>10176</v>
      </c>
      <c r="C4098" t="s">
        <v>5976</v>
      </c>
      <c r="D4098" t="s">
        <v>11516</v>
      </c>
      <c r="E4098">
        <v>34777.42</v>
      </c>
      <c r="G4098" s="35"/>
      <c r="H4098" s="36">
        <f t="shared" si="191"/>
        <v>21909.774600000001</v>
      </c>
      <c r="I4098" s="37">
        <f t="shared" si="189"/>
        <v>21909.774600000001</v>
      </c>
      <c r="J4098" s="4"/>
      <c r="K4098" s="38">
        <f t="shared" si="190"/>
        <v>0</v>
      </c>
    </row>
    <row r="4099" spans="1:11">
      <c r="A4099" t="s">
        <v>5398</v>
      </c>
      <c r="B4099" t="s">
        <v>10176</v>
      </c>
      <c r="C4099" t="s">
        <v>5976</v>
      </c>
      <c r="D4099" t="s">
        <v>11517</v>
      </c>
      <c r="E4099">
        <v>35597.24</v>
      </c>
      <c r="G4099" s="35"/>
      <c r="H4099" s="36">
        <f t="shared" si="191"/>
        <v>22426.261199999997</v>
      </c>
      <c r="I4099" s="37">
        <f t="shared" si="189"/>
        <v>22426.261199999997</v>
      </c>
      <c r="J4099" s="4"/>
      <c r="K4099" s="38">
        <f t="shared" si="190"/>
        <v>0</v>
      </c>
    </row>
    <row r="4100" spans="1:11">
      <c r="A4100" t="s">
        <v>5399</v>
      </c>
      <c r="B4100" t="s">
        <v>10176</v>
      </c>
      <c r="C4100" t="s">
        <v>5976</v>
      </c>
      <c r="D4100" t="s">
        <v>11518</v>
      </c>
      <c r="E4100">
        <v>38100.01</v>
      </c>
      <c r="G4100" s="35"/>
      <c r="H4100" s="36">
        <f t="shared" si="191"/>
        <v>24003.006300000001</v>
      </c>
      <c r="I4100" s="37">
        <f t="shared" si="189"/>
        <v>24003.006300000001</v>
      </c>
      <c r="J4100" s="4"/>
      <c r="K4100" s="38">
        <f t="shared" si="190"/>
        <v>0</v>
      </c>
    </row>
    <row r="4101" spans="1:11">
      <c r="A4101" t="s">
        <v>5400</v>
      </c>
      <c r="B4101" t="s">
        <v>10176</v>
      </c>
      <c r="C4101" t="s">
        <v>5976</v>
      </c>
      <c r="D4101" t="s">
        <v>11519</v>
      </c>
      <c r="E4101">
        <v>23911.16</v>
      </c>
      <c r="G4101" s="35"/>
      <c r="H4101" s="36">
        <f t="shared" si="191"/>
        <v>15064.0308</v>
      </c>
      <c r="I4101" s="37">
        <f t="shared" si="189"/>
        <v>15064.0308</v>
      </c>
      <c r="J4101" s="4"/>
      <c r="K4101" s="38">
        <f t="shared" si="190"/>
        <v>0</v>
      </c>
    </row>
    <row r="4102" spans="1:11">
      <c r="A4102" t="s">
        <v>5401</v>
      </c>
      <c r="B4102" t="s">
        <v>10176</v>
      </c>
      <c r="C4102" t="s">
        <v>5976</v>
      </c>
      <c r="D4102" t="s">
        <v>10991</v>
      </c>
      <c r="E4102">
        <v>32055.57</v>
      </c>
      <c r="G4102" s="35"/>
      <c r="H4102" s="36">
        <f t="shared" si="191"/>
        <v>20195.009099999999</v>
      </c>
      <c r="I4102" s="37">
        <f t="shared" ref="I4102:I4165" si="192">H4102*$H$4</f>
        <v>20195.009099999999</v>
      </c>
      <c r="J4102" s="4"/>
      <c r="K4102" s="38">
        <f t="shared" ref="K4102:K4165" si="193">J4102*I4102</f>
        <v>0</v>
      </c>
    </row>
    <row r="4103" spans="1:11">
      <c r="A4103" t="s">
        <v>5402</v>
      </c>
      <c r="B4103" t="s">
        <v>10176</v>
      </c>
      <c r="C4103" t="s">
        <v>5976</v>
      </c>
      <c r="D4103" t="s">
        <v>11520</v>
      </c>
      <c r="E4103">
        <v>20653.490000000002</v>
      </c>
      <c r="G4103" s="35"/>
      <c r="H4103" s="36">
        <f t="shared" ref="H4103:H4166" si="194">+E4103*$H$1*(1-G4103)</f>
        <v>13011.698700000001</v>
      </c>
      <c r="I4103" s="37">
        <f t="shared" si="192"/>
        <v>13011.698700000001</v>
      </c>
      <c r="J4103" s="4"/>
      <c r="K4103" s="38">
        <f t="shared" si="193"/>
        <v>0</v>
      </c>
    </row>
    <row r="4104" spans="1:11">
      <c r="A4104" t="s">
        <v>5403</v>
      </c>
      <c r="B4104" t="s">
        <v>10176</v>
      </c>
      <c r="C4104" t="s">
        <v>5976</v>
      </c>
      <c r="D4104" t="s">
        <v>11521</v>
      </c>
      <c r="E4104">
        <v>52664.19</v>
      </c>
      <c r="G4104" s="35"/>
      <c r="H4104" s="36">
        <f t="shared" si="194"/>
        <v>33178.439700000003</v>
      </c>
      <c r="I4104" s="37">
        <f t="shared" si="192"/>
        <v>33178.439700000003</v>
      </c>
      <c r="J4104" s="4"/>
      <c r="K4104" s="38">
        <f t="shared" si="193"/>
        <v>0</v>
      </c>
    </row>
    <row r="4105" spans="1:11">
      <c r="A4105" t="s">
        <v>11264</v>
      </c>
      <c r="B4105" t="s">
        <v>10176</v>
      </c>
      <c r="C4105" t="s">
        <v>5976</v>
      </c>
      <c r="D4105" t="s">
        <v>11265</v>
      </c>
      <c r="E4105">
        <v>19109.919999999998</v>
      </c>
      <c r="G4105" s="35"/>
      <c r="H4105" s="36">
        <f t="shared" si="194"/>
        <v>12039.249599999999</v>
      </c>
      <c r="I4105" s="37">
        <f t="shared" si="192"/>
        <v>12039.249599999999</v>
      </c>
      <c r="J4105" s="4"/>
      <c r="K4105" s="38">
        <f t="shared" si="193"/>
        <v>0</v>
      </c>
    </row>
    <row r="4106" spans="1:11">
      <c r="A4106" t="s">
        <v>5404</v>
      </c>
      <c r="B4106" t="s">
        <v>10176</v>
      </c>
      <c r="C4106" t="s">
        <v>5976</v>
      </c>
      <c r="D4106" t="s">
        <v>10992</v>
      </c>
      <c r="E4106">
        <v>25845.38</v>
      </c>
      <c r="G4106" s="35"/>
      <c r="H4106" s="36">
        <f t="shared" si="194"/>
        <v>16282.589400000001</v>
      </c>
      <c r="I4106" s="37">
        <f t="shared" si="192"/>
        <v>16282.589400000001</v>
      </c>
      <c r="J4106" s="4"/>
      <c r="K4106" s="38">
        <f t="shared" si="193"/>
        <v>0</v>
      </c>
    </row>
    <row r="4107" spans="1:11">
      <c r="A4107" t="s">
        <v>5405</v>
      </c>
      <c r="B4107" t="s">
        <v>10176</v>
      </c>
      <c r="C4107" t="s">
        <v>5976</v>
      </c>
      <c r="D4107" t="s">
        <v>11522</v>
      </c>
      <c r="E4107">
        <v>17705.189999999999</v>
      </c>
      <c r="G4107" s="35"/>
      <c r="H4107" s="36">
        <f t="shared" si="194"/>
        <v>11154.269699999999</v>
      </c>
      <c r="I4107" s="37">
        <f t="shared" si="192"/>
        <v>11154.269699999999</v>
      </c>
      <c r="J4107" s="4"/>
      <c r="K4107" s="38">
        <f t="shared" si="193"/>
        <v>0</v>
      </c>
    </row>
    <row r="4108" spans="1:11">
      <c r="A4108" t="s">
        <v>5406</v>
      </c>
      <c r="B4108" t="s">
        <v>10176</v>
      </c>
      <c r="C4108" t="s">
        <v>5976</v>
      </c>
      <c r="D4108" t="s">
        <v>11523</v>
      </c>
      <c r="E4108">
        <v>4336.6899999999996</v>
      </c>
      <c r="G4108" s="35"/>
      <c r="H4108" s="36">
        <f t="shared" si="194"/>
        <v>2732.1146999999996</v>
      </c>
      <c r="I4108" s="37">
        <f t="shared" si="192"/>
        <v>2732.1146999999996</v>
      </c>
      <c r="J4108" s="4"/>
      <c r="K4108" s="38">
        <f t="shared" si="193"/>
        <v>0</v>
      </c>
    </row>
    <row r="4109" spans="1:11">
      <c r="A4109" t="s">
        <v>5407</v>
      </c>
      <c r="B4109" t="s">
        <v>10176</v>
      </c>
      <c r="C4109" t="s">
        <v>5976</v>
      </c>
      <c r="D4109" t="s">
        <v>11524</v>
      </c>
      <c r="E4109">
        <v>17055.87</v>
      </c>
      <c r="G4109" s="35"/>
      <c r="H4109" s="36">
        <f t="shared" si="194"/>
        <v>10745.1981</v>
      </c>
      <c r="I4109" s="37">
        <f t="shared" si="192"/>
        <v>10745.1981</v>
      </c>
      <c r="J4109" s="4"/>
      <c r="K4109" s="38">
        <f t="shared" si="193"/>
        <v>0</v>
      </c>
    </row>
    <row r="4110" spans="1:11">
      <c r="A4110" t="s">
        <v>5409</v>
      </c>
      <c r="B4110" t="s">
        <v>10176</v>
      </c>
      <c r="C4110" t="s">
        <v>5976</v>
      </c>
      <c r="D4110" t="s">
        <v>11526</v>
      </c>
      <c r="E4110">
        <v>2890.21</v>
      </c>
      <c r="G4110" s="35"/>
      <c r="H4110" s="36">
        <f t="shared" si="194"/>
        <v>1820.8323</v>
      </c>
      <c r="I4110" s="37">
        <f t="shared" si="192"/>
        <v>1820.8323</v>
      </c>
      <c r="J4110" s="4"/>
      <c r="K4110" s="38">
        <f t="shared" si="193"/>
        <v>0</v>
      </c>
    </row>
    <row r="4111" spans="1:11">
      <c r="A4111" t="s">
        <v>5408</v>
      </c>
      <c r="B4111" t="s">
        <v>10176</v>
      </c>
      <c r="C4111" t="s">
        <v>5976</v>
      </c>
      <c r="D4111" t="s">
        <v>11525</v>
      </c>
      <c r="E4111">
        <v>847.28</v>
      </c>
      <c r="G4111" s="35"/>
      <c r="H4111" s="36">
        <f t="shared" si="194"/>
        <v>533.78639999999996</v>
      </c>
      <c r="I4111" s="37">
        <f t="shared" si="192"/>
        <v>533.78639999999996</v>
      </c>
      <c r="J4111" s="4"/>
      <c r="K4111" s="38">
        <f t="shared" si="193"/>
        <v>0</v>
      </c>
    </row>
    <row r="4112" spans="1:11">
      <c r="A4112" t="s">
        <v>5410</v>
      </c>
      <c r="B4112" t="s">
        <v>10176</v>
      </c>
      <c r="C4112" t="s">
        <v>5976</v>
      </c>
      <c r="D4112" t="s">
        <v>11527</v>
      </c>
      <c r="E4112">
        <v>7385.83</v>
      </c>
      <c r="G4112" s="35"/>
      <c r="H4112" s="36">
        <f t="shared" si="194"/>
        <v>4653.0729000000001</v>
      </c>
      <c r="I4112" s="37">
        <f t="shared" si="192"/>
        <v>4653.0729000000001</v>
      </c>
      <c r="J4112" s="4"/>
      <c r="K4112" s="38">
        <f t="shared" si="193"/>
        <v>0</v>
      </c>
    </row>
    <row r="4113" spans="1:11">
      <c r="A4113" t="s">
        <v>5411</v>
      </c>
      <c r="B4113" t="s">
        <v>10176</v>
      </c>
      <c r="C4113" t="s">
        <v>5976</v>
      </c>
      <c r="D4113" t="s">
        <v>10993</v>
      </c>
      <c r="E4113">
        <v>8473.2900000000009</v>
      </c>
      <c r="G4113" s="35"/>
      <c r="H4113" s="36">
        <f t="shared" si="194"/>
        <v>5338.172700000001</v>
      </c>
      <c r="I4113" s="37">
        <f t="shared" si="192"/>
        <v>5338.172700000001</v>
      </c>
      <c r="J4113" s="4"/>
      <c r="K4113" s="38">
        <f t="shared" si="193"/>
        <v>0</v>
      </c>
    </row>
    <row r="4114" spans="1:11">
      <c r="A4114" t="s">
        <v>5412</v>
      </c>
      <c r="B4114" t="s">
        <v>10176</v>
      </c>
      <c r="C4114" t="s">
        <v>5976</v>
      </c>
      <c r="D4114" t="s">
        <v>10994</v>
      </c>
      <c r="E4114">
        <v>12762.99</v>
      </c>
      <c r="G4114" s="35"/>
      <c r="H4114" s="36">
        <f t="shared" si="194"/>
        <v>8040.6836999999996</v>
      </c>
      <c r="I4114" s="37">
        <f t="shared" si="192"/>
        <v>8040.6836999999996</v>
      </c>
      <c r="J4114" s="4"/>
      <c r="K4114" s="38">
        <f t="shared" si="193"/>
        <v>0</v>
      </c>
    </row>
    <row r="4115" spans="1:11">
      <c r="A4115" t="s">
        <v>5413</v>
      </c>
      <c r="B4115" t="s">
        <v>10176</v>
      </c>
      <c r="C4115" t="s">
        <v>5976</v>
      </c>
      <c r="D4115" t="s">
        <v>10995</v>
      </c>
      <c r="E4115">
        <v>11916.77</v>
      </c>
      <c r="G4115" s="35"/>
      <c r="H4115" s="36">
        <f t="shared" si="194"/>
        <v>7507.5651000000007</v>
      </c>
      <c r="I4115" s="37">
        <f t="shared" si="192"/>
        <v>7507.5651000000007</v>
      </c>
      <c r="J4115" s="4"/>
      <c r="K4115" s="38">
        <f t="shared" si="193"/>
        <v>0</v>
      </c>
    </row>
    <row r="4116" spans="1:11">
      <c r="A4116" t="s">
        <v>5414</v>
      </c>
      <c r="B4116" t="s">
        <v>10176</v>
      </c>
      <c r="C4116" t="s">
        <v>5976</v>
      </c>
      <c r="D4116" t="s">
        <v>10534</v>
      </c>
      <c r="E4116">
        <v>9470.49</v>
      </c>
      <c r="G4116" s="35"/>
      <c r="H4116" s="36">
        <f t="shared" si="194"/>
        <v>5966.4087</v>
      </c>
      <c r="I4116" s="37">
        <f t="shared" si="192"/>
        <v>5966.4087</v>
      </c>
      <c r="J4116" s="4"/>
      <c r="K4116" s="38">
        <f t="shared" si="193"/>
        <v>0</v>
      </c>
    </row>
    <row r="4117" spans="1:11">
      <c r="A4117" t="s">
        <v>5415</v>
      </c>
      <c r="B4117" t="s">
        <v>10176</v>
      </c>
      <c r="C4117" t="s">
        <v>5977</v>
      </c>
      <c r="D4117" t="s">
        <v>11528</v>
      </c>
      <c r="E4117">
        <v>1327.13</v>
      </c>
      <c r="G4117" s="35"/>
      <c r="H4117" s="36">
        <f t="shared" si="194"/>
        <v>836.09190000000012</v>
      </c>
      <c r="I4117" s="37">
        <f t="shared" si="192"/>
        <v>836.09190000000012</v>
      </c>
      <c r="J4117" s="4"/>
      <c r="K4117" s="38">
        <f t="shared" si="193"/>
        <v>0</v>
      </c>
    </row>
    <row r="4118" spans="1:11">
      <c r="A4118" t="s">
        <v>158</v>
      </c>
      <c r="B4118" t="s">
        <v>10176</v>
      </c>
      <c r="C4118" t="s">
        <v>5728</v>
      </c>
      <c r="D4118" t="s">
        <v>11201</v>
      </c>
      <c r="E4118">
        <v>296600.71999999997</v>
      </c>
      <c r="G4118" s="35"/>
      <c r="H4118" s="36">
        <f t="shared" si="194"/>
        <v>186858.45359999998</v>
      </c>
      <c r="I4118" s="37">
        <f t="shared" si="192"/>
        <v>186858.45359999998</v>
      </c>
      <c r="J4118" s="4"/>
      <c r="K4118" s="38">
        <f t="shared" si="193"/>
        <v>0</v>
      </c>
    </row>
    <row r="4119" spans="1:11">
      <c r="A4119" t="s">
        <v>159</v>
      </c>
      <c r="B4119" t="s">
        <v>10176</v>
      </c>
      <c r="C4119" t="s">
        <v>5728</v>
      </c>
      <c r="D4119" t="s">
        <v>11202</v>
      </c>
      <c r="E4119">
        <v>618655.63</v>
      </c>
      <c r="G4119" s="35"/>
      <c r="H4119" s="36">
        <f t="shared" si="194"/>
        <v>389753.04690000002</v>
      </c>
      <c r="I4119" s="37">
        <f t="shared" si="192"/>
        <v>389753.04690000002</v>
      </c>
      <c r="J4119" s="4"/>
      <c r="K4119" s="38">
        <f t="shared" si="193"/>
        <v>0</v>
      </c>
    </row>
    <row r="4120" spans="1:11">
      <c r="A4120" t="s">
        <v>160</v>
      </c>
      <c r="B4120" t="s">
        <v>10176</v>
      </c>
      <c r="C4120" t="s">
        <v>5728</v>
      </c>
      <c r="D4120" t="s">
        <v>11203</v>
      </c>
      <c r="E4120">
        <v>482665.32</v>
      </c>
      <c r="G4120" s="35"/>
      <c r="H4120" s="36">
        <f t="shared" si="194"/>
        <v>304079.15159999998</v>
      </c>
      <c r="I4120" s="37">
        <f t="shared" si="192"/>
        <v>304079.15159999998</v>
      </c>
      <c r="J4120" s="4"/>
      <c r="K4120" s="38">
        <f t="shared" si="193"/>
        <v>0</v>
      </c>
    </row>
    <row r="4121" spans="1:11">
      <c r="A4121" t="s">
        <v>161</v>
      </c>
      <c r="B4121" t="s">
        <v>10176</v>
      </c>
      <c r="C4121" t="s">
        <v>5728</v>
      </c>
      <c r="D4121" t="s">
        <v>11204</v>
      </c>
      <c r="E4121">
        <v>464653.61</v>
      </c>
      <c r="G4121" s="35"/>
      <c r="H4121" s="36">
        <f t="shared" si="194"/>
        <v>292731.77429999999</v>
      </c>
      <c r="I4121" s="37">
        <f t="shared" si="192"/>
        <v>292731.77429999999</v>
      </c>
      <c r="J4121" s="4"/>
      <c r="K4121" s="38">
        <f t="shared" si="193"/>
        <v>0</v>
      </c>
    </row>
    <row r="4122" spans="1:11">
      <c r="A4122" t="s">
        <v>162</v>
      </c>
      <c r="B4122" t="s">
        <v>10176</v>
      </c>
      <c r="C4122" t="s">
        <v>5728</v>
      </c>
      <c r="D4122" t="s">
        <v>11205</v>
      </c>
      <c r="E4122">
        <v>710405.07</v>
      </c>
      <c r="G4122" s="35"/>
      <c r="H4122" s="36">
        <f t="shared" si="194"/>
        <v>447555.19409999996</v>
      </c>
      <c r="I4122" s="37">
        <f t="shared" si="192"/>
        <v>447555.19409999996</v>
      </c>
      <c r="J4122" s="4"/>
      <c r="K4122" s="38">
        <f t="shared" si="193"/>
        <v>0</v>
      </c>
    </row>
    <row r="4123" spans="1:11">
      <c r="A4123" t="s">
        <v>163</v>
      </c>
      <c r="B4123" t="s">
        <v>10176</v>
      </c>
      <c r="C4123" t="s">
        <v>5728</v>
      </c>
      <c r="D4123" t="s">
        <v>11206</v>
      </c>
      <c r="E4123">
        <v>382778.47</v>
      </c>
      <c r="G4123" s="35"/>
      <c r="H4123" s="36">
        <f t="shared" si="194"/>
        <v>241150.43609999999</v>
      </c>
      <c r="I4123" s="37">
        <f t="shared" si="192"/>
        <v>241150.43609999999</v>
      </c>
      <c r="J4123" s="4"/>
      <c r="K4123" s="38">
        <f t="shared" si="193"/>
        <v>0</v>
      </c>
    </row>
    <row r="4124" spans="1:11">
      <c r="A4124" t="s">
        <v>164</v>
      </c>
      <c r="B4124" t="s">
        <v>10176</v>
      </c>
      <c r="C4124" t="s">
        <v>5728</v>
      </c>
      <c r="D4124" t="s">
        <v>11207</v>
      </c>
      <c r="E4124">
        <v>1207841.1399999999</v>
      </c>
      <c r="G4124" s="35"/>
      <c r="H4124" s="36">
        <f t="shared" si="194"/>
        <v>760939.91819999996</v>
      </c>
      <c r="I4124" s="37">
        <f t="shared" si="192"/>
        <v>760939.91819999996</v>
      </c>
      <c r="J4124" s="4"/>
      <c r="K4124" s="38">
        <f t="shared" si="193"/>
        <v>0</v>
      </c>
    </row>
    <row r="4125" spans="1:11">
      <c r="A4125" t="s">
        <v>165</v>
      </c>
      <c r="B4125" t="s">
        <v>10176</v>
      </c>
      <c r="C4125" t="s">
        <v>5728</v>
      </c>
      <c r="D4125" t="s">
        <v>11352</v>
      </c>
      <c r="E4125">
        <v>1087685.43</v>
      </c>
      <c r="G4125" s="35"/>
      <c r="H4125" s="36">
        <f t="shared" si="194"/>
        <v>685241.82089999993</v>
      </c>
      <c r="I4125" s="37">
        <f t="shared" si="192"/>
        <v>685241.82089999993</v>
      </c>
      <c r="J4125" s="4"/>
      <c r="K4125" s="38">
        <f t="shared" si="193"/>
        <v>0</v>
      </c>
    </row>
    <row r="4126" spans="1:11">
      <c r="A4126" t="s">
        <v>9788</v>
      </c>
      <c r="B4126" t="s">
        <v>10176</v>
      </c>
      <c r="C4126" t="s">
        <v>5728</v>
      </c>
      <c r="D4126" t="s">
        <v>11353</v>
      </c>
      <c r="E4126">
        <v>164941.21</v>
      </c>
      <c r="G4126" s="35"/>
      <c r="H4126" s="36">
        <f t="shared" si="194"/>
        <v>103912.9623</v>
      </c>
      <c r="I4126" s="37">
        <f t="shared" si="192"/>
        <v>103912.9623</v>
      </c>
      <c r="J4126" s="4"/>
      <c r="K4126" s="38">
        <f t="shared" si="193"/>
        <v>0</v>
      </c>
    </row>
    <row r="4127" spans="1:11">
      <c r="A4127" t="s">
        <v>166</v>
      </c>
      <c r="B4127" t="s">
        <v>10176</v>
      </c>
      <c r="C4127" t="s">
        <v>5728</v>
      </c>
      <c r="D4127" t="s">
        <v>11208</v>
      </c>
      <c r="E4127">
        <v>383119.07</v>
      </c>
      <c r="G4127" s="35"/>
      <c r="H4127" s="36">
        <f t="shared" si="194"/>
        <v>241365.0141</v>
      </c>
      <c r="I4127" s="37">
        <f t="shared" si="192"/>
        <v>241365.0141</v>
      </c>
      <c r="J4127" s="4"/>
      <c r="K4127" s="38">
        <f t="shared" si="193"/>
        <v>0</v>
      </c>
    </row>
    <row r="4128" spans="1:11">
      <c r="A4128" t="s">
        <v>9756</v>
      </c>
      <c r="B4128" t="s">
        <v>10176</v>
      </c>
      <c r="C4128" t="s">
        <v>5728</v>
      </c>
      <c r="D4128" t="s">
        <v>11354</v>
      </c>
      <c r="E4128">
        <v>149174.79999999999</v>
      </c>
      <c r="G4128" s="35"/>
      <c r="H4128" s="36">
        <f t="shared" si="194"/>
        <v>93980.123999999996</v>
      </c>
      <c r="I4128" s="37">
        <f t="shared" si="192"/>
        <v>93980.123999999996</v>
      </c>
      <c r="J4128" s="4"/>
      <c r="K4128" s="38">
        <f t="shared" si="193"/>
        <v>0</v>
      </c>
    </row>
    <row r="4129" spans="1:11">
      <c r="A4129" t="s">
        <v>167</v>
      </c>
      <c r="B4129" t="s">
        <v>10176</v>
      </c>
      <c r="C4129" t="s">
        <v>5728</v>
      </c>
      <c r="D4129" t="s">
        <v>11209</v>
      </c>
      <c r="E4129">
        <v>423041.71</v>
      </c>
      <c r="G4129" s="35"/>
      <c r="H4129" s="36">
        <f t="shared" si="194"/>
        <v>266516.27730000002</v>
      </c>
      <c r="I4129" s="37">
        <f t="shared" si="192"/>
        <v>266516.27730000002</v>
      </c>
      <c r="J4129" s="4"/>
      <c r="K4129" s="38">
        <f t="shared" si="193"/>
        <v>0</v>
      </c>
    </row>
    <row r="4130" spans="1:11">
      <c r="A4130" t="s">
        <v>168</v>
      </c>
      <c r="B4130" t="s">
        <v>10176</v>
      </c>
      <c r="C4130" t="s">
        <v>5728</v>
      </c>
      <c r="D4130" t="s">
        <v>11210</v>
      </c>
      <c r="E4130">
        <v>638314.13</v>
      </c>
      <c r="G4130" s="35"/>
      <c r="H4130" s="36">
        <f t="shared" si="194"/>
        <v>402137.9019</v>
      </c>
      <c r="I4130" s="37">
        <f t="shared" si="192"/>
        <v>402137.9019</v>
      </c>
      <c r="J4130" s="4"/>
      <c r="K4130" s="38">
        <f t="shared" si="193"/>
        <v>0</v>
      </c>
    </row>
    <row r="4131" spans="1:11">
      <c r="A4131" t="s">
        <v>169</v>
      </c>
      <c r="B4131" t="s">
        <v>10176</v>
      </c>
      <c r="C4131" t="s">
        <v>5728</v>
      </c>
      <c r="D4131" t="s">
        <v>11211</v>
      </c>
      <c r="E4131">
        <v>357191.78</v>
      </c>
      <c r="G4131" s="35"/>
      <c r="H4131" s="36">
        <f t="shared" si="194"/>
        <v>225030.82140000002</v>
      </c>
      <c r="I4131" s="37">
        <f t="shared" si="192"/>
        <v>225030.82140000002</v>
      </c>
      <c r="J4131" s="4"/>
      <c r="K4131" s="38">
        <f t="shared" si="193"/>
        <v>0</v>
      </c>
    </row>
    <row r="4132" spans="1:11">
      <c r="A4132" t="s">
        <v>170</v>
      </c>
      <c r="B4132" t="s">
        <v>10176</v>
      </c>
      <c r="C4132" t="s">
        <v>5728</v>
      </c>
      <c r="D4132" t="s">
        <v>11212</v>
      </c>
      <c r="E4132">
        <v>572467.07999999996</v>
      </c>
      <c r="G4132" s="35"/>
      <c r="H4132" s="36">
        <f t="shared" si="194"/>
        <v>360654.26039999997</v>
      </c>
      <c r="I4132" s="37">
        <f t="shared" si="192"/>
        <v>360654.26039999997</v>
      </c>
      <c r="J4132" s="4"/>
      <c r="K4132" s="38">
        <f t="shared" si="193"/>
        <v>0</v>
      </c>
    </row>
    <row r="4133" spans="1:11">
      <c r="A4133" t="s">
        <v>4389</v>
      </c>
      <c r="B4133" t="s">
        <v>10176</v>
      </c>
      <c r="C4133" t="s">
        <v>5728</v>
      </c>
      <c r="D4133" t="s">
        <v>11211</v>
      </c>
      <c r="E4133">
        <v>400658.86</v>
      </c>
      <c r="G4133" s="35"/>
      <c r="H4133" s="36">
        <f t="shared" si="194"/>
        <v>252415.08179999999</v>
      </c>
      <c r="I4133" s="37">
        <f t="shared" si="192"/>
        <v>252415.08179999999</v>
      </c>
      <c r="J4133" s="4"/>
      <c r="K4133" s="38">
        <f t="shared" si="193"/>
        <v>0</v>
      </c>
    </row>
    <row r="4134" spans="1:11">
      <c r="A4134" t="s">
        <v>171</v>
      </c>
      <c r="B4134" t="s">
        <v>10176</v>
      </c>
      <c r="C4134" t="s">
        <v>5728</v>
      </c>
      <c r="D4134" t="s">
        <v>11212</v>
      </c>
      <c r="E4134">
        <v>615925.51</v>
      </c>
      <c r="G4134" s="35"/>
      <c r="H4134" s="36">
        <f t="shared" si="194"/>
        <v>388033.07130000001</v>
      </c>
      <c r="I4134" s="37">
        <f t="shared" si="192"/>
        <v>388033.07130000001</v>
      </c>
      <c r="J4134" s="4"/>
      <c r="K4134" s="38">
        <f t="shared" si="193"/>
        <v>0</v>
      </c>
    </row>
    <row r="4135" spans="1:11">
      <c r="A4135" t="s">
        <v>173</v>
      </c>
      <c r="B4135" t="s">
        <v>10176</v>
      </c>
      <c r="C4135" t="s">
        <v>5728</v>
      </c>
      <c r="D4135" t="s">
        <v>11214</v>
      </c>
      <c r="E4135">
        <v>1511482.22</v>
      </c>
      <c r="G4135" s="35"/>
      <c r="H4135" s="36">
        <f t="shared" si="194"/>
        <v>952233.79859999998</v>
      </c>
      <c r="I4135" s="37">
        <f t="shared" si="192"/>
        <v>952233.79859999998</v>
      </c>
      <c r="J4135" s="4"/>
      <c r="K4135" s="38">
        <f t="shared" si="193"/>
        <v>0</v>
      </c>
    </row>
    <row r="4136" spans="1:11">
      <c r="A4136" t="s">
        <v>172</v>
      </c>
      <c r="B4136" t="s">
        <v>10176</v>
      </c>
      <c r="C4136" t="s">
        <v>5728</v>
      </c>
      <c r="D4136" t="s">
        <v>11213</v>
      </c>
      <c r="E4136">
        <v>1360336.13</v>
      </c>
      <c r="G4136" s="35"/>
      <c r="H4136" s="36">
        <f t="shared" si="194"/>
        <v>857011.76189999992</v>
      </c>
      <c r="I4136" s="37">
        <f t="shared" si="192"/>
        <v>857011.76189999992</v>
      </c>
      <c r="J4136" s="4"/>
      <c r="K4136" s="38">
        <f t="shared" si="193"/>
        <v>0</v>
      </c>
    </row>
    <row r="4137" spans="1:11">
      <c r="A4137" t="s">
        <v>174</v>
      </c>
      <c r="B4137" t="s">
        <v>10176</v>
      </c>
      <c r="C4137" t="s">
        <v>5728</v>
      </c>
      <c r="D4137" t="s">
        <v>11215</v>
      </c>
      <c r="E4137">
        <v>813588.03</v>
      </c>
      <c r="G4137" s="35"/>
      <c r="H4137" s="36">
        <f t="shared" si="194"/>
        <v>512560.45890000003</v>
      </c>
      <c r="I4137" s="37">
        <f t="shared" si="192"/>
        <v>512560.45890000003</v>
      </c>
      <c r="J4137" s="4"/>
      <c r="K4137" s="38">
        <f t="shared" si="193"/>
        <v>0</v>
      </c>
    </row>
    <row r="4138" spans="1:11">
      <c r="A4138" t="s">
        <v>175</v>
      </c>
      <c r="B4138" t="s">
        <v>10176</v>
      </c>
      <c r="C4138" t="s">
        <v>5728</v>
      </c>
      <c r="D4138" t="s">
        <v>11216</v>
      </c>
      <c r="E4138">
        <v>1172488.3500000001</v>
      </c>
      <c r="G4138" s="35"/>
      <c r="H4138" s="36">
        <f t="shared" si="194"/>
        <v>738667.66050000011</v>
      </c>
      <c r="I4138" s="37">
        <f t="shared" si="192"/>
        <v>738667.66050000011</v>
      </c>
      <c r="J4138" s="4"/>
      <c r="K4138" s="38">
        <f t="shared" si="193"/>
        <v>0</v>
      </c>
    </row>
    <row r="4139" spans="1:11">
      <c r="A4139" t="s">
        <v>176</v>
      </c>
      <c r="B4139" t="s">
        <v>10176</v>
      </c>
      <c r="C4139" t="s">
        <v>5728</v>
      </c>
      <c r="D4139" t="s">
        <v>11217</v>
      </c>
      <c r="E4139">
        <v>2601321.36</v>
      </c>
      <c r="G4139" s="35"/>
      <c r="H4139" s="36">
        <f t="shared" si="194"/>
        <v>1638832.4568</v>
      </c>
      <c r="I4139" s="37">
        <f t="shared" si="192"/>
        <v>1638832.4568</v>
      </c>
      <c r="J4139" s="4"/>
      <c r="K4139" s="38">
        <f t="shared" si="193"/>
        <v>0</v>
      </c>
    </row>
    <row r="4140" spans="1:11">
      <c r="A4140" t="s">
        <v>9821</v>
      </c>
      <c r="B4140" t="s">
        <v>10176</v>
      </c>
      <c r="C4140" t="s">
        <v>5728</v>
      </c>
      <c r="D4140" t="s">
        <v>11355</v>
      </c>
      <c r="E4140">
        <v>141384.85999999999</v>
      </c>
      <c r="G4140" s="35"/>
      <c r="H4140" s="36">
        <f t="shared" si="194"/>
        <v>89072.46179999999</v>
      </c>
      <c r="I4140" s="37">
        <f t="shared" si="192"/>
        <v>89072.46179999999</v>
      </c>
      <c r="J4140" s="4"/>
      <c r="K4140" s="38">
        <f t="shared" si="193"/>
        <v>0</v>
      </c>
    </row>
    <row r="4141" spans="1:11">
      <c r="A4141" t="s">
        <v>177</v>
      </c>
      <c r="B4141" t="s">
        <v>10176</v>
      </c>
      <c r="C4141" t="s">
        <v>5728</v>
      </c>
      <c r="D4141" t="s">
        <v>11218</v>
      </c>
      <c r="E4141">
        <v>1319506.17</v>
      </c>
      <c r="G4141" s="35"/>
      <c r="H4141" s="36">
        <f t="shared" si="194"/>
        <v>831288.88709999993</v>
      </c>
      <c r="I4141" s="37">
        <f t="shared" si="192"/>
        <v>831288.88709999993</v>
      </c>
      <c r="J4141" s="4"/>
      <c r="K4141" s="38">
        <f t="shared" si="193"/>
        <v>0</v>
      </c>
    </row>
    <row r="4142" spans="1:11">
      <c r="A4142" t="s">
        <v>178</v>
      </c>
      <c r="B4142" t="s">
        <v>10176</v>
      </c>
      <c r="C4142" t="s">
        <v>5728</v>
      </c>
      <c r="D4142" t="s">
        <v>11219</v>
      </c>
      <c r="E4142">
        <v>1259754.97</v>
      </c>
      <c r="G4142" s="35"/>
      <c r="H4142" s="36">
        <f t="shared" si="194"/>
        <v>793645.6311</v>
      </c>
      <c r="I4142" s="37">
        <f t="shared" si="192"/>
        <v>793645.6311</v>
      </c>
      <c r="J4142" s="4"/>
      <c r="K4142" s="38">
        <f t="shared" si="193"/>
        <v>0</v>
      </c>
    </row>
    <row r="4143" spans="1:11">
      <c r="A4143" t="s">
        <v>179</v>
      </c>
      <c r="B4143" t="s">
        <v>10176</v>
      </c>
      <c r="C4143" t="s">
        <v>5728</v>
      </c>
      <c r="D4143" t="s">
        <v>11220</v>
      </c>
      <c r="E4143">
        <v>125167.48</v>
      </c>
      <c r="G4143" s="35"/>
      <c r="H4143" s="36">
        <f t="shared" si="194"/>
        <v>78855.512399999992</v>
      </c>
      <c r="I4143" s="37">
        <f t="shared" si="192"/>
        <v>78855.512399999992</v>
      </c>
      <c r="J4143" s="4"/>
      <c r="K4143" s="38">
        <f t="shared" si="193"/>
        <v>0</v>
      </c>
    </row>
    <row r="4144" spans="1:11">
      <c r="A4144" t="s">
        <v>5417</v>
      </c>
      <c r="B4144" t="s">
        <v>10176</v>
      </c>
      <c r="C4144" t="s">
        <v>5978</v>
      </c>
      <c r="D4144" t="s">
        <v>10996</v>
      </c>
      <c r="E4144">
        <v>26075.54</v>
      </c>
      <c r="G4144" s="35"/>
      <c r="H4144" s="36">
        <f t="shared" si="194"/>
        <v>16427.590200000002</v>
      </c>
      <c r="I4144" s="37">
        <f t="shared" si="192"/>
        <v>16427.590200000002</v>
      </c>
      <c r="J4144" s="4"/>
      <c r="K4144" s="38">
        <f t="shared" si="193"/>
        <v>0</v>
      </c>
    </row>
    <row r="4145" spans="1:11">
      <c r="A4145" t="s">
        <v>5416</v>
      </c>
      <c r="B4145" t="s">
        <v>10176</v>
      </c>
      <c r="C4145" t="s">
        <v>5978</v>
      </c>
      <c r="D4145" t="s">
        <v>10996</v>
      </c>
      <c r="E4145">
        <v>26075.54</v>
      </c>
      <c r="G4145" s="35"/>
      <c r="H4145" s="36">
        <f t="shared" si="194"/>
        <v>16427.590200000002</v>
      </c>
      <c r="I4145" s="37">
        <f t="shared" si="192"/>
        <v>16427.590200000002</v>
      </c>
      <c r="J4145" s="4"/>
      <c r="K4145" s="38">
        <f t="shared" si="193"/>
        <v>0</v>
      </c>
    </row>
    <row r="4146" spans="1:11">
      <c r="A4146" t="s">
        <v>5418</v>
      </c>
      <c r="B4146" t="s">
        <v>10176</v>
      </c>
      <c r="C4146" t="s">
        <v>5978</v>
      </c>
      <c r="D4146" t="s">
        <v>10997</v>
      </c>
      <c r="E4146">
        <v>9191.25</v>
      </c>
      <c r="G4146" s="35"/>
      <c r="H4146" s="36">
        <f t="shared" si="194"/>
        <v>5790.4875000000002</v>
      </c>
      <c r="I4146" s="37">
        <f t="shared" si="192"/>
        <v>5790.4875000000002</v>
      </c>
      <c r="J4146" s="4"/>
      <c r="K4146" s="38">
        <f t="shared" si="193"/>
        <v>0</v>
      </c>
    </row>
    <row r="4147" spans="1:11">
      <c r="A4147" t="s">
        <v>5419</v>
      </c>
      <c r="B4147" t="s">
        <v>10176</v>
      </c>
      <c r="C4147" t="s">
        <v>5978</v>
      </c>
      <c r="D4147" t="s">
        <v>10998</v>
      </c>
      <c r="E4147">
        <v>12869.12</v>
      </c>
      <c r="G4147" s="35"/>
      <c r="H4147" s="36">
        <f t="shared" si="194"/>
        <v>8107.5456000000004</v>
      </c>
      <c r="I4147" s="37">
        <f t="shared" si="192"/>
        <v>8107.5456000000004</v>
      </c>
      <c r="J4147" s="4"/>
      <c r="K4147" s="38">
        <f t="shared" si="193"/>
        <v>0</v>
      </c>
    </row>
    <row r="4148" spans="1:11">
      <c r="A4148" t="s">
        <v>5420</v>
      </c>
      <c r="B4148" t="s">
        <v>10176</v>
      </c>
      <c r="C4148" t="s">
        <v>5978</v>
      </c>
      <c r="D4148" t="s">
        <v>10999</v>
      </c>
      <c r="E4148">
        <v>9191.25</v>
      </c>
      <c r="G4148" s="35"/>
      <c r="H4148" s="36">
        <f t="shared" si="194"/>
        <v>5790.4875000000002</v>
      </c>
      <c r="I4148" s="37">
        <f t="shared" si="192"/>
        <v>5790.4875000000002</v>
      </c>
      <c r="J4148" s="4"/>
      <c r="K4148" s="38">
        <f t="shared" si="193"/>
        <v>0</v>
      </c>
    </row>
    <row r="4149" spans="1:11">
      <c r="A4149" t="s">
        <v>5421</v>
      </c>
      <c r="B4149" t="s">
        <v>10176</v>
      </c>
      <c r="C4149" t="s">
        <v>5978</v>
      </c>
      <c r="D4149" t="s">
        <v>11000</v>
      </c>
      <c r="E4149">
        <v>9191.25</v>
      </c>
      <c r="G4149" s="35"/>
      <c r="H4149" s="36">
        <f t="shared" si="194"/>
        <v>5790.4875000000002</v>
      </c>
      <c r="I4149" s="37">
        <f t="shared" si="192"/>
        <v>5790.4875000000002</v>
      </c>
      <c r="J4149" s="4"/>
      <c r="K4149" s="38">
        <f t="shared" si="193"/>
        <v>0</v>
      </c>
    </row>
    <row r="4150" spans="1:11">
      <c r="A4150" t="s">
        <v>5422</v>
      </c>
      <c r="B4150" t="s">
        <v>10176</v>
      </c>
      <c r="C4150" t="s">
        <v>5978</v>
      </c>
      <c r="D4150" t="s">
        <v>11001</v>
      </c>
      <c r="E4150">
        <v>9191.25</v>
      </c>
      <c r="G4150" s="35"/>
      <c r="H4150" s="36">
        <f t="shared" si="194"/>
        <v>5790.4875000000002</v>
      </c>
      <c r="I4150" s="37">
        <f t="shared" si="192"/>
        <v>5790.4875000000002</v>
      </c>
      <c r="J4150" s="4"/>
      <c r="K4150" s="38">
        <f t="shared" si="193"/>
        <v>0</v>
      </c>
    </row>
    <row r="4151" spans="1:11">
      <c r="A4151" t="s">
        <v>5423</v>
      </c>
      <c r="B4151" t="s">
        <v>10176</v>
      </c>
      <c r="C4151" t="s">
        <v>5978</v>
      </c>
      <c r="D4151" t="s">
        <v>11002</v>
      </c>
      <c r="E4151">
        <v>9191.25</v>
      </c>
      <c r="G4151" s="35"/>
      <c r="H4151" s="36">
        <f t="shared" si="194"/>
        <v>5790.4875000000002</v>
      </c>
      <c r="I4151" s="37">
        <f t="shared" si="192"/>
        <v>5790.4875000000002</v>
      </c>
      <c r="J4151" s="4"/>
      <c r="K4151" s="38">
        <f t="shared" si="193"/>
        <v>0</v>
      </c>
    </row>
    <row r="4152" spans="1:11">
      <c r="A4152" t="s">
        <v>5424</v>
      </c>
      <c r="B4152" t="s">
        <v>10176</v>
      </c>
      <c r="C4152" t="s">
        <v>5978</v>
      </c>
      <c r="D4152" t="s">
        <v>11003</v>
      </c>
      <c r="E4152">
        <v>46802.41</v>
      </c>
      <c r="G4152" s="35"/>
      <c r="H4152" s="36">
        <f t="shared" si="194"/>
        <v>29485.518300000003</v>
      </c>
      <c r="I4152" s="37">
        <f t="shared" si="192"/>
        <v>29485.518300000003</v>
      </c>
      <c r="J4152" s="4"/>
      <c r="K4152" s="38">
        <f t="shared" si="193"/>
        <v>0</v>
      </c>
    </row>
    <row r="4153" spans="1:11">
      <c r="A4153" t="s">
        <v>5425</v>
      </c>
      <c r="B4153" t="s">
        <v>10176</v>
      </c>
      <c r="C4153" t="s">
        <v>5978</v>
      </c>
      <c r="D4153" t="s">
        <v>11004</v>
      </c>
      <c r="E4153">
        <v>63536.79</v>
      </c>
      <c r="G4153" s="35"/>
      <c r="H4153" s="36">
        <f t="shared" si="194"/>
        <v>40028.1777</v>
      </c>
      <c r="I4153" s="37">
        <f t="shared" si="192"/>
        <v>40028.1777</v>
      </c>
      <c r="J4153" s="4"/>
      <c r="K4153" s="38">
        <f t="shared" si="193"/>
        <v>0</v>
      </c>
    </row>
    <row r="4154" spans="1:11">
      <c r="A4154" t="s">
        <v>5426</v>
      </c>
      <c r="B4154" t="s">
        <v>10176</v>
      </c>
      <c r="C4154" t="s">
        <v>5978</v>
      </c>
      <c r="D4154" t="s">
        <v>11004</v>
      </c>
      <c r="E4154">
        <v>61893.440000000002</v>
      </c>
      <c r="G4154" s="35"/>
      <c r="H4154" s="36">
        <f t="shared" si="194"/>
        <v>38992.867200000001</v>
      </c>
      <c r="I4154" s="37">
        <f t="shared" si="192"/>
        <v>38992.867200000001</v>
      </c>
      <c r="J4154" s="4"/>
      <c r="K4154" s="38">
        <f t="shared" si="193"/>
        <v>0</v>
      </c>
    </row>
    <row r="4155" spans="1:11">
      <c r="A4155" t="s">
        <v>5427</v>
      </c>
      <c r="B4155" t="s">
        <v>10176</v>
      </c>
      <c r="C4155" t="s">
        <v>5978</v>
      </c>
      <c r="D4155" t="s">
        <v>11005</v>
      </c>
      <c r="E4155">
        <v>24758.43</v>
      </c>
      <c r="G4155" s="35"/>
      <c r="H4155" s="36">
        <f t="shared" si="194"/>
        <v>15597.8109</v>
      </c>
      <c r="I4155" s="37">
        <f t="shared" si="192"/>
        <v>15597.8109</v>
      </c>
      <c r="J4155" s="4"/>
      <c r="K4155" s="38">
        <f t="shared" si="193"/>
        <v>0</v>
      </c>
    </row>
    <row r="4156" spans="1:11">
      <c r="A4156" t="s">
        <v>5428</v>
      </c>
      <c r="B4156" t="s">
        <v>10176</v>
      </c>
      <c r="C4156" t="s">
        <v>5978</v>
      </c>
      <c r="D4156" t="s">
        <v>11006</v>
      </c>
      <c r="E4156">
        <v>33480.9</v>
      </c>
      <c r="G4156" s="35"/>
      <c r="H4156" s="36">
        <f t="shared" si="194"/>
        <v>21092.967000000001</v>
      </c>
      <c r="I4156" s="37">
        <f t="shared" si="192"/>
        <v>21092.967000000001</v>
      </c>
      <c r="J4156" s="4"/>
      <c r="K4156" s="38">
        <f t="shared" si="193"/>
        <v>0</v>
      </c>
    </row>
    <row r="4157" spans="1:11">
      <c r="A4157" t="s">
        <v>5429</v>
      </c>
      <c r="B4157" t="s">
        <v>10176</v>
      </c>
      <c r="C4157" t="s">
        <v>5979</v>
      </c>
      <c r="D4157" t="s">
        <v>11007</v>
      </c>
      <c r="E4157">
        <v>35780.42</v>
      </c>
      <c r="G4157" s="35"/>
      <c r="H4157" s="36">
        <f t="shared" si="194"/>
        <v>22541.6646</v>
      </c>
      <c r="I4157" s="37">
        <f t="shared" si="192"/>
        <v>22541.6646</v>
      </c>
      <c r="J4157" s="4"/>
      <c r="K4157" s="38">
        <f t="shared" si="193"/>
        <v>0</v>
      </c>
    </row>
    <row r="4158" spans="1:11">
      <c r="A4158" t="s">
        <v>5430</v>
      </c>
      <c r="B4158" t="s">
        <v>10176</v>
      </c>
      <c r="C4158" t="s">
        <v>5979</v>
      </c>
      <c r="D4158" t="s">
        <v>11008</v>
      </c>
      <c r="E4158">
        <v>37144.519999999997</v>
      </c>
      <c r="G4158" s="35"/>
      <c r="H4158" s="36">
        <f t="shared" si="194"/>
        <v>23401.047599999998</v>
      </c>
      <c r="I4158" s="37">
        <f t="shared" si="192"/>
        <v>23401.047599999998</v>
      </c>
      <c r="J4158" s="4"/>
      <c r="K4158" s="38">
        <f t="shared" si="193"/>
        <v>0</v>
      </c>
    </row>
    <row r="4159" spans="1:11">
      <c r="A4159" t="s">
        <v>5431</v>
      </c>
      <c r="B4159" t="s">
        <v>10176</v>
      </c>
      <c r="C4159" t="s">
        <v>5979</v>
      </c>
      <c r="D4159" t="s">
        <v>11009</v>
      </c>
      <c r="E4159">
        <v>72997.259999999995</v>
      </c>
      <c r="G4159" s="35"/>
      <c r="H4159" s="36">
        <f t="shared" si="194"/>
        <v>45988.273799999995</v>
      </c>
      <c r="I4159" s="37">
        <f t="shared" si="192"/>
        <v>45988.273799999995</v>
      </c>
      <c r="J4159" s="4"/>
      <c r="K4159" s="38">
        <f t="shared" si="193"/>
        <v>0</v>
      </c>
    </row>
    <row r="4160" spans="1:11">
      <c r="A4160" t="s">
        <v>5432</v>
      </c>
      <c r="B4160" t="s">
        <v>10176</v>
      </c>
      <c r="C4160" t="s">
        <v>5979</v>
      </c>
      <c r="D4160" t="s">
        <v>11010</v>
      </c>
      <c r="E4160">
        <v>36342.11</v>
      </c>
      <c r="G4160" s="35"/>
      <c r="H4160" s="36">
        <f t="shared" si="194"/>
        <v>22895.529300000002</v>
      </c>
      <c r="I4160" s="37">
        <f t="shared" si="192"/>
        <v>22895.529300000002</v>
      </c>
      <c r="J4160" s="4"/>
      <c r="K4160" s="38">
        <f t="shared" si="193"/>
        <v>0</v>
      </c>
    </row>
    <row r="4161" spans="1:11">
      <c r="A4161" t="s">
        <v>5433</v>
      </c>
      <c r="B4161" t="s">
        <v>10176</v>
      </c>
      <c r="C4161" t="s">
        <v>5979</v>
      </c>
      <c r="D4161" t="s">
        <v>11011</v>
      </c>
      <c r="E4161">
        <v>30364.71</v>
      </c>
      <c r="G4161" s="35"/>
      <c r="H4161" s="36">
        <f t="shared" si="194"/>
        <v>19129.7673</v>
      </c>
      <c r="I4161" s="37">
        <f t="shared" si="192"/>
        <v>19129.7673</v>
      </c>
      <c r="J4161" s="4"/>
      <c r="K4161" s="38">
        <f t="shared" si="193"/>
        <v>0</v>
      </c>
    </row>
    <row r="4162" spans="1:11">
      <c r="A4162" t="s">
        <v>5434</v>
      </c>
      <c r="B4162" t="s">
        <v>10176</v>
      </c>
      <c r="C4162" t="s">
        <v>5979</v>
      </c>
      <c r="D4162" t="s">
        <v>11012</v>
      </c>
      <c r="E4162">
        <v>32284.16</v>
      </c>
      <c r="G4162" s="35"/>
      <c r="H4162" s="36">
        <f t="shared" si="194"/>
        <v>20339.020799999998</v>
      </c>
      <c r="I4162" s="37">
        <f t="shared" si="192"/>
        <v>20339.020799999998</v>
      </c>
      <c r="J4162" s="4"/>
      <c r="K4162" s="38">
        <f t="shared" si="193"/>
        <v>0</v>
      </c>
    </row>
    <row r="4163" spans="1:11">
      <c r="A4163" t="s">
        <v>5435</v>
      </c>
      <c r="B4163" t="s">
        <v>10176</v>
      </c>
      <c r="C4163" t="s">
        <v>5979</v>
      </c>
      <c r="D4163" t="s">
        <v>11013</v>
      </c>
      <c r="E4163">
        <v>2658.48</v>
      </c>
      <c r="G4163" s="35"/>
      <c r="H4163" s="36">
        <f t="shared" si="194"/>
        <v>1674.8424</v>
      </c>
      <c r="I4163" s="37">
        <f t="shared" si="192"/>
        <v>1674.8424</v>
      </c>
      <c r="J4163" s="4"/>
      <c r="K4163" s="38">
        <f t="shared" si="193"/>
        <v>0</v>
      </c>
    </row>
    <row r="4164" spans="1:11">
      <c r="A4164" t="s">
        <v>5436</v>
      </c>
      <c r="B4164" t="s">
        <v>10176</v>
      </c>
      <c r="C4164" t="s">
        <v>5979</v>
      </c>
      <c r="D4164" t="s">
        <v>11014</v>
      </c>
      <c r="E4164">
        <v>8982.2000000000007</v>
      </c>
      <c r="G4164" s="35"/>
      <c r="H4164" s="36">
        <f t="shared" si="194"/>
        <v>5658.7860000000001</v>
      </c>
      <c r="I4164" s="37">
        <f t="shared" si="192"/>
        <v>5658.7860000000001</v>
      </c>
      <c r="J4164" s="4"/>
      <c r="K4164" s="38">
        <f t="shared" si="193"/>
        <v>0</v>
      </c>
    </row>
    <row r="4165" spans="1:11">
      <c r="A4165" t="s">
        <v>5437</v>
      </c>
      <c r="B4165" t="s">
        <v>10176</v>
      </c>
      <c r="C4165" t="s">
        <v>5979</v>
      </c>
      <c r="D4165" t="s">
        <v>11015</v>
      </c>
      <c r="E4165">
        <v>4242.6099999999997</v>
      </c>
      <c r="G4165" s="35"/>
      <c r="H4165" s="36">
        <f t="shared" si="194"/>
        <v>2672.8442999999997</v>
      </c>
      <c r="I4165" s="37">
        <f t="shared" si="192"/>
        <v>2672.8442999999997</v>
      </c>
      <c r="J4165" s="4"/>
      <c r="K4165" s="38">
        <f t="shared" si="193"/>
        <v>0</v>
      </c>
    </row>
    <row r="4166" spans="1:11">
      <c r="A4166" t="s">
        <v>5438</v>
      </c>
      <c r="B4166" t="s">
        <v>10176</v>
      </c>
      <c r="C4166" t="s">
        <v>5979</v>
      </c>
      <c r="D4166" t="s">
        <v>11016</v>
      </c>
      <c r="E4166">
        <v>4242.6099999999997</v>
      </c>
      <c r="G4166" s="35"/>
      <c r="H4166" s="36">
        <f t="shared" si="194"/>
        <v>2672.8442999999997</v>
      </c>
      <c r="I4166" s="37">
        <f t="shared" ref="I4166:I4229" si="195">H4166*$H$4</f>
        <v>2672.8442999999997</v>
      </c>
      <c r="J4166" s="4"/>
      <c r="K4166" s="38">
        <f t="shared" ref="K4166:K4229" si="196">J4166*I4166</f>
        <v>0</v>
      </c>
    </row>
    <row r="4167" spans="1:11">
      <c r="A4167" t="s">
        <v>5439</v>
      </c>
      <c r="B4167" t="s">
        <v>10176</v>
      </c>
      <c r="C4167" t="s">
        <v>5979</v>
      </c>
      <c r="D4167" t="s">
        <v>11017</v>
      </c>
      <c r="E4167">
        <v>8982.2000000000007</v>
      </c>
      <c r="G4167" s="35"/>
      <c r="H4167" s="36">
        <f t="shared" ref="H4167:H4230" si="197">+E4167*$H$1*(1-G4167)</f>
        <v>5658.7860000000001</v>
      </c>
      <c r="I4167" s="37">
        <f t="shared" si="195"/>
        <v>5658.7860000000001</v>
      </c>
      <c r="J4167" s="4"/>
      <c r="K4167" s="38">
        <f t="shared" si="196"/>
        <v>0</v>
      </c>
    </row>
    <row r="4168" spans="1:11">
      <c r="A4168" t="s">
        <v>5440</v>
      </c>
      <c r="B4168" t="s">
        <v>10176</v>
      </c>
      <c r="C4168" t="s">
        <v>5979</v>
      </c>
      <c r="D4168" t="s">
        <v>11018</v>
      </c>
      <c r="E4168">
        <v>17705.189999999999</v>
      </c>
      <c r="G4168" s="35"/>
      <c r="H4168" s="36">
        <f t="shared" si="197"/>
        <v>11154.269699999999</v>
      </c>
      <c r="I4168" s="37">
        <f t="shared" si="195"/>
        <v>11154.269699999999</v>
      </c>
      <c r="J4168" s="4"/>
      <c r="K4168" s="38">
        <f t="shared" si="196"/>
        <v>0</v>
      </c>
    </row>
    <row r="4169" spans="1:11">
      <c r="A4169" t="s">
        <v>5441</v>
      </c>
      <c r="B4169" t="s">
        <v>10176</v>
      </c>
      <c r="C4169" t="s">
        <v>5979</v>
      </c>
      <c r="D4169" t="s">
        <v>11019</v>
      </c>
      <c r="E4169">
        <v>17705.189999999999</v>
      </c>
      <c r="G4169" s="35"/>
      <c r="H4169" s="36">
        <f t="shared" si="197"/>
        <v>11154.269699999999</v>
      </c>
      <c r="I4169" s="37">
        <f t="shared" si="195"/>
        <v>11154.269699999999</v>
      </c>
      <c r="J4169" s="4"/>
      <c r="K4169" s="38">
        <f t="shared" si="196"/>
        <v>0</v>
      </c>
    </row>
    <row r="4170" spans="1:11">
      <c r="A4170" t="s">
        <v>5442</v>
      </c>
      <c r="B4170" t="s">
        <v>10176</v>
      </c>
      <c r="C4170" t="s">
        <v>5979</v>
      </c>
      <c r="D4170" t="s">
        <v>11020</v>
      </c>
      <c r="E4170">
        <v>180079.88</v>
      </c>
      <c r="G4170" s="35"/>
      <c r="H4170" s="36">
        <f t="shared" si="197"/>
        <v>113450.3244</v>
      </c>
      <c r="I4170" s="37">
        <f t="shared" si="195"/>
        <v>113450.3244</v>
      </c>
      <c r="J4170" s="4"/>
      <c r="K4170" s="38">
        <f t="shared" si="196"/>
        <v>0</v>
      </c>
    </row>
    <row r="4171" spans="1:11">
      <c r="A4171" t="s">
        <v>4556</v>
      </c>
      <c r="B4171" t="s">
        <v>10176</v>
      </c>
      <c r="C4171" t="s">
        <v>5756</v>
      </c>
      <c r="D4171" t="s">
        <v>10361</v>
      </c>
      <c r="E4171">
        <v>2069.29</v>
      </c>
      <c r="G4171" s="35"/>
      <c r="H4171" s="36">
        <f t="shared" si="197"/>
        <v>1303.6527000000001</v>
      </c>
      <c r="I4171" s="37">
        <f t="shared" si="195"/>
        <v>1303.6527000000001</v>
      </c>
      <c r="J4171" s="4"/>
      <c r="K4171" s="38">
        <f t="shared" si="196"/>
        <v>0</v>
      </c>
    </row>
    <row r="4172" spans="1:11">
      <c r="A4172" t="s">
        <v>4560</v>
      </c>
      <c r="B4172" t="s">
        <v>10176</v>
      </c>
      <c r="C4172" t="s">
        <v>5756</v>
      </c>
      <c r="D4172" t="s">
        <v>10364</v>
      </c>
      <c r="E4172">
        <v>1783.8</v>
      </c>
      <c r="G4172" s="35"/>
      <c r="H4172" s="36">
        <f t="shared" si="197"/>
        <v>1123.7939999999999</v>
      </c>
      <c r="I4172" s="37">
        <f t="shared" si="195"/>
        <v>1123.7939999999999</v>
      </c>
      <c r="J4172" s="4"/>
      <c r="K4172" s="38">
        <f t="shared" si="196"/>
        <v>0</v>
      </c>
    </row>
    <row r="4173" spans="1:11">
      <c r="A4173" t="s">
        <v>4557</v>
      </c>
      <c r="B4173" t="s">
        <v>10176</v>
      </c>
      <c r="C4173" t="s">
        <v>5756</v>
      </c>
      <c r="D4173" t="s">
        <v>10362</v>
      </c>
      <c r="E4173">
        <v>4309.09</v>
      </c>
      <c r="G4173" s="35"/>
      <c r="H4173" s="36">
        <f t="shared" si="197"/>
        <v>2714.7267000000002</v>
      </c>
      <c r="I4173" s="37">
        <f t="shared" si="195"/>
        <v>2714.7267000000002</v>
      </c>
      <c r="J4173" s="4"/>
      <c r="K4173" s="38">
        <f t="shared" si="196"/>
        <v>0</v>
      </c>
    </row>
    <row r="4174" spans="1:11">
      <c r="A4174" t="s">
        <v>4558</v>
      </c>
      <c r="B4174" t="s">
        <v>10176</v>
      </c>
      <c r="C4174" t="s">
        <v>5756</v>
      </c>
      <c r="D4174" t="s">
        <v>10363</v>
      </c>
      <c r="E4174">
        <v>9047.5400000000009</v>
      </c>
      <c r="G4174" s="35"/>
      <c r="H4174" s="36">
        <f t="shared" si="197"/>
        <v>5699.9502000000002</v>
      </c>
      <c r="I4174" s="37">
        <f t="shared" si="195"/>
        <v>5699.9502000000002</v>
      </c>
      <c r="J4174" s="4"/>
      <c r="K4174" s="38">
        <f t="shared" si="196"/>
        <v>0</v>
      </c>
    </row>
    <row r="4175" spans="1:11">
      <c r="A4175" t="s">
        <v>4559</v>
      </c>
      <c r="B4175" t="s">
        <v>10176</v>
      </c>
      <c r="C4175" t="s">
        <v>5756</v>
      </c>
      <c r="D4175" t="s">
        <v>5757</v>
      </c>
      <c r="E4175">
        <v>6343.15</v>
      </c>
      <c r="G4175" s="35"/>
      <c r="H4175" s="36">
        <f t="shared" si="197"/>
        <v>3996.1844999999998</v>
      </c>
      <c r="I4175" s="37">
        <f t="shared" si="195"/>
        <v>3996.1844999999998</v>
      </c>
      <c r="J4175" s="4"/>
      <c r="K4175" s="38">
        <f t="shared" si="196"/>
        <v>0</v>
      </c>
    </row>
    <row r="4176" spans="1:11">
      <c r="A4176" t="s">
        <v>5443</v>
      </c>
      <c r="B4176" t="s">
        <v>10176</v>
      </c>
      <c r="C4176" t="s">
        <v>5980</v>
      </c>
      <c r="D4176" t="s">
        <v>11021</v>
      </c>
      <c r="E4176">
        <v>9238.76</v>
      </c>
      <c r="G4176" s="35"/>
      <c r="H4176" s="36">
        <f t="shared" si="197"/>
        <v>5820.4188000000004</v>
      </c>
      <c r="I4176" s="37">
        <f t="shared" si="195"/>
        <v>5820.4188000000004</v>
      </c>
      <c r="J4176" s="4"/>
      <c r="K4176" s="38">
        <f t="shared" si="196"/>
        <v>0</v>
      </c>
    </row>
    <row r="4177" spans="1:11">
      <c r="A4177" t="s">
        <v>5444</v>
      </c>
      <c r="B4177" t="s">
        <v>10176</v>
      </c>
      <c r="C4177" t="s">
        <v>5980</v>
      </c>
      <c r="D4177" t="s">
        <v>11022</v>
      </c>
      <c r="E4177">
        <v>3937.07</v>
      </c>
      <c r="G4177" s="35"/>
      <c r="H4177" s="36">
        <f t="shared" si="197"/>
        <v>2480.3541</v>
      </c>
      <c r="I4177" s="37">
        <f t="shared" si="195"/>
        <v>2480.3541</v>
      </c>
      <c r="J4177" s="4"/>
      <c r="K4177" s="38">
        <f t="shared" si="196"/>
        <v>0</v>
      </c>
    </row>
    <row r="4178" spans="1:11">
      <c r="A4178" t="s">
        <v>5445</v>
      </c>
      <c r="B4178" t="s">
        <v>10176</v>
      </c>
      <c r="C4178" t="s">
        <v>5980</v>
      </c>
      <c r="D4178" t="s">
        <v>11023</v>
      </c>
      <c r="E4178">
        <v>24925.78</v>
      </c>
      <c r="G4178" s="35"/>
      <c r="H4178" s="36">
        <f t="shared" si="197"/>
        <v>15703.241399999999</v>
      </c>
      <c r="I4178" s="37">
        <f t="shared" si="195"/>
        <v>15703.241399999999</v>
      </c>
      <c r="J4178" s="4"/>
      <c r="K4178" s="38">
        <f t="shared" si="196"/>
        <v>0</v>
      </c>
    </row>
    <row r="4179" spans="1:11">
      <c r="A4179" t="s">
        <v>5446</v>
      </c>
      <c r="B4179" t="s">
        <v>10176</v>
      </c>
      <c r="C4179" t="s">
        <v>5980</v>
      </c>
      <c r="D4179" t="s">
        <v>11024</v>
      </c>
      <c r="E4179">
        <v>1280.17</v>
      </c>
      <c r="G4179" s="35"/>
      <c r="H4179" s="36">
        <f t="shared" si="197"/>
        <v>806.50710000000004</v>
      </c>
      <c r="I4179" s="37">
        <f t="shared" si="195"/>
        <v>806.50710000000004</v>
      </c>
      <c r="J4179" s="4"/>
      <c r="K4179" s="38">
        <f t="shared" si="196"/>
        <v>0</v>
      </c>
    </row>
    <row r="4180" spans="1:11">
      <c r="A4180" t="s">
        <v>4333</v>
      </c>
      <c r="B4180" t="s">
        <v>10176</v>
      </c>
      <c r="C4180" t="s">
        <v>5713</v>
      </c>
      <c r="D4180" t="s">
        <v>10234</v>
      </c>
      <c r="E4180">
        <v>571239.48</v>
      </c>
      <c r="G4180" s="35"/>
      <c r="H4180" s="36">
        <f t="shared" si="197"/>
        <v>359880.87239999999</v>
      </c>
      <c r="I4180" s="37">
        <f t="shared" si="195"/>
        <v>359880.87239999999</v>
      </c>
      <c r="J4180" s="4"/>
      <c r="K4180" s="38">
        <f t="shared" si="196"/>
        <v>0</v>
      </c>
    </row>
    <row r="4181" spans="1:11">
      <c r="A4181" t="s">
        <v>4334</v>
      </c>
      <c r="B4181" t="s">
        <v>10176</v>
      </c>
      <c r="C4181" t="s">
        <v>5713</v>
      </c>
      <c r="D4181" t="s">
        <v>10235</v>
      </c>
      <c r="E4181">
        <v>286238.53000000003</v>
      </c>
      <c r="G4181" s="35"/>
      <c r="H4181" s="36">
        <f t="shared" si="197"/>
        <v>180330.27390000003</v>
      </c>
      <c r="I4181" s="37">
        <f t="shared" si="195"/>
        <v>180330.27390000003</v>
      </c>
      <c r="J4181" s="4"/>
      <c r="K4181" s="38">
        <f t="shared" si="196"/>
        <v>0</v>
      </c>
    </row>
    <row r="4182" spans="1:11">
      <c r="A4182" t="s">
        <v>4335</v>
      </c>
      <c r="B4182" t="s">
        <v>10176</v>
      </c>
      <c r="C4182" t="s">
        <v>5713</v>
      </c>
      <c r="D4182" t="s">
        <v>10236</v>
      </c>
      <c r="E4182">
        <v>483245.61</v>
      </c>
      <c r="G4182" s="35"/>
      <c r="H4182" s="36">
        <f t="shared" si="197"/>
        <v>304444.73430000001</v>
      </c>
      <c r="I4182" s="37">
        <f t="shared" si="195"/>
        <v>304444.73430000001</v>
      </c>
      <c r="J4182" s="4"/>
      <c r="K4182" s="38">
        <f t="shared" si="196"/>
        <v>0</v>
      </c>
    </row>
    <row r="4183" spans="1:11">
      <c r="A4183" t="s">
        <v>4336</v>
      </c>
      <c r="B4183" t="s">
        <v>10176</v>
      </c>
      <c r="C4183" t="s">
        <v>5713</v>
      </c>
      <c r="D4183" t="s">
        <v>10237</v>
      </c>
      <c r="E4183">
        <v>1102184.76</v>
      </c>
      <c r="G4183" s="35"/>
      <c r="H4183" s="36">
        <f t="shared" si="197"/>
        <v>694376.39879999997</v>
      </c>
      <c r="I4183" s="37">
        <f t="shared" si="195"/>
        <v>694376.39879999997</v>
      </c>
      <c r="J4183" s="4"/>
      <c r="K4183" s="38">
        <f t="shared" si="196"/>
        <v>0</v>
      </c>
    </row>
    <row r="4184" spans="1:11">
      <c r="A4184" t="s">
        <v>5447</v>
      </c>
      <c r="B4184" t="s">
        <v>10176</v>
      </c>
      <c r="C4184" t="s">
        <v>5981</v>
      </c>
      <c r="D4184" t="s">
        <v>11221</v>
      </c>
      <c r="E4184">
        <v>10848.84</v>
      </c>
      <c r="G4184" s="35"/>
      <c r="H4184" s="36">
        <f t="shared" si="197"/>
        <v>6834.7691999999997</v>
      </c>
      <c r="I4184" s="37">
        <f t="shared" si="195"/>
        <v>6834.7691999999997</v>
      </c>
      <c r="J4184" s="4"/>
      <c r="K4184" s="38">
        <f t="shared" si="196"/>
        <v>0</v>
      </c>
    </row>
    <row r="4185" spans="1:11">
      <c r="A4185" t="s">
        <v>5448</v>
      </c>
      <c r="B4185" t="s">
        <v>10176</v>
      </c>
      <c r="C4185" t="s">
        <v>5981</v>
      </c>
      <c r="D4185" t="s">
        <v>11025</v>
      </c>
      <c r="E4185">
        <v>4601.68</v>
      </c>
      <c r="G4185" s="35"/>
      <c r="H4185" s="36">
        <f t="shared" si="197"/>
        <v>2899.0584000000003</v>
      </c>
      <c r="I4185" s="37">
        <f t="shared" si="195"/>
        <v>2899.0584000000003</v>
      </c>
      <c r="J4185" s="4"/>
      <c r="K4185" s="38">
        <f t="shared" si="196"/>
        <v>0</v>
      </c>
    </row>
    <row r="4186" spans="1:11">
      <c r="A4186" t="s">
        <v>5449</v>
      </c>
      <c r="B4186" t="s">
        <v>10176</v>
      </c>
      <c r="C4186" t="s">
        <v>5981</v>
      </c>
      <c r="D4186" t="s">
        <v>11026</v>
      </c>
      <c r="E4186">
        <v>2876.01</v>
      </c>
      <c r="G4186" s="35"/>
      <c r="H4186" s="36">
        <f t="shared" si="197"/>
        <v>1811.8863000000001</v>
      </c>
      <c r="I4186" s="37">
        <f t="shared" si="195"/>
        <v>1811.8863000000001</v>
      </c>
      <c r="J4186" s="4"/>
      <c r="K4186" s="38">
        <f t="shared" si="196"/>
        <v>0</v>
      </c>
    </row>
    <row r="4187" spans="1:11">
      <c r="A4187" t="s">
        <v>5450</v>
      </c>
      <c r="B4187" t="s">
        <v>10176</v>
      </c>
      <c r="C4187" t="s">
        <v>5982</v>
      </c>
      <c r="D4187" t="s">
        <v>11027</v>
      </c>
      <c r="E4187">
        <v>359.47</v>
      </c>
      <c r="G4187" s="35"/>
      <c r="H4187" s="36">
        <f t="shared" si="197"/>
        <v>226.46610000000001</v>
      </c>
      <c r="I4187" s="37">
        <f t="shared" si="195"/>
        <v>226.46610000000001</v>
      </c>
      <c r="J4187" s="4"/>
      <c r="K4187" s="38">
        <f t="shared" si="196"/>
        <v>0</v>
      </c>
    </row>
    <row r="4188" spans="1:11">
      <c r="A4188" t="s">
        <v>11562</v>
      </c>
      <c r="B4188" t="s">
        <v>10176</v>
      </c>
      <c r="C4188" t="s">
        <v>5982</v>
      </c>
      <c r="D4188" t="s">
        <v>11563</v>
      </c>
      <c r="E4188">
        <v>1970.65</v>
      </c>
      <c r="G4188" s="35"/>
      <c r="H4188" s="36">
        <f t="shared" si="197"/>
        <v>1241.5095000000001</v>
      </c>
      <c r="I4188" s="37">
        <f t="shared" si="195"/>
        <v>1241.5095000000001</v>
      </c>
      <c r="J4188" s="4"/>
      <c r="K4188" s="38">
        <f t="shared" si="196"/>
        <v>0</v>
      </c>
    </row>
    <row r="4189" spans="1:11">
      <c r="A4189" t="s">
        <v>5452</v>
      </c>
      <c r="B4189" t="s">
        <v>10176</v>
      </c>
      <c r="C4189" t="s">
        <v>5982</v>
      </c>
      <c r="D4189" t="s">
        <v>11029</v>
      </c>
      <c r="E4189">
        <v>9835.27</v>
      </c>
      <c r="G4189" s="35"/>
      <c r="H4189" s="36">
        <f t="shared" si="197"/>
        <v>6196.2201000000005</v>
      </c>
      <c r="I4189" s="37">
        <f t="shared" si="195"/>
        <v>6196.2201000000005</v>
      </c>
      <c r="J4189" s="4"/>
      <c r="K4189" s="38">
        <f t="shared" si="196"/>
        <v>0</v>
      </c>
    </row>
    <row r="4190" spans="1:11">
      <c r="A4190" t="s">
        <v>5451</v>
      </c>
      <c r="B4190" t="s">
        <v>10176</v>
      </c>
      <c r="C4190" t="s">
        <v>5982</v>
      </c>
      <c r="D4190" t="s">
        <v>11028</v>
      </c>
      <c r="E4190">
        <v>800.32</v>
      </c>
      <c r="G4190" s="35"/>
      <c r="H4190" s="36">
        <f t="shared" si="197"/>
        <v>504.20160000000004</v>
      </c>
      <c r="I4190" s="37">
        <f t="shared" si="195"/>
        <v>504.20160000000004</v>
      </c>
      <c r="J4190" s="4"/>
      <c r="K4190" s="38">
        <f t="shared" si="196"/>
        <v>0</v>
      </c>
    </row>
    <row r="4191" spans="1:11">
      <c r="A4191" t="s">
        <v>5453</v>
      </c>
      <c r="B4191" t="s">
        <v>10176</v>
      </c>
      <c r="C4191" t="s">
        <v>5982</v>
      </c>
      <c r="D4191" t="s">
        <v>11030</v>
      </c>
      <c r="E4191">
        <v>1490.78</v>
      </c>
      <c r="G4191" s="35"/>
      <c r="H4191" s="36">
        <f t="shared" si="197"/>
        <v>939.19140000000004</v>
      </c>
      <c r="I4191" s="37">
        <f t="shared" si="195"/>
        <v>939.19140000000004</v>
      </c>
      <c r="J4191" s="4"/>
      <c r="K4191" s="38">
        <f t="shared" si="196"/>
        <v>0</v>
      </c>
    </row>
    <row r="4192" spans="1:11">
      <c r="A4192" t="s">
        <v>5454</v>
      </c>
      <c r="B4192" t="s">
        <v>10176</v>
      </c>
      <c r="C4192" t="s">
        <v>5982</v>
      </c>
      <c r="D4192" t="s">
        <v>11031</v>
      </c>
      <c r="E4192">
        <v>1049.98</v>
      </c>
      <c r="G4192" s="35"/>
      <c r="H4192" s="36">
        <f t="shared" si="197"/>
        <v>661.48739999999998</v>
      </c>
      <c r="I4192" s="37">
        <f t="shared" si="195"/>
        <v>661.48739999999998</v>
      </c>
      <c r="J4192" s="4"/>
      <c r="K4192" s="38">
        <f t="shared" si="196"/>
        <v>0</v>
      </c>
    </row>
    <row r="4193" spans="1:11">
      <c r="A4193" t="s">
        <v>5455</v>
      </c>
      <c r="B4193" t="s">
        <v>10176</v>
      </c>
      <c r="C4193" t="s">
        <v>5982</v>
      </c>
      <c r="D4193" t="s">
        <v>11032</v>
      </c>
      <c r="E4193">
        <v>3375.35</v>
      </c>
      <c r="G4193" s="35"/>
      <c r="H4193" s="36">
        <f t="shared" si="197"/>
        <v>2126.4704999999999</v>
      </c>
      <c r="I4193" s="37">
        <f t="shared" si="195"/>
        <v>2126.4704999999999</v>
      </c>
      <c r="J4193" s="4"/>
      <c r="K4193" s="38">
        <f t="shared" si="196"/>
        <v>0</v>
      </c>
    </row>
    <row r="4194" spans="1:11">
      <c r="A4194" t="s">
        <v>5456</v>
      </c>
      <c r="B4194" t="s">
        <v>10176</v>
      </c>
      <c r="C4194" t="s">
        <v>5982</v>
      </c>
      <c r="D4194" t="s">
        <v>11033</v>
      </c>
      <c r="E4194">
        <v>2375.5300000000002</v>
      </c>
      <c r="G4194" s="35"/>
      <c r="H4194" s="36">
        <f t="shared" si="197"/>
        <v>1496.5839000000001</v>
      </c>
      <c r="I4194" s="37">
        <f t="shared" si="195"/>
        <v>1496.5839000000001</v>
      </c>
      <c r="J4194" s="4"/>
      <c r="K4194" s="38">
        <f t="shared" si="196"/>
        <v>0</v>
      </c>
    </row>
    <row r="4195" spans="1:11">
      <c r="A4195" t="s">
        <v>5457</v>
      </c>
      <c r="B4195" t="s">
        <v>10176</v>
      </c>
      <c r="C4195" t="s">
        <v>5982</v>
      </c>
      <c r="D4195" t="s">
        <v>11034</v>
      </c>
      <c r="E4195">
        <v>1179.8599999999999</v>
      </c>
      <c r="G4195" s="35"/>
      <c r="H4195" s="36">
        <f t="shared" si="197"/>
        <v>743.31179999999995</v>
      </c>
      <c r="I4195" s="37">
        <f t="shared" si="195"/>
        <v>743.31179999999995</v>
      </c>
      <c r="J4195" s="4"/>
      <c r="K4195" s="38">
        <f t="shared" si="196"/>
        <v>0</v>
      </c>
    </row>
    <row r="4196" spans="1:11">
      <c r="A4196" t="s">
        <v>5458</v>
      </c>
      <c r="B4196" t="s">
        <v>10176</v>
      </c>
      <c r="C4196" t="s">
        <v>5982</v>
      </c>
      <c r="D4196" t="s">
        <v>11035</v>
      </c>
      <c r="E4196">
        <v>5548.75</v>
      </c>
      <c r="G4196" s="35"/>
      <c r="H4196" s="36">
        <f t="shared" si="197"/>
        <v>3495.7125000000001</v>
      </c>
      <c r="I4196" s="37">
        <f t="shared" si="195"/>
        <v>3495.7125000000001</v>
      </c>
      <c r="J4196" s="4"/>
      <c r="K4196" s="38">
        <f t="shared" si="196"/>
        <v>0</v>
      </c>
    </row>
    <row r="4197" spans="1:11">
      <c r="A4197" t="s">
        <v>5459</v>
      </c>
      <c r="B4197" t="s">
        <v>10176</v>
      </c>
      <c r="C4197" t="s">
        <v>5982</v>
      </c>
      <c r="D4197" t="s">
        <v>11036</v>
      </c>
      <c r="E4197">
        <v>5548.75</v>
      </c>
      <c r="G4197" s="35"/>
      <c r="H4197" s="36">
        <f t="shared" si="197"/>
        <v>3495.7125000000001</v>
      </c>
      <c r="I4197" s="37">
        <f t="shared" si="195"/>
        <v>3495.7125000000001</v>
      </c>
      <c r="J4197" s="4"/>
      <c r="K4197" s="38">
        <f t="shared" si="196"/>
        <v>0</v>
      </c>
    </row>
    <row r="4198" spans="1:11">
      <c r="A4198" t="s">
        <v>5460</v>
      </c>
      <c r="B4198" t="s">
        <v>10176</v>
      </c>
      <c r="C4198" t="s">
        <v>5982</v>
      </c>
      <c r="D4198" t="s">
        <v>11037</v>
      </c>
      <c r="E4198">
        <v>1179.8599999999999</v>
      </c>
      <c r="G4198" s="35"/>
      <c r="H4198" s="36">
        <f t="shared" si="197"/>
        <v>743.31179999999995</v>
      </c>
      <c r="I4198" s="37">
        <f t="shared" si="195"/>
        <v>743.31179999999995</v>
      </c>
      <c r="J4198" s="4"/>
      <c r="K4198" s="38">
        <f t="shared" si="196"/>
        <v>0</v>
      </c>
    </row>
    <row r="4199" spans="1:11">
      <c r="A4199" t="s">
        <v>5461</v>
      </c>
      <c r="B4199" t="s">
        <v>10176</v>
      </c>
      <c r="C4199" t="s">
        <v>5982</v>
      </c>
      <c r="D4199" t="s">
        <v>11038</v>
      </c>
      <c r="E4199">
        <v>7094.95</v>
      </c>
      <c r="G4199" s="35"/>
      <c r="H4199" s="36">
        <f t="shared" si="197"/>
        <v>4469.8185000000003</v>
      </c>
      <c r="I4199" s="37">
        <f t="shared" si="195"/>
        <v>4469.8185000000003</v>
      </c>
      <c r="J4199" s="4"/>
      <c r="K4199" s="38">
        <f t="shared" si="196"/>
        <v>0</v>
      </c>
    </row>
    <row r="4200" spans="1:11">
      <c r="A4200" t="s">
        <v>5462</v>
      </c>
      <c r="B4200" t="s">
        <v>10176</v>
      </c>
      <c r="C4200" t="s">
        <v>5982</v>
      </c>
      <c r="D4200" t="s">
        <v>11039</v>
      </c>
      <c r="E4200">
        <v>8832.32</v>
      </c>
      <c r="G4200" s="35"/>
      <c r="H4200" s="36">
        <f t="shared" si="197"/>
        <v>5564.3616000000002</v>
      </c>
      <c r="I4200" s="37">
        <f t="shared" si="195"/>
        <v>5564.3616000000002</v>
      </c>
      <c r="J4200" s="4"/>
      <c r="K4200" s="38">
        <f t="shared" si="196"/>
        <v>0</v>
      </c>
    </row>
    <row r="4201" spans="1:11">
      <c r="A4201" t="s">
        <v>5463</v>
      </c>
      <c r="B4201" t="s">
        <v>10176</v>
      </c>
      <c r="C4201" t="s">
        <v>5982</v>
      </c>
      <c r="D4201" t="s">
        <v>11040</v>
      </c>
      <c r="E4201">
        <v>739.03</v>
      </c>
      <c r="G4201" s="35"/>
      <c r="H4201" s="36">
        <f t="shared" si="197"/>
        <v>465.58889999999997</v>
      </c>
      <c r="I4201" s="37">
        <f t="shared" si="195"/>
        <v>465.58889999999997</v>
      </c>
      <c r="J4201" s="4"/>
      <c r="K4201" s="38">
        <f t="shared" si="196"/>
        <v>0</v>
      </c>
    </row>
    <row r="4202" spans="1:11">
      <c r="A4202" t="s">
        <v>5464</v>
      </c>
      <c r="B4202" t="s">
        <v>10176</v>
      </c>
      <c r="C4202" t="s">
        <v>5982</v>
      </c>
      <c r="D4202" t="s">
        <v>11041</v>
      </c>
      <c r="E4202">
        <v>800.32</v>
      </c>
      <c r="G4202" s="35"/>
      <c r="H4202" s="36">
        <f t="shared" si="197"/>
        <v>504.20160000000004</v>
      </c>
      <c r="I4202" s="37">
        <f t="shared" si="195"/>
        <v>504.20160000000004</v>
      </c>
      <c r="J4202" s="4"/>
      <c r="K4202" s="38">
        <f t="shared" si="196"/>
        <v>0</v>
      </c>
    </row>
    <row r="4203" spans="1:11">
      <c r="A4203" t="s">
        <v>5465</v>
      </c>
      <c r="B4203" t="s">
        <v>10176</v>
      </c>
      <c r="C4203" t="s">
        <v>5982</v>
      </c>
      <c r="D4203" t="s">
        <v>11042</v>
      </c>
      <c r="E4203">
        <v>1611.66</v>
      </c>
      <c r="G4203" s="35"/>
      <c r="H4203" s="36">
        <f t="shared" si="197"/>
        <v>1015.3458000000001</v>
      </c>
      <c r="I4203" s="37">
        <f t="shared" si="195"/>
        <v>1015.3458000000001</v>
      </c>
      <c r="J4203" s="4"/>
      <c r="K4203" s="38">
        <f t="shared" si="196"/>
        <v>0</v>
      </c>
    </row>
    <row r="4204" spans="1:11">
      <c r="A4204" t="s">
        <v>5466</v>
      </c>
      <c r="B4204" t="s">
        <v>10176</v>
      </c>
      <c r="C4204" t="s">
        <v>5982</v>
      </c>
      <c r="D4204" t="s">
        <v>11043</v>
      </c>
      <c r="E4204">
        <v>1720.93</v>
      </c>
      <c r="G4204" s="35"/>
      <c r="H4204" s="36">
        <f t="shared" si="197"/>
        <v>1084.1858999999999</v>
      </c>
      <c r="I4204" s="37">
        <f t="shared" si="195"/>
        <v>1084.1858999999999</v>
      </c>
      <c r="J4204" s="4"/>
      <c r="K4204" s="38">
        <f t="shared" si="196"/>
        <v>0</v>
      </c>
    </row>
    <row r="4205" spans="1:11">
      <c r="A4205" t="s">
        <v>5467</v>
      </c>
      <c r="B4205" t="s">
        <v>10176</v>
      </c>
      <c r="C4205" t="s">
        <v>5982</v>
      </c>
      <c r="D4205" t="s">
        <v>11044</v>
      </c>
      <c r="E4205">
        <v>6697.97</v>
      </c>
      <c r="G4205" s="35"/>
      <c r="H4205" s="36">
        <f t="shared" si="197"/>
        <v>4219.7210999999998</v>
      </c>
      <c r="I4205" s="37">
        <f t="shared" si="195"/>
        <v>4219.7210999999998</v>
      </c>
      <c r="J4205" s="4"/>
      <c r="K4205" s="38">
        <f t="shared" si="196"/>
        <v>0</v>
      </c>
    </row>
    <row r="4206" spans="1:11">
      <c r="A4206" t="s">
        <v>5468</v>
      </c>
      <c r="B4206" t="s">
        <v>10176</v>
      </c>
      <c r="C4206" t="s">
        <v>5982</v>
      </c>
      <c r="D4206" t="s">
        <v>11045</v>
      </c>
      <c r="E4206">
        <v>2178.66</v>
      </c>
      <c r="G4206" s="35"/>
      <c r="H4206" s="36">
        <f t="shared" si="197"/>
        <v>1372.5557999999999</v>
      </c>
      <c r="I4206" s="37">
        <f t="shared" si="195"/>
        <v>1372.5557999999999</v>
      </c>
      <c r="J4206" s="4"/>
      <c r="K4206" s="38">
        <f t="shared" si="196"/>
        <v>0</v>
      </c>
    </row>
    <row r="4207" spans="1:11">
      <c r="A4207" t="s">
        <v>5469</v>
      </c>
      <c r="B4207" t="s">
        <v>10176</v>
      </c>
      <c r="C4207" t="s">
        <v>5982</v>
      </c>
      <c r="D4207" t="s">
        <v>11046</v>
      </c>
      <c r="E4207">
        <v>2970.5</v>
      </c>
      <c r="G4207" s="35"/>
      <c r="H4207" s="36">
        <f t="shared" si="197"/>
        <v>1871.415</v>
      </c>
      <c r="I4207" s="37">
        <f t="shared" si="195"/>
        <v>1871.415</v>
      </c>
      <c r="J4207" s="4"/>
      <c r="K4207" s="38">
        <f t="shared" si="196"/>
        <v>0</v>
      </c>
    </row>
    <row r="4208" spans="1:11">
      <c r="A4208" t="s">
        <v>5470</v>
      </c>
      <c r="B4208" t="s">
        <v>10176</v>
      </c>
      <c r="C4208" t="s">
        <v>5982</v>
      </c>
      <c r="D4208" t="s">
        <v>10555</v>
      </c>
      <c r="E4208">
        <v>40925.32</v>
      </c>
      <c r="G4208" s="35"/>
      <c r="H4208" s="36">
        <f t="shared" si="197"/>
        <v>25782.9516</v>
      </c>
      <c r="I4208" s="37">
        <f t="shared" si="195"/>
        <v>25782.9516</v>
      </c>
      <c r="J4208" s="4"/>
      <c r="K4208" s="38">
        <f t="shared" si="196"/>
        <v>0</v>
      </c>
    </row>
    <row r="4209" spans="1:11">
      <c r="A4209" t="s">
        <v>5471</v>
      </c>
      <c r="B4209" t="s">
        <v>10176</v>
      </c>
      <c r="C4209" t="s">
        <v>5982</v>
      </c>
      <c r="D4209" t="s">
        <v>11047</v>
      </c>
      <c r="E4209">
        <v>74567.240000000005</v>
      </c>
      <c r="G4209" s="35"/>
      <c r="H4209" s="36">
        <f t="shared" si="197"/>
        <v>46977.361200000007</v>
      </c>
      <c r="I4209" s="37">
        <f t="shared" si="195"/>
        <v>46977.361200000007</v>
      </c>
      <c r="J4209" s="4"/>
      <c r="K4209" s="38">
        <f t="shared" si="196"/>
        <v>0</v>
      </c>
    </row>
    <row r="4210" spans="1:11">
      <c r="A4210" t="s">
        <v>5472</v>
      </c>
      <c r="B4210" t="s">
        <v>10176</v>
      </c>
      <c r="C4210" t="s">
        <v>5982</v>
      </c>
      <c r="D4210" t="s">
        <v>11048</v>
      </c>
      <c r="E4210">
        <v>79426.539999999994</v>
      </c>
      <c r="G4210" s="35"/>
      <c r="H4210" s="36">
        <f t="shared" si="197"/>
        <v>50038.720199999996</v>
      </c>
      <c r="I4210" s="37">
        <f t="shared" si="195"/>
        <v>50038.720199999996</v>
      </c>
      <c r="J4210" s="4"/>
      <c r="K4210" s="38">
        <f t="shared" si="196"/>
        <v>0</v>
      </c>
    </row>
    <row r="4211" spans="1:11">
      <c r="A4211" t="s">
        <v>5473</v>
      </c>
      <c r="B4211" t="s">
        <v>10176</v>
      </c>
      <c r="C4211" t="s">
        <v>5982</v>
      </c>
      <c r="D4211" t="s">
        <v>11049</v>
      </c>
      <c r="E4211">
        <v>4416.96</v>
      </c>
      <c r="G4211" s="35"/>
      <c r="H4211" s="36">
        <f t="shared" si="197"/>
        <v>2782.6848</v>
      </c>
      <c r="I4211" s="37">
        <f t="shared" si="195"/>
        <v>2782.6848</v>
      </c>
      <c r="J4211" s="4"/>
      <c r="K4211" s="38">
        <f t="shared" si="196"/>
        <v>0</v>
      </c>
    </row>
    <row r="4212" spans="1:11">
      <c r="A4212" t="s">
        <v>5474</v>
      </c>
      <c r="B4212" t="s">
        <v>10176</v>
      </c>
      <c r="C4212" t="s">
        <v>5982</v>
      </c>
      <c r="D4212" t="s">
        <v>11050</v>
      </c>
      <c r="E4212">
        <v>2579.31</v>
      </c>
      <c r="G4212" s="35"/>
      <c r="H4212" s="36">
        <f t="shared" si="197"/>
        <v>1624.9653000000001</v>
      </c>
      <c r="I4212" s="37">
        <f t="shared" si="195"/>
        <v>1624.9653000000001</v>
      </c>
      <c r="J4212" s="4"/>
      <c r="K4212" s="38">
        <f t="shared" si="196"/>
        <v>0</v>
      </c>
    </row>
    <row r="4213" spans="1:11">
      <c r="A4213" t="s">
        <v>5475</v>
      </c>
      <c r="B4213" t="s">
        <v>10176</v>
      </c>
      <c r="C4213" t="s">
        <v>5982</v>
      </c>
      <c r="D4213" t="s">
        <v>11051</v>
      </c>
      <c r="E4213">
        <v>618.17999999999995</v>
      </c>
      <c r="G4213" s="35"/>
      <c r="H4213" s="36">
        <f t="shared" si="197"/>
        <v>389.45339999999999</v>
      </c>
      <c r="I4213" s="37">
        <f t="shared" si="195"/>
        <v>389.45339999999999</v>
      </c>
      <c r="J4213" s="4"/>
      <c r="K4213" s="38">
        <f t="shared" si="196"/>
        <v>0</v>
      </c>
    </row>
    <row r="4214" spans="1:11">
      <c r="A4214" t="s">
        <v>5476</v>
      </c>
      <c r="B4214" t="s">
        <v>10176</v>
      </c>
      <c r="C4214" t="s">
        <v>5982</v>
      </c>
      <c r="D4214" t="s">
        <v>11052</v>
      </c>
      <c r="E4214">
        <v>692.09</v>
      </c>
      <c r="G4214" s="35"/>
      <c r="H4214" s="36">
        <f t="shared" si="197"/>
        <v>436.01670000000001</v>
      </c>
      <c r="I4214" s="37">
        <f t="shared" si="195"/>
        <v>436.01670000000001</v>
      </c>
      <c r="J4214" s="4"/>
      <c r="K4214" s="38">
        <f t="shared" si="196"/>
        <v>0</v>
      </c>
    </row>
    <row r="4215" spans="1:11">
      <c r="A4215" t="s">
        <v>5477</v>
      </c>
      <c r="B4215" t="s">
        <v>10176</v>
      </c>
      <c r="C4215" t="s">
        <v>5982</v>
      </c>
      <c r="D4215" t="s">
        <v>11053</v>
      </c>
      <c r="E4215">
        <v>488.31</v>
      </c>
      <c r="G4215" s="35"/>
      <c r="H4215" s="36">
        <f t="shared" si="197"/>
        <v>307.63530000000003</v>
      </c>
      <c r="I4215" s="37">
        <f t="shared" si="195"/>
        <v>307.63530000000003</v>
      </c>
      <c r="J4215" s="4"/>
      <c r="K4215" s="38">
        <f t="shared" si="196"/>
        <v>0</v>
      </c>
    </row>
    <row r="4216" spans="1:11">
      <c r="A4216" t="s">
        <v>5478</v>
      </c>
      <c r="B4216" t="s">
        <v>10176</v>
      </c>
      <c r="C4216" t="s">
        <v>5982</v>
      </c>
      <c r="D4216" t="s">
        <v>11054</v>
      </c>
      <c r="E4216">
        <v>1857.14</v>
      </c>
      <c r="G4216" s="35"/>
      <c r="H4216" s="36">
        <f t="shared" si="197"/>
        <v>1169.9982</v>
      </c>
      <c r="I4216" s="37">
        <f t="shared" si="195"/>
        <v>1169.9982</v>
      </c>
      <c r="J4216" s="4"/>
      <c r="K4216" s="38">
        <f t="shared" si="196"/>
        <v>0</v>
      </c>
    </row>
    <row r="4217" spans="1:11">
      <c r="A4217" t="s">
        <v>5479</v>
      </c>
      <c r="B4217" t="s">
        <v>10176</v>
      </c>
      <c r="C4217" t="s">
        <v>5983</v>
      </c>
      <c r="D4217" t="s">
        <v>11055</v>
      </c>
      <c r="E4217">
        <v>6465.17</v>
      </c>
      <c r="G4217" s="35"/>
      <c r="H4217" s="36">
        <f t="shared" si="197"/>
        <v>4073.0571</v>
      </c>
      <c r="I4217" s="37">
        <f t="shared" si="195"/>
        <v>4073.0571</v>
      </c>
      <c r="J4217" s="4"/>
      <c r="K4217" s="38">
        <f t="shared" si="196"/>
        <v>0</v>
      </c>
    </row>
    <row r="4218" spans="1:11">
      <c r="A4218" t="s">
        <v>5480</v>
      </c>
      <c r="B4218" t="s">
        <v>10176</v>
      </c>
      <c r="C4218" t="s">
        <v>5984</v>
      </c>
      <c r="D4218" t="s">
        <v>11056</v>
      </c>
      <c r="E4218">
        <v>84128</v>
      </c>
      <c r="G4218" s="35"/>
      <c r="H4218" s="36">
        <f t="shared" si="197"/>
        <v>53000.639999999999</v>
      </c>
      <c r="I4218" s="37">
        <f t="shared" si="195"/>
        <v>53000.639999999999</v>
      </c>
      <c r="J4218" s="4"/>
      <c r="K4218" s="38">
        <f t="shared" si="196"/>
        <v>0</v>
      </c>
    </row>
    <row r="4219" spans="1:11">
      <c r="A4219" t="s">
        <v>5481</v>
      </c>
      <c r="B4219" t="s">
        <v>10176</v>
      </c>
      <c r="C4219" t="s">
        <v>5984</v>
      </c>
      <c r="D4219" t="s">
        <v>11057</v>
      </c>
      <c r="E4219">
        <v>25679.08</v>
      </c>
      <c r="G4219" s="35"/>
      <c r="H4219" s="36">
        <f t="shared" si="197"/>
        <v>16177.820400000001</v>
      </c>
      <c r="I4219" s="37">
        <f t="shared" si="195"/>
        <v>16177.820400000001</v>
      </c>
      <c r="J4219" s="4"/>
      <c r="K4219" s="38">
        <f t="shared" si="196"/>
        <v>0</v>
      </c>
    </row>
    <row r="4220" spans="1:11">
      <c r="A4220" t="s">
        <v>5482</v>
      </c>
      <c r="B4220" t="s">
        <v>10176</v>
      </c>
      <c r="C4220" t="s">
        <v>5984</v>
      </c>
      <c r="D4220" t="s">
        <v>11058</v>
      </c>
      <c r="E4220">
        <v>48066.19</v>
      </c>
      <c r="G4220" s="35"/>
      <c r="H4220" s="36">
        <f t="shared" si="197"/>
        <v>30281.699700000001</v>
      </c>
      <c r="I4220" s="37">
        <f t="shared" si="195"/>
        <v>30281.699700000001</v>
      </c>
      <c r="J4220" s="4"/>
      <c r="K4220" s="38">
        <f t="shared" si="196"/>
        <v>0</v>
      </c>
    </row>
    <row r="4221" spans="1:11">
      <c r="A4221" t="s">
        <v>5483</v>
      </c>
      <c r="B4221" t="s">
        <v>10176</v>
      </c>
      <c r="C4221" t="s">
        <v>5984</v>
      </c>
      <c r="D4221" t="s">
        <v>11059</v>
      </c>
      <c r="E4221">
        <v>36867.9</v>
      </c>
      <c r="G4221" s="35"/>
      <c r="H4221" s="36">
        <f t="shared" si="197"/>
        <v>23226.777000000002</v>
      </c>
      <c r="I4221" s="37">
        <f t="shared" si="195"/>
        <v>23226.777000000002</v>
      </c>
      <c r="J4221" s="4"/>
      <c r="K4221" s="38">
        <f t="shared" si="196"/>
        <v>0</v>
      </c>
    </row>
    <row r="4222" spans="1:11">
      <c r="A4222" t="s">
        <v>5484</v>
      </c>
      <c r="B4222" t="s">
        <v>10176</v>
      </c>
      <c r="C4222" t="s">
        <v>5984</v>
      </c>
      <c r="D4222" t="s">
        <v>10556</v>
      </c>
      <c r="E4222">
        <v>16664.689999999999</v>
      </c>
      <c r="G4222" s="35"/>
      <c r="H4222" s="36">
        <f t="shared" si="197"/>
        <v>10498.7547</v>
      </c>
      <c r="I4222" s="37">
        <f t="shared" si="195"/>
        <v>10498.7547</v>
      </c>
      <c r="J4222" s="4"/>
      <c r="K4222" s="38">
        <f t="shared" si="196"/>
        <v>0</v>
      </c>
    </row>
    <row r="4223" spans="1:11">
      <c r="A4223" t="s">
        <v>5485</v>
      </c>
      <c r="B4223" t="s">
        <v>10176</v>
      </c>
      <c r="C4223" t="s">
        <v>5984</v>
      </c>
      <c r="D4223" t="s">
        <v>11060</v>
      </c>
      <c r="E4223">
        <v>17814.45</v>
      </c>
      <c r="G4223" s="35"/>
      <c r="H4223" s="36">
        <f t="shared" si="197"/>
        <v>11223.103500000001</v>
      </c>
      <c r="I4223" s="37">
        <f t="shared" si="195"/>
        <v>11223.103500000001</v>
      </c>
      <c r="J4223" s="4"/>
      <c r="K4223" s="38">
        <f t="shared" si="196"/>
        <v>0</v>
      </c>
    </row>
    <row r="4224" spans="1:11">
      <c r="A4224" t="s">
        <v>5486</v>
      </c>
      <c r="B4224" t="s">
        <v>10176</v>
      </c>
      <c r="C4224" t="s">
        <v>5984</v>
      </c>
      <c r="D4224" t="s">
        <v>11061</v>
      </c>
      <c r="E4224">
        <v>69480.399999999994</v>
      </c>
      <c r="G4224" s="35"/>
      <c r="H4224" s="36">
        <f t="shared" si="197"/>
        <v>43772.651999999995</v>
      </c>
      <c r="I4224" s="37">
        <f t="shared" si="195"/>
        <v>43772.651999999995</v>
      </c>
      <c r="J4224" s="4"/>
      <c r="K4224" s="38">
        <f t="shared" si="196"/>
        <v>0</v>
      </c>
    </row>
    <row r="4225" spans="1:11">
      <c r="A4225" t="s">
        <v>5487</v>
      </c>
      <c r="B4225" t="s">
        <v>10176</v>
      </c>
      <c r="C4225" t="s">
        <v>5984</v>
      </c>
      <c r="D4225" t="s">
        <v>11062</v>
      </c>
      <c r="E4225">
        <v>64909.34</v>
      </c>
      <c r="G4225" s="35"/>
      <c r="H4225" s="36">
        <f t="shared" si="197"/>
        <v>40892.8842</v>
      </c>
      <c r="I4225" s="37">
        <f t="shared" si="195"/>
        <v>40892.8842</v>
      </c>
      <c r="J4225" s="4"/>
      <c r="K4225" s="38">
        <f t="shared" si="196"/>
        <v>0</v>
      </c>
    </row>
    <row r="4226" spans="1:11">
      <c r="A4226" t="s">
        <v>5488</v>
      </c>
      <c r="B4226" t="s">
        <v>10176</v>
      </c>
      <c r="C4226" t="s">
        <v>5984</v>
      </c>
      <c r="D4226" t="s">
        <v>11063</v>
      </c>
      <c r="E4226">
        <v>22994.21</v>
      </c>
      <c r="G4226" s="35"/>
      <c r="H4226" s="36">
        <f t="shared" si="197"/>
        <v>14486.352299999999</v>
      </c>
      <c r="I4226" s="37">
        <f t="shared" si="195"/>
        <v>14486.352299999999</v>
      </c>
      <c r="J4226" s="4"/>
      <c r="K4226" s="38">
        <f t="shared" si="196"/>
        <v>0</v>
      </c>
    </row>
    <row r="4227" spans="1:11">
      <c r="A4227" t="s">
        <v>5489</v>
      </c>
      <c r="B4227" t="s">
        <v>10176</v>
      </c>
      <c r="C4227" t="s">
        <v>5984</v>
      </c>
      <c r="D4227" t="s">
        <v>11064</v>
      </c>
      <c r="E4227">
        <v>67264.28</v>
      </c>
      <c r="G4227" s="35"/>
      <c r="H4227" s="36">
        <f t="shared" si="197"/>
        <v>42376.496399999996</v>
      </c>
      <c r="I4227" s="37">
        <f t="shared" si="195"/>
        <v>42376.496399999996</v>
      </c>
      <c r="J4227" s="4"/>
      <c r="K4227" s="38">
        <f t="shared" si="196"/>
        <v>0</v>
      </c>
    </row>
    <row r="4228" spans="1:11">
      <c r="A4228" t="s">
        <v>5490</v>
      </c>
      <c r="B4228" t="s">
        <v>10176</v>
      </c>
      <c r="C4228" t="s">
        <v>5984</v>
      </c>
      <c r="D4228" t="s">
        <v>11065</v>
      </c>
      <c r="E4228">
        <v>67264.28</v>
      </c>
      <c r="G4228" s="35"/>
      <c r="H4228" s="36">
        <f t="shared" si="197"/>
        <v>42376.496399999996</v>
      </c>
      <c r="I4228" s="37">
        <f t="shared" si="195"/>
        <v>42376.496399999996</v>
      </c>
      <c r="J4228" s="4"/>
      <c r="K4228" s="38">
        <f t="shared" si="196"/>
        <v>0</v>
      </c>
    </row>
    <row r="4229" spans="1:11">
      <c r="A4229" t="s">
        <v>5491</v>
      </c>
      <c r="B4229" t="s">
        <v>10176</v>
      </c>
      <c r="C4229" t="s">
        <v>5984</v>
      </c>
      <c r="D4229" t="s">
        <v>11066</v>
      </c>
      <c r="E4229">
        <v>38625.800000000003</v>
      </c>
      <c r="G4229" s="35"/>
      <c r="H4229" s="36">
        <f t="shared" si="197"/>
        <v>24334.254000000001</v>
      </c>
      <c r="I4229" s="37">
        <f t="shared" si="195"/>
        <v>24334.254000000001</v>
      </c>
      <c r="J4229" s="4"/>
      <c r="K4229" s="38">
        <f t="shared" si="196"/>
        <v>0</v>
      </c>
    </row>
    <row r="4230" spans="1:11">
      <c r="A4230" t="s">
        <v>5492</v>
      </c>
      <c r="B4230" t="s">
        <v>10176</v>
      </c>
      <c r="C4230" t="s">
        <v>5984</v>
      </c>
      <c r="D4230" t="s">
        <v>11067</v>
      </c>
      <c r="E4230">
        <v>40237.480000000003</v>
      </c>
      <c r="G4230" s="35"/>
      <c r="H4230" s="36">
        <f t="shared" si="197"/>
        <v>25349.612400000002</v>
      </c>
      <c r="I4230" s="37">
        <f t="shared" ref="I4230:I4293" si="198">H4230*$H$4</f>
        <v>25349.612400000002</v>
      </c>
      <c r="J4230" s="4"/>
      <c r="K4230" s="38">
        <f t="shared" ref="K4230:K4293" si="199">J4230*I4230</f>
        <v>0</v>
      </c>
    </row>
    <row r="4231" spans="1:11">
      <c r="A4231" t="s">
        <v>5493</v>
      </c>
      <c r="B4231" t="s">
        <v>10176</v>
      </c>
      <c r="C4231" t="s">
        <v>5984</v>
      </c>
      <c r="D4231" t="s">
        <v>11068</v>
      </c>
      <c r="E4231">
        <v>50297.11</v>
      </c>
      <c r="G4231" s="35"/>
      <c r="H4231" s="36">
        <f t="shared" ref="H4231:H4294" si="200">+E4231*$H$1*(1-G4231)</f>
        <v>31687.1793</v>
      </c>
      <c r="I4231" s="37">
        <f t="shared" si="198"/>
        <v>31687.1793</v>
      </c>
      <c r="J4231" s="4"/>
      <c r="K4231" s="38">
        <f t="shared" si="199"/>
        <v>0</v>
      </c>
    </row>
    <row r="4232" spans="1:11">
      <c r="A4232" t="s">
        <v>5494</v>
      </c>
      <c r="B4232" t="s">
        <v>10176</v>
      </c>
      <c r="C4232" t="s">
        <v>5984</v>
      </c>
      <c r="D4232" t="s">
        <v>11069</v>
      </c>
      <c r="E4232">
        <v>91093.1</v>
      </c>
      <c r="G4232" s="35"/>
      <c r="H4232" s="36">
        <f t="shared" si="200"/>
        <v>57388.653000000006</v>
      </c>
      <c r="I4232" s="37">
        <f t="shared" si="198"/>
        <v>57388.653000000006</v>
      </c>
      <c r="J4232" s="4"/>
      <c r="K4232" s="38">
        <f t="shared" si="199"/>
        <v>0</v>
      </c>
    </row>
    <row r="4233" spans="1:11">
      <c r="A4233" t="s">
        <v>5495</v>
      </c>
      <c r="B4233" t="s">
        <v>10176</v>
      </c>
      <c r="C4233" t="s">
        <v>5984</v>
      </c>
      <c r="D4233" t="s">
        <v>11070</v>
      </c>
      <c r="E4233">
        <v>32055.57</v>
      </c>
      <c r="G4233" s="35"/>
      <c r="H4233" s="36">
        <f t="shared" si="200"/>
        <v>20195.009099999999</v>
      </c>
      <c r="I4233" s="37">
        <f t="shared" si="198"/>
        <v>20195.009099999999</v>
      </c>
      <c r="J4233" s="4"/>
      <c r="K4233" s="38">
        <f t="shared" si="199"/>
        <v>0</v>
      </c>
    </row>
    <row r="4234" spans="1:11">
      <c r="A4234" t="s">
        <v>5496</v>
      </c>
      <c r="B4234" t="s">
        <v>10176</v>
      </c>
      <c r="C4234" t="s">
        <v>5984</v>
      </c>
      <c r="D4234" t="s">
        <v>11071</v>
      </c>
      <c r="E4234">
        <v>25028.720000000001</v>
      </c>
      <c r="G4234" s="35"/>
      <c r="H4234" s="36">
        <f t="shared" si="200"/>
        <v>15768.0936</v>
      </c>
      <c r="I4234" s="37">
        <f t="shared" si="198"/>
        <v>15768.0936</v>
      </c>
      <c r="J4234" s="4"/>
      <c r="K4234" s="38">
        <f t="shared" si="199"/>
        <v>0</v>
      </c>
    </row>
    <row r="4235" spans="1:11">
      <c r="A4235" t="s">
        <v>5497</v>
      </c>
      <c r="B4235" t="s">
        <v>10176</v>
      </c>
      <c r="C4235" t="s">
        <v>5984</v>
      </c>
      <c r="D4235" t="s">
        <v>11072</v>
      </c>
      <c r="E4235">
        <v>38755.129999999997</v>
      </c>
      <c r="G4235" s="35"/>
      <c r="H4235" s="36">
        <f t="shared" si="200"/>
        <v>24415.731899999999</v>
      </c>
      <c r="I4235" s="37">
        <f t="shared" si="198"/>
        <v>24415.731899999999</v>
      </c>
      <c r="J4235" s="4"/>
      <c r="K4235" s="38">
        <f t="shared" si="199"/>
        <v>0</v>
      </c>
    </row>
    <row r="4236" spans="1:11">
      <c r="A4236" t="s">
        <v>11953</v>
      </c>
      <c r="B4236" t="s">
        <v>10176</v>
      </c>
      <c r="C4236" t="s">
        <v>5984</v>
      </c>
      <c r="D4236" t="s">
        <v>11954</v>
      </c>
      <c r="E4236">
        <v>10882.09</v>
      </c>
      <c r="G4236" s="35"/>
      <c r="H4236" s="36">
        <f t="shared" si="200"/>
        <v>6855.7166999999999</v>
      </c>
      <c r="I4236" s="37">
        <f t="shared" si="198"/>
        <v>6855.7166999999999</v>
      </c>
      <c r="J4236" s="4"/>
      <c r="K4236" s="38">
        <f t="shared" si="199"/>
        <v>0</v>
      </c>
    </row>
    <row r="4237" spans="1:11">
      <c r="A4237" t="s">
        <v>4390</v>
      </c>
      <c r="B4237" t="s">
        <v>10176</v>
      </c>
      <c r="C4237" t="s">
        <v>5729</v>
      </c>
      <c r="D4237" t="s">
        <v>10255</v>
      </c>
      <c r="E4237">
        <v>18142.22</v>
      </c>
      <c r="G4237" s="35"/>
      <c r="H4237" s="36">
        <f t="shared" si="200"/>
        <v>11429.598600000001</v>
      </c>
      <c r="I4237" s="37">
        <f t="shared" si="198"/>
        <v>11429.598600000001</v>
      </c>
      <c r="J4237" s="4"/>
      <c r="K4237" s="38">
        <f t="shared" si="199"/>
        <v>0</v>
      </c>
    </row>
    <row r="4238" spans="1:11">
      <c r="A4238" t="s">
        <v>4391</v>
      </c>
      <c r="B4238" t="s">
        <v>10176</v>
      </c>
      <c r="C4238" t="s">
        <v>5729</v>
      </c>
      <c r="D4238" t="s">
        <v>12113</v>
      </c>
      <c r="E4238">
        <v>19281.07</v>
      </c>
      <c r="G4238" s="35"/>
      <c r="H4238" s="36">
        <f t="shared" si="200"/>
        <v>12147.0741</v>
      </c>
      <c r="I4238" s="37">
        <f t="shared" si="198"/>
        <v>12147.0741</v>
      </c>
      <c r="J4238" s="4"/>
      <c r="K4238" s="38">
        <f t="shared" si="199"/>
        <v>0</v>
      </c>
    </row>
    <row r="4239" spans="1:11">
      <c r="A4239" t="s">
        <v>4392</v>
      </c>
      <c r="B4239" t="s">
        <v>10176</v>
      </c>
      <c r="C4239" t="s">
        <v>5729</v>
      </c>
      <c r="D4239" t="s">
        <v>12114</v>
      </c>
      <c r="E4239">
        <v>20808.84</v>
      </c>
      <c r="G4239" s="35"/>
      <c r="H4239" s="36">
        <f t="shared" si="200"/>
        <v>13109.5692</v>
      </c>
      <c r="I4239" s="37">
        <f t="shared" si="198"/>
        <v>13109.5692</v>
      </c>
      <c r="J4239" s="4"/>
      <c r="K4239" s="38">
        <f t="shared" si="199"/>
        <v>0</v>
      </c>
    </row>
    <row r="4240" spans="1:11">
      <c r="A4240" t="s">
        <v>4393</v>
      </c>
      <c r="B4240" t="s">
        <v>10176</v>
      </c>
      <c r="C4240" t="s">
        <v>5729</v>
      </c>
      <c r="D4240" t="s">
        <v>12115</v>
      </c>
      <c r="E4240">
        <v>21583.91</v>
      </c>
      <c r="G4240" s="35"/>
      <c r="H4240" s="36">
        <f t="shared" si="200"/>
        <v>13597.863300000001</v>
      </c>
      <c r="I4240" s="37">
        <f t="shared" si="198"/>
        <v>13597.863300000001</v>
      </c>
      <c r="J4240" s="4"/>
      <c r="K4240" s="38">
        <f t="shared" si="199"/>
        <v>0</v>
      </c>
    </row>
    <row r="4241" spans="1:11">
      <c r="A4241" t="s">
        <v>4394</v>
      </c>
      <c r="B4241" t="s">
        <v>10176</v>
      </c>
      <c r="C4241" t="s">
        <v>5729</v>
      </c>
      <c r="D4241" t="s">
        <v>12116</v>
      </c>
      <c r="E4241">
        <v>23623.55</v>
      </c>
      <c r="G4241" s="35"/>
      <c r="H4241" s="36">
        <f t="shared" si="200"/>
        <v>14882.836499999999</v>
      </c>
      <c r="I4241" s="37">
        <f t="shared" si="198"/>
        <v>14882.836499999999</v>
      </c>
      <c r="J4241" s="4"/>
      <c r="K4241" s="38">
        <f t="shared" si="199"/>
        <v>0</v>
      </c>
    </row>
    <row r="4242" spans="1:11">
      <c r="A4242" t="s">
        <v>4395</v>
      </c>
      <c r="B4242" t="s">
        <v>10176</v>
      </c>
      <c r="C4242" t="s">
        <v>5729</v>
      </c>
      <c r="D4242" t="s">
        <v>10256</v>
      </c>
      <c r="E4242">
        <v>10250.030000000001</v>
      </c>
      <c r="G4242" s="35"/>
      <c r="H4242" s="36">
        <f t="shared" si="200"/>
        <v>6457.5189</v>
      </c>
      <c r="I4242" s="37">
        <f t="shared" si="198"/>
        <v>6457.5189</v>
      </c>
      <c r="J4242" s="4"/>
      <c r="K4242" s="38">
        <f t="shared" si="199"/>
        <v>0</v>
      </c>
    </row>
    <row r="4243" spans="1:11">
      <c r="A4243" t="s">
        <v>4396</v>
      </c>
      <c r="B4243" t="s">
        <v>10176</v>
      </c>
      <c r="C4243" t="s">
        <v>5729</v>
      </c>
      <c r="D4243" t="s">
        <v>10257</v>
      </c>
      <c r="E4243">
        <v>10719.87</v>
      </c>
      <c r="G4243" s="35"/>
      <c r="H4243" s="36">
        <f t="shared" si="200"/>
        <v>6753.5181000000002</v>
      </c>
      <c r="I4243" s="37">
        <f t="shared" si="198"/>
        <v>6753.5181000000002</v>
      </c>
      <c r="J4243" s="4"/>
      <c r="K4243" s="38">
        <f t="shared" si="199"/>
        <v>0</v>
      </c>
    </row>
    <row r="4244" spans="1:11">
      <c r="A4244" t="s">
        <v>4397</v>
      </c>
      <c r="B4244" t="s">
        <v>10176</v>
      </c>
      <c r="C4244" t="s">
        <v>5729</v>
      </c>
      <c r="D4244" t="s">
        <v>10258</v>
      </c>
      <c r="E4244">
        <v>11027.08</v>
      </c>
      <c r="G4244" s="35"/>
      <c r="H4244" s="36">
        <f t="shared" si="200"/>
        <v>6947.0604000000003</v>
      </c>
      <c r="I4244" s="37">
        <f t="shared" si="198"/>
        <v>6947.0604000000003</v>
      </c>
      <c r="J4244" s="4"/>
      <c r="K4244" s="38">
        <f t="shared" si="199"/>
        <v>0</v>
      </c>
    </row>
    <row r="4245" spans="1:11">
      <c r="A4245" t="s">
        <v>4398</v>
      </c>
      <c r="B4245" t="s">
        <v>10176</v>
      </c>
      <c r="C4245" t="s">
        <v>5729</v>
      </c>
      <c r="D4245" t="s">
        <v>10259</v>
      </c>
      <c r="E4245">
        <v>11777.8</v>
      </c>
      <c r="G4245" s="35"/>
      <c r="H4245" s="36">
        <f t="shared" si="200"/>
        <v>7420.0139999999992</v>
      </c>
      <c r="I4245" s="37">
        <f t="shared" si="198"/>
        <v>7420.0139999999992</v>
      </c>
      <c r="J4245" s="4"/>
      <c r="K4245" s="38">
        <f t="shared" si="199"/>
        <v>0</v>
      </c>
    </row>
    <row r="4246" spans="1:11">
      <c r="A4246" t="s">
        <v>4399</v>
      </c>
      <c r="B4246" t="s">
        <v>10176</v>
      </c>
      <c r="C4246" t="s">
        <v>5729</v>
      </c>
      <c r="D4246" t="s">
        <v>10260</v>
      </c>
      <c r="E4246">
        <v>12638.9</v>
      </c>
      <c r="G4246" s="35"/>
      <c r="H4246" s="36">
        <f t="shared" si="200"/>
        <v>7962.5069999999996</v>
      </c>
      <c r="I4246" s="37">
        <f t="shared" si="198"/>
        <v>7962.5069999999996</v>
      </c>
      <c r="J4246" s="4"/>
      <c r="K4246" s="38">
        <f t="shared" si="199"/>
        <v>0</v>
      </c>
    </row>
    <row r="4247" spans="1:11">
      <c r="A4247" t="s">
        <v>5498</v>
      </c>
      <c r="B4247" t="s">
        <v>10176</v>
      </c>
      <c r="C4247" t="s">
        <v>5985</v>
      </c>
      <c r="D4247" t="s">
        <v>11073</v>
      </c>
      <c r="E4247">
        <v>8914.6200000000008</v>
      </c>
      <c r="G4247" s="35"/>
      <c r="H4247" s="36">
        <f t="shared" si="200"/>
        <v>5616.2106000000003</v>
      </c>
      <c r="I4247" s="37">
        <f t="shared" si="198"/>
        <v>5616.2106000000003</v>
      </c>
      <c r="J4247" s="4"/>
      <c r="K4247" s="38">
        <f t="shared" si="199"/>
        <v>0</v>
      </c>
    </row>
    <row r="4248" spans="1:11">
      <c r="A4248" t="s">
        <v>5499</v>
      </c>
      <c r="B4248" t="s">
        <v>10176</v>
      </c>
      <c r="C4248" t="s">
        <v>5985</v>
      </c>
      <c r="D4248" t="s">
        <v>11074</v>
      </c>
      <c r="E4248">
        <v>9949.83</v>
      </c>
      <c r="G4248" s="35"/>
      <c r="H4248" s="36">
        <f t="shared" si="200"/>
        <v>6268.3928999999998</v>
      </c>
      <c r="I4248" s="37">
        <f t="shared" si="198"/>
        <v>6268.3928999999998</v>
      </c>
      <c r="J4248" s="4"/>
      <c r="K4248" s="38">
        <f t="shared" si="199"/>
        <v>0</v>
      </c>
    </row>
    <row r="4249" spans="1:11">
      <c r="A4249" t="s">
        <v>5501</v>
      </c>
      <c r="B4249" t="s">
        <v>10176</v>
      </c>
      <c r="C4249" t="s">
        <v>5985</v>
      </c>
      <c r="D4249" t="s">
        <v>11076</v>
      </c>
      <c r="E4249">
        <v>8062.59</v>
      </c>
      <c r="G4249" s="35"/>
      <c r="H4249" s="36">
        <f t="shared" si="200"/>
        <v>5079.4317000000001</v>
      </c>
      <c r="I4249" s="37">
        <f t="shared" si="198"/>
        <v>5079.4317000000001</v>
      </c>
      <c r="J4249" s="4"/>
      <c r="K4249" s="38">
        <f t="shared" si="199"/>
        <v>0</v>
      </c>
    </row>
    <row r="4250" spans="1:11">
      <c r="A4250" t="s">
        <v>5500</v>
      </c>
      <c r="B4250" t="s">
        <v>10176</v>
      </c>
      <c r="C4250" t="s">
        <v>5985</v>
      </c>
      <c r="D4250" t="s">
        <v>11075</v>
      </c>
      <c r="E4250">
        <v>11593.17</v>
      </c>
      <c r="G4250" s="35"/>
      <c r="H4250" s="36">
        <f t="shared" si="200"/>
        <v>7303.6971000000003</v>
      </c>
      <c r="I4250" s="37">
        <f t="shared" si="198"/>
        <v>7303.6971000000003</v>
      </c>
      <c r="J4250" s="4"/>
      <c r="K4250" s="38">
        <f t="shared" si="199"/>
        <v>0</v>
      </c>
    </row>
    <row r="4251" spans="1:11">
      <c r="A4251" t="s">
        <v>5502</v>
      </c>
      <c r="B4251" t="s">
        <v>10176</v>
      </c>
      <c r="C4251" t="s">
        <v>5985</v>
      </c>
      <c r="D4251" t="s">
        <v>11077</v>
      </c>
      <c r="E4251">
        <v>8914.6200000000008</v>
      </c>
      <c r="G4251" s="35"/>
      <c r="H4251" s="36">
        <f t="shared" si="200"/>
        <v>5616.2106000000003</v>
      </c>
      <c r="I4251" s="37">
        <f t="shared" si="198"/>
        <v>5616.2106000000003</v>
      </c>
      <c r="J4251" s="4"/>
      <c r="K4251" s="38">
        <f t="shared" si="199"/>
        <v>0</v>
      </c>
    </row>
    <row r="4252" spans="1:11">
      <c r="A4252" t="s">
        <v>5503</v>
      </c>
      <c r="B4252" t="s">
        <v>10176</v>
      </c>
      <c r="C4252" t="s">
        <v>5986</v>
      </c>
      <c r="D4252" t="s">
        <v>11078</v>
      </c>
      <c r="E4252">
        <v>3545.91</v>
      </c>
      <c r="G4252" s="35"/>
      <c r="H4252" s="36">
        <f t="shared" si="200"/>
        <v>2233.9232999999999</v>
      </c>
      <c r="I4252" s="37">
        <f t="shared" si="198"/>
        <v>2233.9232999999999</v>
      </c>
      <c r="J4252" s="4"/>
      <c r="K4252" s="38">
        <f t="shared" si="199"/>
        <v>0</v>
      </c>
    </row>
    <row r="4253" spans="1:11">
      <c r="A4253" t="s">
        <v>5504</v>
      </c>
      <c r="B4253" t="s">
        <v>10176</v>
      </c>
      <c r="C4253" t="s">
        <v>5986</v>
      </c>
      <c r="D4253" t="s">
        <v>11079</v>
      </c>
      <c r="E4253">
        <v>11801.71</v>
      </c>
      <c r="G4253" s="35"/>
      <c r="H4253" s="36">
        <f t="shared" si="200"/>
        <v>7435.0772999999999</v>
      </c>
      <c r="I4253" s="37">
        <f t="shared" si="198"/>
        <v>7435.0772999999999</v>
      </c>
      <c r="J4253" s="4"/>
      <c r="K4253" s="38">
        <f t="shared" si="199"/>
        <v>0</v>
      </c>
    </row>
    <row r="4254" spans="1:11">
      <c r="A4254" t="s">
        <v>5505</v>
      </c>
      <c r="B4254" t="s">
        <v>10176</v>
      </c>
      <c r="C4254" t="s">
        <v>5986</v>
      </c>
      <c r="D4254" t="s">
        <v>11080</v>
      </c>
      <c r="E4254">
        <v>10158.35</v>
      </c>
      <c r="G4254" s="35"/>
      <c r="H4254" s="36">
        <f t="shared" si="200"/>
        <v>6399.7605000000003</v>
      </c>
      <c r="I4254" s="37">
        <f t="shared" si="198"/>
        <v>6399.7605000000003</v>
      </c>
      <c r="J4254" s="4"/>
      <c r="K4254" s="38">
        <f t="shared" si="199"/>
        <v>0</v>
      </c>
    </row>
    <row r="4255" spans="1:11">
      <c r="A4255" t="s">
        <v>5506</v>
      </c>
      <c r="B4255" t="s">
        <v>10176</v>
      </c>
      <c r="C4255" t="s">
        <v>5986</v>
      </c>
      <c r="D4255" t="s">
        <v>11081</v>
      </c>
      <c r="E4255">
        <v>1658.65</v>
      </c>
      <c r="G4255" s="35"/>
      <c r="H4255" s="36">
        <f t="shared" si="200"/>
        <v>1044.9495000000002</v>
      </c>
      <c r="I4255" s="37">
        <f t="shared" si="198"/>
        <v>1044.9495000000002</v>
      </c>
      <c r="J4255" s="4"/>
      <c r="K4255" s="38">
        <f t="shared" si="199"/>
        <v>0</v>
      </c>
    </row>
    <row r="4256" spans="1:11">
      <c r="A4256" t="s">
        <v>5507</v>
      </c>
      <c r="B4256" t="s">
        <v>10176</v>
      </c>
      <c r="C4256" t="s">
        <v>5986</v>
      </c>
      <c r="D4256" t="s">
        <v>11082</v>
      </c>
      <c r="E4256">
        <v>5133.78</v>
      </c>
      <c r="G4256" s="35"/>
      <c r="H4256" s="36">
        <f t="shared" si="200"/>
        <v>3234.2813999999998</v>
      </c>
      <c r="I4256" s="37">
        <f t="shared" si="198"/>
        <v>3234.2813999999998</v>
      </c>
      <c r="J4256" s="4"/>
      <c r="K4256" s="38">
        <f t="shared" si="199"/>
        <v>0</v>
      </c>
    </row>
    <row r="4257" spans="1:11">
      <c r="A4257" t="s">
        <v>5508</v>
      </c>
      <c r="B4257" t="s">
        <v>10176</v>
      </c>
      <c r="C4257" t="s">
        <v>5986</v>
      </c>
      <c r="D4257" t="s">
        <v>11083</v>
      </c>
      <c r="E4257">
        <v>1658.65</v>
      </c>
      <c r="G4257" s="35"/>
      <c r="H4257" s="36">
        <f t="shared" si="200"/>
        <v>1044.9495000000002</v>
      </c>
      <c r="I4257" s="37">
        <f t="shared" si="198"/>
        <v>1044.9495000000002</v>
      </c>
      <c r="J4257" s="4"/>
      <c r="K4257" s="38">
        <f t="shared" si="199"/>
        <v>0</v>
      </c>
    </row>
    <row r="4258" spans="1:11">
      <c r="A4258" t="s">
        <v>5509</v>
      </c>
      <c r="B4258" t="s">
        <v>10176</v>
      </c>
      <c r="C4258" t="s">
        <v>5986</v>
      </c>
      <c r="D4258" t="s">
        <v>11084</v>
      </c>
      <c r="E4258">
        <v>22839</v>
      </c>
      <c r="G4258" s="35"/>
      <c r="H4258" s="36">
        <f t="shared" si="200"/>
        <v>14388.57</v>
      </c>
      <c r="I4258" s="37">
        <f t="shared" si="198"/>
        <v>14388.57</v>
      </c>
      <c r="J4258" s="4"/>
      <c r="K4258" s="38">
        <f t="shared" si="199"/>
        <v>0</v>
      </c>
    </row>
    <row r="4259" spans="1:11">
      <c r="A4259" t="s">
        <v>9760</v>
      </c>
      <c r="B4259" t="s">
        <v>10176</v>
      </c>
      <c r="C4259" t="s">
        <v>5986</v>
      </c>
      <c r="D4259" t="s">
        <v>11085</v>
      </c>
      <c r="E4259">
        <v>1658.65</v>
      </c>
      <c r="G4259" s="35"/>
      <c r="H4259" s="36">
        <f t="shared" si="200"/>
        <v>1044.9495000000002</v>
      </c>
      <c r="I4259" s="37">
        <f t="shared" si="198"/>
        <v>1044.9495000000002</v>
      </c>
      <c r="J4259" s="4"/>
      <c r="K4259" s="38">
        <f t="shared" si="199"/>
        <v>0</v>
      </c>
    </row>
    <row r="4260" spans="1:11">
      <c r="A4260" t="s">
        <v>9790</v>
      </c>
      <c r="B4260" t="s">
        <v>10176</v>
      </c>
      <c r="C4260" t="s">
        <v>5986</v>
      </c>
      <c r="D4260" t="s">
        <v>11086</v>
      </c>
      <c r="E4260">
        <v>1227.3399999999999</v>
      </c>
      <c r="G4260" s="35"/>
      <c r="H4260" s="36">
        <f t="shared" si="200"/>
        <v>773.2242</v>
      </c>
      <c r="I4260" s="37">
        <f t="shared" si="198"/>
        <v>773.2242</v>
      </c>
      <c r="J4260" s="4"/>
      <c r="K4260" s="38">
        <f t="shared" si="199"/>
        <v>0</v>
      </c>
    </row>
    <row r="4261" spans="1:11">
      <c r="A4261" t="s">
        <v>9761</v>
      </c>
      <c r="B4261" t="s">
        <v>10176</v>
      </c>
      <c r="C4261" t="s">
        <v>5986</v>
      </c>
      <c r="D4261" t="s">
        <v>11087</v>
      </c>
      <c r="E4261">
        <v>9502.17</v>
      </c>
      <c r="G4261" s="35"/>
      <c r="H4261" s="36">
        <f t="shared" si="200"/>
        <v>5986.3671000000004</v>
      </c>
      <c r="I4261" s="37">
        <f t="shared" si="198"/>
        <v>5986.3671000000004</v>
      </c>
      <c r="J4261" s="4"/>
      <c r="K4261" s="38">
        <f t="shared" si="199"/>
        <v>0</v>
      </c>
    </row>
    <row r="4262" spans="1:11">
      <c r="A4262" t="s">
        <v>9901</v>
      </c>
      <c r="B4262" t="s">
        <v>10176</v>
      </c>
      <c r="C4262" t="s">
        <v>5986</v>
      </c>
      <c r="D4262" t="s">
        <v>11088</v>
      </c>
      <c r="E4262">
        <v>4369.95</v>
      </c>
      <c r="G4262" s="35"/>
      <c r="H4262" s="36">
        <f t="shared" si="200"/>
        <v>2753.0684999999999</v>
      </c>
      <c r="I4262" s="37">
        <f t="shared" si="198"/>
        <v>2753.0684999999999</v>
      </c>
      <c r="J4262" s="4"/>
      <c r="K4262" s="38">
        <f t="shared" si="199"/>
        <v>0</v>
      </c>
    </row>
    <row r="4263" spans="1:11">
      <c r="A4263" t="s">
        <v>11914</v>
      </c>
      <c r="B4263" t="s">
        <v>10176</v>
      </c>
      <c r="C4263" t="s">
        <v>5986</v>
      </c>
      <c r="D4263" t="s">
        <v>11915</v>
      </c>
      <c r="E4263">
        <v>8832.2800000000007</v>
      </c>
      <c r="G4263" s="35"/>
      <c r="H4263" s="36">
        <f t="shared" si="200"/>
        <v>5564.3364000000001</v>
      </c>
      <c r="I4263" s="37">
        <f t="shared" si="198"/>
        <v>5564.3364000000001</v>
      </c>
      <c r="J4263" s="4"/>
      <c r="K4263" s="38">
        <f t="shared" si="199"/>
        <v>0</v>
      </c>
    </row>
    <row r="4264" spans="1:11">
      <c r="A4264" t="s">
        <v>11266</v>
      </c>
      <c r="B4264" t="s">
        <v>10176</v>
      </c>
      <c r="C4264" t="s">
        <v>5986</v>
      </c>
      <c r="D4264" t="s">
        <v>11267</v>
      </c>
      <c r="E4264">
        <v>3328.38</v>
      </c>
      <c r="G4264" s="35"/>
      <c r="H4264" s="36">
        <f t="shared" si="200"/>
        <v>2096.8794000000003</v>
      </c>
      <c r="I4264" s="37">
        <f t="shared" si="198"/>
        <v>2096.8794000000003</v>
      </c>
      <c r="J4264" s="4"/>
      <c r="K4264" s="38">
        <f t="shared" si="199"/>
        <v>0</v>
      </c>
    </row>
    <row r="4265" spans="1:11">
      <c r="A4265" t="s">
        <v>4482</v>
      </c>
      <c r="B4265" t="s">
        <v>10176</v>
      </c>
      <c r="C4265" t="s">
        <v>5748</v>
      </c>
      <c r="D4265" t="s">
        <v>10319</v>
      </c>
      <c r="E4265">
        <v>12113.57</v>
      </c>
      <c r="G4265" s="35"/>
      <c r="H4265" s="36">
        <f t="shared" si="200"/>
        <v>7631.5491000000002</v>
      </c>
      <c r="I4265" s="37">
        <f t="shared" si="198"/>
        <v>7631.5491000000002</v>
      </c>
      <c r="J4265" s="4"/>
      <c r="K4265" s="38">
        <f t="shared" si="199"/>
        <v>0</v>
      </c>
    </row>
    <row r="4266" spans="1:11">
      <c r="A4266" t="s">
        <v>4483</v>
      </c>
      <c r="B4266" t="s">
        <v>10176</v>
      </c>
      <c r="C4266" t="s">
        <v>5748</v>
      </c>
      <c r="D4266" t="s">
        <v>10320</v>
      </c>
      <c r="E4266">
        <v>4054.54</v>
      </c>
      <c r="G4266" s="35"/>
      <c r="H4266" s="36">
        <f t="shared" si="200"/>
        <v>2554.3602000000001</v>
      </c>
      <c r="I4266" s="37">
        <f t="shared" si="198"/>
        <v>2554.3602000000001</v>
      </c>
      <c r="J4266" s="4"/>
      <c r="K4266" s="38">
        <f t="shared" si="199"/>
        <v>0</v>
      </c>
    </row>
    <row r="4267" spans="1:11">
      <c r="A4267" t="s">
        <v>4484</v>
      </c>
      <c r="B4267" t="s">
        <v>10176</v>
      </c>
      <c r="C4267" t="s">
        <v>5748</v>
      </c>
      <c r="D4267" t="s">
        <v>10321</v>
      </c>
      <c r="E4267">
        <v>5338.49</v>
      </c>
      <c r="G4267" s="35"/>
      <c r="H4267" s="36">
        <f t="shared" si="200"/>
        <v>3363.2487000000001</v>
      </c>
      <c r="I4267" s="37">
        <f t="shared" si="198"/>
        <v>3363.2487000000001</v>
      </c>
      <c r="J4267" s="4"/>
      <c r="K4267" s="38">
        <f t="shared" si="199"/>
        <v>0</v>
      </c>
    </row>
    <row r="4268" spans="1:11">
      <c r="A4268" t="s">
        <v>4485</v>
      </c>
      <c r="B4268" t="s">
        <v>10176</v>
      </c>
      <c r="C4268" t="s">
        <v>5748</v>
      </c>
      <c r="D4268" t="s">
        <v>10322</v>
      </c>
      <c r="E4268">
        <v>6184.38</v>
      </c>
      <c r="G4268" s="35"/>
      <c r="H4268" s="36">
        <f t="shared" si="200"/>
        <v>3896.1594</v>
      </c>
      <c r="I4268" s="37">
        <f t="shared" si="198"/>
        <v>3896.1594</v>
      </c>
      <c r="J4268" s="4"/>
      <c r="K4268" s="38">
        <f t="shared" si="199"/>
        <v>0</v>
      </c>
    </row>
    <row r="4269" spans="1:11">
      <c r="A4269" t="s">
        <v>4486</v>
      </c>
      <c r="B4269" t="s">
        <v>10176</v>
      </c>
      <c r="C4269" t="s">
        <v>5748</v>
      </c>
      <c r="D4269" t="s">
        <v>10321</v>
      </c>
      <c r="E4269">
        <v>7822.38</v>
      </c>
      <c r="G4269" s="35"/>
      <c r="H4269" s="36">
        <f t="shared" si="200"/>
        <v>4928.0994000000001</v>
      </c>
      <c r="I4269" s="37">
        <f t="shared" si="198"/>
        <v>4928.0994000000001</v>
      </c>
      <c r="J4269" s="4"/>
      <c r="K4269" s="38">
        <f t="shared" si="199"/>
        <v>0</v>
      </c>
    </row>
    <row r="4270" spans="1:11">
      <c r="A4270" t="s">
        <v>4465</v>
      </c>
      <c r="B4270" t="s">
        <v>10176</v>
      </c>
      <c r="C4270" t="s">
        <v>5745</v>
      </c>
      <c r="D4270" t="s">
        <v>10302</v>
      </c>
      <c r="E4270">
        <v>18968.150000000001</v>
      </c>
      <c r="G4270" s="35"/>
      <c r="H4270" s="36">
        <f t="shared" si="200"/>
        <v>11949.934500000001</v>
      </c>
      <c r="I4270" s="37">
        <f t="shared" si="198"/>
        <v>11949.934500000001</v>
      </c>
      <c r="J4270" s="4"/>
      <c r="K4270" s="38">
        <f t="shared" si="199"/>
        <v>0</v>
      </c>
    </row>
    <row r="4271" spans="1:11">
      <c r="A4271" t="s">
        <v>4466</v>
      </c>
      <c r="B4271" t="s">
        <v>10176</v>
      </c>
      <c r="C4271" t="s">
        <v>5745</v>
      </c>
      <c r="D4271" t="s">
        <v>10303</v>
      </c>
      <c r="E4271">
        <v>28254.84</v>
      </c>
      <c r="G4271" s="35"/>
      <c r="H4271" s="36">
        <f t="shared" si="200"/>
        <v>17800.549200000001</v>
      </c>
      <c r="I4271" s="37">
        <f t="shared" si="198"/>
        <v>17800.549200000001</v>
      </c>
      <c r="J4271" s="4"/>
      <c r="K4271" s="38">
        <f t="shared" si="199"/>
        <v>0</v>
      </c>
    </row>
    <row r="4272" spans="1:11">
      <c r="A4272" t="s">
        <v>4467</v>
      </c>
      <c r="B4272" t="s">
        <v>10176</v>
      </c>
      <c r="C4272" t="s">
        <v>5745</v>
      </c>
      <c r="D4272" t="s">
        <v>10304</v>
      </c>
      <c r="E4272">
        <v>38937.379999999997</v>
      </c>
      <c r="G4272" s="35"/>
      <c r="H4272" s="36">
        <f t="shared" si="200"/>
        <v>24530.5494</v>
      </c>
      <c r="I4272" s="37">
        <f t="shared" si="198"/>
        <v>24530.5494</v>
      </c>
      <c r="J4272" s="4"/>
      <c r="K4272" s="38">
        <f t="shared" si="199"/>
        <v>0</v>
      </c>
    </row>
    <row r="4273" spans="1:11">
      <c r="A4273" t="s">
        <v>4468</v>
      </c>
      <c r="B4273" t="s">
        <v>10176</v>
      </c>
      <c r="C4273" t="s">
        <v>5745</v>
      </c>
      <c r="D4273" t="s">
        <v>10305</v>
      </c>
      <c r="E4273">
        <v>55573.73</v>
      </c>
      <c r="G4273" s="35"/>
      <c r="H4273" s="36">
        <f t="shared" si="200"/>
        <v>35011.4499</v>
      </c>
      <c r="I4273" s="37">
        <f t="shared" si="198"/>
        <v>35011.4499</v>
      </c>
      <c r="J4273" s="4"/>
      <c r="K4273" s="38">
        <f t="shared" si="199"/>
        <v>0</v>
      </c>
    </row>
    <row r="4274" spans="1:11">
      <c r="A4274" t="s">
        <v>4469</v>
      </c>
      <c r="B4274" t="s">
        <v>10176</v>
      </c>
      <c r="C4274" t="s">
        <v>5745</v>
      </c>
      <c r="D4274" t="s">
        <v>10306</v>
      </c>
      <c r="E4274">
        <v>83982.92</v>
      </c>
      <c r="G4274" s="35"/>
      <c r="H4274" s="36">
        <f t="shared" si="200"/>
        <v>52909.239600000001</v>
      </c>
      <c r="I4274" s="37">
        <f t="shared" si="198"/>
        <v>52909.239600000001</v>
      </c>
      <c r="J4274" s="4"/>
      <c r="K4274" s="38">
        <f t="shared" si="199"/>
        <v>0</v>
      </c>
    </row>
    <row r="4275" spans="1:11">
      <c r="A4275" t="s">
        <v>4586</v>
      </c>
      <c r="B4275" t="s">
        <v>10176</v>
      </c>
      <c r="C4275" t="s">
        <v>5763</v>
      </c>
      <c r="D4275" t="s">
        <v>5764</v>
      </c>
      <c r="E4275">
        <v>1442.75</v>
      </c>
      <c r="G4275" s="35"/>
      <c r="H4275" s="36">
        <f t="shared" si="200"/>
        <v>908.9325</v>
      </c>
      <c r="I4275" s="37">
        <f t="shared" si="198"/>
        <v>908.9325</v>
      </c>
      <c r="J4275" s="4"/>
      <c r="K4275" s="38">
        <f t="shared" si="199"/>
        <v>0</v>
      </c>
    </row>
    <row r="4276" spans="1:11">
      <c r="A4276" t="s">
        <v>4587</v>
      </c>
      <c r="B4276" t="s">
        <v>10176</v>
      </c>
      <c r="C4276" t="s">
        <v>5763</v>
      </c>
      <c r="D4276" t="s">
        <v>5765</v>
      </c>
      <c r="E4276">
        <v>1459.44</v>
      </c>
      <c r="G4276" s="35"/>
      <c r="H4276" s="36">
        <f t="shared" si="200"/>
        <v>919.44720000000007</v>
      </c>
      <c r="I4276" s="37">
        <f t="shared" si="198"/>
        <v>919.44720000000007</v>
      </c>
      <c r="J4276" s="4"/>
      <c r="K4276" s="38">
        <f t="shared" si="199"/>
        <v>0</v>
      </c>
    </row>
    <row r="4277" spans="1:11">
      <c r="A4277" t="s">
        <v>4588</v>
      </c>
      <c r="B4277" t="s">
        <v>10176</v>
      </c>
      <c r="C4277" t="s">
        <v>5763</v>
      </c>
      <c r="D4277" t="s">
        <v>5766</v>
      </c>
      <c r="E4277">
        <v>2472.15</v>
      </c>
      <c r="G4277" s="35"/>
      <c r="H4277" s="36">
        <f t="shared" si="200"/>
        <v>1557.4545000000001</v>
      </c>
      <c r="I4277" s="37">
        <f t="shared" si="198"/>
        <v>1557.4545000000001</v>
      </c>
      <c r="J4277" s="4"/>
      <c r="K4277" s="38">
        <f t="shared" si="199"/>
        <v>0</v>
      </c>
    </row>
    <row r="4278" spans="1:11">
      <c r="A4278" t="s">
        <v>4589</v>
      </c>
      <c r="B4278" t="s">
        <v>10176</v>
      </c>
      <c r="C4278" t="s">
        <v>5763</v>
      </c>
      <c r="D4278" t="s">
        <v>5767</v>
      </c>
      <c r="E4278">
        <v>4016.85</v>
      </c>
      <c r="G4278" s="35"/>
      <c r="H4278" s="36">
        <f t="shared" si="200"/>
        <v>2530.6154999999999</v>
      </c>
      <c r="I4278" s="37">
        <f t="shared" si="198"/>
        <v>2530.6154999999999</v>
      </c>
      <c r="J4278" s="4"/>
      <c r="K4278" s="38">
        <f t="shared" si="199"/>
        <v>0</v>
      </c>
    </row>
    <row r="4279" spans="1:11">
      <c r="A4279" t="s">
        <v>4325</v>
      </c>
      <c r="B4279" t="s">
        <v>10176</v>
      </c>
      <c r="C4279" t="s">
        <v>5707</v>
      </c>
      <c r="D4279" t="s">
        <v>5708</v>
      </c>
      <c r="E4279">
        <v>189544.06</v>
      </c>
      <c r="G4279" s="35"/>
      <c r="H4279" s="36">
        <f t="shared" si="200"/>
        <v>119412.75779999999</v>
      </c>
      <c r="I4279" s="37">
        <f t="shared" si="198"/>
        <v>119412.75779999999</v>
      </c>
      <c r="J4279" s="4"/>
      <c r="K4279" s="38">
        <f t="shared" si="199"/>
        <v>0</v>
      </c>
    </row>
    <row r="4280" spans="1:11">
      <c r="A4280" t="s">
        <v>4326</v>
      </c>
      <c r="B4280" t="s">
        <v>10176</v>
      </c>
      <c r="C4280" t="s">
        <v>5707</v>
      </c>
      <c r="D4280" t="s">
        <v>5708</v>
      </c>
      <c r="E4280">
        <v>238532.4</v>
      </c>
      <c r="G4280" s="35"/>
      <c r="H4280" s="36">
        <f t="shared" si="200"/>
        <v>150275.41200000001</v>
      </c>
      <c r="I4280" s="37">
        <f t="shared" si="198"/>
        <v>150275.41200000001</v>
      </c>
      <c r="J4280" s="4"/>
      <c r="K4280" s="38">
        <f t="shared" si="199"/>
        <v>0</v>
      </c>
    </row>
    <row r="4281" spans="1:11">
      <c r="A4281" t="s">
        <v>4327</v>
      </c>
      <c r="B4281" t="s">
        <v>10176</v>
      </c>
      <c r="C4281" t="s">
        <v>5707</v>
      </c>
      <c r="D4281" t="s">
        <v>5709</v>
      </c>
      <c r="E4281">
        <v>2523499.71</v>
      </c>
      <c r="G4281" s="35"/>
      <c r="H4281" s="36">
        <f t="shared" si="200"/>
        <v>1589804.8173</v>
      </c>
      <c r="I4281" s="37">
        <f t="shared" si="198"/>
        <v>1589804.8173</v>
      </c>
      <c r="J4281" s="4"/>
      <c r="K4281" s="38">
        <f t="shared" si="199"/>
        <v>0</v>
      </c>
    </row>
    <row r="4282" spans="1:11">
      <c r="A4282" t="s">
        <v>4328</v>
      </c>
      <c r="B4282" t="s">
        <v>10176</v>
      </c>
      <c r="C4282" t="s">
        <v>5707</v>
      </c>
      <c r="D4282" t="s">
        <v>5710</v>
      </c>
      <c r="E4282">
        <v>3277895.11</v>
      </c>
      <c r="G4282" s="35"/>
      <c r="H4282" s="36">
        <f t="shared" si="200"/>
        <v>2065073.9193</v>
      </c>
      <c r="I4282" s="37">
        <f t="shared" si="198"/>
        <v>2065073.9193</v>
      </c>
      <c r="J4282" s="4"/>
      <c r="K4282" s="38">
        <f t="shared" si="199"/>
        <v>0</v>
      </c>
    </row>
    <row r="4283" spans="1:11">
      <c r="A4283" t="s">
        <v>4329</v>
      </c>
      <c r="B4283" t="s">
        <v>10176</v>
      </c>
      <c r="C4283" t="s">
        <v>5707</v>
      </c>
      <c r="D4283" t="s">
        <v>5711</v>
      </c>
      <c r="E4283">
        <v>673471.59</v>
      </c>
      <c r="G4283" s="35"/>
      <c r="H4283" s="36">
        <f t="shared" si="200"/>
        <v>424287.1017</v>
      </c>
      <c r="I4283" s="37">
        <f t="shared" si="198"/>
        <v>424287.1017</v>
      </c>
      <c r="J4283" s="4"/>
      <c r="K4283" s="38">
        <f t="shared" si="199"/>
        <v>0</v>
      </c>
    </row>
    <row r="4284" spans="1:11">
      <c r="A4284" t="s">
        <v>4330</v>
      </c>
      <c r="B4284" t="s">
        <v>10176</v>
      </c>
      <c r="C4284" t="s">
        <v>5707</v>
      </c>
      <c r="D4284" t="s">
        <v>5712</v>
      </c>
      <c r="E4284">
        <v>682206.26</v>
      </c>
      <c r="G4284" s="35"/>
      <c r="H4284" s="36">
        <f t="shared" si="200"/>
        <v>429789.94380000001</v>
      </c>
      <c r="I4284" s="37">
        <f t="shared" si="198"/>
        <v>429789.94380000001</v>
      </c>
      <c r="J4284" s="4"/>
      <c r="K4284" s="38">
        <f t="shared" si="199"/>
        <v>0</v>
      </c>
    </row>
    <row r="4285" spans="1:11">
      <c r="A4285" t="s">
        <v>4331</v>
      </c>
      <c r="B4285" t="s">
        <v>10176</v>
      </c>
      <c r="C4285" t="s">
        <v>5707</v>
      </c>
      <c r="D4285" t="s">
        <v>10232</v>
      </c>
      <c r="E4285">
        <v>210557.52</v>
      </c>
      <c r="G4285" s="35"/>
      <c r="H4285" s="36">
        <f t="shared" si="200"/>
        <v>132651.23759999999</v>
      </c>
      <c r="I4285" s="37">
        <f t="shared" si="198"/>
        <v>132651.23759999999</v>
      </c>
      <c r="J4285" s="4"/>
      <c r="K4285" s="38">
        <f t="shared" si="199"/>
        <v>0</v>
      </c>
    </row>
    <row r="4286" spans="1:11">
      <c r="A4286" t="s">
        <v>4332</v>
      </c>
      <c r="B4286" t="s">
        <v>10176</v>
      </c>
      <c r="C4286" t="s">
        <v>5707</v>
      </c>
      <c r="D4286" t="s">
        <v>10233</v>
      </c>
      <c r="E4286">
        <v>322200.94</v>
      </c>
      <c r="G4286" s="35"/>
      <c r="H4286" s="36">
        <f t="shared" si="200"/>
        <v>202986.59220000001</v>
      </c>
      <c r="I4286" s="37">
        <f t="shared" si="198"/>
        <v>202986.59220000001</v>
      </c>
      <c r="J4286" s="4"/>
      <c r="K4286" s="38">
        <f t="shared" si="199"/>
        <v>0</v>
      </c>
    </row>
    <row r="4287" spans="1:11">
      <c r="A4287" t="s">
        <v>4470</v>
      </c>
      <c r="B4287" t="s">
        <v>10176</v>
      </c>
      <c r="C4287" t="s">
        <v>5746</v>
      </c>
      <c r="D4287" t="s">
        <v>10307</v>
      </c>
      <c r="E4287">
        <v>459775.85</v>
      </c>
      <c r="G4287" s="35"/>
      <c r="H4287" s="36">
        <f t="shared" si="200"/>
        <v>289658.7855</v>
      </c>
      <c r="I4287" s="37">
        <f t="shared" si="198"/>
        <v>289658.7855</v>
      </c>
      <c r="J4287" s="4"/>
      <c r="K4287" s="38">
        <f t="shared" si="199"/>
        <v>0</v>
      </c>
    </row>
    <row r="4288" spans="1:11">
      <c r="A4288" t="s">
        <v>4471</v>
      </c>
      <c r="B4288" t="s">
        <v>10176</v>
      </c>
      <c r="C4288" t="s">
        <v>5746</v>
      </c>
      <c r="D4288" t="s">
        <v>10308</v>
      </c>
      <c r="E4288">
        <v>44533.84</v>
      </c>
      <c r="G4288" s="35"/>
      <c r="H4288" s="36">
        <f t="shared" si="200"/>
        <v>28056.319199999998</v>
      </c>
      <c r="I4288" s="37">
        <f t="shared" si="198"/>
        <v>28056.319199999998</v>
      </c>
      <c r="J4288" s="4"/>
      <c r="K4288" s="38">
        <f t="shared" si="199"/>
        <v>0</v>
      </c>
    </row>
    <row r="4289" spans="1:11">
      <c r="A4289" t="s">
        <v>4472</v>
      </c>
      <c r="B4289" t="s">
        <v>10176</v>
      </c>
      <c r="C4289" t="s">
        <v>5746</v>
      </c>
      <c r="D4289" t="s">
        <v>10309</v>
      </c>
      <c r="E4289">
        <v>60295.79</v>
      </c>
      <c r="G4289" s="35"/>
      <c r="H4289" s="36">
        <f t="shared" si="200"/>
        <v>37986.347699999998</v>
      </c>
      <c r="I4289" s="37">
        <f t="shared" si="198"/>
        <v>37986.347699999998</v>
      </c>
      <c r="J4289" s="4"/>
      <c r="K4289" s="38">
        <f t="shared" si="199"/>
        <v>0</v>
      </c>
    </row>
    <row r="4290" spans="1:11">
      <c r="A4290" t="s">
        <v>4473</v>
      </c>
      <c r="B4290" t="s">
        <v>10176</v>
      </c>
      <c r="C4290" t="s">
        <v>5746</v>
      </c>
      <c r="D4290" t="s">
        <v>10310</v>
      </c>
      <c r="E4290">
        <v>105308.77</v>
      </c>
      <c r="G4290" s="35"/>
      <c r="H4290" s="36">
        <f t="shared" si="200"/>
        <v>66344.525099999999</v>
      </c>
      <c r="I4290" s="37">
        <f t="shared" si="198"/>
        <v>66344.525099999999</v>
      </c>
      <c r="J4290" s="4"/>
      <c r="K4290" s="38">
        <f t="shared" si="199"/>
        <v>0</v>
      </c>
    </row>
    <row r="4291" spans="1:11">
      <c r="A4291" t="s">
        <v>4474</v>
      </c>
      <c r="B4291" t="s">
        <v>10176</v>
      </c>
      <c r="C4291" t="s">
        <v>5746</v>
      </c>
      <c r="D4291" t="s">
        <v>10311</v>
      </c>
      <c r="E4291">
        <v>179523.64</v>
      </c>
      <c r="G4291" s="35"/>
      <c r="H4291" s="36">
        <f t="shared" si="200"/>
        <v>113099.89320000001</v>
      </c>
      <c r="I4291" s="37">
        <f t="shared" si="198"/>
        <v>113099.89320000001</v>
      </c>
      <c r="J4291" s="4"/>
      <c r="K4291" s="38">
        <f t="shared" si="199"/>
        <v>0</v>
      </c>
    </row>
    <row r="4292" spans="1:11">
      <c r="A4292" t="s">
        <v>4475</v>
      </c>
      <c r="B4292" t="s">
        <v>10176</v>
      </c>
      <c r="C4292" t="s">
        <v>5746</v>
      </c>
      <c r="D4292" t="s">
        <v>10312</v>
      </c>
      <c r="E4292">
        <v>253894.67</v>
      </c>
      <c r="G4292" s="35"/>
      <c r="H4292" s="36">
        <f t="shared" si="200"/>
        <v>159953.6421</v>
      </c>
      <c r="I4292" s="37">
        <f t="shared" si="198"/>
        <v>159953.6421</v>
      </c>
      <c r="J4292" s="4"/>
      <c r="K4292" s="38">
        <f t="shared" si="199"/>
        <v>0</v>
      </c>
    </row>
    <row r="4293" spans="1:11">
      <c r="A4293" t="s">
        <v>4476</v>
      </c>
      <c r="B4293" t="s">
        <v>10176</v>
      </c>
      <c r="C4293" t="s">
        <v>5746</v>
      </c>
      <c r="D4293" t="s">
        <v>10313</v>
      </c>
      <c r="E4293">
        <v>11583.25</v>
      </c>
      <c r="G4293" s="35"/>
      <c r="H4293" s="36">
        <f t="shared" si="200"/>
        <v>7297.4475000000002</v>
      </c>
      <c r="I4293" s="37">
        <f t="shared" si="198"/>
        <v>7297.4475000000002</v>
      </c>
      <c r="J4293" s="4"/>
      <c r="K4293" s="38">
        <f t="shared" si="199"/>
        <v>0</v>
      </c>
    </row>
    <row r="4294" spans="1:11">
      <c r="A4294" t="s">
        <v>4477</v>
      </c>
      <c r="B4294" t="s">
        <v>10176</v>
      </c>
      <c r="C4294" t="s">
        <v>5746</v>
      </c>
      <c r="D4294" t="s">
        <v>10314</v>
      </c>
      <c r="E4294">
        <v>14704.67</v>
      </c>
      <c r="G4294" s="35"/>
      <c r="H4294" s="36">
        <f t="shared" si="200"/>
        <v>9263.9421000000002</v>
      </c>
      <c r="I4294" s="37">
        <f t="shared" ref="I4294:I4357" si="201">H4294*$H$4</f>
        <v>9263.9421000000002</v>
      </c>
      <c r="J4294" s="4"/>
      <c r="K4294" s="38">
        <f t="shared" ref="K4294:K4357" si="202">J4294*I4294</f>
        <v>0</v>
      </c>
    </row>
    <row r="4295" spans="1:11">
      <c r="A4295" t="s">
        <v>4478</v>
      </c>
      <c r="B4295" t="s">
        <v>10176</v>
      </c>
      <c r="C4295" t="s">
        <v>5746</v>
      </c>
      <c r="D4295" t="s">
        <v>10315</v>
      </c>
      <c r="E4295">
        <v>20332.36</v>
      </c>
      <c r="G4295" s="35"/>
      <c r="H4295" s="36">
        <f t="shared" ref="H4295:H4358" si="203">+E4295*$H$1*(1-G4295)</f>
        <v>12809.3868</v>
      </c>
      <c r="I4295" s="37">
        <f t="shared" si="201"/>
        <v>12809.3868</v>
      </c>
      <c r="J4295" s="4"/>
      <c r="K4295" s="38">
        <f t="shared" si="202"/>
        <v>0</v>
      </c>
    </row>
    <row r="4296" spans="1:11">
      <c r="A4296" t="s">
        <v>4421</v>
      </c>
      <c r="B4296" t="s">
        <v>10176</v>
      </c>
      <c r="C4296" t="s">
        <v>5741</v>
      </c>
      <c r="D4296" t="s">
        <v>12335</v>
      </c>
      <c r="E4296">
        <v>9036.98</v>
      </c>
      <c r="G4296" s="35"/>
      <c r="H4296" s="36">
        <f t="shared" si="203"/>
        <v>5693.2973999999995</v>
      </c>
      <c r="I4296" s="37">
        <f t="shared" si="201"/>
        <v>5693.2973999999995</v>
      </c>
      <c r="J4296" s="4"/>
      <c r="K4296" s="38">
        <f t="shared" si="202"/>
        <v>0</v>
      </c>
    </row>
    <row r="4297" spans="1:11">
      <c r="A4297" t="s">
        <v>4422</v>
      </c>
      <c r="B4297" t="s">
        <v>10176</v>
      </c>
      <c r="C4297" t="s">
        <v>5741</v>
      </c>
      <c r="D4297" t="s">
        <v>10279</v>
      </c>
      <c r="E4297">
        <v>74838.399999999994</v>
      </c>
      <c r="G4297" s="35"/>
      <c r="H4297" s="36">
        <f t="shared" si="203"/>
        <v>47148.191999999995</v>
      </c>
      <c r="I4297" s="37">
        <f t="shared" si="201"/>
        <v>47148.191999999995</v>
      </c>
      <c r="J4297" s="4"/>
      <c r="K4297" s="38">
        <f t="shared" si="202"/>
        <v>0</v>
      </c>
    </row>
    <row r="4298" spans="1:11">
      <c r="A4298" t="s">
        <v>4423</v>
      </c>
      <c r="B4298" t="s">
        <v>10176</v>
      </c>
      <c r="C4298" t="s">
        <v>5741</v>
      </c>
      <c r="D4298" t="s">
        <v>10280</v>
      </c>
      <c r="E4298">
        <v>82618.03</v>
      </c>
      <c r="G4298" s="35"/>
      <c r="H4298" s="36">
        <f t="shared" si="203"/>
        <v>52049.358899999999</v>
      </c>
      <c r="I4298" s="37">
        <f t="shared" si="201"/>
        <v>52049.358899999999</v>
      </c>
      <c r="J4298" s="4"/>
      <c r="K4298" s="38">
        <f t="shared" si="202"/>
        <v>0</v>
      </c>
    </row>
    <row r="4299" spans="1:11">
      <c r="A4299" t="s">
        <v>4424</v>
      </c>
      <c r="B4299" t="s">
        <v>10176</v>
      </c>
      <c r="C4299" t="s">
        <v>5741</v>
      </c>
      <c r="D4299" t="s">
        <v>12875</v>
      </c>
      <c r="E4299">
        <v>424903.33</v>
      </c>
      <c r="G4299" s="35"/>
      <c r="H4299" s="36">
        <f t="shared" si="203"/>
        <v>267689.09789999999</v>
      </c>
      <c r="I4299" s="37">
        <f t="shared" si="201"/>
        <v>267689.09789999999</v>
      </c>
      <c r="J4299" s="4"/>
      <c r="K4299" s="38">
        <f t="shared" si="202"/>
        <v>0</v>
      </c>
    </row>
    <row r="4300" spans="1:11">
      <c r="A4300" t="s">
        <v>4425</v>
      </c>
      <c r="B4300" t="s">
        <v>10176</v>
      </c>
      <c r="C4300" t="s">
        <v>5741</v>
      </c>
      <c r="D4300" t="s">
        <v>10281</v>
      </c>
      <c r="E4300">
        <v>28366.5</v>
      </c>
      <c r="G4300" s="35"/>
      <c r="H4300" s="36">
        <f t="shared" si="203"/>
        <v>17870.895</v>
      </c>
      <c r="I4300" s="37">
        <f t="shared" si="201"/>
        <v>17870.895</v>
      </c>
      <c r="J4300" s="4"/>
      <c r="K4300" s="38">
        <f t="shared" si="202"/>
        <v>0</v>
      </c>
    </row>
    <row r="4301" spans="1:11">
      <c r="A4301" t="s">
        <v>4426</v>
      </c>
      <c r="B4301" t="s">
        <v>10176</v>
      </c>
      <c r="C4301" t="s">
        <v>5741</v>
      </c>
      <c r="D4301" t="s">
        <v>10282</v>
      </c>
      <c r="E4301">
        <v>46076.82</v>
      </c>
      <c r="G4301" s="35"/>
      <c r="H4301" s="36">
        <f t="shared" si="203"/>
        <v>29028.3966</v>
      </c>
      <c r="I4301" s="37">
        <f t="shared" si="201"/>
        <v>29028.3966</v>
      </c>
      <c r="J4301" s="4"/>
      <c r="K4301" s="38">
        <f t="shared" si="202"/>
        <v>0</v>
      </c>
    </row>
    <row r="4302" spans="1:11">
      <c r="A4302" t="s">
        <v>4427</v>
      </c>
      <c r="B4302" t="s">
        <v>10176</v>
      </c>
      <c r="C4302" t="s">
        <v>5741</v>
      </c>
      <c r="D4302" t="s">
        <v>10283</v>
      </c>
      <c r="E4302">
        <v>68556.789999999994</v>
      </c>
      <c r="G4302" s="35"/>
      <c r="H4302" s="36">
        <f t="shared" si="203"/>
        <v>43190.777699999999</v>
      </c>
      <c r="I4302" s="37">
        <f t="shared" si="201"/>
        <v>43190.777699999999</v>
      </c>
      <c r="J4302" s="4"/>
      <c r="K4302" s="38">
        <f t="shared" si="202"/>
        <v>0</v>
      </c>
    </row>
    <row r="4303" spans="1:11">
      <c r="A4303" t="s">
        <v>4428</v>
      </c>
      <c r="B4303" t="s">
        <v>10176</v>
      </c>
      <c r="C4303" t="s">
        <v>5741</v>
      </c>
      <c r="D4303" t="s">
        <v>10284</v>
      </c>
      <c r="E4303">
        <v>168614.94</v>
      </c>
      <c r="G4303" s="35"/>
      <c r="H4303" s="36">
        <f t="shared" si="203"/>
        <v>106227.41220000001</v>
      </c>
      <c r="I4303" s="37">
        <f t="shared" si="201"/>
        <v>106227.41220000001</v>
      </c>
      <c r="J4303" s="4"/>
      <c r="K4303" s="38">
        <f t="shared" si="202"/>
        <v>0</v>
      </c>
    </row>
    <row r="4304" spans="1:11">
      <c r="A4304" t="s">
        <v>4429</v>
      </c>
      <c r="B4304" t="s">
        <v>10176</v>
      </c>
      <c r="C4304" t="s">
        <v>5741</v>
      </c>
      <c r="D4304" t="s">
        <v>10285</v>
      </c>
      <c r="E4304">
        <v>273970.87</v>
      </c>
      <c r="G4304" s="35"/>
      <c r="H4304" s="36">
        <f t="shared" si="203"/>
        <v>172601.64809999999</v>
      </c>
      <c r="I4304" s="37">
        <f t="shared" si="201"/>
        <v>172601.64809999999</v>
      </c>
      <c r="J4304" s="4"/>
      <c r="K4304" s="38">
        <f t="shared" si="202"/>
        <v>0</v>
      </c>
    </row>
    <row r="4305" spans="1:11">
      <c r="A4305" t="s">
        <v>4430</v>
      </c>
      <c r="B4305" t="s">
        <v>10176</v>
      </c>
      <c r="C4305" t="s">
        <v>5741</v>
      </c>
      <c r="D4305" t="s">
        <v>10286</v>
      </c>
      <c r="E4305">
        <v>7849.65</v>
      </c>
      <c r="G4305" s="35"/>
      <c r="H4305" s="36">
        <f t="shared" si="203"/>
        <v>4945.2794999999996</v>
      </c>
      <c r="I4305" s="37">
        <f t="shared" si="201"/>
        <v>4945.2794999999996</v>
      </c>
      <c r="J4305" s="4"/>
      <c r="K4305" s="38">
        <f t="shared" si="202"/>
        <v>0</v>
      </c>
    </row>
    <row r="4306" spans="1:11">
      <c r="A4306" t="s">
        <v>4431</v>
      </c>
      <c r="B4306" t="s">
        <v>10176</v>
      </c>
      <c r="C4306" t="s">
        <v>5741</v>
      </c>
      <c r="D4306" t="s">
        <v>10287</v>
      </c>
      <c r="E4306">
        <v>11431.19</v>
      </c>
      <c r="G4306" s="35"/>
      <c r="H4306" s="36">
        <f t="shared" si="203"/>
        <v>7201.6496999999999</v>
      </c>
      <c r="I4306" s="37">
        <f t="shared" si="201"/>
        <v>7201.6496999999999</v>
      </c>
      <c r="J4306" s="4"/>
      <c r="K4306" s="38">
        <f t="shared" si="202"/>
        <v>0</v>
      </c>
    </row>
    <row r="4307" spans="1:11">
      <c r="A4307" t="s">
        <v>4432</v>
      </c>
      <c r="B4307" t="s">
        <v>10176</v>
      </c>
      <c r="C4307" t="s">
        <v>5741</v>
      </c>
      <c r="D4307" t="s">
        <v>10288</v>
      </c>
      <c r="E4307">
        <v>18413.29</v>
      </c>
      <c r="G4307" s="35"/>
      <c r="H4307" s="36">
        <f t="shared" si="203"/>
        <v>11600.3727</v>
      </c>
      <c r="I4307" s="37">
        <f t="shared" si="201"/>
        <v>11600.3727</v>
      </c>
      <c r="J4307" s="4"/>
      <c r="K4307" s="38">
        <f t="shared" si="202"/>
        <v>0</v>
      </c>
    </row>
    <row r="4308" spans="1:11">
      <c r="A4308" t="s">
        <v>5510</v>
      </c>
      <c r="B4308" t="s">
        <v>10176</v>
      </c>
      <c r="C4308" t="s">
        <v>5987</v>
      </c>
      <c r="D4308" t="s">
        <v>11089</v>
      </c>
      <c r="E4308">
        <v>14297.61</v>
      </c>
      <c r="G4308" s="35"/>
      <c r="H4308" s="36">
        <f t="shared" si="203"/>
        <v>9007.4943000000003</v>
      </c>
      <c r="I4308" s="37">
        <f t="shared" si="201"/>
        <v>9007.4943000000003</v>
      </c>
      <c r="J4308" s="4"/>
      <c r="K4308" s="38">
        <f t="shared" si="202"/>
        <v>0</v>
      </c>
    </row>
    <row r="4309" spans="1:11">
      <c r="A4309" t="s">
        <v>5511</v>
      </c>
      <c r="B4309" t="s">
        <v>10176</v>
      </c>
      <c r="C4309" t="s">
        <v>5987</v>
      </c>
      <c r="D4309" t="s">
        <v>11090</v>
      </c>
      <c r="E4309">
        <v>5512.85</v>
      </c>
      <c r="G4309" s="35"/>
      <c r="H4309" s="36">
        <f t="shared" si="203"/>
        <v>3473.0955000000004</v>
      </c>
      <c r="I4309" s="37">
        <f t="shared" si="201"/>
        <v>3473.0955000000004</v>
      </c>
      <c r="J4309" s="4"/>
      <c r="K4309" s="38">
        <f t="shared" si="202"/>
        <v>0</v>
      </c>
    </row>
    <row r="4310" spans="1:11">
      <c r="A4310" t="s">
        <v>5512</v>
      </c>
      <c r="B4310" t="s">
        <v>10176</v>
      </c>
      <c r="C4310" t="s">
        <v>5987</v>
      </c>
      <c r="D4310" t="s">
        <v>11091</v>
      </c>
      <c r="E4310">
        <v>4296.05</v>
      </c>
      <c r="G4310" s="35"/>
      <c r="H4310" s="36">
        <f t="shared" si="203"/>
        <v>2706.5115000000001</v>
      </c>
      <c r="I4310" s="37">
        <f t="shared" si="201"/>
        <v>2706.5115000000001</v>
      </c>
      <c r="J4310" s="4"/>
      <c r="K4310" s="38">
        <f t="shared" si="202"/>
        <v>0</v>
      </c>
    </row>
    <row r="4311" spans="1:11">
      <c r="A4311" t="s">
        <v>5513</v>
      </c>
      <c r="B4311" t="s">
        <v>10176</v>
      </c>
      <c r="C4311" t="s">
        <v>5987</v>
      </c>
      <c r="D4311" t="s">
        <v>11092</v>
      </c>
      <c r="E4311">
        <v>9470.49</v>
      </c>
      <c r="G4311" s="35"/>
      <c r="H4311" s="36">
        <f t="shared" si="203"/>
        <v>5966.4087</v>
      </c>
      <c r="I4311" s="37">
        <f t="shared" si="201"/>
        <v>5966.4087</v>
      </c>
      <c r="J4311" s="4"/>
      <c r="K4311" s="38">
        <f t="shared" si="202"/>
        <v>0</v>
      </c>
    </row>
    <row r="4312" spans="1:11">
      <c r="A4312" t="s">
        <v>5514</v>
      </c>
      <c r="B4312" t="s">
        <v>10176</v>
      </c>
      <c r="C4312" t="s">
        <v>5987</v>
      </c>
      <c r="D4312" t="s">
        <v>11093</v>
      </c>
      <c r="E4312">
        <v>102058.6</v>
      </c>
      <c r="G4312" s="35"/>
      <c r="H4312" s="36">
        <f t="shared" si="203"/>
        <v>64296.918000000005</v>
      </c>
      <c r="I4312" s="37">
        <f t="shared" si="201"/>
        <v>64296.918000000005</v>
      </c>
      <c r="J4312" s="4"/>
      <c r="K4312" s="38">
        <f t="shared" si="202"/>
        <v>0</v>
      </c>
    </row>
    <row r="4313" spans="1:11">
      <c r="A4313" t="s">
        <v>5515</v>
      </c>
      <c r="B4313" t="s">
        <v>10176</v>
      </c>
      <c r="C4313" t="s">
        <v>5987</v>
      </c>
      <c r="D4313" t="s">
        <v>11094</v>
      </c>
      <c r="E4313">
        <v>80549.899999999994</v>
      </c>
      <c r="G4313" s="35"/>
      <c r="H4313" s="36">
        <f t="shared" si="203"/>
        <v>50746.436999999998</v>
      </c>
      <c r="I4313" s="37">
        <f t="shared" si="201"/>
        <v>50746.436999999998</v>
      </c>
      <c r="J4313" s="4"/>
      <c r="K4313" s="38">
        <f t="shared" si="202"/>
        <v>0</v>
      </c>
    </row>
    <row r="4314" spans="1:11">
      <c r="A4314" t="s">
        <v>5516</v>
      </c>
      <c r="B4314" t="s">
        <v>10176</v>
      </c>
      <c r="C4314" t="s">
        <v>5987</v>
      </c>
      <c r="D4314" t="s">
        <v>11095</v>
      </c>
      <c r="E4314">
        <v>74459.02</v>
      </c>
      <c r="G4314" s="35"/>
      <c r="H4314" s="36">
        <f t="shared" si="203"/>
        <v>46909.1826</v>
      </c>
      <c r="I4314" s="37">
        <f t="shared" si="201"/>
        <v>46909.1826</v>
      </c>
      <c r="J4314" s="4"/>
      <c r="K4314" s="38">
        <f t="shared" si="202"/>
        <v>0</v>
      </c>
    </row>
    <row r="4315" spans="1:11">
      <c r="A4315" t="s">
        <v>5517</v>
      </c>
      <c r="B4315" t="s">
        <v>10176</v>
      </c>
      <c r="C4315" t="s">
        <v>5987</v>
      </c>
      <c r="D4315" t="s">
        <v>10557</v>
      </c>
      <c r="E4315">
        <v>100762.08</v>
      </c>
      <c r="G4315" s="35"/>
      <c r="H4315" s="36">
        <f t="shared" si="203"/>
        <v>63480.110400000005</v>
      </c>
      <c r="I4315" s="37">
        <f t="shared" si="201"/>
        <v>63480.110400000005</v>
      </c>
      <c r="J4315" s="4"/>
      <c r="K4315" s="38">
        <f t="shared" si="202"/>
        <v>0</v>
      </c>
    </row>
    <row r="4316" spans="1:11">
      <c r="A4316" t="s">
        <v>5518</v>
      </c>
      <c r="B4316" t="s">
        <v>10176</v>
      </c>
      <c r="C4316" t="s">
        <v>5987</v>
      </c>
      <c r="D4316" t="s">
        <v>11096</v>
      </c>
      <c r="E4316">
        <v>17284.98</v>
      </c>
      <c r="G4316" s="35"/>
      <c r="H4316" s="36">
        <f t="shared" si="203"/>
        <v>10889.537399999999</v>
      </c>
      <c r="I4316" s="37">
        <f t="shared" si="201"/>
        <v>10889.537399999999</v>
      </c>
      <c r="J4316" s="4"/>
      <c r="K4316" s="38">
        <f t="shared" si="202"/>
        <v>0</v>
      </c>
    </row>
    <row r="4317" spans="1:11">
      <c r="A4317" t="s">
        <v>4388</v>
      </c>
      <c r="B4317" t="s">
        <v>10176</v>
      </c>
      <c r="C4317" t="s">
        <v>5720</v>
      </c>
      <c r="D4317" t="s">
        <v>10243</v>
      </c>
      <c r="E4317">
        <v>341009.39</v>
      </c>
      <c r="G4317" s="35"/>
      <c r="H4317" s="36">
        <f t="shared" si="203"/>
        <v>214835.91570000001</v>
      </c>
      <c r="I4317" s="37">
        <f t="shared" si="201"/>
        <v>214835.91570000001</v>
      </c>
      <c r="J4317" s="4"/>
      <c r="K4317" s="38">
        <f t="shared" si="202"/>
        <v>0</v>
      </c>
    </row>
    <row r="4318" spans="1:11">
      <c r="A4318" t="s">
        <v>146</v>
      </c>
      <c r="B4318" t="s">
        <v>10176</v>
      </c>
      <c r="C4318" t="s">
        <v>5720</v>
      </c>
      <c r="D4318" t="s">
        <v>10244</v>
      </c>
      <c r="E4318">
        <v>325226.18</v>
      </c>
      <c r="G4318" s="35"/>
      <c r="H4318" s="36">
        <f t="shared" si="203"/>
        <v>204892.49340000001</v>
      </c>
      <c r="I4318" s="37">
        <f t="shared" si="201"/>
        <v>204892.49340000001</v>
      </c>
      <c r="J4318" s="4"/>
      <c r="K4318" s="38">
        <f t="shared" si="202"/>
        <v>0</v>
      </c>
    </row>
    <row r="4319" spans="1:11">
      <c r="A4319" t="s">
        <v>147</v>
      </c>
      <c r="B4319" t="s">
        <v>10176</v>
      </c>
      <c r="C4319" t="s">
        <v>5720</v>
      </c>
      <c r="D4319" t="s">
        <v>10245</v>
      </c>
      <c r="E4319">
        <v>189313.48</v>
      </c>
      <c r="G4319" s="35"/>
      <c r="H4319" s="36">
        <f t="shared" si="203"/>
        <v>119267.4924</v>
      </c>
      <c r="I4319" s="37">
        <f t="shared" si="201"/>
        <v>119267.4924</v>
      </c>
      <c r="J4319" s="4"/>
      <c r="K4319" s="38">
        <f t="shared" si="202"/>
        <v>0</v>
      </c>
    </row>
    <row r="4320" spans="1:11">
      <c r="A4320" t="s">
        <v>148</v>
      </c>
      <c r="B4320" t="s">
        <v>10176</v>
      </c>
      <c r="C4320" t="s">
        <v>5720</v>
      </c>
      <c r="D4320" t="s">
        <v>10246</v>
      </c>
      <c r="E4320">
        <v>77118.58</v>
      </c>
      <c r="G4320" s="35"/>
      <c r="H4320" s="36">
        <f t="shared" si="203"/>
        <v>48584.705399999999</v>
      </c>
      <c r="I4320" s="37">
        <f t="shared" si="201"/>
        <v>48584.705399999999</v>
      </c>
      <c r="J4320" s="4"/>
      <c r="K4320" s="38">
        <f t="shared" si="202"/>
        <v>0</v>
      </c>
    </row>
    <row r="4321" spans="1:11">
      <c r="A4321" t="s">
        <v>149</v>
      </c>
      <c r="B4321" t="s">
        <v>10176</v>
      </c>
      <c r="C4321" t="s">
        <v>5720</v>
      </c>
      <c r="D4321" t="s">
        <v>10247</v>
      </c>
      <c r="E4321">
        <v>102515.69</v>
      </c>
      <c r="G4321" s="35"/>
      <c r="H4321" s="36">
        <f t="shared" si="203"/>
        <v>64584.884700000002</v>
      </c>
      <c r="I4321" s="37">
        <f t="shared" si="201"/>
        <v>64584.884700000002</v>
      </c>
      <c r="J4321" s="4"/>
      <c r="K4321" s="38">
        <f t="shared" si="202"/>
        <v>0</v>
      </c>
    </row>
    <row r="4322" spans="1:11">
      <c r="A4322" t="s">
        <v>150</v>
      </c>
      <c r="B4322" t="s">
        <v>10176</v>
      </c>
      <c r="C4322" t="s">
        <v>5720</v>
      </c>
      <c r="D4322" t="s">
        <v>10248</v>
      </c>
      <c r="E4322">
        <v>256140.61</v>
      </c>
      <c r="G4322" s="35"/>
      <c r="H4322" s="36">
        <f t="shared" si="203"/>
        <v>161368.58429999999</v>
      </c>
      <c r="I4322" s="37">
        <f t="shared" si="201"/>
        <v>161368.58429999999</v>
      </c>
      <c r="J4322" s="4"/>
      <c r="K4322" s="38">
        <f t="shared" si="202"/>
        <v>0</v>
      </c>
    </row>
    <row r="4323" spans="1:11">
      <c r="A4323" t="s">
        <v>151</v>
      </c>
      <c r="B4323" t="s">
        <v>10176</v>
      </c>
      <c r="C4323" t="s">
        <v>5720</v>
      </c>
      <c r="D4323" t="s">
        <v>10249</v>
      </c>
      <c r="E4323">
        <v>117905.58</v>
      </c>
      <c r="G4323" s="35"/>
      <c r="H4323" s="36">
        <f t="shared" si="203"/>
        <v>74280.515400000004</v>
      </c>
      <c r="I4323" s="37">
        <f t="shared" si="201"/>
        <v>74280.515400000004</v>
      </c>
      <c r="J4323" s="4"/>
      <c r="K4323" s="38">
        <f t="shared" si="202"/>
        <v>0</v>
      </c>
    </row>
    <row r="4324" spans="1:11">
      <c r="A4324" t="s">
        <v>5519</v>
      </c>
      <c r="B4324" t="s">
        <v>10176</v>
      </c>
      <c r="C4324" t="s">
        <v>5988</v>
      </c>
      <c r="D4324" t="s">
        <v>11097</v>
      </c>
      <c r="E4324">
        <v>8503.39</v>
      </c>
      <c r="G4324" s="35"/>
      <c r="H4324" s="36">
        <f t="shared" si="203"/>
        <v>5357.1356999999998</v>
      </c>
      <c r="I4324" s="37">
        <f t="shared" si="201"/>
        <v>5357.1356999999998</v>
      </c>
      <c r="J4324" s="4"/>
      <c r="K4324" s="38">
        <f t="shared" si="202"/>
        <v>0</v>
      </c>
    </row>
    <row r="4325" spans="1:11">
      <c r="A4325" t="s">
        <v>5520</v>
      </c>
      <c r="B4325" t="s">
        <v>10176</v>
      </c>
      <c r="C4325" t="s">
        <v>5989</v>
      </c>
      <c r="D4325" t="s">
        <v>11098</v>
      </c>
      <c r="E4325">
        <v>3545.91</v>
      </c>
      <c r="G4325" s="35"/>
      <c r="H4325" s="36">
        <f t="shared" si="203"/>
        <v>2233.9232999999999</v>
      </c>
      <c r="I4325" s="37">
        <f t="shared" si="201"/>
        <v>2233.9232999999999</v>
      </c>
      <c r="J4325" s="4"/>
      <c r="K4325" s="38">
        <f t="shared" si="202"/>
        <v>0</v>
      </c>
    </row>
    <row r="4326" spans="1:11">
      <c r="A4326" t="s">
        <v>5521</v>
      </c>
      <c r="B4326" t="s">
        <v>10176</v>
      </c>
      <c r="C4326" t="s">
        <v>5989</v>
      </c>
      <c r="D4326" t="s">
        <v>11082</v>
      </c>
      <c r="E4326">
        <v>3417.08</v>
      </c>
      <c r="G4326" s="35"/>
      <c r="H4326" s="36">
        <f t="shared" si="203"/>
        <v>2152.7604000000001</v>
      </c>
      <c r="I4326" s="37">
        <f t="shared" si="201"/>
        <v>2152.7604000000001</v>
      </c>
      <c r="J4326" s="4"/>
      <c r="K4326" s="38">
        <f t="shared" si="202"/>
        <v>0</v>
      </c>
    </row>
    <row r="4327" spans="1:11">
      <c r="A4327" t="s">
        <v>5522</v>
      </c>
      <c r="B4327" t="s">
        <v>10176</v>
      </c>
      <c r="C4327" t="s">
        <v>5989</v>
      </c>
      <c r="D4327" t="s">
        <v>11099</v>
      </c>
      <c r="E4327">
        <v>24676.080000000002</v>
      </c>
      <c r="G4327" s="35"/>
      <c r="H4327" s="36">
        <f t="shared" si="203"/>
        <v>15545.930400000001</v>
      </c>
      <c r="I4327" s="37">
        <f t="shared" si="201"/>
        <v>15545.930400000001</v>
      </c>
      <c r="J4327" s="4"/>
      <c r="K4327" s="38">
        <f t="shared" si="202"/>
        <v>0</v>
      </c>
    </row>
    <row r="4328" spans="1:11">
      <c r="A4328" t="s">
        <v>5523</v>
      </c>
      <c r="B4328" t="s">
        <v>10176</v>
      </c>
      <c r="C4328" t="s">
        <v>5990</v>
      </c>
      <c r="D4328" t="s">
        <v>11100</v>
      </c>
      <c r="E4328">
        <v>9144.26</v>
      </c>
      <c r="G4328" s="35"/>
      <c r="H4328" s="36">
        <f t="shared" si="203"/>
        <v>5760.8838000000005</v>
      </c>
      <c r="I4328" s="37">
        <f t="shared" si="201"/>
        <v>5760.8838000000005</v>
      </c>
      <c r="J4328" s="4"/>
      <c r="K4328" s="38">
        <f t="shared" si="202"/>
        <v>0</v>
      </c>
    </row>
    <row r="4329" spans="1:11">
      <c r="A4329" t="s">
        <v>5524</v>
      </c>
      <c r="B4329" t="s">
        <v>10176</v>
      </c>
      <c r="C4329" t="s">
        <v>5990</v>
      </c>
      <c r="D4329" t="s">
        <v>11101</v>
      </c>
      <c r="E4329">
        <v>24925.78</v>
      </c>
      <c r="G4329" s="35"/>
      <c r="H4329" s="36">
        <f t="shared" si="203"/>
        <v>15703.241399999999</v>
      </c>
      <c r="I4329" s="37">
        <f t="shared" si="201"/>
        <v>15703.241399999999</v>
      </c>
      <c r="J4329" s="4"/>
      <c r="K4329" s="38">
        <f t="shared" si="202"/>
        <v>0</v>
      </c>
    </row>
    <row r="4330" spans="1:11">
      <c r="A4330" t="s">
        <v>5525</v>
      </c>
      <c r="B4330" t="s">
        <v>10176</v>
      </c>
      <c r="C4330" t="s">
        <v>5990</v>
      </c>
      <c r="D4330" t="s">
        <v>11102</v>
      </c>
      <c r="E4330">
        <v>34251.1</v>
      </c>
      <c r="G4330" s="35"/>
      <c r="H4330" s="36">
        <f t="shared" si="203"/>
        <v>21578.192999999999</v>
      </c>
      <c r="I4330" s="37">
        <f t="shared" si="201"/>
        <v>21578.192999999999</v>
      </c>
      <c r="J4330" s="4"/>
      <c r="K4330" s="38">
        <f t="shared" si="202"/>
        <v>0</v>
      </c>
    </row>
    <row r="4331" spans="1:11">
      <c r="A4331" t="s">
        <v>5526</v>
      </c>
      <c r="B4331" t="s">
        <v>10176</v>
      </c>
      <c r="C4331" t="s">
        <v>5990</v>
      </c>
      <c r="D4331" t="s">
        <v>11103</v>
      </c>
      <c r="E4331">
        <v>46572.26</v>
      </c>
      <c r="G4331" s="35"/>
      <c r="H4331" s="36">
        <f t="shared" si="203"/>
        <v>29340.523800000003</v>
      </c>
      <c r="I4331" s="37">
        <f t="shared" si="201"/>
        <v>29340.523800000003</v>
      </c>
      <c r="J4331" s="4"/>
      <c r="K4331" s="38">
        <f t="shared" si="202"/>
        <v>0</v>
      </c>
    </row>
    <row r="4332" spans="1:11">
      <c r="A4332" t="s">
        <v>5527</v>
      </c>
      <c r="B4332" t="s">
        <v>10176</v>
      </c>
      <c r="C4332" t="s">
        <v>5990</v>
      </c>
      <c r="D4332" t="s">
        <v>11104</v>
      </c>
      <c r="E4332">
        <v>8832.32</v>
      </c>
      <c r="G4332" s="35"/>
      <c r="H4332" s="36">
        <f t="shared" si="203"/>
        <v>5564.3616000000002</v>
      </c>
      <c r="I4332" s="37">
        <f t="shared" si="201"/>
        <v>5564.3616000000002</v>
      </c>
      <c r="J4332" s="4"/>
      <c r="K4332" s="38">
        <f t="shared" si="202"/>
        <v>0</v>
      </c>
    </row>
    <row r="4333" spans="1:11">
      <c r="A4333" t="s">
        <v>5528</v>
      </c>
      <c r="B4333" t="s">
        <v>10176</v>
      </c>
      <c r="C4333" t="s">
        <v>5991</v>
      </c>
      <c r="D4333" t="s">
        <v>10558</v>
      </c>
      <c r="E4333">
        <v>143294.85</v>
      </c>
      <c r="G4333" s="35"/>
      <c r="H4333" s="36">
        <f t="shared" si="203"/>
        <v>90275.755499999999</v>
      </c>
      <c r="I4333" s="37">
        <f t="shared" si="201"/>
        <v>90275.755499999999</v>
      </c>
      <c r="J4333" s="4"/>
      <c r="K4333" s="38">
        <f t="shared" si="202"/>
        <v>0</v>
      </c>
    </row>
    <row r="4334" spans="1:11">
      <c r="A4334" t="s">
        <v>5529</v>
      </c>
      <c r="B4334" t="s">
        <v>10176</v>
      </c>
      <c r="C4334" t="s">
        <v>5991</v>
      </c>
      <c r="D4334" t="s">
        <v>11105</v>
      </c>
      <c r="E4334">
        <v>147499.04</v>
      </c>
      <c r="G4334" s="35"/>
      <c r="H4334" s="36">
        <f t="shared" si="203"/>
        <v>92924.395199999999</v>
      </c>
      <c r="I4334" s="37">
        <f t="shared" si="201"/>
        <v>92924.395199999999</v>
      </c>
      <c r="J4334" s="4"/>
      <c r="K4334" s="38">
        <f t="shared" si="202"/>
        <v>0</v>
      </c>
    </row>
    <row r="4335" spans="1:11">
      <c r="A4335" t="s">
        <v>5530</v>
      </c>
      <c r="B4335" t="s">
        <v>10176</v>
      </c>
      <c r="C4335" t="s">
        <v>5991</v>
      </c>
      <c r="D4335" t="s">
        <v>11106</v>
      </c>
      <c r="E4335">
        <v>46370.06</v>
      </c>
      <c r="G4335" s="35"/>
      <c r="H4335" s="36">
        <f t="shared" si="203"/>
        <v>29213.1378</v>
      </c>
      <c r="I4335" s="37">
        <f t="shared" si="201"/>
        <v>29213.1378</v>
      </c>
      <c r="J4335" s="4"/>
      <c r="K4335" s="38">
        <f t="shared" si="202"/>
        <v>0</v>
      </c>
    </row>
    <row r="4336" spans="1:11">
      <c r="A4336" t="s">
        <v>5531</v>
      </c>
      <c r="B4336" t="s">
        <v>10176</v>
      </c>
      <c r="C4336" t="s">
        <v>5991</v>
      </c>
      <c r="D4336" t="s">
        <v>10559</v>
      </c>
      <c r="E4336">
        <v>352556.41</v>
      </c>
      <c r="G4336" s="35"/>
      <c r="H4336" s="36">
        <f t="shared" si="203"/>
        <v>222110.53829999999</v>
      </c>
      <c r="I4336" s="37">
        <f t="shared" si="201"/>
        <v>222110.53829999999</v>
      </c>
      <c r="J4336" s="4"/>
      <c r="K4336" s="38">
        <f t="shared" si="202"/>
        <v>0</v>
      </c>
    </row>
    <row r="4337" spans="1:11">
      <c r="A4337" t="s">
        <v>5532</v>
      </c>
      <c r="B4337" t="s">
        <v>10176</v>
      </c>
      <c r="C4337" t="s">
        <v>5991</v>
      </c>
      <c r="D4337" t="s">
        <v>10560</v>
      </c>
      <c r="E4337">
        <v>195306.04</v>
      </c>
      <c r="G4337" s="35"/>
      <c r="H4337" s="36">
        <f t="shared" si="203"/>
        <v>123042.8052</v>
      </c>
      <c r="I4337" s="37">
        <f t="shared" si="201"/>
        <v>123042.8052</v>
      </c>
      <c r="J4337" s="4"/>
      <c r="K4337" s="38">
        <f t="shared" si="202"/>
        <v>0</v>
      </c>
    </row>
    <row r="4338" spans="1:11">
      <c r="A4338" t="s">
        <v>5533</v>
      </c>
      <c r="B4338" t="s">
        <v>10176</v>
      </c>
      <c r="C4338" t="s">
        <v>5991</v>
      </c>
      <c r="D4338" t="s">
        <v>11107</v>
      </c>
      <c r="E4338">
        <v>158650.37</v>
      </c>
      <c r="G4338" s="35"/>
      <c r="H4338" s="36">
        <f t="shared" si="203"/>
        <v>99949.733099999998</v>
      </c>
      <c r="I4338" s="37">
        <f t="shared" si="201"/>
        <v>99949.733099999998</v>
      </c>
      <c r="J4338" s="4"/>
      <c r="K4338" s="38">
        <f t="shared" si="202"/>
        <v>0</v>
      </c>
    </row>
    <row r="4339" spans="1:11">
      <c r="A4339" t="s">
        <v>5534</v>
      </c>
      <c r="B4339" t="s">
        <v>10176</v>
      </c>
      <c r="C4339" t="s">
        <v>5992</v>
      </c>
      <c r="D4339" t="s">
        <v>10561</v>
      </c>
      <c r="E4339">
        <v>12378.17</v>
      </c>
      <c r="G4339" s="35"/>
      <c r="H4339" s="36">
        <f t="shared" si="203"/>
        <v>7798.2471000000005</v>
      </c>
      <c r="I4339" s="37">
        <f t="shared" si="201"/>
        <v>7798.2471000000005</v>
      </c>
      <c r="J4339" s="4"/>
      <c r="K4339" s="38">
        <f t="shared" si="202"/>
        <v>0</v>
      </c>
    </row>
    <row r="4340" spans="1:11">
      <c r="A4340" t="s">
        <v>11279</v>
      </c>
      <c r="B4340" t="s">
        <v>10176</v>
      </c>
      <c r="C4340" t="s">
        <v>5992</v>
      </c>
      <c r="D4340" t="s">
        <v>11280</v>
      </c>
      <c r="E4340">
        <v>12378.17</v>
      </c>
      <c r="G4340" s="35"/>
      <c r="H4340" s="36">
        <f t="shared" si="203"/>
        <v>7798.2471000000005</v>
      </c>
      <c r="I4340" s="37">
        <f t="shared" si="201"/>
        <v>7798.2471000000005</v>
      </c>
      <c r="J4340" s="4"/>
      <c r="K4340" s="38">
        <f t="shared" si="202"/>
        <v>0</v>
      </c>
    </row>
    <row r="4341" spans="1:11">
      <c r="A4341" t="s">
        <v>11281</v>
      </c>
      <c r="B4341" t="s">
        <v>10176</v>
      </c>
      <c r="C4341" t="s">
        <v>5992</v>
      </c>
      <c r="D4341" t="s">
        <v>11282</v>
      </c>
      <c r="E4341">
        <v>12378.17</v>
      </c>
      <c r="G4341" s="35"/>
      <c r="H4341" s="36">
        <f t="shared" si="203"/>
        <v>7798.2471000000005</v>
      </c>
      <c r="I4341" s="37">
        <f t="shared" si="201"/>
        <v>7798.2471000000005</v>
      </c>
      <c r="J4341" s="4"/>
      <c r="K4341" s="38">
        <f t="shared" si="202"/>
        <v>0</v>
      </c>
    </row>
    <row r="4342" spans="1:11">
      <c r="A4342" t="s">
        <v>5536</v>
      </c>
      <c r="B4342" t="s">
        <v>10176</v>
      </c>
      <c r="C4342" t="s">
        <v>5992</v>
      </c>
      <c r="D4342" t="s">
        <v>11109</v>
      </c>
      <c r="E4342">
        <v>28685.47</v>
      </c>
      <c r="G4342" s="35"/>
      <c r="H4342" s="36">
        <f t="shared" si="203"/>
        <v>18071.846100000002</v>
      </c>
      <c r="I4342" s="37">
        <f t="shared" si="201"/>
        <v>18071.846100000002</v>
      </c>
      <c r="J4342" s="4"/>
      <c r="K4342" s="38">
        <f t="shared" si="202"/>
        <v>0</v>
      </c>
    </row>
    <row r="4343" spans="1:11">
      <c r="A4343" t="s">
        <v>5535</v>
      </c>
      <c r="B4343" t="s">
        <v>10176</v>
      </c>
      <c r="C4343" t="s">
        <v>5992</v>
      </c>
      <c r="D4343" t="s">
        <v>11108</v>
      </c>
      <c r="E4343">
        <v>28685.47</v>
      </c>
      <c r="G4343" s="35"/>
      <c r="H4343" s="36">
        <f t="shared" si="203"/>
        <v>18071.846100000002</v>
      </c>
      <c r="I4343" s="37">
        <f t="shared" si="201"/>
        <v>18071.846100000002</v>
      </c>
      <c r="J4343" s="4"/>
      <c r="K4343" s="38">
        <f t="shared" si="202"/>
        <v>0</v>
      </c>
    </row>
    <row r="4344" spans="1:11">
      <c r="A4344" t="s">
        <v>11668</v>
      </c>
      <c r="B4344" t="s">
        <v>10176</v>
      </c>
      <c r="C4344" t="s">
        <v>5992</v>
      </c>
      <c r="D4344" t="s">
        <v>11669</v>
      </c>
      <c r="E4344">
        <v>28685.47</v>
      </c>
      <c r="G4344" s="35"/>
      <c r="H4344" s="36">
        <f t="shared" si="203"/>
        <v>18071.846100000002</v>
      </c>
      <c r="I4344" s="37">
        <f t="shared" si="201"/>
        <v>18071.846100000002</v>
      </c>
      <c r="J4344" s="4"/>
      <c r="K4344" s="38">
        <f t="shared" si="202"/>
        <v>0</v>
      </c>
    </row>
    <row r="4345" spans="1:11">
      <c r="A4345" t="s">
        <v>11670</v>
      </c>
      <c r="B4345" t="s">
        <v>10176</v>
      </c>
      <c r="C4345" t="s">
        <v>5992</v>
      </c>
      <c r="D4345" t="s">
        <v>11671</v>
      </c>
      <c r="E4345">
        <v>28685.47</v>
      </c>
      <c r="G4345" s="35"/>
      <c r="H4345" s="36">
        <f t="shared" si="203"/>
        <v>18071.846100000002</v>
      </c>
      <c r="I4345" s="37">
        <f t="shared" si="201"/>
        <v>18071.846100000002</v>
      </c>
      <c r="J4345" s="4"/>
      <c r="K4345" s="38">
        <f t="shared" si="202"/>
        <v>0</v>
      </c>
    </row>
    <row r="4346" spans="1:11">
      <c r="A4346" t="s">
        <v>5538</v>
      </c>
      <c r="B4346" t="s">
        <v>10176</v>
      </c>
      <c r="C4346" t="s">
        <v>5992</v>
      </c>
      <c r="D4346" t="s">
        <v>11111</v>
      </c>
      <c r="E4346">
        <v>16070.28</v>
      </c>
      <c r="G4346" s="35"/>
      <c r="H4346" s="36">
        <f t="shared" si="203"/>
        <v>10124.276400000001</v>
      </c>
      <c r="I4346" s="37">
        <f t="shared" si="201"/>
        <v>10124.276400000001</v>
      </c>
      <c r="J4346" s="4"/>
      <c r="K4346" s="38">
        <f t="shared" si="202"/>
        <v>0</v>
      </c>
    </row>
    <row r="4347" spans="1:11">
      <c r="A4347" t="s">
        <v>5537</v>
      </c>
      <c r="B4347" t="s">
        <v>10176</v>
      </c>
      <c r="C4347" t="s">
        <v>5992</v>
      </c>
      <c r="D4347" t="s">
        <v>11110</v>
      </c>
      <c r="E4347">
        <v>28685.47</v>
      </c>
      <c r="G4347" s="35"/>
      <c r="H4347" s="36">
        <f t="shared" si="203"/>
        <v>18071.846100000002</v>
      </c>
      <c r="I4347" s="37">
        <f t="shared" si="201"/>
        <v>18071.846100000002</v>
      </c>
      <c r="J4347" s="4"/>
      <c r="K4347" s="38">
        <f t="shared" si="202"/>
        <v>0</v>
      </c>
    </row>
    <row r="4348" spans="1:11">
      <c r="A4348" t="s">
        <v>11672</v>
      </c>
      <c r="B4348" t="s">
        <v>10176</v>
      </c>
      <c r="C4348" t="s">
        <v>5992</v>
      </c>
      <c r="D4348" t="s">
        <v>11673</v>
      </c>
      <c r="E4348">
        <v>28685.47</v>
      </c>
      <c r="G4348" s="35"/>
      <c r="H4348" s="36">
        <f t="shared" si="203"/>
        <v>18071.846100000002</v>
      </c>
      <c r="I4348" s="37">
        <f t="shared" si="201"/>
        <v>18071.846100000002</v>
      </c>
      <c r="J4348" s="4"/>
      <c r="K4348" s="38">
        <f t="shared" si="202"/>
        <v>0</v>
      </c>
    </row>
    <row r="4349" spans="1:11">
      <c r="A4349" t="s">
        <v>11674</v>
      </c>
      <c r="B4349" t="s">
        <v>10176</v>
      </c>
      <c r="C4349" t="s">
        <v>5992</v>
      </c>
      <c r="D4349" t="s">
        <v>11675</v>
      </c>
      <c r="E4349">
        <v>28685.47</v>
      </c>
      <c r="G4349" s="35"/>
      <c r="H4349" s="36">
        <f t="shared" si="203"/>
        <v>18071.846100000002</v>
      </c>
      <c r="I4349" s="37">
        <f t="shared" si="201"/>
        <v>18071.846100000002</v>
      </c>
      <c r="J4349" s="4"/>
      <c r="K4349" s="38">
        <f t="shared" si="202"/>
        <v>0</v>
      </c>
    </row>
    <row r="4350" spans="1:11">
      <c r="A4350" t="s">
        <v>5540</v>
      </c>
      <c r="B4350" t="s">
        <v>10176</v>
      </c>
      <c r="C4350" t="s">
        <v>5992</v>
      </c>
      <c r="D4350" t="s">
        <v>11113</v>
      </c>
      <c r="E4350">
        <v>28685.47</v>
      </c>
      <c r="G4350" s="35"/>
      <c r="H4350" s="36">
        <f t="shared" si="203"/>
        <v>18071.846100000002</v>
      </c>
      <c r="I4350" s="37">
        <f t="shared" si="201"/>
        <v>18071.846100000002</v>
      </c>
      <c r="J4350" s="4"/>
      <c r="K4350" s="38">
        <f t="shared" si="202"/>
        <v>0</v>
      </c>
    </row>
    <row r="4351" spans="1:11">
      <c r="A4351" t="s">
        <v>5539</v>
      </c>
      <c r="B4351" t="s">
        <v>10176</v>
      </c>
      <c r="C4351" t="s">
        <v>5992</v>
      </c>
      <c r="D4351" t="s">
        <v>11112</v>
      </c>
      <c r="E4351">
        <v>28685.47</v>
      </c>
      <c r="G4351" s="35"/>
      <c r="H4351" s="36">
        <f t="shared" si="203"/>
        <v>18071.846100000002</v>
      </c>
      <c r="I4351" s="37">
        <f t="shared" si="201"/>
        <v>18071.846100000002</v>
      </c>
      <c r="J4351" s="4"/>
      <c r="K4351" s="38">
        <f t="shared" si="202"/>
        <v>0</v>
      </c>
    </row>
    <row r="4352" spans="1:11">
      <c r="A4352" t="s">
        <v>11676</v>
      </c>
      <c r="B4352" t="s">
        <v>10176</v>
      </c>
      <c r="C4352" t="s">
        <v>5992</v>
      </c>
      <c r="D4352" t="s">
        <v>11677</v>
      </c>
      <c r="E4352">
        <v>28685.47</v>
      </c>
      <c r="G4352" s="35"/>
      <c r="H4352" s="36">
        <f t="shared" si="203"/>
        <v>18071.846100000002</v>
      </c>
      <c r="I4352" s="37">
        <f t="shared" si="201"/>
        <v>18071.846100000002</v>
      </c>
      <c r="J4352" s="4"/>
      <c r="K4352" s="38">
        <f t="shared" si="202"/>
        <v>0</v>
      </c>
    </row>
    <row r="4353" spans="1:11">
      <c r="A4353" t="s">
        <v>11678</v>
      </c>
      <c r="B4353" t="s">
        <v>10176</v>
      </c>
      <c r="C4353" t="s">
        <v>5992</v>
      </c>
      <c r="D4353" t="s">
        <v>11677</v>
      </c>
      <c r="E4353">
        <v>28685.47</v>
      </c>
      <c r="G4353" s="35"/>
      <c r="H4353" s="36">
        <f t="shared" si="203"/>
        <v>18071.846100000002</v>
      </c>
      <c r="I4353" s="37">
        <f t="shared" si="201"/>
        <v>18071.846100000002</v>
      </c>
      <c r="J4353" s="4"/>
      <c r="K4353" s="38">
        <f t="shared" si="202"/>
        <v>0</v>
      </c>
    </row>
    <row r="4354" spans="1:11">
      <c r="A4354" t="s">
        <v>5541</v>
      </c>
      <c r="B4354" t="s">
        <v>10176</v>
      </c>
      <c r="C4354" t="s">
        <v>5992</v>
      </c>
      <c r="D4354" t="s">
        <v>10562</v>
      </c>
      <c r="E4354">
        <v>14568.42</v>
      </c>
      <c r="G4354" s="35"/>
      <c r="H4354" s="36">
        <f t="shared" si="203"/>
        <v>9178.1046000000006</v>
      </c>
      <c r="I4354" s="37">
        <f t="shared" si="201"/>
        <v>9178.1046000000006</v>
      </c>
      <c r="J4354" s="4"/>
      <c r="K4354" s="38">
        <f t="shared" si="202"/>
        <v>0</v>
      </c>
    </row>
    <row r="4355" spans="1:11">
      <c r="A4355" t="s">
        <v>5542</v>
      </c>
      <c r="B4355" t="s">
        <v>10176</v>
      </c>
      <c r="C4355" t="s">
        <v>5992</v>
      </c>
      <c r="D4355" t="s">
        <v>11114</v>
      </c>
      <c r="E4355">
        <v>23188.46</v>
      </c>
      <c r="G4355" s="35"/>
      <c r="H4355" s="36">
        <f t="shared" si="203"/>
        <v>14608.729799999999</v>
      </c>
      <c r="I4355" s="37">
        <f t="shared" si="201"/>
        <v>14608.729799999999</v>
      </c>
      <c r="J4355" s="4"/>
      <c r="K4355" s="38">
        <f t="shared" si="202"/>
        <v>0</v>
      </c>
    </row>
    <row r="4356" spans="1:11">
      <c r="A4356" t="s">
        <v>5543</v>
      </c>
      <c r="B4356" t="s">
        <v>10176</v>
      </c>
      <c r="C4356" t="s">
        <v>5992</v>
      </c>
      <c r="D4356" t="s">
        <v>11115</v>
      </c>
      <c r="E4356">
        <v>11431.12</v>
      </c>
      <c r="G4356" s="35"/>
      <c r="H4356" s="36">
        <f t="shared" si="203"/>
        <v>7201.6056000000008</v>
      </c>
      <c r="I4356" s="37">
        <f t="shared" si="201"/>
        <v>7201.6056000000008</v>
      </c>
      <c r="J4356" s="4"/>
      <c r="K4356" s="38">
        <f t="shared" si="202"/>
        <v>0</v>
      </c>
    </row>
    <row r="4357" spans="1:11">
      <c r="A4357" t="s">
        <v>5544</v>
      </c>
      <c r="B4357" t="s">
        <v>10176</v>
      </c>
      <c r="C4357" t="s">
        <v>5992</v>
      </c>
      <c r="D4357" t="s">
        <v>10563</v>
      </c>
      <c r="E4357">
        <v>18090.54</v>
      </c>
      <c r="G4357" s="35"/>
      <c r="H4357" s="36">
        <f t="shared" si="203"/>
        <v>11397.040200000001</v>
      </c>
      <c r="I4357" s="37">
        <f t="shared" si="201"/>
        <v>11397.040200000001</v>
      </c>
      <c r="J4357" s="4"/>
      <c r="K4357" s="38">
        <f t="shared" si="202"/>
        <v>0</v>
      </c>
    </row>
    <row r="4358" spans="1:11">
      <c r="A4358" t="s">
        <v>5545</v>
      </c>
      <c r="B4358" t="s">
        <v>10176</v>
      </c>
      <c r="C4358" t="s">
        <v>5992</v>
      </c>
      <c r="D4358" t="s">
        <v>11116</v>
      </c>
      <c r="E4358">
        <v>11842.87</v>
      </c>
      <c r="G4358" s="35"/>
      <c r="H4358" s="36">
        <f t="shared" si="203"/>
        <v>7461.0081000000009</v>
      </c>
      <c r="I4358" s="37">
        <f t="shared" ref="I4358:I4421" si="204">H4358*$H$4</f>
        <v>7461.0081000000009</v>
      </c>
      <c r="J4358" s="4"/>
      <c r="K4358" s="38">
        <f t="shared" ref="K4358:K4421" si="205">J4358*I4358</f>
        <v>0</v>
      </c>
    </row>
    <row r="4359" spans="1:11">
      <c r="A4359" t="s">
        <v>5546</v>
      </c>
      <c r="B4359" t="s">
        <v>10176</v>
      </c>
      <c r="C4359" t="s">
        <v>5992</v>
      </c>
      <c r="D4359" t="s">
        <v>11117</v>
      </c>
      <c r="E4359">
        <v>11842.87</v>
      </c>
      <c r="G4359" s="35"/>
      <c r="H4359" s="36">
        <f t="shared" ref="H4359:H4422" si="206">+E4359*$H$1*(1-G4359)</f>
        <v>7461.0081000000009</v>
      </c>
      <c r="I4359" s="37">
        <f t="shared" si="204"/>
        <v>7461.0081000000009</v>
      </c>
      <c r="J4359" s="4"/>
      <c r="K4359" s="38">
        <f t="shared" si="205"/>
        <v>0</v>
      </c>
    </row>
    <row r="4360" spans="1:11">
      <c r="A4360" t="s">
        <v>5547</v>
      </c>
      <c r="B4360" t="s">
        <v>10176</v>
      </c>
      <c r="C4360" t="s">
        <v>5992</v>
      </c>
      <c r="D4360" t="s">
        <v>11118</v>
      </c>
      <c r="E4360">
        <v>10361.06</v>
      </c>
      <c r="G4360" s="35"/>
      <c r="H4360" s="36">
        <f t="shared" si="206"/>
        <v>6527.4677999999994</v>
      </c>
      <c r="I4360" s="37">
        <f t="shared" si="204"/>
        <v>6527.4677999999994</v>
      </c>
      <c r="J4360" s="4"/>
      <c r="K4360" s="38">
        <f t="shared" si="205"/>
        <v>0</v>
      </c>
    </row>
    <row r="4361" spans="1:11">
      <c r="A4361" t="s">
        <v>5548</v>
      </c>
      <c r="B4361" t="s">
        <v>10176</v>
      </c>
      <c r="C4361" t="s">
        <v>5992</v>
      </c>
      <c r="D4361" t="s">
        <v>11119</v>
      </c>
      <c r="E4361">
        <v>22350.69</v>
      </c>
      <c r="G4361" s="35"/>
      <c r="H4361" s="36">
        <f t="shared" si="206"/>
        <v>14080.9347</v>
      </c>
      <c r="I4361" s="37">
        <f t="shared" si="204"/>
        <v>14080.9347</v>
      </c>
      <c r="J4361" s="4"/>
      <c r="K4361" s="38">
        <f t="shared" si="205"/>
        <v>0</v>
      </c>
    </row>
    <row r="4362" spans="1:11">
      <c r="A4362" t="s">
        <v>5549</v>
      </c>
      <c r="B4362" t="s">
        <v>10176</v>
      </c>
      <c r="C4362" t="s">
        <v>5992</v>
      </c>
      <c r="D4362" t="s">
        <v>11120</v>
      </c>
      <c r="E4362">
        <v>1947.89</v>
      </c>
      <c r="G4362" s="35"/>
      <c r="H4362" s="36">
        <f t="shared" si="206"/>
        <v>1227.1707000000001</v>
      </c>
      <c r="I4362" s="37">
        <f t="shared" si="204"/>
        <v>1227.1707000000001</v>
      </c>
      <c r="J4362" s="4"/>
      <c r="K4362" s="38">
        <f t="shared" si="205"/>
        <v>0</v>
      </c>
    </row>
    <row r="4363" spans="1:11">
      <c r="A4363" t="s">
        <v>5550</v>
      </c>
      <c r="B4363" t="s">
        <v>10176</v>
      </c>
      <c r="C4363" t="s">
        <v>5992</v>
      </c>
      <c r="D4363" t="s">
        <v>10564</v>
      </c>
      <c r="E4363">
        <v>56112.959999999999</v>
      </c>
      <c r="G4363" s="35"/>
      <c r="H4363" s="36">
        <f t="shared" si="206"/>
        <v>35351.164799999999</v>
      </c>
      <c r="I4363" s="37">
        <f t="shared" si="204"/>
        <v>35351.164799999999</v>
      </c>
      <c r="J4363" s="4"/>
      <c r="K4363" s="38">
        <f t="shared" si="205"/>
        <v>0</v>
      </c>
    </row>
    <row r="4364" spans="1:11">
      <c r="A4364" t="s">
        <v>5551</v>
      </c>
      <c r="B4364" t="s">
        <v>10176</v>
      </c>
      <c r="C4364" t="s">
        <v>5992</v>
      </c>
      <c r="D4364" t="s">
        <v>11121</v>
      </c>
      <c r="E4364">
        <v>56112.959999999999</v>
      </c>
      <c r="G4364" s="35"/>
      <c r="H4364" s="36">
        <f t="shared" si="206"/>
        <v>35351.164799999999</v>
      </c>
      <c r="I4364" s="37">
        <f t="shared" si="204"/>
        <v>35351.164799999999</v>
      </c>
      <c r="J4364" s="4"/>
      <c r="K4364" s="38">
        <f t="shared" si="205"/>
        <v>0</v>
      </c>
    </row>
    <row r="4365" spans="1:11">
      <c r="A4365" t="s">
        <v>5552</v>
      </c>
      <c r="B4365" t="s">
        <v>10176</v>
      </c>
      <c r="C4365" t="s">
        <v>5992</v>
      </c>
      <c r="D4365" t="s">
        <v>11122</v>
      </c>
      <c r="E4365">
        <v>75701.69</v>
      </c>
      <c r="G4365" s="35"/>
      <c r="H4365" s="36">
        <f t="shared" si="206"/>
        <v>47692.064700000003</v>
      </c>
      <c r="I4365" s="37">
        <f t="shared" si="204"/>
        <v>47692.064700000003</v>
      </c>
      <c r="J4365" s="4"/>
      <c r="K4365" s="38">
        <f t="shared" si="205"/>
        <v>0</v>
      </c>
    </row>
    <row r="4366" spans="1:11">
      <c r="A4366" t="s">
        <v>5553</v>
      </c>
      <c r="B4366" t="s">
        <v>10176</v>
      </c>
      <c r="C4366" t="s">
        <v>5992</v>
      </c>
      <c r="D4366" t="s">
        <v>11123</v>
      </c>
      <c r="E4366">
        <v>119992.35</v>
      </c>
      <c r="G4366" s="35"/>
      <c r="H4366" s="36">
        <f t="shared" si="206"/>
        <v>75595.180500000002</v>
      </c>
      <c r="I4366" s="37">
        <f t="shared" si="204"/>
        <v>75595.180500000002</v>
      </c>
      <c r="J4366" s="4"/>
      <c r="K4366" s="38">
        <f t="shared" si="205"/>
        <v>0</v>
      </c>
    </row>
    <row r="4367" spans="1:11">
      <c r="A4367" t="s">
        <v>5554</v>
      </c>
      <c r="B4367" t="s">
        <v>10176</v>
      </c>
      <c r="C4367" t="s">
        <v>5992</v>
      </c>
      <c r="D4367" t="s">
        <v>11124</v>
      </c>
      <c r="E4367">
        <v>119992.35</v>
      </c>
      <c r="G4367" s="35"/>
      <c r="H4367" s="36">
        <f t="shared" si="206"/>
        <v>75595.180500000002</v>
      </c>
      <c r="I4367" s="37">
        <f t="shared" si="204"/>
        <v>75595.180500000002</v>
      </c>
      <c r="J4367" s="4"/>
      <c r="K4367" s="38">
        <f t="shared" si="205"/>
        <v>0</v>
      </c>
    </row>
    <row r="4368" spans="1:11">
      <c r="A4368" t="s">
        <v>5555</v>
      </c>
      <c r="B4368" t="s">
        <v>10176</v>
      </c>
      <c r="C4368" t="s">
        <v>5992</v>
      </c>
      <c r="D4368" t="s">
        <v>11125</v>
      </c>
      <c r="E4368">
        <v>128133.08</v>
      </c>
      <c r="G4368" s="35"/>
      <c r="H4368" s="36">
        <f t="shared" si="206"/>
        <v>80723.840400000001</v>
      </c>
      <c r="I4368" s="37">
        <f t="shared" si="204"/>
        <v>80723.840400000001</v>
      </c>
      <c r="J4368" s="4"/>
      <c r="K4368" s="38">
        <f t="shared" si="205"/>
        <v>0</v>
      </c>
    </row>
    <row r="4369" spans="1:11">
      <c r="A4369" t="s">
        <v>5556</v>
      </c>
      <c r="B4369" t="s">
        <v>10176</v>
      </c>
      <c r="C4369" t="s">
        <v>5992</v>
      </c>
      <c r="D4369" t="s">
        <v>11126</v>
      </c>
      <c r="E4369">
        <v>128133.08</v>
      </c>
      <c r="G4369" s="35"/>
      <c r="H4369" s="36">
        <f t="shared" si="206"/>
        <v>80723.840400000001</v>
      </c>
      <c r="I4369" s="37">
        <f t="shared" si="204"/>
        <v>80723.840400000001</v>
      </c>
      <c r="J4369" s="4"/>
      <c r="K4369" s="38">
        <f t="shared" si="205"/>
        <v>0</v>
      </c>
    </row>
    <row r="4370" spans="1:11">
      <c r="A4370" t="s">
        <v>5557</v>
      </c>
      <c r="B4370" t="s">
        <v>10176</v>
      </c>
      <c r="C4370" t="s">
        <v>5992</v>
      </c>
      <c r="D4370" t="s">
        <v>11127</v>
      </c>
      <c r="E4370">
        <v>128133.08</v>
      </c>
      <c r="G4370" s="35"/>
      <c r="H4370" s="36">
        <f t="shared" si="206"/>
        <v>80723.840400000001</v>
      </c>
      <c r="I4370" s="37">
        <f t="shared" si="204"/>
        <v>80723.840400000001</v>
      </c>
      <c r="J4370" s="4"/>
      <c r="K4370" s="38">
        <f t="shared" si="205"/>
        <v>0</v>
      </c>
    </row>
    <row r="4371" spans="1:11">
      <c r="A4371" t="s">
        <v>5558</v>
      </c>
      <c r="B4371" t="s">
        <v>10176</v>
      </c>
      <c r="C4371" t="s">
        <v>5992</v>
      </c>
      <c r="D4371" t="s">
        <v>11128</v>
      </c>
      <c r="E4371">
        <v>48295.839999999997</v>
      </c>
      <c r="G4371" s="35"/>
      <c r="H4371" s="36">
        <f t="shared" si="206"/>
        <v>30426.379199999999</v>
      </c>
      <c r="I4371" s="37">
        <f t="shared" si="204"/>
        <v>30426.379199999999</v>
      </c>
      <c r="J4371" s="4"/>
      <c r="K4371" s="38">
        <f t="shared" si="205"/>
        <v>0</v>
      </c>
    </row>
    <row r="4372" spans="1:11">
      <c r="A4372" t="s">
        <v>5559</v>
      </c>
      <c r="B4372" t="s">
        <v>10176</v>
      </c>
      <c r="C4372" t="s">
        <v>5992</v>
      </c>
      <c r="D4372" t="s">
        <v>11129</v>
      </c>
      <c r="E4372">
        <v>123882.46</v>
      </c>
      <c r="G4372" s="35"/>
      <c r="H4372" s="36">
        <f t="shared" si="206"/>
        <v>78045.949800000002</v>
      </c>
      <c r="I4372" s="37">
        <f t="shared" si="204"/>
        <v>78045.949800000002</v>
      </c>
      <c r="J4372" s="4"/>
      <c r="K4372" s="38">
        <f t="shared" si="205"/>
        <v>0</v>
      </c>
    </row>
    <row r="4373" spans="1:11">
      <c r="A4373" t="s">
        <v>5560</v>
      </c>
      <c r="B4373" t="s">
        <v>10176</v>
      </c>
      <c r="C4373" t="s">
        <v>5992</v>
      </c>
      <c r="D4373" t="s">
        <v>11130</v>
      </c>
      <c r="E4373">
        <v>123882.46</v>
      </c>
      <c r="G4373" s="35"/>
      <c r="H4373" s="36">
        <f t="shared" si="206"/>
        <v>78045.949800000002</v>
      </c>
      <c r="I4373" s="37">
        <f t="shared" si="204"/>
        <v>78045.949800000002</v>
      </c>
      <c r="J4373" s="4"/>
      <c r="K4373" s="38">
        <f t="shared" si="205"/>
        <v>0</v>
      </c>
    </row>
    <row r="4374" spans="1:11">
      <c r="A4374" t="s">
        <v>5561</v>
      </c>
      <c r="B4374" t="s">
        <v>10176</v>
      </c>
      <c r="C4374" t="s">
        <v>5992</v>
      </c>
      <c r="D4374" t="s">
        <v>11131</v>
      </c>
      <c r="E4374">
        <v>123882.46</v>
      </c>
      <c r="G4374" s="35"/>
      <c r="H4374" s="36">
        <f t="shared" si="206"/>
        <v>78045.949800000002</v>
      </c>
      <c r="I4374" s="37">
        <f t="shared" si="204"/>
        <v>78045.949800000002</v>
      </c>
      <c r="J4374" s="4"/>
      <c r="K4374" s="38">
        <f t="shared" si="205"/>
        <v>0</v>
      </c>
    </row>
    <row r="4375" spans="1:11">
      <c r="A4375" t="s">
        <v>5562</v>
      </c>
      <c r="B4375" t="s">
        <v>10176</v>
      </c>
      <c r="C4375" t="s">
        <v>5992</v>
      </c>
      <c r="D4375" t="s">
        <v>11132</v>
      </c>
      <c r="E4375">
        <v>12071.98</v>
      </c>
      <c r="G4375" s="35"/>
      <c r="H4375" s="36">
        <f t="shared" si="206"/>
        <v>7605.3473999999997</v>
      </c>
      <c r="I4375" s="37">
        <f t="shared" si="204"/>
        <v>7605.3473999999997</v>
      </c>
      <c r="J4375" s="4"/>
      <c r="K4375" s="38">
        <f t="shared" si="205"/>
        <v>0</v>
      </c>
    </row>
    <row r="4376" spans="1:11">
      <c r="A4376" t="s">
        <v>5563</v>
      </c>
      <c r="B4376" t="s">
        <v>10176</v>
      </c>
      <c r="C4376" t="s">
        <v>5992</v>
      </c>
      <c r="D4376" t="s">
        <v>11133</v>
      </c>
      <c r="E4376">
        <v>34583.68</v>
      </c>
      <c r="G4376" s="35"/>
      <c r="H4376" s="36">
        <f t="shared" si="206"/>
        <v>21787.718400000002</v>
      </c>
      <c r="I4376" s="37">
        <f t="shared" si="204"/>
        <v>21787.718400000002</v>
      </c>
      <c r="J4376" s="4"/>
      <c r="K4376" s="38">
        <f t="shared" si="205"/>
        <v>0</v>
      </c>
    </row>
    <row r="4377" spans="1:11">
      <c r="A4377" t="s">
        <v>5564</v>
      </c>
      <c r="B4377" t="s">
        <v>10176</v>
      </c>
      <c r="C4377" t="s">
        <v>5992</v>
      </c>
      <c r="D4377" t="s">
        <v>11134</v>
      </c>
      <c r="E4377">
        <v>34583.68</v>
      </c>
      <c r="G4377" s="35"/>
      <c r="H4377" s="36">
        <f t="shared" si="206"/>
        <v>21787.718400000002</v>
      </c>
      <c r="I4377" s="37">
        <f t="shared" si="204"/>
        <v>21787.718400000002</v>
      </c>
      <c r="J4377" s="4"/>
      <c r="K4377" s="38">
        <f t="shared" si="205"/>
        <v>0</v>
      </c>
    </row>
    <row r="4378" spans="1:11">
      <c r="A4378" t="s">
        <v>5565</v>
      </c>
      <c r="B4378" t="s">
        <v>10176</v>
      </c>
      <c r="C4378" t="s">
        <v>5992</v>
      </c>
      <c r="D4378" t="s">
        <v>11135</v>
      </c>
      <c r="E4378">
        <v>34583.68</v>
      </c>
      <c r="G4378" s="35"/>
      <c r="H4378" s="36">
        <f t="shared" si="206"/>
        <v>21787.718400000002</v>
      </c>
      <c r="I4378" s="37">
        <f t="shared" si="204"/>
        <v>21787.718400000002</v>
      </c>
      <c r="J4378" s="4"/>
      <c r="K4378" s="38">
        <f t="shared" si="205"/>
        <v>0</v>
      </c>
    </row>
    <row r="4379" spans="1:11">
      <c r="A4379" t="s">
        <v>5566</v>
      </c>
      <c r="B4379" t="s">
        <v>10176</v>
      </c>
      <c r="C4379" t="s">
        <v>5992</v>
      </c>
      <c r="D4379" t="s">
        <v>11136</v>
      </c>
      <c r="E4379">
        <v>34583.68</v>
      </c>
      <c r="G4379" s="35"/>
      <c r="H4379" s="36">
        <f t="shared" si="206"/>
        <v>21787.718400000002</v>
      </c>
      <c r="I4379" s="37">
        <f t="shared" si="204"/>
        <v>21787.718400000002</v>
      </c>
      <c r="J4379" s="4"/>
      <c r="K4379" s="38">
        <f t="shared" si="205"/>
        <v>0</v>
      </c>
    </row>
    <row r="4380" spans="1:11">
      <c r="A4380" t="s">
        <v>5567</v>
      </c>
      <c r="B4380" t="s">
        <v>10176</v>
      </c>
      <c r="C4380" t="s">
        <v>5992</v>
      </c>
      <c r="D4380" t="s">
        <v>11137</v>
      </c>
      <c r="E4380">
        <v>34583.68</v>
      </c>
      <c r="G4380" s="35"/>
      <c r="H4380" s="36">
        <f t="shared" si="206"/>
        <v>21787.718400000002</v>
      </c>
      <c r="I4380" s="37">
        <f t="shared" si="204"/>
        <v>21787.718400000002</v>
      </c>
      <c r="J4380" s="4"/>
      <c r="K4380" s="38">
        <f t="shared" si="205"/>
        <v>0</v>
      </c>
    </row>
    <row r="4381" spans="1:11">
      <c r="A4381" t="s">
        <v>5568</v>
      </c>
      <c r="B4381" t="s">
        <v>10176</v>
      </c>
      <c r="C4381" t="s">
        <v>5992</v>
      </c>
      <c r="D4381" t="s">
        <v>11138</v>
      </c>
      <c r="E4381">
        <v>34583.68</v>
      </c>
      <c r="G4381" s="35"/>
      <c r="H4381" s="36">
        <f t="shared" si="206"/>
        <v>21787.718400000002</v>
      </c>
      <c r="I4381" s="37">
        <f t="shared" si="204"/>
        <v>21787.718400000002</v>
      </c>
      <c r="J4381" s="4"/>
      <c r="K4381" s="38">
        <f t="shared" si="205"/>
        <v>0</v>
      </c>
    </row>
    <row r="4382" spans="1:11">
      <c r="A4382" t="s">
        <v>5569</v>
      </c>
      <c r="B4382" t="s">
        <v>10176</v>
      </c>
      <c r="C4382" t="s">
        <v>5992</v>
      </c>
      <c r="D4382" t="s">
        <v>11139</v>
      </c>
      <c r="E4382">
        <v>67708.25</v>
      </c>
      <c r="G4382" s="35"/>
      <c r="H4382" s="36">
        <f t="shared" si="206"/>
        <v>42656.197500000002</v>
      </c>
      <c r="I4382" s="37">
        <f t="shared" si="204"/>
        <v>42656.197500000002</v>
      </c>
      <c r="J4382" s="4"/>
      <c r="K4382" s="38">
        <f t="shared" si="205"/>
        <v>0</v>
      </c>
    </row>
    <row r="4383" spans="1:11">
      <c r="A4383" t="s">
        <v>5570</v>
      </c>
      <c r="B4383" t="s">
        <v>10176</v>
      </c>
      <c r="C4383" t="s">
        <v>5992</v>
      </c>
      <c r="D4383" t="s">
        <v>11140</v>
      </c>
      <c r="E4383">
        <v>67708.25</v>
      </c>
      <c r="G4383" s="35"/>
      <c r="H4383" s="36">
        <f t="shared" si="206"/>
        <v>42656.197500000002</v>
      </c>
      <c r="I4383" s="37">
        <f t="shared" si="204"/>
        <v>42656.197500000002</v>
      </c>
      <c r="J4383" s="4"/>
      <c r="K4383" s="38">
        <f t="shared" si="205"/>
        <v>0</v>
      </c>
    </row>
    <row r="4384" spans="1:11">
      <c r="A4384" t="s">
        <v>5571</v>
      </c>
      <c r="B4384" t="s">
        <v>10176</v>
      </c>
      <c r="C4384" t="s">
        <v>5992</v>
      </c>
      <c r="D4384" t="s">
        <v>11141</v>
      </c>
      <c r="E4384">
        <v>67708.25</v>
      </c>
      <c r="G4384" s="35"/>
      <c r="H4384" s="36">
        <f t="shared" si="206"/>
        <v>42656.197500000002</v>
      </c>
      <c r="I4384" s="37">
        <f t="shared" si="204"/>
        <v>42656.197500000002</v>
      </c>
      <c r="J4384" s="4"/>
      <c r="K4384" s="38">
        <f t="shared" si="205"/>
        <v>0</v>
      </c>
    </row>
    <row r="4385" spans="1:11">
      <c r="A4385" t="s">
        <v>5572</v>
      </c>
      <c r="B4385" t="s">
        <v>10176</v>
      </c>
      <c r="C4385" t="s">
        <v>5992</v>
      </c>
      <c r="D4385" t="s">
        <v>11142</v>
      </c>
      <c r="E4385">
        <v>67708.25</v>
      </c>
      <c r="G4385" s="35"/>
      <c r="H4385" s="36">
        <f t="shared" si="206"/>
        <v>42656.197500000002</v>
      </c>
      <c r="I4385" s="37">
        <f t="shared" si="204"/>
        <v>42656.197500000002</v>
      </c>
      <c r="J4385" s="4"/>
      <c r="K4385" s="38">
        <f t="shared" si="205"/>
        <v>0</v>
      </c>
    </row>
    <row r="4386" spans="1:11">
      <c r="A4386" t="s">
        <v>5573</v>
      </c>
      <c r="B4386" t="s">
        <v>10176</v>
      </c>
      <c r="C4386" t="s">
        <v>5992</v>
      </c>
      <c r="D4386" t="s">
        <v>11143</v>
      </c>
      <c r="E4386">
        <v>67708.25</v>
      </c>
      <c r="G4386" s="35"/>
      <c r="H4386" s="36">
        <f t="shared" si="206"/>
        <v>42656.197500000002</v>
      </c>
      <c r="I4386" s="37">
        <f t="shared" si="204"/>
        <v>42656.197500000002</v>
      </c>
      <c r="J4386" s="4"/>
      <c r="K4386" s="38">
        <f t="shared" si="205"/>
        <v>0</v>
      </c>
    </row>
    <row r="4387" spans="1:11">
      <c r="A4387" t="s">
        <v>5574</v>
      </c>
      <c r="B4387" t="s">
        <v>10176</v>
      </c>
      <c r="C4387" t="s">
        <v>5992</v>
      </c>
      <c r="D4387" t="s">
        <v>11144</v>
      </c>
      <c r="E4387">
        <v>67708.25</v>
      </c>
      <c r="G4387" s="35"/>
      <c r="H4387" s="36">
        <f t="shared" si="206"/>
        <v>42656.197500000002</v>
      </c>
      <c r="I4387" s="37">
        <f t="shared" si="204"/>
        <v>42656.197500000002</v>
      </c>
      <c r="J4387" s="4"/>
      <c r="K4387" s="38">
        <f t="shared" si="205"/>
        <v>0</v>
      </c>
    </row>
    <row r="4388" spans="1:11">
      <c r="A4388" t="s">
        <v>5575</v>
      </c>
      <c r="B4388" t="s">
        <v>10176</v>
      </c>
      <c r="C4388" t="s">
        <v>5992</v>
      </c>
      <c r="D4388" t="s">
        <v>11145</v>
      </c>
      <c r="E4388">
        <v>121013.32</v>
      </c>
      <c r="G4388" s="35"/>
      <c r="H4388" s="36">
        <f t="shared" si="206"/>
        <v>76238.391600000003</v>
      </c>
      <c r="I4388" s="37">
        <f t="shared" si="204"/>
        <v>76238.391600000003</v>
      </c>
      <c r="J4388" s="4"/>
      <c r="K4388" s="38">
        <f t="shared" si="205"/>
        <v>0</v>
      </c>
    </row>
    <row r="4389" spans="1:11">
      <c r="A4389" t="s">
        <v>5576</v>
      </c>
      <c r="B4389" t="s">
        <v>10176</v>
      </c>
      <c r="C4389" t="s">
        <v>5992</v>
      </c>
      <c r="D4389" t="s">
        <v>11146</v>
      </c>
      <c r="E4389">
        <v>121013.32</v>
      </c>
      <c r="G4389" s="35"/>
      <c r="H4389" s="36">
        <f t="shared" si="206"/>
        <v>76238.391600000003</v>
      </c>
      <c r="I4389" s="37">
        <f t="shared" si="204"/>
        <v>76238.391600000003</v>
      </c>
      <c r="J4389" s="4"/>
      <c r="K4389" s="38">
        <f t="shared" si="205"/>
        <v>0</v>
      </c>
    </row>
    <row r="4390" spans="1:11">
      <c r="A4390" t="s">
        <v>5577</v>
      </c>
      <c r="B4390" t="s">
        <v>10176</v>
      </c>
      <c r="C4390" t="s">
        <v>5992</v>
      </c>
      <c r="D4390" t="s">
        <v>11147</v>
      </c>
      <c r="E4390">
        <v>121013.32</v>
      </c>
      <c r="G4390" s="35"/>
      <c r="H4390" s="36">
        <f t="shared" si="206"/>
        <v>76238.391600000003</v>
      </c>
      <c r="I4390" s="37">
        <f t="shared" si="204"/>
        <v>76238.391600000003</v>
      </c>
      <c r="J4390" s="4"/>
      <c r="K4390" s="38">
        <f t="shared" si="205"/>
        <v>0</v>
      </c>
    </row>
    <row r="4391" spans="1:11">
      <c r="A4391" t="s">
        <v>5578</v>
      </c>
      <c r="B4391" t="s">
        <v>10176</v>
      </c>
      <c r="C4391" t="s">
        <v>5992</v>
      </c>
      <c r="D4391" t="s">
        <v>11148</v>
      </c>
      <c r="E4391">
        <v>121013.32</v>
      </c>
      <c r="G4391" s="35"/>
      <c r="H4391" s="36">
        <f t="shared" si="206"/>
        <v>76238.391600000003</v>
      </c>
      <c r="I4391" s="37">
        <f t="shared" si="204"/>
        <v>76238.391600000003</v>
      </c>
      <c r="J4391" s="4"/>
      <c r="K4391" s="38">
        <f t="shared" si="205"/>
        <v>0</v>
      </c>
    </row>
    <row r="4392" spans="1:11">
      <c r="A4392" t="s">
        <v>5579</v>
      </c>
      <c r="B4392" t="s">
        <v>10176</v>
      </c>
      <c r="C4392" t="s">
        <v>5992</v>
      </c>
      <c r="D4392" t="s">
        <v>11149</v>
      </c>
      <c r="E4392">
        <v>76701.539999999994</v>
      </c>
      <c r="G4392" s="35"/>
      <c r="H4392" s="36">
        <f t="shared" si="206"/>
        <v>48321.970199999996</v>
      </c>
      <c r="I4392" s="37">
        <f t="shared" si="204"/>
        <v>48321.970199999996</v>
      </c>
      <c r="J4392" s="4"/>
      <c r="K4392" s="38">
        <f t="shared" si="205"/>
        <v>0</v>
      </c>
    </row>
    <row r="4393" spans="1:11">
      <c r="A4393" t="s">
        <v>12163</v>
      </c>
      <c r="B4393" t="s">
        <v>10176</v>
      </c>
      <c r="C4393" t="s">
        <v>5992</v>
      </c>
      <c r="D4393" t="s">
        <v>12164</v>
      </c>
      <c r="E4393">
        <v>133146.01</v>
      </c>
      <c r="G4393" s="35"/>
      <c r="H4393" s="36">
        <f t="shared" si="206"/>
        <v>83881.986300000004</v>
      </c>
      <c r="I4393" s="37">
        <f t="shared" si="204"/>
        <v>83881.986300000004</v>
      </c>
      <c r="J4393" s="4"/>
      <c r="K4393" s="38">
        <f t="shared" si="205"/>
        <v>0</v>
      </c>
    </row>
    <row r="4394" spans="1:11">
      <c r="A4394" t="s">
        <v>5580</v>
      </c>
      <c r="B4394" t="s">
        <v>10176</v>
      </c>
      <c r="C4394" t="s">
        <v>5992</v>
      </c>
      <c r="D4394" t="s">
        <v>11150</v>
      </c>
      <c r="E4394">
        <v>122312.48</v>
      </c>
      <c r="G4394" s="35"/>
      <c r="H4394" s="36">
        <f t="shared" si="206"/>
        <v>77056.862399999998</v>
      </c>
      <c r="I4394" s="37">
        <f t="shared" si="204"/>
        <v>77056.862399999998</v>
      </c>
      <c r="J4394" s="4"/>
      <c r="K4394" s="38">
        <f t="shared" si="205"/>
        <v>0</v>
      </c>
    </row>
    <row r="4395" spans="1:11">
      <c r="A4395" t="s">
        <v>5581</v>
      </c>
      <c r="B4395" t="s">
        <v>10176</v>
      </c>
      <c r="C4395" t="s">
        <v>5992</v>
      </c>
      <c r="D4395" t="s">
        <v>11151</v>
      </c>
      <c r="E4395">
        <v>123919.92</v>
      </c>
      <c r="G4395" s="35"/>
      <c r="H4395" s="36">
        <f t="shared" si="206"/>
        <v>78069.549599999998</v>
      </c>
      <c r="I4395" s="37">
        <f t="shared" si="204"/>
        <v>78069.549599999998</v>
      </c>
      <c r="J4395" s="4"/>
      <c r="K4395" s="38">
        <f t="shared" si="205"/>
        <v>0</v>
      </c>
    </row>
    <row r="4396" spans="1:11">
      <c r="A4396" t="s">
        <v>5582</v>
      </c>
      <c r="B4396" t="s">
        <v>10176</v>
      </c>
      <c r="C4396" t="s">
        <v>5992</v>
      </c>
      <c r="D4396" t="s">
        <v>11152</v>
      </c>
      <c r="E4396">
        <v>123919.92</v>
      </c>
      <c r="G4396" s="35"/>
      <c r="H4396" s="36">
        <f t="shared" si="206"/>
        <v>78069.549599999998</v>
      </c>
      <c r="I4396" s="37">
        <f t="shared" si="204"/>
        <v>78069.549599999998</v>
      </c>
      <c r="J4396" s="4"/>
      <c r="K4396" s="38">
        <f t="shared" si="205"/>
        <v>0</v>
      </c>
    </row>
    <row r="4397" spans="1:11">
      <c r="A4397" t="s">
        <v>5583</v>
      </c>
      <c r="B4397" t="s">
        <v>10176</v>
      </c>
      <c r="C4397" t="s">
        <v>5992</v>
      </c>
      <c r="D4397" t="s">
        <v>10565</v>
      </c>
      <c r="E4397">
        <v>10111.370000000001</v>
      </c>
      <c r="G4397" s="35"/>
      <c r="H4397" s="36">
        <f t="shared" si="206"/>
        <v>6370.1631000000007</v>
      </c>
      <c r="I4397" s="37">
        <f t="shared" si="204"/>
        <v>6370.1631000000007</v>
      </c>
      <c r="J4397" s="4"/>
      <c r="K4397" s="38">
        <f t="shared" si="205"/>
        <v>0</v>
      </c>
    </row>
    <row r="4398" spans="1:11">
      <c r="A4398" t="s">
        <v>5584</v>
      </c>
      <c r="B4398" t="s">
        <v>10176</v>
      </c>
      <c r="C4398" t="s">
        <v>5992</v>
      </c>
      <c r="D4398" t="s">
        <v>10566</v>
      </c>
      <c r="E4398">
        <v>10922.21</v>
      </c>
      <c r="G4398" s="35"/>
      <c r="H4398" s="36">
        <f t="shared" si="206"/>
        <v>6880.9922999999999</v>
      </c>
      <c r="I4398" s="37">
        <f t="shared" si="204"/>
        <v>6880.9922999999999</v>
      </c>
      <c r="J4398" s="4"/>
      <c r="K4398" s="38">
        <f t="shared" si="205"/>
        <v>0</v>
      </c>
    </row>
    <row r="4399" spans="1:11">
      <c r="A4399" t="s">
        <v>5585</v>
      </c>
      <c r="B4399" t="s">
        <v>10176</v>
      </c>
      <c r="C4399" t="s">
        <v>5992</v>
      </c>
      <c r="D4399" t="s">
        <v>10567</v>
      </c>
      <c r="E4399">
        <v>10922.21</v>
      </c>
      <c r="G4399" s="35"/>
      <c r="H4399" s="36">
        <f t="shared" si="206"/>
        <v>6880.9922999999999</v>
      </c>
      <c r="I4399" s="37">
        <f t="shared" si="204"/>
        <v>6880.9922999999999</v>
      </c>
      <c r="J4399" s="4"/>
      <c r="K4399" s="38">
        <f t="shared" si="205"/>
        <v>0</v>
      </c>
    </row>
    <row r="4400" spans="1:11">
      <c r="A4400" t="s">
        <v>5586</v>
      </c>
      <c r="B4400" t="s">
        <v>10176</v>
      </c>
      <c r="C4400" t="s">
        <v>5992</v>
      </c>
      <c r="D4400" t="s">
        <v>11153</v>
      </c>
      <c r="E4400">
        <v>10922.21</v>
      </c>
      <c r="G4400" s="35"/>
      <c r="H4400" s="36">
        <f t="shared" si="206"/>
        <v>6880.9922999999999</v>
      </c>
      <c r="I4400" s="37">
        <f t="shared" si="204"/>
        <v>6880.9922999999999</v>
      </c>
      <c r="J4400" s="4"/>
      <c r="K4400" s="38">
        <f t="shared" si="205"/>
        <v>0</v>
      </c>
    </row>
    <row r="4401" spans="1:11">
      <c r="A4401" t="s">
        <v>5587</v>
      </c>
      <c r="B4401" t="s">
        <v>10176</v>
      </c>
      <c r="C4401" t="s">
        <v>5992</v>
      </c>
      <c r="D4401" t="s">
        <v>11154</v>
      </c>
      <c r="E4401">
        <v>12281.03</v>
      </c>
      <c r="G4401" s="35"/>
      <c r="H4401" s="36">
        <f t="shared" si="206"/>
        <v>7737.0489000000007</v>
      </c>
      <c r="I4401" s="37">
        <f t="shared" si="204"/>
        <v>7737.0489000000007</v>
      </c>
      <c r="J4401" s="4"/>
      <c r="K4401" s="38">
        <f t="shared" si="205"/>
        <v>0</v>
      </c>
    </row>
    <row r="4402" spans="1:11">
      <c r="A4402" t="s">
        <v>5588</v>
      </c>
      <c r="B4402" t="s">
        <v>10176</v>
      </c>
      <c r="C4402" t="s">
        <v>5992</v>
      </c>
      <c r="D4402" t="s">
        <v>10568</v>
      </c>
      <c r="E4402">
        <v>14526.7</v>
      </c>
      <c r="G4402" s="35"/>
      <c r="H4402" s="36">
        <f t="shared" si="206"/>
        <v>9151.8209999999999</v>
      </c>
      <c r="I4402" s="37">
        <f t="shared" si="204"/>
        <v>9151.8209999999999</v>
      </c>
      <c r="J4402" s="4"/>
      <c r="K4402" s="38">
        <f t="shared" si="205"/>
        <v>0</v>
      </c>
    </row>
    <row r="4403" spans="1:11">
      <c r="A4403" t="s">
        <v>5589</v>
      </c>
      <c r="B4403" t="s">
        <v>10176</v>
      </c>
      <c r="C4403" t="s">
        <v>5992</v>
      </c>
      <c r="D4403" t="s">
        <v>11155</v>
      </c>
      <c r="E4403">
        <v>16176.91</v>
      </c>
      <c r="G4403" s="35"/>
      <c r="H4403" s="36">
        <f t="shared" si="206"/>
        <v>10191.453299999999</v>
      </c>
      <c r="I4403" s="37">
        <f t="shared" si="204"/>
        <v>10191.453299999999</v>
      </c>
      <c r="J4403" s="4"/>
      <c r="K4403" s="38">
        <f t="shared" si="205"/>
        <v>0</v>
      </c>
    </row>
    <row r="4404" spans="1:11">
      <c r="A4404" t="s">
        <v>5590</v>
      </c>
      <c r="B4404" t="s">
        <v>10176</v>
      </c>
      <c r="C4404" t="s">
        <v>5992</v>
      </c>
      <c r="D4404" t="s">
        <v>11156</v>
      </c>
      <c r="E4404">
        <v>12513.3</v>
      </c>
      <c r="G4404" s="35"/>
      <c r="H4404" s="36">
        <f t="shared" si="206"/>
        <v>7883.3789999999999</v>
      </c>
      <c r="I4404" s="37">
        <f t="shared" si="204"/>
        <v>7883.3789999999999</v>
      </c>
      <c r="J4404" s="4"/>
      <c r="K4404" s="38">
        <f t="shared" si="205"/>
        <v>0</v>
      </c>
    </row>
    <row r="4405" spans="1:11">
      <c r="A4405" t="s">
        <v>5591</v>
      </c>
      <c r="B4405" t="s">
        <v>10176</v>
      </c>
      <c r="C4405" t="s">
        <v>5992</v>
      </c>
      <c r="D4405" t="s">
        <v>11157</v>
      </c>
      <c r="E4405">
        <v>25845.38</v>
      </c>
      <c r="G4405" s="35"/>
      <c r="H4405" s="36">
        <f t="shared" si="206"/>
        <v>16282.589400000001</v>
      </c>
      <c r="I4405" s="37">
        <f t="shared" si="204"/>
        <v>16282.589400000001</v>
      </c>
      <c r="J4405" s="4"/>
      <c r="K4405" s="38">
        <f t="shared" si="205"/>
        <v>0</v>
      </c>
    </row>
    <row r="4406" spans="1:11">
      <c r="A4406" t="s">
        <v>5592</v>
      </c>
      <c r="B4406" t="s">
        <v>10176</v>
      </c>
      <c r="C4406" t="s">
        <v>5992</v>
      </c>
      <c r="D4406" t="s">
        <v>11158</v>
      </c>
      <c r="E4406">
        <v>26595.53</v>
      </c>
      <c r="G4406" s="35"/>
      <c r="H4406" s="36">
        <f t="shared" si="206"/>
        <v>16755.1839</v>
      </c>
      <c r="I4406" s="37">
        <f t="shared" si="204"/>
        <v>16755.1839</v>
      </c>
      <c r="J4406" s="4"/>
      <c r="K4406" s="38">
        <f t="shared" si="205"/>
        <v>0</v>
      </c>
    </row>
    <row r="4407" spans="1:11">
      <c r="A4407" t="s">
        <v>5593</v>
      </c>
      <c r="B4407" t="s">
        <v>10176</v>
      </c>
      <c r="C4407" t="s">
        <v>5992</v>
      </c>
      <c r="D4407" t="s">
        <v>11159</v>
      </c>
      <c r="E4407">
        <v>28076.82</v>
      </c>
      <c r="G4407" s="35"/>
      <c r="H4407" s="36">
        <f t="shared" si="206"/>
        <v>17688.3966</v>
      </c>
      <c r="I4407" s="37">
        <f t="shared" si="204"/>
        <v>17688.3966</v>
      </c>
      <c r="J4407" s="4"/>
      <c r="K4407" s="38">
        <f t="shared" si="205"/>
        <v>0</v>
      </c>
    </row>
    <row r="4408" spans="1:11">
      <c r="A4408" t="s">
        <v>5594</v>
      </c>
      <c r="B4408" t="s">
        <v>10176</v>
      </c>
      <c r="C4408" t="s">
        <v>5992</v>
      </c>
      <c r="D4408" t="s">
        <v>11160</v>
      </c>
      <c r="E4408">
        <v>18395.68</v>
      </c>
      <c r="G4408" s="35"/>
      <c r="H4408" s="36">
        <f t="shared" si="206"/>
        <v>11589.278400000001</v>
      </c>
      <c r="I4408" s="37">
        <f t="shared" si="204"/>
        <v>11589.278400000001</v>
      </c>
      <c r="J4408" s="4"/>
      <c r="K4408" s="38">
        <f t="shared" si="205"/>
        <v>0</v>
      </c>
    </row>
    <row r="4409" spans="1:11">
      <c r="A4409" t="s">
        <v>5595</v>
      </c>
      <c r="B4409" t="s">
        <v>10176</v>
      </c>
      <c r="C4409" t="s">
        <v>5992</v>
      </c>
      <c r="D4409" t="s">
        <v>11161</v>
      </c>
      <c r="E4409">
        <v>216850.64</v>
      </c>
      <c r="G4409" s="35"/>
      <c r="H4409" s="36">
        <f t="shared" si="206"/>
        <v>136615.9032</v>
      </c>
      <c r="I4409" s="37">
        <f t="shared" si="204"/>
        <v>136615.9032</v>
      </c>
      <c r="J4409" s="4"/>
      <c r="K4409" s="38">
        <f t="shared" si="205"/>
        <v>0</v>
      </c>
    </row>
    <row r="4410" spans="1:11">
      <c r="A4410" t="s">
        <v>5596</v>
      </c>
      <c r="B4410" t="s">
        <v>10176</v>
      </c>
      <c r="C4410" t="s">
        <v>5992</v>
      </c>
      <c r="D4410" t="s">
        <v>11162</v>
      </c>
      <c r="E4410">
        <v>216850.64</v>
      </c>
      <c r="G4410" s="35"/>
      <c r="H4410" s="36">
        <f t="shared" si="206"/>
        <v>136615.9032</v>
      </c>
      <c r="I4410" s="37">
        <f t="shared" si="204"/>
        <v>136615.9032</v>
      </c>
      <c r="J4410" s="4"/>
      <c r="K4410" s="38">
        <f t="shared" si="205"/>
        <v>0</v>
      </c>
    </row>
    <row r="4411" spans="1:11">
      <c r="A4411" t="s">
        <v>5597</v>
      </c>
      <c r="B4411" t="s">
        <v>10176</v>
      </c>
      <c r="C4411" t="s">
        <v>5992</v>
      </c>
      <c r="D4411" t="s">
        <v>11163</v>
      </c>
      <c r="E4411">
        <v>34489.19</v>
      </c>
      <c r="G4411" s="35"/>
      <c r="H4411" s="36">
        <f t="shared" si="206"/>
        <v>21728.189700000003</v>
      </c>
      <c r="I4411" s="37">
        <f t="shared" si="204"/>
        <v>21728.189700000003</v>
      </c>
      <c r="J4411" s="4"/>
      <c r="K4411" s="38">
        <f t="shared" si="205"/>
        <v>0</v>
      </c>
    </row>
    <row r="4412" spans="1:11">
      <c r="A4412" t="s">
        <v>11768</v>
      </c>
      <c r="B4412" t="s">
        <v>10176</v>
      </c>
      <c r="C4412" t="s">
        <v>5992</v>
      </c>
      <c r="D4412" t="s">
        <v>11769</v>
      </c>
      <c r="E4412">
        <v>9996.2900000000009</v>
      </c>
      <c r="G4412" s="35"/>
      <c r="H4412" s="36">
        <f t="shared" si="206"/>
        <v>6297.6627000000008</v>
      </c>
      <c r="I4412" s="37">
        <f t="shared" si="204"/>
        <v>6297.6627000000008</v>
      </c>
      <c r="J4412" s="4"/>
      <c r="K4412" s="38">
        <f t="shared" si="205"/>
        <v>0</v>
      </c>
    </row>
    <row r="4413" spans="1:11">
      <c r="A4413" t="s">
        <v>11770</v>
      </c>
      <c r="B4413" t="s">
        <v>10176</v>
      </c>
      <c r="C4413" t="s">
        <v>5992</v>
      </c>
      <c r="D4413" t="s">
        <v>11771</v>
      </c>
      <c r="E4413">
        <v>9996.2900000000009</v>
      </c>
      <c r="G4413" s="35"/>
      <c r="H4413" s="36">
        <f t="shared" si="206"/>
        <v>6297.6627000000008</v>
      </c>
      <c r="I4413" s="37">
        <f t="shared" si="204"/>
        <v>6297.6627000000008</v>
      </c>
      <c r="J4413" s="4"/>
      <c r="K4413" s="38">
        <f t="shared" si="205"/>
        <v>0</v>
      </c>
    </row>
    <row r="4414" spans="1:11">
      <c r="A4414" t="s">
        <v>11772</v>
      </c>
      <c r="B4414" t="s">
        <v>10176</v>
      </c>
      <c r="C4414" t="s">
        <v>5992</v>
      </c>
      <c r="D4414" t="s">
        <v>11773</v>
      </c>
      <c r="E4414">
        <v>9996.2900000000009</v>
      </c>
      <c r="G4414" s="35"/>
      <c r="H4414" s="36">
        <f t="shared" si="206"/>
        <v>6297.6627000000008</v>
      </c>
      <c r="I4414" s="37">
        <f t="shared" si="204"/>
        <v>6297.6627000000008</v>
      </c>
      <c r="J4414" s="4"/>
      <c r="K4414" s="38">
        <f t="shared" si="205"/>
        <v>0</v>
      </c>
    </row>
    <row r="4415" spans="1:11">
      <c r="A4415" t="s">
        <v>11621</v>
      </c>
      <c r="B4415" t="s">
        <v>10176</v>
      </c>
      <c r="C4415" t="s">
        <v>5992</v>
      </c>
      <c r="D4415" t="s">
        <v>11622</v>
      </c>
      <c r="E4415">
        <v>9996.2900000000009</v>
      </c>
      <c r="G4415" s="35"/>
      <c r="H4415" s="36">
        <f t="shared" si="206"/>
        <v>6297.6627000000008</v>
      </c>
      <c r="I4415" s="37">
        <f t="shared" si="204"/>
        <v>6297.6627000000008</v>
      </c>
      <c r="J4415" s="4"/>
      <c r="K4415" s="38">
        <f t="shared" si="205"/>
        <v>0</v>
      </c>
    </row>
    <row r="4416" spans="1:11">
      <c r="A4416" t="s">
        <v>11774</v>
      </c>
      <c r="B4416" t="s">
        <v>10176</v>
      </c>
      <c r="C4416" t="s">
        <v>5992</v>
      </c>
      <c r="D4416" t="s">
        <v>11775</v>
      </c>
      <c r="E4416">
        <v>9996.2900000000009</v>
      </c>
      <c r="G4416" s="35"/>
      <c r="H4416" s="36">
        <f t="shared" si="206"/>
        <v>6297.6627000000008</v>
      </c>
      <c r="I4416" s="37">
        <f t="shared" si="204"/>
        <v>6297.6627000000008</v>
      </c>
      <c r="J4416" s="4"/>
      <c r="K4416" s="38">
        <f t="shared" si="205"/>
        <v>0</v>
      </c>
    </row>
    <row r="4417" spans="1:11">
      <c r="A4417" t="s">
        <v>11564</v>
      </c>
      <c r="B4417" t="s">
        <v>10176</v>
      </c>
      <c r="C4417" t="s">
        <v>5992</v>
      </c>
      <c r="D4417" t="s">
        <v>11565</v>
      </c>
      <c r="E4417">
        <v>6646.77</v>
      </c>
      <c r="G4417" s="35"/>
      <c r="H4417" s="36">
        <f t="shared" si="206"/>
        <v>4187.4651000000003</v>
      </c>
      <c r="I4417" s="37">
        <f t="shared" si="204"/>
        <v>4187.4651000000003</v>
      </c>
      <c r="J4417" s="4"/>
      <c r="K4417" s="38">
        <f t="shared" si="205"/>
        <v>0</v>
      </c>
    </row>
    <row r="4418" spans="1:11">
      <c r="A4418" t="s">
        <v>11733</v>
      </c>
      <c r="B4418" t="s">
        <v>10176</v>
      </c>
      <c r="C4418" t="s">
        <v>5992</v>
      </c>
      <c r="D4418" t="s">
        <v>11734</v>
      </c>
      <c r="E4418">
        <v>133146.01</v>
      </c>
      <c r="G4418" s="35"/>
      <c r="H4418" s="36">
        <f t="shared" si="206"/>
        <v>83881.986300000004</v>
      </c>
      <c r="I4418" s="37">
        <f t="shared" si="204"/>
        <v>83881.986300000004</v>
      </c>
      <c r="J4418" s="4"/>
      <c r="K4418" s="38">
        <f t="shared" si="205"/>
        <v>0</v>
      </c>
    </row>
    <row r="4419" spans="1:11">
      <c r="A4419" t="s">
        <v>5598</v>
      </c>
      <c r="B4419" t="s">
        <v>10176</v>
      </c>
      <c r="C4419" t="s">
        <v>5992</v>
      </c>
      <c r="D4419" t="s">
        <v>11164</v>
      </c>
      <c r="E4419">
        <v>269681.64</v>
      </c>
      <c r="G4419" s="35"/>
      <c r="H4419" s="36">
        <f t="shared" si="206"/>
        <v>169899.4332</v>
      </c>
      <c r="I4419" s="37">
        <f t="shared" si="204"/>
        <v>169899.4332</v>
      </c>
      <c r="J4419" s="4"/>
      <c r="K4419" s="38">
        <f t="shared" si="205"/>
        <v>0</v>
      </c>
    </row>
    <row r="4420" spans="1:11">
      <c r="A4420" t="s">
        <v>5599</v>
      </c>
      <c r="B4420" t="s">
        <v>10176</v>
      </c>
      <c r="C4420" t="s">
        <v>5992</v>
      </c>
      <c r="D4420" t="s">
        <v>11165</v>
      </c>
      <c r="E4420">
        <v>9273.59</v>
      </c>
      <c r="G4420" s="35"/>
      <c r="H4420" s="36">
        <f t="shared" si="206"/>
        <v>5842.3617000000004</v>
      </c>
      <c r="I4420" s="37">
        <f t="shared" si="204"/>
        <v>5842.3617000000004</v>
      </c>
      <c r="J4420" s="4"/>
      <c r="K4420" s="38">
        <f t="shared" si="205"/>
        <v>0</v>
      </c>
    </row>
    <row r="4421" spans="1:11">
      <c r="A4421" t="s">
        <v>5600</v>
      </c>
      <c r="B4421" t="s">
        <v>10176</v>
      </c>
      <c r="C4421" t="s">
        <v>5992</v>
      </c>
      <c r="D4421" t="s">
        <v>11166</v>
      </c>
      <c r="E4421">
        <v>9273.59</v>
      </c>
      <c r="G4421" s="35"/>
      <c r="H4421" s="36">
        <f t="shared" si="206"/>
        <v>5842.3617000000004</v>
      </c>
      <c r="I4421" s="37">
        <f t="shared" si="204"/>
        <v>5842.3617000000004</v>
      </c>
      <c r="J4421" s="4"/>
      <c r="K4421" s="38">
        <f t="shared" si="205"/>
        <v>0</v>
      </c>
    </row>
    <row r="4422" spans="1:11">
      <c r="A4422" t="s">
        <v>5601</v>
      </c>
      <c r="B4422" t="s">
        <v>10176</v>
      </c>
      <c r="C4422" t="s">
        <v>5992</v>
      </c>
      <c r="D4422" t="s">
        <v>11167</v>
      </c>
      <c r="E4422">
        <v>9273.59</v>
      </c>
      <c r="G4422" s="35"/>
      <c r="H4422" s="36">
        <f t="shared" si="206"/>
        <v>5842.3617000000004</v>
      </c>
      <c r="I4422" s="37">
        <f t="shared" ref="I4422:I4485" si="207">H4422*$H$4</f>
        <v>5842.3617000000004</v>
      </c>
      <c r="J4422" s="4"/>
      <c r="K4422" s="38">
        <f t="shared" ref="K4422:K4485" si="208">J4422*I4422</f>
        <v>0</v>
      </c>
    </row>
    <row r="4423" spans="1:11">
      <c r="A4423" t="s">
        <v>5602</v>
      </c>
      <c r="B4423" t="s">
        <v>10176</v>
      </c>
      <c r="C4423" t="s">
        <v>5992</v>
      </c>
      <c r="D4423" t="s">
        <v>11168</v>
      </c>
      <c r="E4423">
        <v>9273.59</v>
      </c>
      <c r="G4423" s="35"/>
      <c r="H4423" s="36">
        <f t="shared" ref="H4423:H4486" si="209">+E4423*$H$1*(1-G4423)</f>
        <v>5842.3617000000004</v>
      </c>
      <c r="I4423" s="37">
        <f t="shared" si="207"/>
        <v>5842.3617000000004</v>
      </c>
      <c r="J4423" s="4"/>
      <c r="K4423" s="38">
        <f t="shared" si="208"/>
        <v>0</v>
      </c>
    </row>
    <row r="4424" spans="1:11">
      <c r="A4424" t="s">
        <v>5603</v>
      </c>
      <c r="B4424" t="s">
        <v>10176</v>
      </c>
      <c r="C4424" t="s">
        <v>5992</v>
      </c>
      <c r="D4424" t="s">
        <v>11169</v>
      </c>
      <c r="E4424">
        <v>9273.59</v>
      </c>
      <c r="G4424" s="35"/>
      <c r="H4424" s="36">
        <f t="shared" si="209"/>
        <v>5842.3617000000004</v>
      </c>
      <c r="I4424" s="37">
        <f t="shared" si="207"/>
        <v>5842.3617000000004</v>
      </c>
      <c r="J4424" s="4"/>
      <c r="K4424" s="38">
        <f t="shared" si="208"/>
        <v>0</v>
      </c>
    </row>
    <row r="4425" spans="1:11">
      <c r="A4425" t="s">
        <v>5604</v>
      </c>
      <c r="B4425" t="s">
        <v>10176</v>
      </c>
      <c r="C4425" t="s">
        <v>5992</v>
      </c>
      <c r="D4425" t="s">
        <v>11170</v>
      </c>
      <c r="E4425">
        <v>9273.59</v>
      </c>
      <c r="G4425" s="35"/>
      <c r="H4425" s="36">
        <f t="shared" si="209"/>
        <v>5842.3617000000004</v>
      </c>
      <c r="I4425" s="37">
        <f t="shared" si="207"/>
        <v>5842.3617000000004</v>
      </c>
      <c r="J4425" s="4"/>
      <c r="K4425" s="38">
        <f t="shared" si="208"/>
        <v>0</v>
      </c>
    </row>
    <row r="4426" spans="1:11">
      <c r="A4426" t="s">
        <v>5605</v>
      </c>
      <c r="B4426" t="s">
        <v>10176</v>
      </c>
      <c r="C4426" t="s">
        <v>5992</v>
      </c>
      <c r="D4426" t="s">
        <v>11171</v>
      </c>
      <c r="E4426">
        <v>48018.69</v>
      </c>
      <c r="G4426" s="35"/>
      <c r="H4426" s="36">
        <f t="shared" si="209"/>
        <v>30251.774700000002</v>
      </c>
      <c r="I4426" s="37">
        <f t="shared" si="207"/>
        <v>30251.774700000002</v>
      </c>
      <c r="J4426" s="4"/>
      <c r="K4426" s="38">
        <f t="shared" si="208"/>
        <v>0</v>
      </c>
    </row>
    <row r="4427" spans="1:11">
      <c r="A4427" t="s">
        <v>5606</v>
      </c>
      <c r="B4427" t="s">
        <v>10176</v>
      </c>
      <c r="C4427" t="s">
        <v>5992</v>
      </c>
      <c r="D4427" t="s">
        <v>11172</v>
      </c>
      <c r="E4427">
        <v>119566.88</v>
      </c>
      <c r="G4427" s="35"/>
      <c r="H4427" s="36">
        <f t="shared" si="209"/>
        <v>75327.13440000001</v>
      </c>
      <c r="I4427" s="37">
        <f t="shared" si="207"/>
        <v>75327.13440000001</v>
      </c>
      <c r="J4427" s="4"/>
      <c r="K4427" s="38">
        <f t="shared" si="208"/>
        <v>0</v>
      </c>
    </row>
    <row r="4428" spans="1:11">
      <c r="A4428" t="s">
        <v>5607</v>
      </c>
      <c r="B4428" t="s">
        <v>10176</v>
      </c>
      <c r="C4428" t="s">
        <v>5992</v>
      </c>
      <c r="D4428" t="s">
        <v>11173</v>
      </c>
      <c r="E4428">
        <v>48669.06</v>
      </c>
      <c r="G4428" s="35"/>
      <c r="H4428" s="36">
        <f t="shared" si="209"/>
        <v>30661.507799999999</v>
      </c>
      <c r="I4428" s="37">
        <f t="shared" si="207"/>
        <v>30661.507799999999</v>
      </c>
      <c r="J4428" s="4"/>
      <c r="K4428" s="38">
        <f t="shared" si="208"/>
        <v>0</v>
      </c>
    </row>
    <row r="4429" spans="1:11">
      <c r="A4429" t="s">
        <v>5608</v>
      </c>
      <c r="B4429" t="s">
        <v>10176</v>
      </c>
      <c r="C4429" t="s">
        <v>5992</v>
      </c>
      <c r="D4429" t="s">
        <v>11174</v>
      </c>
      <c r="E4429">
        <v>11110.68</v>
      </c>
      <c r="G4429" s="35"/>
      <c r="H4429" s="36">
        <f t="shared" si="209"/>
        <v>6999.7284</v>
      </c>
      <c r="I4429" s="37">
        <f t="shared" si="207"/>
        <v>6999.7284</v>
      </c>
      <c r="J4429" s="4"/>
      <c r="K4429" s="38">
        <f t="shared" si="208"/>
        <v>0</v>
      </c>
    </row>
    <row r="4430" spans="1:11">
      <c r="A4430" t="s">
        <v>5609</v>
      </c>
      <c r="B4430" t="s">
        <v>10176</v>
      </c>
      <c r="C4430" t="s">
        <v>5992</v>
      </c>
      <c r="D4430" t="s">
        <v>11175</v>
      </c>
      <c r="E4430">
        <v>20295.59</v>
      </c>
      <c r="G4430" s="35"/>
      <c r="H4430" s="36">
        <f t="shared" si="209"/>
        <v>12786.2217</v>
      </c>
      <c r="I4430" s="37">
        <f t="shared" si="207"/>
        <v>12786.2217</v>
      </c>
      <c r="J4430" s="4"/>
      <c r="K4430" s="38">
        <f t="shared" si="208"/>
        <v>0</v>
      </c>
    </row>
    <row r="4431" spans="1:11">
      <c r="A4431" t="s">
        <v>5610</v>
      </c>
      <c r="B4431" t="s">
        <v>10176</v>
      </c>
      <c r="C4431" t="s">
        <v>5992</v>
      </c>
      <c r="D4431" t="s">
        <v>11176</v>
      </c>
      <c r="E4431">
        <v>34583.68</v>
      </c>
      <c r="G4431" s="35"/>
      <c r="H4431" s="36">
        <f t="shared" si="209"/>
        <v>21787.718400000002</v>
      </c>
      <c r="I4431" s="37">
        <f t="shared" si="207"/>
        <v>21787.718400000002</v>
      </c>
      <c r="J4431" s="4"/>
      <c r="K4431" s="38">
        <f t="shared" si="208"/>
        <v>0</v>
      </c>
    </row>
    <row r="4432" spans="1:11">
      <c r="A4432" t="s">
        <v>5611</v>
      </c>
      <c r="B4432" t="s">
        <v>10176</v>
      </c>
      <c r="C4432" t="s">
        <v>5992</v>
      </c>
      <c r="D4432" t="s">
        <v>11177</v>
      </c>
      <c r="E4432">
        <v>121013.32</v>
      </c>
      <c r="G4432" s="35"/>
      <c r="H4432" s="36">
        <f t="shared" si="209"/>
        <v>76238.391600000003</v>
      </c>
      <c r="I4432" s="37">
        <f t="shared" si="207"/>
        <v>76238.391600000003</v>
      </c>
      <c r="J4432" s="4"/>
      <c r="K4432" s="38">
        <f t="shared" si="208"/>
        <v>0</v>
      </c>
    </row>
    <row r="4433" spans="1:11">
      <c r="A4433" t="s">
        <v>5612</v>
      </c>
      <c r="B4433" t="s">
        <v>10176</v>
      </c>
      <c r="C4433" t="s">
        <v>5992</v>
      </c>
      <c r="D4433" t="s">
        <v>11178</v>
      </c>
      <c r="E4433">
        <v>122312.48</v>
      </c>
      <c r="G4433" s="35"/>
      <c r="H4433" s="36">
        <f t="shared" si="209"/>
        <v>77056.862399999998</v>
      </c>
      <c r="I4433" s="37">
        <f t="shared" si="207"/>
        <v>77056.862399999998</v>
      </c>
      <c r="J4433" s="4"/>
      <c r="K4433" s="38">
        <f t="shared" si="208"/>
        <v>0</v>
      </c>
    </row>
    <row r="4434" spans="1:11">
      <c r="A4434" t="s">
        <v>5613</v>
      </c>
      <c r="B4434" t="s">
        <v>10176</v>
      </c>
      <c r="C4434" t="s">
        <v>5992</v>
      </c>
      <c r="D4434" t="s">
        <v>11179</v>
      </c>
      <c r="E4434">
        <v>113880.88</v>
      </c>
      <c r="G4434" s="35"/>
      <c r="H4434" s="36">
        <f t="shared" si="209"/>
        <v>71744.954400000002</v>
      </c>
      <c r="I4434" s="37">
        <f t="shared" si="207"/>
        <v>71744.954400000002</v>
      </c>
      <c r="J4434" s="4"/>
      <c r="K4434" s="38">
        <f t="shared" si="208"/>
        <v>0</v>
      </c>
    </row>
    <row r="4435" spans="1:11">
      <c r="A4435" t="s">
        <v>5614</v>
      </c>
      <c r="B4435" t="s">
        <v>10176</v>
      </c>
      <c r="C4435" t="s">
        <v>5992</v>
      </c>
      <c r="D4435" t="s">
        <v>11180</v>
      </c>
      <c r="E4435">
        <v>24878.799999999999</v>
      </c>
      <c r="G4435" s="35"/>
      <c r="H4435" s="36">
        <f t="shared" si="209"/>
        <v>15673.644</v>
      </c>
      <c r="I4435" s="37">
        <f t="shared" si="207"/>
        <v>15673.644</v>
      </c>
      <c r="J4435" s="4"/>
      <c r="K4435" s="38">
        <f t="shared" si="208"/>
        <v>0</v>
      </c>
    </row>
    <row r="4436" spans="1:11">
      <c r="A4436" t="s">
        <v>5615</v>
      </c>
      <c r="B4436" t="s">
        <v>10176</v>
      </c>
      <c r="C4436" t="s">
        <v>5992</v>
      </c>
      <c r="D4436" t="s">
        <v>11181</v>
      </c>
      <c r="E4436">
        <v>9470.49</v>
      </c>
      <c r="G4436" s="35"/>
      <c r="H4436" s="36">
        <f t="shared" si="209"/>
        <v>5966.4087</v>
      </c>
      <c r="I4436" s="37">
        <f t="shared" si="207"/>
        <v>5966.4087</v>
      </c>
      <c r="J4436" s="4"/>
      <c r="K4436" s="38">
        <f t="shared" si="208"/>
        <v>0</v>
      </c>
    </row>
    <row r="4437" spans="1:11">
      <c r="A4437" t="s">
        <v>5616</v>
      </c>
      <c r="B4437" t="s">
        <v>10176</v>
      </c>
      <c r="C4437" t="s">
        <v>5992</v>
      </c>
      <c r="D4437" t="s">
        <v>11182</v>
      </c>
      <c r="E4437">
        <v>8832.32</v>
      </c>
      <c r="G4437" s="35"/>
      <c r="H4437" s="36">
        <f t="shared" si="209"/>
        <v>5564.3616000000002</v>
      </c>
      <c r="I4437" s="37">
        <f t="shared" si="207"/>
        <v>5564.3616000000002</v>
      </c>
      <c r="J4437" s="4"/>
      <c r="K4437" s="38">
        <f t="shared" si="208"/>
        <v>0</v>
      </c>
    </row>
    <row r="4438" spans="1:11">
      <c r="A4438" t="s">
        <v>5617</v>
      </c>
      <c r="B4438" t="s">
        <v>10176</v>
      </c>
      <c r="C4438" t="s">
        <v>5992</v>
      </c>
      <c r="D4438" t="s">
        <v>11183</v>
      </c>
      <c r="E4438">
        <v>12477.94</v>
      </c>
      <c r="G4438" s="35"/>
      <c r="H4438" s="36">
        <f t="shared" si="209"/>
        <v>7861.1022000000003</v>
      </c>
      <c r="I4438" s="37">
        <f t="shared" si="207"/>
        <v>7861.1022000000003</v>
      </c>
      <c r="J4438" s="4"/>
      <c r="K4438" s="38">
        <f t="shared" si="208"/>
        <v>0</v>
      </c>
    </row>
    <row r="4439" spans="1:11">
      <c r="A4439" t="s">
        <v>12103</v>
      </c>
      <c r="B4439" t="s">
        <v>10185</v>
      </c>
      <c r="C4439" t="s">
        <v>12124</v>
      </c>
      <c r="D4439" t="s">
        <v>12104</v>
      </c>
      <c r="E4439">
        <v>140249.29</v>
      </c>
      <c r="G4439" s="35"/>
      <c r="H4439" s="36">
        <f t="shared" si="209"/>
        <v>88357.0527</v>
      </c>
      <c r="I4439" s="37">
        <f t="shared" si="207"/>
        <v>88357.0527</v>
      </c>
      <c r="J4439" s="4"/>
      <c r="K4439" s="38">
        <f t="shared" si="208"/>
        <v>0</v>
      </c>
    </row>
    <row r="4440" spans="1:11">
      <c r="A4440" t="s">
        <v>12105</v>
      </c>
      <c r="B4440" t="s">
        <v>10185</v>
      </c>
      <c r="C4440" t="s">
        <v>12124</v>
      </c>
      <c r="D4440" t="s">
        <v>12106</v>
      </c>
      <c r="E4440">
        <v>140249.29</v>
      </c>
      <c r="G4440" s="35"/>
      <c r="H4440" s="36">
        <f t="shared" si="209"/>
        <v>88357.0527</v>
      </c>
      <c r="I4440" s="37">
        <f t="shared" si="207"/>
        <v>88357.0527</v>
      </c>
      <c r="J4440" s="4"/>
      <c r="K4440" s="38">
        <f t="shared" si="208"/>
        <v>0</v>
      </c>
    </row>
    <row r="4441" spans="1:11">
      <c r="A4441" t="s">
        <v>12107</v>
      </c>
      <c r="B4441" t="s">
        <v>10185</v>
      </c>
      <c r="C4441" t="s">
        <v>12124</v>
      </c>
      <c r="D4441" t="s">
        <v>12108</v>
      </c>
      <c r="E4441">
        <v>727266.86</v>
      </c>
      <c r="G4441" s="35"/>
      <c r="H4441" s="36">
        <f t="shared" si="209"/>
        <v>458178.12180000002</v>
      </c>
      <c r="I4441" s="37">
        <f t="shared" si="207"/>
        <v>458178.12180000002</v>
      </c>
      <c r="J4441" s="4"/>
      <c r="K4441" s="38">
        <f t="shared" si="208"/>
        <v>0</v>
      </c>
    </row>
    <row r="4442" spans="1:11">
      <c r="A4442" t="s">
        <v>12109</v>
      </c>
      <c r="B4442" t="s">
        <v>10185</v>
      </c>
      <c r="C4442" t="s">
        <v>12124</v>
      </c>
      <c r="D4442" t="s">
        <v>12110</v>
      </c>
      <c r="E4442">
        <v>1193486.8</v>
      </c>
      <c r="G4442" s="35"/>
      <c r="H4442" s="36">
        <f t="shared" si="209"/>
        <v>751896.68400000001</v>
      </c>
      <c r="I4442" s="37">
        <f t="shared" si="207"/>
        <v>751896.68400000001</v>
      </c>
      <c r="J4442" s="4"/>
      <c r="K4442" s="38">
        <f t="shared" si="208"/>
        <v>0</v>
      </c>
    </row>
    <row r="4443" spans="1:11">
      <c r="A4443" t="s">
        <v>12111</v>
      </c>
      <c r="B4443" t="s">
        <v>10185</v>
      </c>
      <c r="C4443" t="s">
        <v>12124</v>
      </c>
      <c r="D4443" t="s">
        <v>12112</v>
      </c>
      <c r="E4443">
        <v>233372.39</v>
      </c>
      <c r="G4443" s="35"/>
      <c r="H4443" s="36">
        <f t="shared" si="209"/>
        <v>147024.60570000001</v>
      </c>
      <c r="I4443" s="37">
        <f t="shared" si="207"/>
        <v>147024.60570000001</v>
      </c>
      <c r="J4443" s="4"/>
      <c r="K4443" s="38">
        <f t="shared" si="208"/>
        <v>0</v>
      </c>
    </row>
    <row r="4444" spans="1:11">
      <c r="A4444" t="s">
        <v>11822</v>
      </c>
      <c r="B4444" t="s">
        <v>10185</v>
      </c>
      <c r="C4444" t="s">
        <v>11823</v>
      </c>
      <c r="D4444" t="s">
        <v>11824</v>
      </c>
      <c r="E4444">
        <v>15973.17</v>
      </c>
      <c r="G4444" s="35"/>
      <c r="H4444" s="36">
        <f t="shared" si="209"/>
        <v>10063.097100000001</v>
      </c>
      <c r="I4444" s="37">
        <f t="shared" si="207"/>
        <v>10063.097100000001</v>
      </c>
      <c r="J4444" s="4"/>
      <c r="K4444" s="38">
        <f t="shared" si="208"/>
        <v>0</v>
      </c>
    </row>
    <row r="4445" spans="1:11">
      <c r="A4445" t="s">
        <v>11825</v>
      </c>
      <c r="B4445" t="s">
        <v>10185</v>
      </c>
      <c r="C4445" t="s">
        <v>11823</v>
      </c>
      <c r="D4445" t="s">
        <v>11826</v>
      </c>
      <c r="E4445">
        <v>310386.21000000002</v>
      </c>
      <c r="G4445" s="35"/>
      <c r="H4445" s="36">
        <f t="shared" si="209"/>
        <v>195543.31230000002</v>
      </c>
      <c r="I4445" s="37">
        <f t="shared" si="207"/>
        <v>195543.31230000002</v>
      </c>
      <c r="J4445" s="4"/>
      <c r="K4445" s="38">
        <f t="shared" si="208"/>
        <v>0</v>
      </c>
    </row>
    <row r="4446" spans="1:11">
      <c r="A4446" t="s">
        <v>11827</v>
      </c>
      <c r="B4446" t="s">
        <v>10185</v>
      </c>
      <c r="C4446" t="s">
        <v>11823</v>
      </c>
      <c r="D4446" t="s">
        <v>11828</v>
      </c>
      <c r="E4446">
        <v>252416.65</v>
      </c>
      <c r="G4446" s="35"/>
      <c r="H4446" s="36">
        <f t="shared" si="209"/>
        <v>159022.4895</v>
      </c>
      <c r="I4446" s="37">
        <f t="shared" si="207"/>
        <v>159022.4895</v>
      </c>
      <c r="J4446" s="4"/>
      <c r="K4446" s="38">
        <f t="shared" si="208"/>
        <v>0</v>
      </c>
    </row>
    <row r="4447" spans="1:11">
      <c r="A4447" t="s">
        <v>11922</v>
      </c>
      <c r="B4447" t="s">
        <v>10185</v>
      </c>
      <c r="C4447" t="s">
        <v>11823</v>
      </c>
      <c r="D4447" t="s">
        <v>11923</v>
      </c>
      <c r="E4447">
        <v>171106.62</v>
      </c>
      <c r="G4447" s="35"/>
      <c r="H4447" s="36">
        <f t="shared" si="209"/>
        <v>107797.1706</v>
      </c>
      <c r="I4447" s="37">
        <f t="shared" si="207"/>
        <v>107797.1706</v>
      </c>
      <c r="J4447" s="4"/>
      <c r="K4447" s="38">
        <f t="shared" si="208"/>
        <v>0</v>
      </c>
    </row>
    <row r="4448" spans="1:11">
      <c r="A4448" t="s">
        <v>12067</v>
      </c>
      <c r="B4448" t="s">
        <v>10185</v>
      </c>
      <c r="C4448" t="s">
        <v>12120</v>
      </c>
      <c r="D4448" t="s">
        <v>12068</v>
      </c>
      <c r="E4448">
        <v>5051590.25</v>
      </c>
      <c r="G4448" s="35"/>
      <c r="H4448" s="36">
        <f t="shared" si="209"/>
        <v>3182501.8574999999</v>
      </c>
      <c r="I4448" s="37">
        <f t="shared" si="207"/>
        <v>3182501.8574999999</v>
      </c>
      <c r="J4448" s="4"/>
      <c r="K4448" s="38">
        <f t="shared" si="208"/>
        <v>0</v>
      </c>
    </row>
    <row r="4449" spans="1:11">
      <c r="A4449" t="s">
        <v>12069</v>
      </c>
      <c r="B4449" t="s">
        <v>10185</v>
      </c>
      <c r="C4449" t="s">
        <v>12120</v>
      </c>
      <c r="D4449" t="s">
        <v>12070</v>
      </c>
      <c r="E4449">
        <v>6100030.0099999998</v>
      </c>
      <c r="G4449" s="35"/>
      <c r="H4449" s="36">
        <f t="shared" si="209"/>
        <v>3843018.9062999999</v>
      </c>
      <c r="I4449" s="37">
        <f t="shared" si="207"/>
        <v>3843018.9062999999</v>
      </c>
      <c r="J4449" s="4"/>
      <c r="K4449" s="38">
        <f t="shared" si="208"/>
        <v>0</v>
      </c>
    </row>
    <row r="4450" spans="1:11">
      <c r="A4450" t="s">
        <v>12071</v>
      </c>
      <c r="B4450" t="s">
        <v>10185</v>
      </c>
      <c r="C4450" t="s">
        <v>12120</v>
      </c>
      <c r="D4450" t="s">
        <v>12072</v>
      </c>
      <c r="E4450">
        <v>7053159.71</v>
      </c>
      <c r="G4450" s="35"/>
      <c r="H4450" s="36">
        <f t="shared" si="209"/>
        <v>4443490.6173</v>
      </c>
      <c r="I4450" s="37">
        <f t="shared" si="207"/>
        <v>4443490.6173</v>
      </c>
      <c r="J4450" s="4"/>
      <c r="K4450" s="38">
        <f t="shared" si="208"/>
        <v>0</v>
      </c>
    </row>
    <row r="4451" spans="1:11">
      <c r="A4451" t="s">
        <v>13060</v>
      </c>
      <c r="B4451" t="s">
        <v>10185</v>
      </c>
      <c r="C4451" t="s">
        <v>13061</v>
      </c>
      <c r="D4451" t="s">
        <v>13062</v>
      </c>
      <c r="E4451">
        <v>725789.78</v>
      </c>
      <c r="G4451" s="35"/>
      <c r="H4451" s="36">
        <f t="shared" si="209"/>
        <v>457247.56140000001</v>
      </c>
      <c r="I4451" s="37">
        <f t="shared" si="207"/>
        <v>457247.56140000001</v>
      </c>
      <c r="J4451" s="4"/>
      <c r="K4451" s="38">
        <f t="shared" si="208"/>
        <v>0</v>
      </c>
    </row>
    <row r="4452" spans="1:11">
      <c r="A4452" t="s">
        <v>13063</v>
      </c>
      <c r="B4452" t="s">
        <v>10185</v>
      </c>
      <c r="C4452" t="s">
        <v>13061</v>
      </c>
      <c r="D4452" t="s">
        <v>13064</v>
      </c>
      <c r="E4452">
        <v>689500.37</v>
      </c>
      <c r="G4452" s="35"/>
      <c r="H4452" s="36">
        <f t="shared" si="209"/>
        <v>434385.23310000001</v>
      </c>
      <c r="I4452" s="37">
        <f t="shared" si="207"/>
        <v>434385.23310000001</v>
      </c>
      <c r="J4452" s="4"/>
      <c r="K4452" s="38">
        <f t="shared" si="208"/>
        <v>0</v>
      </c>
    </row>
    <row r="4453" spans="1:11">
      <c r="A4453" t="s">
        <v>13065</v>
      </c>
      <c r="B4453" t="s">
        <v>10185</v>
      </c>
      <c r="C4453" t="s">
        <v>13061</v>
      </c>
      <c r="D4453" t="s">
        <v>13066</v>
      </c>
      <c r="E4453">
        <v>798365.22</v>
      </c>
      <c r="G4453" s="35"/>
      <c r="H4453" s="36">
        <f t="shared" si="209"/>
        <v>502970.08859999996</v>
      </c>
      <c r="I4453" s="37">
        <f t="shared" si="207"/>
        <v>502970.08859999996</v>
      </c>
      <c r="J4453" s="4"/>
      <c r="K4453" s="38">
        <f t="shared" si="208"/>
        <v>0</v>
      </c>
    </row>
    <row r="4454" spans="1:11">
      <c r="A4454" t="s">
        <v>13067</v>
      </c>
      <c r="B4454" t="s">
        <v>10185</v>
      </c>
      <c r="C4454" t="s">
        <v>13061</v>
      </c>
      <c r="D4454" t="s">
        <v>13068</v>
      </c>
      <c r="E4454">
        <v>758447.72</v>
      </c>
      <c r="G4454" s="35"/>
      <c r="H4454" s="36">
        <f t="shared" si="209"/>
        <v>477822.06359999999</v>
      </c>
      <c r="I4454" s="37">
        <f t="shared" si="207"/>
        <v>477822.06359999999</v>
      </c>
      <c r="J4454" s="4"/>
      <c r="K4454" s="38">
        <f t="shared" si="208"/>
        <v>0</v>
      </c>
    </row>
    <row r="4455" spans="1:11">
      <c r="A4455" t="s">
        <v>11811</v>
      </c>
      <c r="B4455" t="s">
        <v>10185</v>
      </c>
      <c r="C4455" t="s">
        <v>11812</v>
      </c>
      <c r="D4455" t="s">
        <v>11813</v>
      </c>
      <c r="E4455">
        <v>1546235.9</v>
      </c>
      <c r="G4455" s="35"/>
      <c r="H4455" s="36">
        <f t="shared" si="209"/>
        <v>974128.61699999997</v>
      </c>
      <c r="I4455" s="37">
        <f t="shared" si="207"/>
        <v>974128.61699999997</v>
      </c>
      <c r="J4455" s="4"/>
      <c r="K4455" s="38">
        <f t="shared" si="208"/>
        <v>0</v>
      </c>
    </row>
    <row r="4456" spans="1:11">
      <c r="A4456" t="s">
        <v>11814</v>
      </c>
      <c r="B4456" t="s">
        <v>10185</v>
      </c>
      <c r="C4456" t="s">
        <v>11812</v>
      </c>
      <c r="D4456" t="s">
        <v>11815</v>
      </c>
      <c r="E4456">
        <v>1601135.92</v>
      </c>
      <c r="G4456" s="35"/>
      <c r="H4456" s="36">
        <f t="shared" si="209"/>
        <v>1008715.6296</v>
      </c>
      <c r="I4456" s="37">
        <f t="shared" si="207"/>
        <v>1008715.6296</v>
      </c>
      <c r="J4456" s="4"/>
      <c r="K4456" s="38">
        <f t="shared" si="208"/>
        <v>0</v>
      </c>
    </row>
    <row r="4457" spans="1:11">
      <c r="A4457" t="s">
        <v>11816</v>
      </c>
      <c r="B4457" t="s">
        <v>10185</v>
      </c>
      <c r="C4457" t="s">
        <v>11812</v>
      </c>
      <c r="D4457" t="s">
        <v>11817</v>
      </c>
      <c r="E4457">
        <v>1710935.98</v>
      </c>
      <c r="G4457" s="35"/>
      <c r="H4457" s="36">
        <f t="shared" si="209"/>
        <v>1077889.6673999999</v>
      </c>
      <c r="I4457" s="37">
        <f t="shared" si="207"/>
        <v>1077889.6673999999</v>
      </c>
      <c r="J4457" s="4"/>
      <c r="K4457" s="38">
        <f t="shared" si="208"/>
        <v>0</v>
      </c>
    </row>
    <row r="4458" spans="1:11">
      <c r="A4458" t="s">
        <v>11818</v>
      </c>
      <c r="B4458" t="s">
        <v>10185</v>
      </c>
      <c r="C4458" t="s">
        <v>11812</v>
      </c>
      <c r="D4458" t="s">
        <v>11819</v>
      </c>
      <c r="E4458">
        <v>1738390.25</v>
      </c>
      <c r="G4458" s="35"/>
      <c r="H4458" s="36">
        <f t="shared" si="209"/>
        <v>1095185.8574999999</v>
      </c>
      <c r="I4458" s="37">
        <f t="shared" si="207"/>
        <v>1095185.8574999999</v>
      </c>
      <c r="J4458" s="4"/>
      <c r="K4458" s="38">
        <f t="shared" si="208"/>
        <v>0</v>
      </c>
    </row>
    <row r="4459" spans="1:11">
      <c r="A4459" t="s">
        <v>11820</v>
      </c>
      <c r="B4459" t="s">
        <v>10185</v>
      </c>
      <c r="C4459" t="s">
        <v>11812</v>
      </c>
      <c r="D4459" t="s">
        <v>11821</v>
      </c>
      <c r="E4459">
        <v>658838.37</v>
      </c>
      <c r="G4459" s="35"/>
      <c r="H4459" s="36">
        <f t="shared" si="209"/>
        <v>415068.17310000001</v>
      </c>
      <c r="I4459" s="37">
        <f t="shared" si="207"/>
        <v>415068.17310000001</v>
      </c>
      <c r="J4459" s="4"/>
      <c r="K4459" s="38">
        <f t="shared" si="208"/>
        <v>0</v>
      </c>
    </row>
    <row r="4460" spans="1:11">
      <c r="A4460" t="s">
        <v>12344</v>
      </c>
      <c r="B4460" t="s">
        <v>10185</v>
      </c>
      <c r="C4460" t="s">
        <v>11812</v>
      </c>
      <c r="D4460" t="s">
        <v>12345</v>
      </c>
      <c r="E4460">
        <v>726925.52</v>
      </c>
      <c r="G4460" s="35"/>
      <c r="H4460" s="36">
        <f t="shared" si="209"/>
        <v>457963.07760000002</v>
      </c>
      <c r="I4460" s="37">
        <f t="shared" si="207"/>
        <v>457963.07760000002</v>
      </c>
      <c r="J4460" s="4"/>
      <c r="K4460" s="38">
        <f t="shared" si="208"/>
        <v>0</v>
      </c>
    </row>
    <row r="4461" spans="1:11">
      <c r="A4461" t="s">
        <v>12056</v>
      </c>
      <c r="B4461" t="s">
        <v>10185</v>
      </c>
      <c r="C4461" t="s">
        <v>12057</v>
      </c>
      <c r="D4461" t="s">
        <v>12058</v>
      </c>
      <c r="E4461">
        <v>6562672.21</v>
      </c>
      <c r="G4461" s="35"/>
      <c r="H4461" s="36">
        <f t="shared" si="209"/>
        <v>4134483.4923</v>
      </c>
      <c r="I4461" s="37">
        <f t="shared" si="207"/>
        <v>4134483.4923</v>
      </c>
      <c r="J4461" s="4"/>
      <c r="K4461" s="38">
        <f t="shared" si="208"/>
        <v>0</v>
      </c>
    </row>
    <row r="4462" spans="1:11">
      <c r="A4462" t="s">
        <v>12059</v>
      </c>
      <c r="B4462" t="s">
        <v>10185</v>
      </c>
      <c r="C4462" t="s">
        <v>12057</v>
      </c>
      <c r="D4462" t="s">
        <v>12060</v>
      </c>
      <c r="E4462">
        <v>6562672.21</v>
      </c>
      <c r="G4462" s="35"/>
      <c r="H4462" s="36">
        <f t="shared" si="209"/>
        <v>4134483.4923</v>
      </c>
      <c r="I4462" s="37">
        <f t="shared" si="207"/>
        <v>4134483.4923</v>
      </c>
      <c r="J4462" s="4"/>
      <c r="K4462" s="38">
        <f t="shared" si="208"/>
        <v>0</v>
      </c>
    </row>
    <row r="4463" spans="1:11">
      <c r="A4463" t="s">
        <v>12061</v>
      </c>
      <c r="B4463" t="s">
        <v>10185</v>
      </c>
      <c r="C4463" t="s">
        <v>12057</v>
      </c>
      <c r="D4463" t="s">
        <v>12062</v>
      </c>
      <c r="E4463">
        <v>10135542.529999999</v>
      </c>
      <c r="G4463" s="35"/>
      <c r="H4463" s="36">
        <f t="shared" si="209"/>
        <v>6385391.7938999999</v>
      </c>
      <c r="I4463" s="37">
        <f t="shared" si="207"/>
        <v>6385391.7938999999</v>
      </c>
      <c r="J4463" s="4"/>
      <c r="K4463" s="38">
        <f t="shared" si="208"/>
        <v>0</v>
      </c>
    </row>
    <row r="4464" spans="1:11">
      <c r="A4464" t="s">
        <v>12063</v>
      </c>
      <c r="B4464" t="s">
        <v>10185</v>
      </c>
      <c r="C4464" t="s">
        <v>12057</v>
      </c>
      <c r="D4464" t="s">
        <v>12064</v>
      </c>
      <c r="E4464">
        <v>10135542.529999999</v>
      </c>
      <c r="G4464" s="35"/>
      <c r="H4464" s="36">
        <f t="shared" si="209"/>
        <v>6385391.7938999999</v>
      </c>
      <c r="I4464" s="37">
        <f t="shared" si="207"/>
        <v>6385391.7938999999</v>
      </c>
      <c r="J4464" s="4"/>
      <c r="K4464" s="38">
        <f t="shared" si="208"/>
        <v>0</v>
      </c>
    </row>
    <row r="4465" spans="1:11">
      <c r="A4465" t="s">
        <v>12079</v>
      </c>
      <c r="B4465" t="s">
        <v>10185</v>
      </c>
      <c r="C4465" t="s">
        <v>12122</v>
      </c>
      <c r="D4465" t="s">
        <v>12080</v>
      </c>
      <c r="E4465">
        <v>641078.27</v>
      </c>
      <c r="G4465" s="35"/>
      <c r="H4465" s="36">
        <f t="shared" si="209"/>
        <v>403879.3101</v>
      </c>
      <c r="I4465" s="37">
        <f t="shared" si="207"/>
        <v>403879.3101</v>
      </c>
      <c r="J4465" s="4"/>
      <c r="K4465" s="38">
        <f t="shared" si="208"/>
        <v>0</v>
      </c>
    </row>
    <row r="4466" spans="1:11">
      <c r="A4466" t="s">
        <v>12081</v>
      </c>
      <c r="B4466" t="s">
        <v>10185</v>
      </c>
      <c r="C4466" t="s">
        <v>12122</v>
      </c>
      <c r="D4466" t="s">
        <v>12082</v>
      </c>
      <c r="E4466">
        <v>784285.86</v>
      </c>
      <c r="G4466" s="35"/>
      <c r="H4466" s="36">
        <f t="shared" si="209"/>
        <v>494100.09179999999</v>
      </c>
      <c r="I4466" s="37">
        <f t="shared" si="207"/>
        <v>494100.09179999999</v>
      </c>
      <c r="J4466" s="4"/>
      <c r="K4466" s="38">
        <f t="shared" si="208"/>
        <v>0</v>
      </c>
    </row>
    <row r="4467" spans="1:11">
      <c r="A4467" t="s">
        <v>12083</v>
      </c>
      <c r="B4467" t="s">
        <v>10185</v>
      </c>
      <c r="C4467" t="s">
        <v>12122</v>
      </c>
      <c r="D4467" t="s">
        <v>12084</v>
      </c>
      <c r="E4467">
        <v>195750.45</v>
      </c>
      <c r="G4467" s="35"/>
      <c r="H4467" s="36">
        <f t="shared" si="209"/>
        <v>123322.78350000001</v>
      </c>
      <c r="I4467" s="37">
        <f t="shared" si="207"/>
        <v>123322.78350000001</v>
      </c>
      <c r="J4467" s="4"/>
      <c r="K4467" s="38">
        <f t="shared" si="208"/>
        <v>0</v>
      </c>
    </row>
    <row r="4468" spans="1:11">
      <c r="A4468" t="s">
        <v>12085</v>
      </c>
      <c r="B4468" t="s">
        <v>10185</v>
      </c>
      <c r="C4468" t="s">
        <v>12122</v>
      </c>
      <c r="D4468" t="s">
        <v>12086</v>
      </c>
      <c r="E4468">
        <v>869551.97</v>
      </c>
      <c r="G4468" s="35"/>
      <c r="H4468" s="36">
        <f t="shared" si="209"/>
        <v>547817.74109999998</v>
      </c>
      <c r="I4468" s="37">
        <f t="shared" si="207"/>
        <v>547817.74109999998</v>
      </c>
      <c r="J4468" s="4"/>
      <c r="K4468" s="38">
        <f t="shared" si="208"/>
        <v>0</v>
      </c>
    </row>
    <row r="4469" spans="1:11">
      <c r="A4469" t="s">
        <v>12087</v>
      </c>
      <c r="B4469" t="s">
        <v>10185</v>
      </c>
      <c r="C4469" t="s">
        <v>12122</v>
      </c>
      <c r="D4469" t="s">
        <v>12088</v>
      </c>
      <c r="E4469">
        <v>62728.87</v>
      </c>
      <c r="G4469" s="35"/>
      <c r="H4469" s="36">
        <f t="shared" si="209"/>
        <v>39519.188099999999</v>
      </c>
      <c r="I4469" s="37">
        <f t="shared" si="207"/>
        <v>39519.188099999999</v>
      </c>
      <c r="J4469" s="4"/>
      <c r="K4469" s="38">
        <f t="shared" si="208"/>
        <v>0</v>
      </c>
    </row>
    <row r="4470" spans="1:11">
      <c r="A4470" t="s">
        <v>12089</v>
      </c>
      <c r="B4470" t="s">
        <v>10185</v>
      </c>
      <c r="C4470" t="s">
        <v>12122</v>
      </c>
      <c r="D4470" t="s">
        <v>12090</v>
      </c>
      <c r="E4470">
        <v>277937.90000000002</v>
      </c>
      <c r="G4470" s="35"/>
      <c r="H4470" s="36">
        <f t="shared" si="209"/>
        <v>175100.87700000001</v>
      </c>
      <c r="I4470" s="37">
        <f t="shared" si="207"/>
        <v>175100.87700000001</v>
      </c>
      <c r="J4470" s="4"/>
      <c r="K4470" s="38">
        <f t="shared" si="208"/>
        <v>0</v>
      </c>
    </row>
    <row r="4471" spans="1:11">
      <c r="A4471" t="s">
        <v>12073</v>
      </c>
      <c r="B4471" t="s">
        <v>10185</v>
      </c>
      <c r="C4471" t="s">
        <v>12121</v>
      </c>
      <c r="D4471" t="s">
        <v>12074</v>
      </c>
      <c r="E4471">
        <v>508888.24</v>
      </c>
      <c r="G4471" s="35"/>
      <c r="H4471" s="36">
        <f t="shared" si="209"/>
        <v>320599.59120000002</v>
      </c>
      <c r="I4471" s="37">
        <f t="shared" si="207"/>
        <v>320599.59120000002</v>
      </c>
      <c r="J4471" s="4"/>
      <c r="K4471" s="38">
        <f t="shared" si="208"/>
        <v>0</v>
      </c>
    </row>
    <row r="4472" spans="1:11">
      <c r="A4472" t="s">
        <v>12075</v>
      </c>
      <c r="B4472" t="s">
        <v>10185</v>
      </c>
      <c r="C4472" t="s">
        <v>12121</v>
      </c>
      <c r="D4472" t="s">
        <v>12076</v>
      </c>
      <c r="E4472">
        <v>669586.01</v>
      </c>
      <c r="G4472" s="35"/>
      <c r="H4472" s="36">
        <f t="shared" si="209"/>
        <v>421839.1863</v>
      </c>
      <c r="I4472" s="37">
        <f t="shared" si="207"/>
        <v>421839.1863</v>
      </c>
      <c r="J4472" s="4"/>
      <c r="K4472" s="38">
        <f t="shared" si="208"/>
        <v>0</v>
      </c>
    </row>
    <row r="4473" spans="1:11">
      <c r="A4473" t="s">
        <v>12077</v>
      </c>
      <c r="B4473" t="s">
        <v>10185</v>
      </c>
      <c r="C4473" t="s">
        <v>12121</v>
      </c>
      <c r="D4473" t="s">
        <v>12078</v>
      </c>
      <c r="E4473">
        <v>723093.62</v>
      </c>
      <c r="G4473" s="35"/>
      <c r="H4473" s="36">
        <f t="shared" si="209"/>
        <v>455548.98060000001</v>
      </c>
      <c r="I4473" s="37">
        <f t="shared" si="207"/>
        <v>455548.98060000001</v>
      </c>
      <c r="J4473" s="4"/>
      <c r="K4473" s="38">
        <f t="shared" si="208"/>
        <v>0</v>
      </c>
    </row>
    <row r="4474" spans="1:11">
      <c r="A4474" t="s">
        <v>12065</v>
      </c>
      <c r="B4474" t="s">
        <v>10185</v>
      </c>
      <c r="C4474" t="s">
        <v>12119</v>
      </c>
      <c r="D4474" t="s">
        <v>12066</v>
      </c>
      <c r="E4474">
        <v>3264056.28</v>
      </c>
      <c r="G4474" s="35"/>
      <c r="H4474" s="36">
        <f t="shared" si="209"/>
        <v>2056355.4563999998</v>
      </c>
      <c r="I4474" s="37">
        <f t="shared" si="207"/>
        <v>2056355.4563999998</v>
      </c>
      <c r="J4474" s="4"/>
      <c r="K4474" s="38">
        <f t="shared" si="208"/>
        <v>0</v>
      </c>
    </row>
    <row r="4475" spans="1:11">
      <c r="A4475" t="s">
        <v>12091</v>
      </c>
      <c r="B4475" t="s">
        <v>10185</v>
      </c>
      <c r="C4475" t="s">
        <v>12123</v>
      </c>
      <c r="D4475" t="s">
        <v>12092</v>
      </c>
      <c r="E4475">
        <v>6736338.7000000002</v>
      </c>
      <c r="G4475" s="35"/>
      <c r="H4475" s="36">
        <f t="shared" si="209"/>
        <v>4243893.3810000001</v>
      </c>
      <c r="I4475" s="37">
        <f t="shared" si="207"/>
        <v>4243893.3810000001</v>
      </c>
      <c r="J4475" s="4"/>
      <c r="K4475" s="38">
        <f t="shared" si="208"/>
        <v>0</v>
      </c>
    </row>
    <row r="4476" spans="1:11">
      <c r="A4476" t="s">
        <v>12093</v>
      </c>
      <c r="B4476" t="s">
        <v>10185</v>
      </c>
      <c r="C4476" t="s">
        <v>12123</v>
      </c>
      <c r="D4476" t="s">
        <v>12094</v>
      </c>
      <c r="E4476">
        <v>2405835.23</v>
      </c>
      <c r="G4476" s="35"/>
      <c r="H4476" s="36">
        <f t="shared" si="209"/>
        <v>1515676.1949</v>
      </c>
      <c r="I4476" s="37">
        <f t="shared" si="207"/>
        <v>1515676.1949</v>
      </c>
      <c r="J4476" s="4"/>
      <c r="K4476" s="38">
        <f t="shared" si="208"/>
        <v>0</v>
      </c>
    </row>
    <row r="4477" spans="1:11">
      <c r="A4477" t="s">
        <v>12095</v>
      </c>
      <c r="B4477" t="s">
        <v>10185</v>
      </c>
      <c r="C4477" t="s">
        <v>12123</v>
      </c>
      <c r="D4477" t="s">
        <v>12096</v>
      </c>
      <c r="E4477">
        <v>7939256.3099999996</v>
      </c>
      <c r="G4477" s="35"/>
      <c r="H4477" s="36">
        <f t="shared" si="209"/>
        <v>5001731.4753</v>
      </c>
      <c r="I4477" s="37">
        <f t="shared" si="207"/>
        <v>5001731.4753</v>
      </c>
      <c r="J4477" s="4"/>
      <c r="K4477" s="38">
        <f t="shared" si="208"/>
        <v>0</v>
      </c>
    </row>
    <row r="4478" spans="1:11">
      <c r="A4478" t="s">
        <v>12097</v>
      </c>
      <c r="B4478" t="s">
        <v>10185</v>
      </c>
      <c r="C4478" t="s">
        <v>12123</v>
      </c>
      <c r="D4478" t="s">
        <v>12098</v>
      </c>
      <c r="E4478">
        <v>2646418.77</v>
      </c>
      <c r="G4478" s="35"/>
      <c r="H4478" s="36">
        <f t="shared" si="209"/>
        <v>1667243.8251</v>
      </c>
      <c r="I4478" s="37">
        <f t="shared" si="207"/>
        <v>1667243.8251</v>
      </c>
      <c r="J4478" s="4"/>
      <c r="K4478" s="38">
        <f t="shared" si="208"/>
        <v>0</v>
      </c>
    </row>
    <row r="4479" spans="1:11">
      <c r="A4479" t="s">
        <v>12099</v>
      </c>
      <c r="B4479" t="s">
        <v>10185</v>
      </c>
      <c r="C4479" t="s">
        <v>12123</v>
      </c>
      <c r="D4479" t="s">
        <v>12100</v>
      </c>
      <c r="E4479">
        <v>11066842.16</v>
      </c>
      <c r="G4479" s="35"/>
      <c r="H4479" s="36">
        <f t="shared" si="209"/>
        <v>6972110.5608000001</v>
      </c>
      <c r="I4479" s="37">
        <f t="shared" si="207"/>
        <v>6972110.5608000001</v>
      </c>
      <c r="J4479" s="4"/>
      <c r="K4479" s="38">
        <f t="shared" si="208"/>
        <v>0</v>
      </c>
    </row>
    <row r="4480" spans="1:11">
      <c r="A4480" t="s">
        <v>12101</v>
      </c>
      <c r="B4480" t="s">
        <v>10185</v>
      </c>
      <c r="C4480" t="s">
        <v>12123</v>
      </c>
      <c r="D4480" t="s">
        <v>12102</v>
      </c>
      <c r="E4480">
        <v>3368169.36</v>
      </c>
      <c r="G4480" s="35"/>
      <c r="H4480" s="36">
        <f t="shared" si="209"/>
        <v>2121946.6968</v>
      </c>
      <c r="I4480" s="37">
        <f t="shared" si="207"/>
        <v>2121946.6968</v>
      </c>
      <c r="J4480" s="4"/>
      <c r="K4480" s="38">
        <f t="shared" si="208"/>
        <v>0</v>
      </c>
    </row>
    <row r="4481" spans="1:11">
      <c r="A4481" t="s">
        <v>1238</v>
      </c>
      <c r="B4481" t="s">
        <v>10185</v>
      </c>
      <c r="C4481" t="s">
        <v>6817</v>
      </c>
      <c r="D4481" t="s">
        <v>6818</v>
      </c>
      <c r="E4481">
        <v>401122.91</v>
      </c>
      <c r="G4481" s="35"/>
      <c r="H4481" s="36">
        <f t="shared" si="209"/>
        <v>252707.43329999998</v>
      </c>
      <c r="I4481" s="37">
        <f t="shared" si="207"/>
        <v>252707.43329999998</v>
      </c>
      <c r="J4481" s="4"/>
      <c r="K4481" s="38">
        <f t="shared" si="208"/>
        <v>0</v>
      </c>
    </row>
    <row r="4482" spans="1:11">
      <c r="A4482" t="s">
        <v>1239</v>
      </c>
      <c r="B4482" t="s">
        <v>10185</v>
      </c>
      <c r="C4482" t="s">
        <v>6817</v>
      </c>
      <c r="D4482" t="s">
        <v>12274</v>
      </c>
      <c r="E4482">
        <v>1121018.44</v>
      </c>
      <c r="G4482" s="35"/>
      <c r="H4482" s="36">
        <f t="shared" si="209"/>
        <v>706241.61719999998</v>
      </c>
      <c r="I4482" s="37">
        <f t="shared" si="207"/>
        <v>706241.61719999998</v>
      </c>
      <c r="J4482" s="4"/>
      <c r="K4482" s="38">
        <f t="shared" si="208"/>
        <v>0</v>
      </c>
    </row>
    <row r="4483" spans="1:11">
      <c r="A4483" t="s">
        <v>1240</v>
      </c>
      <c r="B4483" t="s">
        <v>10185</v>
      </c>
      <c r="C4483" t="s">
        <v>6817</v>
      </c>
      <c r="D4483" t="s">
        <v>6819</v>
      </c>
      <c r="E4483">
        <v>437898.35</v>
      </c>
      <c r="G4483" s="35"/>
      <c r="H4483" s="36">
        <f t="shared" si="209"/>
        <v>275875.96049999999</v>
      </c>
      <c r="I4483" s="37">
        <f t="shared" si="207"/>
        <v>275875.96049999999</v>
      </c>
      <c r="J4483" s="4"/>
      <c r="K4483" s="38">
        <f t="shared" si="208"/>
        <v>0</v>
      </c>
    </row>
    <row r="4484" spans="1:11">
      <c r="A4484" t="s">
        <v>1241</v>
      </c>
      <c r="B4484" t="s">
        <v>10185</v>
      </c>
      <c r="C4484" t="s">
        <v>6817</v>
      </c>
      <c r="D4484" t="s">
        <v>6820</v>
      </c>
      <c r="E4484">
        <v>499881.79</v>
      </c>
      <c r="G4484" s="35"/>
      <c r="H4484" s="36">
        <f t="shared" si="209"/>
        <v>314925.52769999998</v>
      </c>
      <c r="I4484" s="37">
        <f t="shared" si="207"/>
        <v>314925.52769999998</v>
      </c>
      <c r="J4484" s="4"/>
      <c r="K4484" s="38">
        <f t="shared" si="208"/>
        <v>0</v>
      </c>
    </row>
    <row r="4485" spans="1:11">
      <c r="A4485" t="s">
        <v>1242</v>
      </c>
      <c r="B4485" t="s">
        <v>10185</v>
      </c>
      <c r="C4485" t="s">
        <v>6817</v>
      </c>
      <c r="D4485" t="s">
        <v>6821</v>
      </c>
      <c r="E4485">
        <v>535333.75</v>
      </c>
      <c r="G4485" s="35"/>
      <c r="H4485" s="36">
        <f t="shared" si="209"/>
        <v>337260.26250000001</v>
      </c>
      <c r="I4485" s="37">
        <f t="shared" si="207"/>
        <v>337260.26250000001</v>
      </c>
      <c r="J4485" s="4"/>
      <c r="K4485" s="38">
        <f t="shared" si="208"/>
        <v>0</v>
      </c>
    </row>
    <row r="4486" spans="1:11">
      <c r="A4486" t="s">
        <v>1233</v>
      </c>
      <c r="B4486" t="s">
        <v>10185</v>
      </c>
      <c r="C4486" t="s">
        <v>6811</v>
      </c>
      <c r="D4486" t="s">
        <v>6812</v>
      </c>
      <c r="E4486">
        <v>445077.68</v>
      </c>
      <c r="G4486" s="35"/>
      <c r="H4486" s="36">
        <f t="shared" si="209"/>
        <v>280398.93839999998</v>
      </c>
      <c r="I4486" s="37">
        <f t="shared" ref="I4486:I4549" si="210">H4486*$H$4</f>
        <v>280398.93839999998</v>
      </c>
      <c r="J4486" s="4"/>
      <c r="K4486" s="38">
        <f t="shared" ref="K4486:K4549" si="211">J4486*I4486</f>
        <v>0</v>
      </c>
    </row>
    <row r="4487" spans="1:11">
      <c r="A4487" t="s">
        <v>1234</v>
      </c>
      <c r="B4487" t="s">
        <v>10185</v>
      </c>
      <c r="C4487" t="s">
        <v>6811</v>
      </c>
      <c r="D4487" t="s">
        <v>6813</v>
      </c>
      <c r="E4487">
        <v>529870.21</v>
      </c>
      <c r="G4487" s="35"/>
      <c r="H4487" s="36">
        <f t="shared" ref="H4487:H4550" si="212">+E4487*$H$1*(1-G4487)</f>
        <v>333818.23229999997</v>
      </c>
      <c r="I4487" s="37">
        <f t="shared" si="210"/>
        <v>333818.23229999997</v>
      </c>
      <c r="J4487" s="4"/>
      <c r="K4487" s="38">
        <f t="shared" si="211"/>
        <v>0</v>
      </c>
    </row>
    <row r="4488" spans="1:11">
      <c r="A4488" t="s">
        <v>1235</v>
      </c>
      <c r="B4488" t="s">
        <v>10185</v>
      </c>
      <c r="C4488" t="s">
        <v>6811</v>
      </c>
      <c r="D4488" t="s">
        <v>6814</v>
      </c>
      <c r="E4488">
        <v>458174.49</v>
      </c>
      <c r="G4488" s="35"/>
      <c r="H4488" s="36">
        <f t="shared" si="212"/>
        <v>288649.92869999999</v>
      </c>
      <c r="I4488" s="37">
        <f t="shared" si="210"/>
        <v>288649.92869999999</v>
      </c>
      <c r="J4488" s="4"/>
      <c r="K4488" s="38">
        <f t="shared" si="211"/>
        <v>0</v>
      </c>
    </row>
    <row r="4489" spans="1:11">
      <c r="A4489" t="s">
        <v>1236</v>
      </c>
      <c r="B4489" t="s">
        <v>10185</v>
      </c>
      <c r="C4489" t="s">
        <v>6811</v>
      </c>
      <c r="D4489" t="s">
        <v>6815</v>
      </c>
      <c r="E4489">
        <v>584305.31999999995</v>
      </c>
      <c r="G4489" s="35"/>
      <c r="H4489" s="36">
        <f t="shared" si="212"/>
        <v>368112.35159999999</v>
      </c>
      <c r="I4489" s="37">
        <f t="shared" si="210"/>
        <v>368112.35159999999</v>
      </c>
      <c r="J4489" s="4"/>
      <c r="K4489" s="38">
        <f t="shared" si="211"/>
        <v>0</v>
      </c>
    </row>
    <row r="4490" spans="1:11">
      <c r="A4490" t="s">
        <v>1237</v>
      </c>
      <c r="B4490" t="s">
        <v>10185</v>
      </c>
      <c r="C4490" t="s">
        <v>6811</v>
      </c>
      <c r="D4490" t="s">
        <v>6816</v>
      </c>
      <c r="E4490">
        <v>724870.9</v>
      </c>
      <c r="G4490" s="35"/>
      <c r="H4490" s="36">
        <f t="shared" si="212"/>
        <v>456668.66700000002</v>
      </c>
      <c r="I4490" s="37">
        <f t="shared" si="210"/>
        <v>456668.66700000002</v>
      </c>
      <c r="J4490" s="4"/>
      <c r="K4490" s="38">
        <f t="shared" si="211"/>
        <v>0</v>
      </c>
    </row>
    <row r="4491" spans="1:11">
      <c r="A4491" t="s">
        <v>1225</v>
      </c>
      <c r="B4491" t="s">
        <v>10185</v>
      </c>
      <c r="C4491" t="s">
        <v>6804</v>
      </c>
      <c r="D4491" t="s">
        <v>6805</v>
      </c>
      <c r="E4491">
        <v>416671.52</v>
      </c>
      <c r="G4491" s="35"/>
      <c r="H4491" s="36">
        <f t="shared" si="212"/>
        <v>262503.0576</v>
      </c>
      <c r="I4491" s="37">
        <f t="shared" si="210"/>
        <v>262503.0576</v>
      </c>
      <c r="J4491" s="4"/>
      <c r="K4491" s="38">
        <f t="shared" si="211"/>
        <v>0</v>
      </c>
    </row>
    <row r="4492" spans="1:11">
      <c r="A4492" t="s">
        <v>1226</v>
      </c>
      <c r="B4492" t="s">
        <v>10185</v>
      </c>
      <c r="C4492" t="s">
        <v>6804</v>
      </c>
      <c r="D4492" t="s">
        <v>6806</v>
      </c>
      <c r="E4492">
        <v>504105.32</v>
      </c>
      <c r="G4492" s="35"/>
      <c r="H4492" s="36">
        <f t="shared" si="212"/>
        <v>317586.35159999999</v>
      </c>
      <c r="I4492" s="37">
        <f t="shared" si="210"/>
        <v>317586.35159999999</v>
      </c>
      <c r="J4492" s="4"/>
      <c r="K4492" s="38">
        <f t="shared" si="211"/>
        <v>0</v>
      </c>
    </row>
    <row r="4493" spans="1:11">
      <c r="A4493" t="s">
        <v>1227</v>
      </c>
      <c r="B4493" t="s">
        <v>10185</v>
      </c>
      <c r="C4493" t="s">
        <v>6804</v>
      </c>
      <c r="D4493" t="s">
        <v>6807</v>
      </c>
      <c r="E4493">
        <v>561103.94999999995</v>
      </c>
      <c r="G4493" s="35"/>
      <c r="H4493" s="36">
        <f t="shared" si="212"/>
        <v>353495.48849999998</v>
      </c>
      <c r="I4493" s="37">
        <f t="shared" si="210"/>
        <v>353495.48849999998</v>
      </c>
      <c r="J4493" s="4"/>
      <c r="K4493" s="38">
        <f t="shared" si="211"/>
        <v>0</v>
      </c>
    </row>
    <row r="4494" spans="1:11">
      <c r="A4494" t="s">
        <v>1228</v>
      </c>
      <c r="B4494" t="s">
        <v>10185</v>
      </c>
      <c r="C4494" t="s">
        <v>6804</v>
      </c>
      <c r="D4494" t="s">
        <v>6808</v>
      </c>
      <c r="E4494">
        <v>404718.73</v>
      </c>
      <c r="G4494" s="35"/>
      <c r="H4494" s="36">
        <f t="shared" si="212"/>
        <v>254972.79989999998</v>
      </c>
      <c r="I4494" s="37">
        <f t="shared" si="210"/>
        <v>254972.79989999998</v>
      </c>
      <c r="J4494" s="4"/>
      <c r="K4494" s="38">
        <f t="shared" si="211"/>
        <v>0</v>
      </c>
    </row>
    <row r="4495" spans="1:11">
      <c r="A4495" t="s">
        <v>1229</v>
      </c>
      <c r="B4495" t="s">
        <v>10185</v>
      </c>
      <c r="C4495" t="s">
        <v>6804</v>
      </c>
      <c r="D4495" t="s">
        <v>6809</v>
      </c>
      <c r="E4495">
        <v>466117.26</v>
      </c>
      <c r="G4495" s="35"/>
      <c r="H4495" s="36">
        <f t="shared" si="212"/>
        <v>293653.8738</v>
      </c>
      <c r="I4495" s="37">
        <f t="shared" si="210"/>
        <v>293653.8738</v>
      </c>
      <c r="J4495" s="4"/>
      <c r="K4495" s="38">
        <f t="shared" si="211"/>
        <v>0</v>
      </c>
    </row>
    <row r="4496" spans="1:11">
      <c r="A4496" t="s">
        <v>11615</v>
      </c>
      <c r="B4496" t="s">
        <v>10185</v>
      </c>
      <c r="C4496" t="s">
        <v>6804</v>
      </c>
      <c r="D4496" t="s">
        <v>11616</v>
      </c>
      <c r="E4496">
        <v>320308.26</v>
      </c>
      <c r="G4496" s="35"/>
      <c r="H4496" s="36">
        <f t="shared" si="212"/>
        <v>201794.20380000002</v>
      </c>
      <c r="I4496" s="37">
        <f t="shared" si="210"/>
        <v>201794.20380000002</v>
      </c>
      <c r="J4496" s="4"/>
      <c r="K4496" s="38">
        <f t="shared" si="211"/>
        <v>0</v>
      </c>
    </row>
    <row r="4497" spans="1:11">
      <c r="A4497" t="s">
        <v>1230</v>
      </c>
      <c r="B4497" t="s">
        <v>10185</v>
      </c>
      <c r="C4497" t="s">
        <v>6804</v>
      </c>
      <c r="D4497" t="s">
        <v>6810</v>
      </c>
      <c r="E4497">
        <v>355898.05</v>
      </c>
      <c r="G4497" s="35"/>
      <c r="H4497" s="36">
        <f t="shared" si="212"/>
        <v>224215.7715</v>
      </c>
      <c r="I4497" s="37">
        <f t="shared" si="210"/>
        <v>224215.7715</v>
      </c>
      <c r="J4497" s="4"/>
      <c r="K4497" s="38">
        <f t="shared" si="211"/>
        <v>0</v>
      </c>
    </row>
    <row r="4498" spans="1:11">
      <c r="A4498" t="s">
        <v>1231</v>
      </c>
      <c r="B4498" t="s">
        <v>10185</v>
      </c>
      <c r="C4498" t="s">
        <v>6804</v>
      </c>
      <c r="D4498" t="s">
        <v>12354</v>
      </c>
      <c r="E4498">
        <v>396727.22</v>
      </c>
      <c r="G4498" s="35"/>
      <c r="H4498" s="36">
        <f t="shared" si="212"/>
        <v>249938.14859999999</v>
      </c>
      <c r="I4498" s="37">
        <f t="shared" si="210"/>
        <v>249938.14859999999</v>
      </c>
      <c r="J4498" s="4"/>
      <c r="K4498" s="38">
        <f t="shared" si="211"/>
        <v>0</v>
      </c>
    </row>
    <row r="4499" spans="1:11">
      <c r="A4499" t="s">
        <v>1232</v>
      </c>
      <c r="B4499" t="s">
        <v>10185</v>
      </c>
      <c r="C4499" t="s">
        <v>6804</v>
      </c>
      <c r="D4499" t="s">
        <v>12353</v>
      </c>
      <c r="E4499">
        <v>439696.15</v>
      </c>
      <c r="G4499" s="35"/>
      <c r="H4499" s="36">
        <f t="shared" si="212"/>
        <v>277008.57449999999</v>
      </c>
      <c r="I4499" s="37">
        <f t="shared" si="210"/>
        <v>277008.57449999999</v>
      </c>
      <c r="J4499" s="4"/>
      <c r="K4499" s="38">
        <f t="shared" si="211"/>
        <v>0</v>
      </c>
    </row>
    <row r="4500" spans="1:11">
      <c r="A4500" t="s">
        <v>1303</v>
      </c>
      <c r="B4500" t="s">
        <v>10185</v>
      </c>
      <c r="C4500" t="s">
        <v>6881</v>
      </c>
      <c r="D4500" t="s">
        <v>6882</v>
      </c>
      <c r="E4500">
        <v>1233933.06</v>
      </c>
      <c r="G4500" s="35"/>
      <c r="H4500" s="36">
        <f t="shared" si="212"/>
        <v>777377.82780000009</v>
      </c>
      <c r="I4500" s="37">
        <f t="shared" si="210"/>
        <v>777377.82780000009</v>
      </c>
      <c r="J4500" s="4"/>
      <c r="K4500" s="38">
        <f t="shared" si="211"/>
        <v>0</v>
      </c>
    </row>
    <row r="4501" spans="1:11">
      <c r="A4501" t="s">
        <v>1304</v>
      </c>
      <c r="B4501" t="s">
        <v>10185</v>
      </c>
      <c r="C4501" t="s">
        <v>6881</v>
      </c>
      <c r="D4501" t="s">
        <v>6883</v>
      </c>
      <c r="E4501">
        <v>1233933.06</v>
      </c>
      <c r="G4501" s="35"/>
      <c r="H4501" s="36">
        <f t="shared" si="212"/>
        <v>777377.82780000009</v>
      </c>
      <c r="I4501" s="37">
        <f t="shared" si="210"/>
        <v>777377.82780000009</v>
      </c>
      <c r="J4501" s="4"/>
      <c r="K4501" s="38">
        <f t="shared" si="211"/>
        <v>0</v>
      </c>
    </row>
    <row r="4502" spans="1:11">
      <c r="A4502" t="s">
        <v>11735</v>
      </c>
      <c r="B4502" t="s">
        <v>10185</v>
      </c>
      <c r="C4502" t="s">
        <v>6881</v>
      </c>
      <c r="D4502" t="s">
        <v>11736</v>
      </c>
      <c r="E4502">
        <v>4128912.98</v>
      </c>
      <c r="G4502" s="35"/>
      <c r="H4502" s="36">
        <f t="shared" si="212"/>
        <v>2601215.1773999999</v>
      </c>
      <c r="I4502" s="37">
        <f t="shared" si="210"/>
        <v>2601215.1773999999</v>
      </c>
      <c r="J4502" s="4"/>
      <c r="K4502" s="38">
        <f t="shared" si="211"/>
        <v>0</v>
      </c>
    </row>
    <row r="4503" spans="1:11">
      <c r="A4503" t="s">
        <v>1305</v>
      </c>
      <c r="B4503" t="s">
        <v>10185</v>
      </c>
      <c r="C4503" t="s">
        <v>6881</v>
      </c>
      <c r="D4503" t="s">
        <v>6884</v>
      </c>
      <c r="E4503">
        <v>2850529.5</v>
      </c>
      <c r="G4503" s="35"/>
      <c r="H4503" s="36">
        <f t="shared" si="212"/>
        <v>1795833.585</v>
      </c>
      <c r="I4503" s="37">
        <f t="shared" si="210"/>
        <v>1795833.585</v>
      </c>
      <c r="J4503" s="4"/>
      <c r="K4503" s="38">
        <f t="shared" si="211"/>
        <v>0</v>
      </c>
    </row>
    <row r="4504" spans="1:11">
      <c r="A4504" t="s">
        <v>1306</v>
      </c>
      <c r="B4504" t="s">
        <v>10185</v>
      </c>
      <c r="C4504" t="s">
        <v>6881</v>
      </c>
      <c r="D4504" t="s">
        <v>6885</v>
      </c>
      <c r="E4504">
        <v>5810698.6600000001</v>
      </c>
      <c r="G4504" s="35"/>
      <c r="H4504" s="36">
        <f t="shared" si="212"/>
        <v>3660740.1558000003</v>
      </c>
      <c r="I4504" s="37">
        <f t="shared" si="210"/>
        <v>3660740.1558000003</v>
      </c>
      <c r="J4504" s="4"/>
      <c r="K4504" s="38">
        <f t="shared" si="211"/>
        <v>0</v>
      </c>
    </row>
    <row r="4505" spans="1:11">
      <c r="A4505" t="s">
        <v>1307</v>
      </c>
      <c r="B4505" t="s">
        <v>10185</v>
      </c>
      <c r="C4505" t="s">
        <v>6881</v>
      </c>
      <c r="D4505" t="s">
        <v>6886</v>
      </c>
      <c r="E4505">
        <v>5810698.6600000001</v>
      </c>
      <c r="G4505" s="35"/>
      <c r="H4505" s="36">
        <f t="shared" si="212"/>
        <v>3660740.1558000003</v>
      </c>
      <c r="I4505" s="37">
        <f t="shared" si="210"/>
        <v>3660740.1558000003</v>
      </c>
      <c r="J4505" s="4"/>
      <c r="K4505" s="38">
        <f t="shared" si="211"/>
        <v>0</v>
      </c>
    </row>
    <row r="4506" spans="1:11">
      <c r="A4506" t="s">
        <v>1308</v>
      </c>
      <c r="B4506" t="s">
        <v>10185</v>
      </c>
      <c r="C4506" t="s">
        <v>6881</v>
      </c>
      <c r="D4506" t="s">
        <v>6887</v>
      </c>
      <c r="E4506">
        <v>6342969.8600000003</v>
      </c>
      <c r="G4506" s="35"/>
      <c r="H4506" s="36">
        <f t="shared" si="212"/>
        <v>3996071.0118000004</v>
      </c>
      <c r="I4506" s="37">
        <f t="shared" si="210"/>
        <v>3996071.0118000004</v>
      </c>
      <c r="J4506" s="4"/>
      <c r="K4506" s="38">
        <f t="shared" si="211"/>
        <v>0</v>
      </c>
    </row>
    <row r="4507" spans="1:11">
      <c r="A4507" t="s">
        <v>1309</v>
      </c>
      <c r="B4507" t="s">
        <v>10185</v>
      </c>
      <c r="C4507" t="s">
        <v>6881</v>
      </c>
      <c r="D4507" t="s">
        <v>6888</v>
      </c>
      <c r="E4507">
        <v>6342969.8600000003</v>
      </c>
      <c r="G4507" s="35"/>
      <c r="H4507" s="36">
        <f t="shared" si="212"/>
        <v>3996071.0118000004</v>
      </c>
      <c r="I4507" s="37">
        <f t="shared" si="210"/>
        <v>3996071.0118000004</v>
      </c>
      <c r="J4507" s="4"/>
      <c r="K4507" s="38">
        <f t="shared" si="211"/>
        <v>0</v>
      </c>
    </row>
    <row r="4508" spans="1:11">
      <c r="A4508" t="s">
        <v>1310</v>
      </c>
      <c r="B4508" t="s">
        <v>10185</v>
      </c>
      <c r="C4508" t="s">
        <v>6881</v>
      </c>
      <c r="D4508" t="s">
        <v>6889</v>
      </c>
      <c r="E4508">
        <v>852657.3</v>
      </c>
      <c r="G4508" s="35"/>
      <c r="H4508" s="36">
        <f t="shared" si="212"/>
        <v>537174.09900000005</v>
      </c>
      <c r="I4508" s="37">
        <f t="shared" si="210"/>
        <v>537174.09900000005</v>
      </c>
      <c r="J4508" s="4"/>
      <c r="K4508" s="38">
        <f t="shared" si="211"/>
        <v>0</v>
      </c>
    </row>
    <row r="4509" spans="1:11">
      <c r="A4509" t="s">
        <v>1311</v>
      </c>
      <c r="B4509" t="s">
        <v>10185</v>
      </c>
      <c r="C4509" t="s">
        <v>6881</v>
      </c>
      <c r="D4509" t="s">
        <v>6890</v>
      </c>
      <c r="E4509">
        <v>936603.07</v>
      </c>
      <c r="G4509" s="35"/>
      <c r="H4509" s="36">
        <f t="shared" si="212"/>
        <v>590059.93409999995</v>
      </c>
      <c r="I4509" s="37">
        <f t="shared" si="210"/>
        <v>590059.93409999995</v>
      </c>
      <c r="J4509" s="4"/>
      <c r="K4509" s="38">
        <f t="shared" si="211"/>
        <v>0</v>
      </c>
    </row>
    <row r="4510" spans="1:11">
      <c r="A4510" t="s">
        <v>1312</v>
      </c>
      <c r="B4510" t="s">
        <v>10185</v>
      </c>
      <c r="C4510" t="s">
        <v>6881</v>
      </c>
      <c r="D4510" t="s">
        <v>6891</v>
      </c>
      <c r="E4510">
        <v>1008743.19</v>
      </c>
      <c r="G4510" s="35"/>
      <c r="H4510" s="36">
        <f t="shared" si="212"/>
        <v>635508.20970000001</v>
      </c>
      <c r="I4510" s="37">
        <f t="shared" si="210"/>
        <v>635508.20970000001</v>
      </c>
      <c r="J4510" s="4"/>
      <c r="K4510" s="38">
        <f t="shared" si="211"/>
        <v>0</v>
      </c>
    </row>
    <row r="4511" spans="1:11">
      <c r="A4511" t="s">
        <v>1313</v>
      </c>
      <c r="B4511" t="s">
        <v>10185</v>
      </c>
      <c r="C4511" t="s">
        <v>6881</v>
      </c>
      <c r="D4511" t="s">
        <v>6892</v>
      </c>
      <c r="E4511">
        <v>660837.76</v>
      </c>
      <c r="G4511" s="35"/>
      <c r="H4511" s="36">
        <f t="shared" si="212"/>
        <v>416327.78879999998</v>
      </c>
      <c r="I4511" s="37">
        <f t="shared" si="210"/>
        <v>416327.78879999998</v>
      </c>
      <c r="J4511" s="4"/>
      <c r="K4511" s="38">
        <f t="shared" si="211"/>
        <v>0</v>
      </c>
    </row>
    <row r="4512" spans="1:11">
      <c r="A4512" t="s">
        <v>1314</v>
      </c>
      <c r="B4512" t="s">
        <v>10185</v>
      </c>
      <c r="C4512" t="s">
        <v>6881</v>
      </c>
      <c r="D4512" t="s">
        <v>6893</v>
      </c>
      <c r="E4512">
        <v>738975.4</v>
      </c>
      <c r="G4512" s="35"/>
      <c r="H4512" s="36">
        <f t="shared" si="212"/>
        <v>465554.50200000004</v>
      </c>
      <c r="I4512" s="37">
        <f t="shared" si="210"/>
        <v>465554.50200000004</v>
      </c>
      <c r="J4512" s="4"/>
      <c r="K4512" s="38">
        <f t="shared" si="211"/>
        <v>0</v>
      </c>
    </row>
    <row r="4513" spans="1:11">
      <c r="A4513" t="s">
        <v>1315</v>
      </c>
      <c r="B4513" t="s">
        <v>10185</v>
      </c>
      <c r="C4513" t="s">
        <v>6881</v>
      </c>
      <c r="D4513" t="s">
        <v>6894</v>
      </c>
      <c r="E4513">
        <v>821254.64</v>
      </c>
      <c r="G4513" s="35"/>
      <c r="H4513" s="36">
        <f t="shared" si="212"/>
        <v>517390.42320000002</v>
      </c>
      <c r="I4513" s="37">
        <f t="shared" si="210"/>
        <v>517390.42320000002</v>
      </c>
      <c r="J4513" s="4"/>
      <c r="K4513" s="38">
        <f t="shared" si="211"/>
        <v>0</v>
      </c>
    </row>
    <row r="4514" spans="1:11">
      <c r="A4514" t="s">
        <v>1316</v>
      </c>
      <c r="B4514" t="s">
        <v>10185</v>
      </c>
      <c r="C4514" t="s">
        <v>6881</v>
      </c>
      <c r="D4514" t="s">
        <v>6895</v>
      </c>
      <c r="E4514">
        <v>897207.25</v>
      </c>
      <c r="G4514" s="35"/>
      <c r="H4514" s="36">
        <f t="shared" si="212"/>
        <v>565240.5675</v>
      </c>
      <c r="I4514" s="37">
        <f t="shared" si="210"/>
        <v>565240.5675</v>
      </c>
      <c r="J4514" s="4"/>
      <c r="K4514" s="38">
        <f t="shared" si="211"/>
        <v>0</v>
      </c>
    </row>
    <row r="4515" spans="1:11">
      <c r="A4515" t="s">
        <v>1317</v>
      </c>
      <c r="B4515" t="s">
        <v>10185</v>
      </c>
      <c r="C4515" t="s">
        <v>6881</v>
      </c>
      <c r="D4515" t="s">
        <v>6848</v>
      </c>
      <c r="E4515">
        <v>678722.85</v>
      </c>
      <c r="G4515" s="35"/>
      <c r="H4515" s="36">
        <f t="shared" si="212"/>
        <v>427595.39549999998</v>
      </c>
      <c r="I4515" s="37">
        <f t="shared" si="210"/>
        <v>427595.39549999998</v>
      </c>
      <c r="J4515" s="4"/>
      <c r="K4515" s="38">
        <f t="shared" si="211"/>
        <v>0</v>
      </c>
    </row>
    <row r="4516" spans="1:11">
      <c r="A4516" t="s">
        <v>1318</v>
      </c>
      <c r="B4516" t="s">
        <v>10185</v>
      </c>
      <c r="C4516" t="s">
        <v>6881</v>
      </c>
      <c r="D4516" t="s">
        <v>6896</v>
      </c>
      <c r="E4516">
        <v>773355.9</v>
      </c>
      <c r="G4516" s="35"/>
      <c r="H4516" s="36">
        <f t="shared" si="212"/>
        <v>487214.217</v>
      </c>
      <c r="I4516" s="37">
        <f t="shared" si="210"/>
        <v>487214.217</v>
      </c>
      <c r="J4516" s="4"/>
      <c r="K4516" s="38">
        <f t="shared" si="211"/>
        <v>0</v>
      </c>
    </row>
    <row r="4517" spans="1:11">
      <c r="A4517" t="s">
        <v>1319</v>
      </c>
      <c r="B4517" t="s">
        <v>10185</v>
      </c>
      <c r="C4517" t="s">
        <v>6881</v>
      </c>
      <c r="D4517" t="s">
        <v>6897</v>
      </c>
      <c r="E4517">
        <v>697332.98</v>
      </c>
      <c r="G4517" s="35"/>
      <c r="H4517" s="36">
        <f t="shared" si="212"/>
        <v>439319.77739999996</v>
      </c>
      <c r="I4517" s="37">
        <f t="shared" si="210"/>
        <v>439319.77739999996</v>
      </c>
      <c r="J4517" s="4"/>
      <c r="K4517" s="38">
        <f t="shared" si="211"/>
        <v>0</v>
      </c>
    </row>
    <row r="4518" spans="1:11">
      <c r="A4518" t="s">
        <v>1320</v>
      </c>
      <c r="B4518" t="s">
        <v>10185</v>
      </c>
      <c r="C4518" t="s">
        <v>6881</v>
      </c>
      <c r="D4518" t="s">
        <v>6898</v>
      </c>
      <c r="E4518">
        <v>781177.6</v>
      </c>
      <c r="G4518" s="35"/>
      <c r="H4518" s="36">
        <f t="shared" si="212"/>
        <v>492141.88799999998</v>
      </c>
      <c r="I4518" s="37">
        <f t="shared" si="210"/>
        <v>492141.88799999998</v>
      </c>
      <c r="J4518" s="4"/>
      <c r="K4518" s="38">
        <f t="shared" si="211"/>
        <v>0</v>
      </c>
    </row>
    <row r="4519" spans="1:11">
      <c r="A4519" t="s">
        <v>1321</v>
      </c>
      <c r="B4519" t="s">
        <v>10185</v>
      </c>
      <c r="C4519" t="s">
        <v>6881</v>
      </c>
      <c r="D4519" t="s">
        <v>6899</v>
      </c>
      <c r="E4519">
        <v>838288.09</v>
      </c>
      <c r="G4519" s="35"/>
      <c r="H4519" s="36">
        <f t="shared" si="212"/>
        <v>528121.49670000002</v>
      </c>
      <c r="I4519" s="37">
        <f t="shared" si="210"/>
        <v>528121.49670000002</v>
      </c>
      <c r="J4519" s="4"/>
      <c r="K4519" s="38">
        <f t="shared" si="211"/>
        <v>0</v>
      </c>
    </row>
    <row r="4520" spans="1:11">
      <c r="A4520" t="s">
        <v>1322</v>
      </c>
      <c r="B4520" t="s">
        <v>10185</v>
      </c>
      <c r="C4520" t="s">
        <v>6881</v>
      </c>
      <c r="D4520" t="s">
        <v>10594</v>
      </c>
      <c r="E4520">
        <v>557011.84</v>
      </c>
      <c r="G4520" s="35"/>
      <c r="H4520" s="36">
        <f t="shared" si="212"/>
        <v>350917.45919999998</v>
      </c>
      <c r="I4520" s="37">
        <f t="shared" si="210"/>
        <v>350917.45919999998</v>
      </c>
      <c r="J4520" s="4"/>
      <c r="K4520" s="38">
        <f t="shared" si="211"/>
        <v>0</v>
      </c>
    </row>
    <row r="4521" spans="1:11">
      <c r="A4521" t="s">
        <v>1323</v>
      </c>
      <c r="B4521" t="s">
        <v>10185</v>
      </c>
      <c r="C4521" t="s">
        <v>6881</v>
      </c>
      <c r="D4521" t="s">
        <v>6900</v>
      </c>
      <c r="E4521">
        <v>612743.80000000005</v>
      </c>
      <c r="G4521" s="35"/>
      <c r="H4521" s="36">
        <f t="shared" si="212"/>
        <v>386028.59400000004</v>
      </c>
      <c r="I4521" s="37">
        <f t="shared" si="210"/>
        <v>386028.59400000004</v>
      </c>
      <c r="J4521" s="4"/>
      <c r="K4521" s="38">
        <f t="shared" si="211"/>
        <v>0</v>
      </c>
    </row>
    <row r="4522" spans="1:11">
      <c r="A4522" t="s">
        <v>1324</v>
      </c>
      <c r="B4522" t="s">
        <v>10185</v>
      </c>
      <c r="C4522" t="s">
        <v>6881</v>
      </c>
      <c r="D4522" t="s">
        <v>12350</v>
      </c>
      <c r="E4522">
        <v>587629.1</v>
      </c>
      <c r="G4522" s="35"/>
      <c r="H4522" s="36">
        <f t="shared" si="212"/>
        <v>370206.33299999998</v>
      </c>
      <c r="I4522" s="37">
        <f t="shared" si="210"/>
        <v>370206.33299999998</v>
      </c>
      <c r="J4522" s="4"/>
      <c r="K4522" s="38">
        <f t="shared" si="211"/>
        <v>0</v>
      </c>
    </row>
    <row r="4523" spans="1:11">
      <c r="A4523" t="s">
        <v>1255</v>
      </c>
      <c r="B4523" t="s">
        <v>10185</v>
      </c>
      <c r="C4523" t="s">
        <v>6835</v>
      </c>
      <c r="D4523" t="s">
        <v>6836</v>
      </c>
      <c r="E4523">
        <v>401939.14</v>
      </c>
      <c r="G4523" s="35"/>
      <c r="H4523" s="36">
        <f t="shared" si="212"/>
        <v>253221.65820000001</v>
      </c>
      <c r="I4523" s="37">
        <f t="shared" si="210"/>
        <v>253221.65820000001</v>
      </c>
      <c r="J4523" s="4"/>
      <c r="K4523" s="38">
        <f t="shared" si="211"/>
        <v>0</v>
      </c>
    </row>
    <row r="4524" spans="1:11">
      <c r="A4524" t="s">
        <v>1256</v>
      </c>
      <c r="B4524" t="s">
        <v>10185</v>
      </c>
      <c r="C4524" t="s">
        <v>6835</v>
      </c>
      <c r="D4524" t="s">
        <v>6837</v>
      </c>
      <c r="E4524">
        <v>444335.42</v>
      </c>
      <c r="G4524" s="35"/>
      <c r="H4524" s="36">
        <f t="shared" si="212"/>
        <v>279931.31459999998</v>
      </c>
      <c r="I4524" s="37">
        <f t="shared" si="210"/>
        <v>279931.31459999998</v>
      </c>
      <c r="J4524" s="4"/>
      <c r="K4524" s="38">
        <f t="shared" si="211"/>
        <v>0</v>
      </c>
    </row>
    <row r="4525" spans="1:11">
      <c r="A4525" t="s">
        <v>1257</v>
      </c>
      <c r="B4525" t="s">
        <v>10185</v>
      </c>
      <c r="C4525" t="s">
        <v>6835</v>
      </c>
      <c r="D4525" t="s">
        <v>6838</v>
      </c>
      <c r="E4525">
        <v>518831.69</v>
      </c>
      <c r="G4525" s="35"/>
      <c r="H4525" s="36">
        <f t="shared" si="212"/>
        <v>326863.96470000001</v>
      </c>
      <c r="I4525" s="37">
        <f t="shared" si="210"/>
        <v>326863.96470000001</v>
      </c>
      <c r="J4525" s="4"/>
      <c r="K4525" s="38">
        <f t="shared" si="211"/>
        <v>0</v>
      </c>
    </row>
    <row r="4526" spans="1:11">
      <c r="A4526" t="s">
        <v>1258</v>
      </c>
      <c r="B4526" t="s">
        <v>10185</v>
      </c>
      <c r="C4526" t="s">
        <v>6835</v>
      </c>
      <c r="D4526" t="s">
        <v>6839</v>
      </c>
      <c r="E4526">
        <v>399887.61</v>
      </c>
      <c r="G4526" s="35"/>
      <c r="H4526" s="36">
        <f t="shared" si="212"/>
        <v>251929.1943</v>
      </c>
      <c r="I4526" s="37">
        <f t="shared" si="210"/>
        <v>251929.1943</v>
      </c>
      <c r="J4526" s="4"/>
      <c r="K4526" s="38">
        <f t="shared" si="211"/>
        <v>0</v>
      </c>
    </row>
    <row r="4527" spans="1:11">
      <c r="A4527" t="s">
        <v>1259</v>
      </c>
      <c r="B4527" t="s">
        <v>10185</v>
      </c>
      <c r="C4527" t="s">
        <v>6835</v>
      </c>
      <c r="D4527" t="s">
        <v>6840</v>
      </c>
      <c r="E4527">
        <v>435691.11</v>
      </c>
      <c r="G4527" s="35"/>
      <c r="H4527" s="36">
        <f t="shared" si="212"/>
        <v>274485.39929999999</v>
      </c>
      <c r="I4527" s="37">
        <f t="shared" si="210"/>
        <v>274485.39929999999</v>
      </c>
      <c r="J4527" s="4"/>
      <c r="K4527" s="38">
        <f t="shared" si="211"/>
        <v>0</v>
      </c>
    </row>
    <row r="4528" spans="1:11">
      <c r="A4528" t="s">
        <v>1260</v>
      </c>
      <c r="B4528" t="s">
        <v>10185</v>
      </c>
      <c r="C4528" t="s">
        <v>6835</v>
      </c>
      <c r="D4528" t="s">
        <v>6841</v>
      </c>
      <c r="E4528">
        <v>441714.79</v>
      </c>
      <c r="G4528" s="35"/>
      <c r="H4528" s="36">
        <f t="shared" si="212"/>
        <v>278280.31770000001</v>
      </c>
      <c r="I4528" s="37">
        <f t="shared" si="210"/>
        <v>278280.31770000001</v>
      </c>
      <c r="J4528" s="4"/>
      <c r="K4528" s="38">
        <f t="shared" si="211"/>
        <v>0</v>
      </c>
    </row>
    <row r="4529" spans="1:11">
      <c r="A4529" t="s">
        <v>1261</v>
      </c>
      <c r="B4529" t="s">
        <v>10185</v>
      </c>
      <c r="C4529" t="s">
        <v>6835</v>
      </c>
      <c r="D4529" t="s">
        <v>6842</v>
      </c>
      <c r="E4529">
        <v>478826.4</v>
      </c>
      <c r="G4529" s="35"/>
      <c r="H4529" s="36">
        <f t="shared" si="212"/>
        <v>301660.63200000004</v>
      </c>
      <c r="I4529" s="37">
        <f t="shared" si="210"/>
        <v>301660.63200000004</v>
      </c>
      <c r="J4529" s="4"/>
      <c r="K4529" s="38">
        <f t="shared" si="211"/>
        <v>0</v>
      </c>
    </row>
    <row r="4530" spans="1:11">
      <c r="A4530" t="s">
        <v>9825</v>
      </c>
      <c r="B4530" t="s">
        <v>10183</v>
      </c>
      <c r="C4530" t="s">
        <v>9823</v>
      </c>
      <c r="D4530" t="s">
        <v>9849</v>
      </c>
      <c r="E4530">
        <v>4649.09</v>
      </c>
      <c r="G4530" s="35"/>
      <c r="H4530" s="36">
        <f t="shared" si="212"/>
        <v>2928.9267</v>
      </c>
      <c r="I4530" s="37">
        <f t="shared" si="210"/>
        <v>2928.9267</v>
      </c>
      <c r="J4530" s="4"/>
      <c r="K4530" s="38">
        <f t="shared" si="211"/>
        <v>0</v>
      </c>
    </row>
    <row r="4531" spans="1:11">
      <c r="A4531" t="s">
        <v>9822</v>
      </c>
      <c r="B4531" t="s">
        <v>10183</v>
      </c>
      <c r="C4531" t="s">
        <v>9823</v>
      </c>
      <c r="D4531" t="s">
        <v>9850</v>
      </c>
      <c r="E4531">
        <v>26058.51</v>
      </c>
      <c r="G4531" s="35"/>
      <c r="H4531" s="36">
        <f t="shared" si="212"/>
        <v>16416.8613</v>
      </c>
      <c r="I4531" s="37">
        <f t="shared" si="210"/>
        <v>16416.8613</v>
      </c>
      <c r="J4531" s="4"/>
      <c r="K4531" s="38">
        <f t="shared" si="211"/>
        <v>0</v>
      </c>
    </row>
    <row r="4532" spans="1:11">
      <c r="A4532" t="s">
        <v>9842</v>
      </c>
      <c r="B4532" t="s">
        <v>10183</v>
      </c>
      <c r="C4532" t="s">
        <v>9823</v>
      </c>
      <c r="D4532" t="s">
        <v>9843</v>
      </c>
      <c r="E4532">
        <v>6702.87</v>
      </c>
      <c r="G4532" s="35"/>
      <c r="H4532" s="36">
        <f t="shared" si="212"/>
        <v>4222.8081000000002</v>
      </c>
      <c r="I4532" s="37">
        <f t="shared" si="210"/>
        <v>4222.8081000000002</v>
      </c>
      <c r="J4532" s="4"/>
      <c r="K4532" s="38">
        <f t="shared" si="211"/>
        <v>0</v>
      </c>
    </row>
    <row r="4533" spans="1:11">
      <c r="A4533" t="s">
        <v>10018</v>
      </c>
      <c r="B4533" t="s">
        <v>10183</v>
      </c>
      <c r="C4533" t="s">
        <v>9823</v>
      </c>
      <c r="D4533" t="s">
        <v>10019</v>
      </c>
      <c r="E4533">
        <v>27908.06</v>
      </c>
      <c r="G4533" s="35"/>
      <c r="H4533" s="36">
        <f t="shared" si="212"/>
        <v>17582.077800000003</v>
      </c>
      <c r="I4533" s="37">
        <f t="shared" si="210"/>
        <v>17582.077800000003</v>
      </c>
      <c r="J4533" s="4"/>
      <c r="K4533" s="38">
        <f t="shared" si="211"/>
        <v>0</v>
      </c>
    </row>
    <row r="4534" spans="1:11">
      <c r="A4534" t="s">
        <v>9906</v>
      </c>
      <c r="B4534" t="s">
        <v>10183</v>
      </c>
      <c r="C4534" t="s">
        <v>9823</v>
      </c>
      <c r="D4534" t="s">
        <v>9907</v>
      </c>
      <c r="E4534">
        <v>37573.86</v>
      </c>
      <c r="G4534" s="35"/>
      <c r="H4534" s="36">
        <f t="shared" si="212"/>
        <v>23671.531800000001</v>
      </c>
      <c r="I4534" s="37">
        <f t="shared" si="210"/>
        <v>23671.531800000001</v>
      </c>
      <c r="J4534" s="4"/>
      <c r="K4534" s="38">
        <f t="shared" si="211"/>
        <v>0</v>
      </c>
    </row>
    <row r="4535" spans="1:11">
      <c r="A4535" t="s">
        <v>11744</v>
      </c>
      <c r="B4535" t="s">
        <v>10183</v>
      </c>
      <c r="C4535" t="s">
        <v>9823</v>
      </c>
      <c r="D4535" t="s">
        <v>11745</v>
      </c>
      <c r="E4535">
        <v>12280.84</v>
      </c>
      <c r="G4535" s="35"/>
      <c r="H4535" s="36">
        <f t="shared" si="212"/>
        <v>7736.9292000000005</v>
      </c>
      <c r="I4535" s="37">
        <f t="shared" si="210"/>
        <v>7736.9292000000005</v>
      </c>
      <c r="J4535" s="4"/>
      <c r="K4535" s="38">
        <f t="shared" si="211"/>
        <v>0</v>
      </c>
    </row>
    <row r="4536" spans="1:11">
      <c r="A4536" t="s">
        <v>9989</v>
      </c>
      <c r="B4536" t="s">
        <v>10183</v>
      </c>
      <c r="C4536" t="s">
        <v>9823</v>
      </c>
      <c r="D4536" t="s">
        <v>9990</v>
      </c>
      <c r="E4536">
        <v>41685.089999999997</v>
      </c>
      <c r="G4536" s="35"/>
      <c r="H4536" s="36">
        <f t="shared" si="212"/>
        <v>26261.606699999997</v>
      </c>
      <c r="I4536" s="37">
        <f t="shared" si="210"/>
        <v>26261.606699999997</v>
      </c>
      <c r="J4536" s="4"/>
      <c r="K4536" s="38">
        <f t="shared" si="211"/>
        <v>0</v>
      </c>
    </row>
    <row r="4537" spans="1:11">
      <c r="A4537" t="s">
        <v>9908</v>
      </c>
      <c r="B4537" t="s">
        <v>10183</v>
      </c>
      <c r="C4537" t="s">
        <v>9823</v>
      </c>
      <c r="D4537" t="s">
        <v>9909</v>
      </c>
      <c r="E4537">
        <v>37573.86</v>
      </c>
      <c r="G4537" s="35"/>
      <c r="H4537" s="36">
        <f t="shared" si="212"/>
        <v>23671.531800000001</v>
      </c>
      <c r="I4537" s="37">
        <f t="shared" si="210"/>
        <v>23671.531800000001</v>
      </c>
      <c r="J4537" s="4"/>
      <c r="K4537" s="38">
        <f t="shared" si="211"/>
        <v>0</v>
      </c>
    </row>
    <row r="4538" spans="1:11">
      <c r="A4538" t="s">
        <v>9910</v>
      </c>
      <c r="B4538" t="s">
        <v>10183</v>
      </c>
      <c r="C4538" t="s">
        <v>9823</v>
      </c>
      <c r="D4538" t="s">
        <v>9911</v>
      </c>
      <c r="E4538">
        <v>32401.81</v>
      </c>
      <c r="G4538" s="35"/>
      <c r="H4538" s="36">
        <f t="shared" si="212"/>
        <v>20413.140300000003</v>
      </c>
      <c r="I4538" s="37">
        <f t="shared" si="210"/>
        <v>20413.140300000003</v>
      </c>
      <c r="J4538" s="4"/>
      <c r="K4538" s="38">
        <f t="shared" si="211"/>
        <v>0</v>
      </c>
    </row>
    <row r="4539" spans="1:11">
      <c r="A4539" t="s">
        <v>9912</v>
      </c>
      <c r="B4539" t="s">
        <v>10183</v>
      </c>
      <c r="C4539" t="s">
        <v>9823</v>
      </c>
      <c r="D4539" t="s">
        <v>9913</v>
      </c>
      <c r="E4539">
        <v>34415.839999999997</v>
      </c>
      <c r="G4539" s="35"/>
      <c r="H4539" s="36">
        <f t="shared" si="212"/>
        <v>21681.979199999998</v>
      </c>
      <c r="I4539" s="37">
        <f t="shared" si="210"/>
        <v>21681.979199999998</v>
      </c>
      <c r="J4539" s="4"/>
      <c r="K4539" s="38">
        <f t="shared" si="211"/>
        <v>0</v>
      </c>
    </row>
    <row r="4540" spans="1:11">
      <c r="A4540" t="s">
        <v>9826</v>
      </c>
      <c r="B4540" t="s">
        <v>10183</v>
      </c>
      <c r="C4540" t="s">
        <v>9823</v>
      </c>
      <c r="D4540" t="s">
        <v>9851</v>
      </c>
      <c r="E4540">
        <v>13176.49</v>
      </c>
      <c r="G4540" s="35"/>
      <c r="H4540" s="36">
        <f t="shared" si="212"/>
        <v>8301.1887000000006</v>
      </c>
      <c r="I4540" s="37">
        <f t="shared" si="210"/>
        <v>8301.1887000000006</v>
      </c>
      <c r="J4540" s="4"/>
      <c r="K4540" s="38">
        <f t="shared" si="211"/>
        <v>0</v>
      </c>
    </row>
    <row r="4541" spans="1:11">
      <c r="A4541" t="s">
        <v>12963</v>
      </c>
      <c r="B4541" t="s">
        <v>10183</v>
      </c>
      <c r="C4541" t="s">
        <v>9823</v>
      </c>
      <c r="D4541" t="s">
        <v>12964</v>
      </c>
      <c r="E4541">
        <v>10301.540000000001</v>
      </c>
      <c r="G4541" s="35"/>
      <c r="H4541" s="36">
        <f t="shared" si="212"/>
        <v>6489.9702000000007</v>
      </c>
      <c r="I4541" s="37">
        <f t="shared" si="210"/>
        <v>6489.9702000000007</v>
      </c>
      <c r="J4541" s="4"/>
      <c r="K4541" s="38">
        <f t="shared" si="211"/>
        <v>0</v>
      </c>
    </row>
    <row r="4542" spans="1:11">
      <c r="A4542" t="s">
        <v>9827</v>
      </c>
      <c r="B4542" t="s">
        <v>10183</v>
      </c>
      <c r="C4542" t="s">
        <v>9823</v>
      </c>
      <c r="D4542" t="s">
        <v>9852</v>
      </c>
      <c r="E4542">
        <v>5074.8500000000004</v>
      </c>
      <c r="G4542" s="35"/>
      <c r="H4542" s="36">
        <f t="shared" si="212"/>
        <v>3197.1555000000003</v>
      </c>
      <c r="I4542" s="37">
        <f t="shared" si="210"/>
        <v>3197.1555000000003</v>
      </c>
      <c r="J4542" s="4"/>
      <c r="K4542" s="38">
        <f t="shared" si="211"/>
        <v>0</v>
      </c>
    </row>
    <row r="4543" spans="1:11">
      <c r="A4543" t="s">
        <v>9914</v>
      </c>
      <c r="B4543" t="s">
        <v>10183</v>
      </c>
      <c r="C4543" t="s">
        <v>9823</v>
      </c>
      <c r="D4543" t="s">
        <v>9915</v>
      </c>
      <c r="E4543">
        <v>26254.080000000002</v>
      </c>
      <c r="G4543" s="35"/>
      <c r="H4543" s="36">
        <f t="shared" si="212"/>
        <v>16540.070400000001</v>
      </c>
      <c r="I4543" s="37">
        <f t="shared" si="210"/>
        <v>16540.070400000001</v>
      </c>
      <c r="J4543" s="4"/>
      <c r="K4543" s="38">
        <f t="shared" si="211"/>
        <v>0</v>
      </c>
    </row>
    <row r="4544" spans="1:11">
      <c r="A4544" t="s">
        <v>9916</v>
      </c>
      <c r="B4544" t="s">
        <v>10183</v>
      </c>
      <c r="C4544" t="s">
        <v>9823</v>
      </c>
      <c r="D4544" t="s">
        <v>9917</v>
      </c>
      <c r="E4544">
        <v>18092.259999999998</v>
      </c>
      <c r="G4544" s="35"/>
      <c r="H4544" s="36">
        <f t="shared" si="212"/>
        <v>11398.123799999999</v>
      </c>
      <c r="I4544" s="37">
        <f t="shared" si="210"/>
        <v>11398.123799999999</v>
      </c>
      <c r="J4544" s="4"/>
      <c r="K4544" s="38">
        <f t="shared" si="211"/>
        <v>0</v>
      </c>
    </row>
    <row r="4545" spans="1:11">
      <c r="A4545" t="s">
        <v>9918</v>
      </c>
      <c r="B4545" t="s">
        <v>10183</v>
      </c>
      <c r="C4545" t="s">
        <v>9823</v>
      </c>
      <c r="D4545" t="s">
        <v>12605</v>
      </c>
      <c r="E4545">
        <v>12966.06</v>
      </c>
      <c r="G4545" s="35"/>
      <c r="H4545" s="36">
        <f t="shared" si="212"/>
        <v>8168.6178</v>
      </c>
      <c r="I4545" s="37">
        <f t="shared" si="210"/>
        <v>8168.6178</v>
      </c>
      <c r="J4545" s="4"/>
      <c r="K4545" s="38">
        <f t="shared" si="211"/>
        <v>0</v>
      </c>
    </row>
    <row r="4546" spans="1:11">
      <c r="A4546" t="s">
        <v>9954</v>
      </c>
      <c r="B4546" t="s">
        <v>10183</v>
      </c>
      <c r="C4546" t="s">
        <v>9823</v>
      </c>
      <c r="D4546" t="s">
        <v>9955</v>
      </c>
      <c r="E4546">
        <v>15149.58</v>
      </c>
      <c r="G4546" s="35"/>
      <c r="H4546" s="36">
        <f t="shared" si="212"/>
        <v>9544.2353999999996</v>
      </c>
      <c r="I4546" s="37">
        <f t="shared" si="210"/>
        <v>9544.2353999999996</v>
      </c>
      <c r="J4546" s="4"/>
      <c r="K4546" s="38">
        <f t="shared" si="211"/>
        <v>0</v>
      </c>
    </row>
    <row r="4547" spans="1:11">
      <c r="A4547" t="s">
        <v>9919</v>
      </c>
      <c r="B4547" t="s">
        <v>10183</v>
      </c>
      <c r="C4547" t="s">
        <v>9823</v>
      </c>
      <c r="D4547" t="s">
        <v>9920</v>
      </c>
      <c r="E4547">
        <v>12540.81</v>
      </c>
      <c r="G4547" s="35"/>
      <c r="H4547" s="36">
        <f t="shared" si="212"/>
        <v>7900.7102999999997</v>
      </c>
      <c r="I4547" s="37">
        <f t="shared" si="210"/>
        <v>7900.7102999999997</v>
      </c>
      <c r="J4547" s="4"/>
      <c r="K4547" s="38">
        <f t="shared" si="211"/>
        <v>0</v>
      </c>
    </row>
    <row r="4548" spans="1:11">
      <c r="A4548" t="s">
        <v>10043</v>
      </c>
      <c r="B4548" t="s">
        <v>10183</v>
      </c>
      <c r="C4548" t="s">
        <v>9823</v>
      </c>
      <c r="D4548" t="s">
        <v>10044</v>
      </c>
      <c r="E4548">
        <v>5980.62</v>
      </c>
      <c r="G4548" s="35"/>
      <c r="H4548" s="36">
        <f t="shared" si="212"/>
        <v>3767.7905999999998</v>
      </c>
      <c r="I4548" s="37">
        <f t="shared" si="210"/>
        <v>3767.7905999999998</v>
      </c>
      <c r="J4548" s="4"/>
      <c r="K4548" s="38">
        <f t="shared" si="211"/>
        <v>0</v>
      </c>
    </row>
    <row r="4549" spans="1:11">
      <c r="A4549" t="s">
        <v>10045</v>
      </c>
      <c r="B4549" t="s">
        <v>10183</v>
      </c>
      <c r="C4549" t="s">
        <v>9823</v>
      </c>
      <c r="D4549" t="s">
        <v>10046</v>
      </c>
      <c r="E4549">
        <v>9200.14</v>
      </c>
      <c r="G4549" s="35"/>
      <c r="H4549" s="36">
        <f t="shared" si="212"/>
        <v>5796.0881999999992</v>
      </c>
      <c r="I4549" s="37">
        <f t="shared" si="210"/>
        <v>5796.0881999999992</v>
      </c>
      <c r="J4549" s="4"/>
      <c r="K4549" s="38">
        <f t="shared" si="211"/>
        <v>0</v>
      </c>
    </row>
    <row r="4550" spans="1:11">
      <c r="A4550" t="s">
        <v>10047</v>
      </c>
      <c r="B4550" t="s">
        <v>10183</v>
      </c>
      <c r="C4550" t="s">
        <v>9823</v>
      </c>
      <c r="D4550" t="s">
        <v>10046</v>
      </c>
      <c r="E4550">
        <v>2701.79</v>
      </c>
      <c r="G4550" s="35"/>
      <c r="H4550" s="36">
        <f t="shared" si="212"/>
        <v>1702.1277</v>
      </c>
      <c r="I4550" s="37">
        <f t="shared" ref="I4550:I4613" si="213">H4550*$H$4</f>
        <v>1702.1277</v>
      </c>
      <c r="J4550" s="4"/>
      <c r="K4550" s="38">
        <f t="shared" ref="K4550:K4613" si="214">J4550*I4550</f>
        <v>0</v>
      </c>
    </row>
    <row r="4551" spans="1:11">
      <c r="A4551" t="s">
        <v>12392</v>
      </c>
      <c r="B4551" t="s">
        <v>10183</v>
      </c>
      <c r="C4551" t="s">
        <v>9823</v>
      </c>
      <c r="D4551" t="s">
        <v>12393</v>
      </c>
      <c r="E4551">
        <v>28281.31</v>
      </c>
      <c r="G4551" s="35"/>
      <c r="H4551" s="36">
        <f t="shared" ref="H4551:H4614" si="215">+E4551*$H$1*(1-G4551)</f>
        <v>17817.225300000002</v>
      </c>
      <c r="I4551" s="37">
        <f t="shared" si="213"/>
        <v>17817.225300000002</v>
      </c>
      <c r="J4551" s="4"/>
      <c r="K4551" s="38">
        <f t="shared" si="214"/>
        <v>0</v>
      </c>
    </row>
    <row r="4552" spans="1:11">
      <c r="A4552" t="s">
        <v>9828</v>
      </c>
      <c r="B4552" t="s">
        <v>10183</v>
      </c>
      <c r="C4552" t="s">
        <v>9823</v>
      </c>
      <c r="D4552" t="s">
        <v>9853</v>
      </c>
      <c r="E4552">
        <v>3122.48</v>
      </c>
      <c r="G4552" s="35"/>
      <c r="H4552" s="36">
        <f t="shared" si="215"/>
        <v>1967.1623999999999</v>
      </c>
      <c r="I4552" s="37">
        <f t="shared" si="213"/>
        <v>1967.1623999999999</v>
      </c>
      <c r="J4552" s="4"/>
      <c r="K4552" s="38">
        <f t="shared" si="214"/>
        <v>0</v>
      </c>
    </row>
    <row r="4553" spans="1:11">
      <c r="A4553" t="s">
        <v>9921</v>
      </c>
      <c r="B4553" t="s">
        <v>10183</v>
      </c>
      <c r="C4553" t="s">
        <v>9823</v>
      </c>
      <c r="D4553" t="s">
        <v>9922</v>
      </c>
      <c r="E4553">
        <v>7314.59</v>
      </c>
      <c r="G4553" s="35"/>
      <c r="H4553" s="36">
        <f t="shared" si="215"/>
        <v>4608.1917000000003</v>
      </c>
      <c r="I4553" s="37">
        <f t="shared" si="213"/>
        <v>4608.1917000000003</v>
      </c>
      <c r="J4553" s="4"/>
      <c r="K4553" s="38">
        <f t="shared" si="214"/>
        <v>0</v>
      </c>
    </row>
    <row r="4554" spans="1:11">
      <c r="A4554" t="s">
        <v>9829</v>
      </c>
      <c r="B4554" t="s">
        <v>10183</v>
      </c>
      <c r="C4554" t="s">
        <v>9823</v>
      </c>
      <c r="D4554" t="s">
        <v>9854</v>
      </c>
      <c r="E4554">
        <v>2951.86</v>
      </c>
      <c r="G4554" s="35"/>
      <c r="H4554" s="36">
        <f t="shared" si="215"/>
        <v>1859.6718000000001</v>
      </c>
      <c r="I4554" s="37">
        <f t="shared" si="213"/>
        <v>1859.6718000000001</v>
      </c>
      <c r="J4554" s="4"/>
      <c r="K4554" s="38">
        <f t="shared" si="214"/>
        <v>0</v>
      </c>
    </row>
    <row r="4555" spans="1:11">
      <c r="A4555" t="s">
        <v>9830</v>
      </c>
      <c r="B4555" t="s">
        <v>10183</v>
      </c>
      <c r="C4555" t="s">
        <v>9823</v>
      </c>
      <c r="D4555" t="s">
        <v>9855</v>
      </c>
      <c r="E4555">
        <v>2724.59</v>
      </c>
      <c r="G4555" s="35"/>
      <c r="H4555" s="36">
        <f t="shared" si="215"/>
        <v>1716.4917</v>
      </c>
      <c r="I4555" s="37">
        <f t="shared" si="213"/>
        <v>1716.4917</v>
      </c>
      <c r="J4555" s="4"/>
      <c r="K4555" s="38">
        <f t="shared" si="214"/>
        <v>0</v>
      </c>
    </row>
    <row r="4556" spans="1:11">
      <c r="A4556" t="s">
        <v>9831</v>
      </c>
      <c r="B4556" t="s">
        <v>10183</v>
      </c>
      <c r="C4556" t="s">
        <v>9823</v>
      </c>
      <c r="D4556" t="s">
        <v>9856</v>
      </c>
      <c r="E4556">
        <v>4626.03</v>
      </c>
      <c r="G4556" s="35"/>
      <c r="H4556" s="36">
        <f t="shared" si="215"/>
        <v>2914.3988999999997</v>
      </c>
      <c r="I4556" s="37">
        <f t="shared" si="213"/>
        <v>2914.3988999999997</v>
      </c>
      <c r="J4556" s="4"/>
      <c r="K4556" s="38">
        <f t="shared" si="214"/>
        <v>0</v>
      </c>
    </row>
    <row r="4557" spans="1:11">
      <c r="A4557" t="s">
        <v>9993</v>
      </c>
      <c r="B4557" t="s">
        <v>10183</v>
      </c>
      <c r="C4557" t="s">
        <v>9823</v>
      </c>
      <c r="D4557" t="s">
        <v>9994</v>
      </c>
      <c r="E4557">
        <v>9753.7000000000007</v>
      </c>
      <c r="G4557" s="35"/>
      <c r="H4557" s="36">
        <f t="shared" si="215"/>
        <v>6144.8310000000001</v>
      </c>
      <c r="I4557" s="37">
        <f t="shared" si="213"/>
        <v>6144.8310000000001</v>
      </c>
      <c r="J4557" s="4"/>
      <c r="K4557" s="38">
        <f t="shared" si="214"/>
        <v>0</v>
      </c>
    </row>
    <row r="4558" spans="1:11">
      <c r="A4558" t="s">
        <v>10186</v>
      </c>
      <c r="B4558" t="s">
        <v>10183</v>
      </c>
      <c r="C4558" t="s">
        <v>9823</v>
      </c>
      <c r="D4558" t="s">
        <v>10187</v>
      </c>
      <c r="E4558">
        <v>3473.23</v>
      </c>
      <c r="G4558" s="35"/>
      <c r="H4558" s="36">
        <f t="shared" si="215"/>
        <v>2188.1349</v>
      </c>
      <c r="I4558" s="37">
        <f t="shared" si="213"/>
        <v>2188.1349</v>
      </c>
      <c r="J4558" s="4"/>
      <c r="K4558" s="38">
        <f t="shared" si="214"/>
        <v>0</v>
      </c>
    </row>
    <row r="4559" spans="1:11">
      <c r="A4559" t="s">
        <v>13069</v>
      </c>
      <c r="B4559" t="s">
        <v>10183</v>
      </c>
      <c r="C4559" t="s">
        <v>9823</v>
      </c>
      <c r="D4559" t="s">
        <v>13070</v>
      </c>
      <c r="E4559">
        <v>8346.76</v>
      </c>
      <c r="G4559" s="35"/>
      <c r="H4559" s="36">
        <f t="shared" si="215"/>
        <v>5258.4588000000003</v>
      </c>
      <c r="I4559" s="37">
        <f t="shared" si="213"/>
        <v>5258.4588000000003</v>
      </c>
      <c r="J4559" s="4"/>
      <c r="K4559" s="38">
        <f t="shared" si="214"/>
        <v>0</v>
      </c>
    </row>
    <row r="4560" spans="1:11">
      <c r="A4560" t="s">
        <v>9832</v>
      </c>
      <c r="B4560" t="s">
        <v>10183</v>
      </c>
      <c r="C4560" t="s">
        <v>9823</v>
      </c>
      <c r="D4560" t="s">
        <v>9857</v>
      </c>
      <c r="E4560">
        <v>1980.74</v>
      </c>
      <c r="G4560" s="35"/>
      <c r="H4560" s="36">
        <f t="shared" si="215"/>
        <v>1247.8661999999999</v>
      </c>
      <c r="I4560" s="37">
        <f t="shared" si="213"/>
        <v>1247.8661999999999</v>
      </c>
      <c r="J4560" s="4"/>
      <c r="K4560" s="38">
        <f t="shared" si="214"/>
        <v>0</v>
      </c>
    </row>
    <row r="4561" spans="1:11">
      <c r="A4561" t="s">
        <v>10048</v>
      </c>
      <c r="B4561" t="s">
        <v>10183</v>
      </c>
      <c r="C4561" t="s">
        <v>9823</v>
      </c>
      <c r="D4561" t="s">
        <v>10049</v>
      </c>
      <c r="E4561">
        <v>3009.55</v>
      </c>
      <c r="G4561" s="35"/>
      <c r="H4561" s="36">
        <f t="shared" si="215"/>
        <v>1896.0165000000002</v>
      </c>
      <c r="I4561" s="37">
        <f t="shared" si="213"/>
        <v>1896.0165000000002</v>
      </c>
      <c r="J4561" s="4"/>
      <c r="K4561" s="38">
        <f t="shared" si="214"/>
        <v>0</v>
      </c>
    </row>
    <row r="4562" spans="1:11">
      <c r="A4562" t="s">
        <v>11623</v>
      </c>
      <c r="B4562" t="s">
        <v>10183</v>
      </c>
      <c r="C4562" t="s">
        <v>9823</v>
      </c>
      <c r="D4562" t="s">
        <v>11624</v>
      </c>
      <c r="E4562">
        <v>1989.86</v>
      </c>
      <c r="G4562" s="35"/>
      <c r="H4562" s="36">
        <f t="shared" si="215"/>
        <v>1253.6117999999999</v>
      </c>
      <c r="I4562" s="37">
        <f t="shared" si="213"/>
        <v>1253.6117999999999</v>
      </c>
      <c r="J4562" s="4"/>
      <c r="K4562" s="38">
        <f t="shared" si="214"/>
        <v>0</v>
      </c>
    </row>
    <row r="4563" spans="1:11">
      <c r="A4563" t="s">
        <v>10027</v>
      </c>
      <c r="B4563" t="s">
        <v>10183</v>
      </c>
      <c r="C4563" t="s">
        <v>9823</v>
      </c>
      <c r="D4563" t="s">
        <v>10028</v>
      </c>
      <c r="E4563">
        <v>9778.7000000000007</v>
      </c>
      <c r="G4563" s="35"/>
      <c r="H4563" s="36">
        <f t="shared" si="215"/>
        <v>6160.5810000000001</v>
      </c>
      <c r="I4563" s="37">
        <f t="shared" si="213"/>
        <v>6160.5810000000001</v>
      </c>
      <c r="J4563" s="4"/>
      <c r="K4563" s="38">
        <f t="shared" si="214"/>
        <v>0</v>
      </c>
    </row>
    <row r="4564" spans="1:11">
      <c r="A4564" t="s">
        <v>9995</v>
      </c>
      <c r="B4564" t="s">
        <v>10183</v>
      </c>
      <c r="C4564" t="s">
        <v>9823</v>
      </c>
      <c r="D4564" t="s">
        <v>9996</v>
      </c>
      <c r="E4564">
        <v>8642.2800000000007</v>
      </c>
      <c r="G4564" s="35"/>
      <c r="H4564" s="36">
        <f t="shared" si="215"/>
        <v>5444.6364000000003</v>
      </c>
      <c r="I4564" s="37">
        <f t="shared" si="213"/>
        <v>5444.6364000000003</v>
      </c>
      <c r="J4564" s="4"/>
      <c r="K4564" s="38">
        <f t="shared" si="214"/>
        <v>0</v>
      </c>
    </row>
    <row r="4565" spans="1:11">
      <c r="A4565" t="s">
        <v>12610</v>
      </c>
      <c r="B4565" t="s">
        <v>10183</v>
      </c>
      <c r="C4565" t="s">
        <v>9823</v>
      </c>
      <c r="D4565" t="s">
        <v>12611</v>
      </c>
      <c r="E4565">
        <v>4923</v>
      </c>
      <c r="G4565" s="35"/>
      <c r="H4565" s="36">
        <f t="shared" si="215"/>
        <v>3101.4900000000002</v>
      </c>
      <c r="I4565" s="37">
        <f t="shared" si="213"/>
        <v>3101.4900000000002</v>
      </c>
      <c r="J4565" s="4"/>
      <c r="K4565" s="38">
        <f t="shared" si="214"/>
        <v>0</v>
      </c>
    </row>
    <row r="4566" spans="1:11">
      <c r="A4566" t="s">
        <v>11990</v>
      </c>
      <c r="B4566" t="s">
        <v>10183</v>
      </c>
      <c r="C4566" t="s">
        <v>9823</v>
      </c>
      <c r="D4566" t="s">
        <v>11991</v>
      </c>
      <c r="E4566">
        <v>10098.25</v>
      </c>
      <c r="G4566" s="35"/>
      <c r="H4566" s="36">
        <f t="shared" si="215"/>
        <v>6361.8975</v>
      </c>
      <c r="I4566" s="37">
        <f t="shared" si="213"/>
        <v>6361.8975</v>
      </c>
      <c r="J4566" s="4"/>
      <c r="K4566" s="38">
        <f t="shared" si="214"/>
        <v>0</v>
      </c>
    </row>
    <row r="4567" spans="1:11">
      <c r="A4567" t="s">
        <v>11746</v>
      </c>
      <c r="B4567" t="s">
        <v>10183</v>
      </c>
      <c r="C4567" t="s">
        <v>9823</v>
      </c>
      <c r="D4567" t="s">
        <v>11747</v>
      </c>
      <c r="E4567">
        <v>4087.85</v>
      </c>
      <c r="G4567" s="35"/>
      <c r="H4567" s="36">
        <f t="shared" si="215"/>
        <v>2575.3454999999999</v>
      </c>
      <c r="I4567" s="37">
        <f t="shared" si="213"/>
        <v>2575.3454999999999</v>
      </c>
      <c r="J4567" s="4"/>
      <c r="K4567" s="38">
        <f t="shared" si="214"/>
        <v>0</v>
      </c>
    </row>
    <row r="4568" spans="1:11">
      <c r="A4568" t="s">
        <v>9833</v>
      </c>
      <c r="B4568" t="s">
        <v>10183</v>
      </c>
      <c r="C4568" t="s">
        <v>9823</v>
      </c>
      <c r="D4568" t="s">
        <v>9858</v>
      </c>
      <c r="E4568">
        <v>4787.5</v>
      </c>
      <c r="G4568" s="35"/>
      <c r="H4568" s="36">
        <f t="shared" si="215"/>
        <v>3016.125</v>
      </c>
      <c r="I4568" s="37">
        <f t="shared" si="213"/>
        <v>3016.125</v>
      </c>
      <c r="J4568" s="4"/>
      <c r="K4568" s="38">
        <f t="shared" si="214"/>
        <v>0</v>
      </c>
    </row>
    <row r="4569" spans="1:11">
      <c r="A4569" t="s">
        <v>10174</v>
      </c>
      <c r="B4569" t="s">
        <v>10183</v>
      </c>
      <c r="C4569" t="s">
        <v>9823</v>
      </c>
      <c r="D4569" t="s">
        <v>10175</v>
      </c>
      <c r="E4569">
        <v>7661.53</v>
      </c>
      <c r="G4569" s="35"/>
      <c r="H4569" s="36">
        <f t="shared" si="215"/>
        <v>4826.7638999999999</v>
      </c>
      <c r="I4569" s="37">
        <f t="shared" si="213"/>
        <v>4826.7638999999999</v>
      </c>
      <c r="J4569" s="4"/>
      <c r="K4569" s="38">
        <f t="shared" si="214"/>
        <v>0</v>
      </c>
    </row>
    <row r="4570" spans="1:11">
      <c r="A4570" t="s">
        <v>9834</v>
      </c>
      <c r="B4570" t="s">
        <v>10183</v>
      </c>
      <c r="C4570" t="s">
        <v>9823</v>
      </c>
      <c r="D4570" t="s">
        <v>9859</v>
      </c>
      <c r="E4570">
        <v>5054.17</v>
      </c>
      <c r="G4570" s="35"/>
      <c r="H4570" s="36">
        <f t="shared" si="215"/>
        <v>3184.1271000000002</v>
      </c>
      <c r="I4570" s="37">
        <f t="shared" si="213"/>
        <v>3184.1271000000002</v>
      </c>
      <c r="J4570" s="4"/>
      <c r="K4570" s="38">
        <f t="shared" si="214"/>
        <v>0</v>
      </c>
    </row>
    <row r="4571" spans="1:11">
      <c r="A4571" t="s">
        <v>9835</v>
      </c>
      <c r="B4571" t="s">
        <v>10183</v>
      </c>
      <c r="C4571" t="s">
        <v>9823</v>
      </c>
      <c r="D4571" t="s">
        <v>9860</v>
      </c>
      <c r="E4571">
        <v>7401.56</v>
      </c>
      <c r="G4571" s="35"/>
      <c r="H4571" s="36">
        <f t="shared" si="215"/>
        <v>4662.9828000000007</v>
      </c>
      <c r="I4571" s="37">
        <f t="shared" si="213"/>
        <v>4662.9828000000007</v>
      </c>
      <c r="J4571" s="4"/>
      <c r="K4571" s="38">
        <f t="shared" si="214"/>
        <v>0</v>
      </c>
    </row>
    <row r="4572" spans="1:11">
      <c r="A4572" t="s">
        <v>10005</v>
      </c>
      <c r="B4572" t="s">
        <v>10183</v>
      </c>
      <c r="C4572" t="s">
        <v>9823</v>
      </c>
      <c r="D4572" t="s">
        <v>10006</v>
      </c>
      <c r="E4572">
        <v>52919.76</v>
      </c>
      <c r="G4572" s="35"/>
      <c r="H4572" s="36">
        <f t="shared" si="215"/>
        <v>33339.448799999998</v>
      </c>
      <c r="I4572" s="37">
        <f t="shared" si="213"/>
        <v>33339.448799999998</v>
      </c>
      <c r="J4572" s="4"/>
      <c r="K4572" s="38">
        <f t="shared" si="214"/>
        <v>0</v>
      </c>
    </row>
    <row r="4573" spans="1:11">
      <c r="A4573" t="s">
        <v>11847</v>
      </c>
      <c r="B4573" t="s">
        <v>10183</v>
      </c>
      <c r="C4573" t="s">
        <v>9823</v>
      </c>
      <c r="D4573" t="s">
        <v>11848</v>
      </c>
      <c r="E4573">
        <v>112903.23</v>
      </c>
      <c r="G4573" s="35"/>
      <c r="H4573" s="36">
        <f t="shared" si="215"/>
        <v>71129.034899999999</v>
      </c>
      <c r="I4573" s="37">
        <f t="shared" si="213"/>
        <v>71129.034899999999</v>
      </c>
      <c r="J4573" s="4"/>
      <c r="K4573" s="38">
        <f t="shared" si="214"/>
        <v>0</v>
      </c>
    </row>
    <row r="4574" spans="1:11">
      <c r="A4574" t="s">
        <v>12237</v>
      </c>
      <c r="B4574" t="s">
        <v>10183</v>
      </c>
      <c r="C4574" t="s">
        <v>9823</v>
      </c>
      <c r="D4574" t="s">
        <v>12244</v>
      </c>
      <c r="E4574">
        <v>4193.08</v>
      </c>
      <c r="G4574" s="35"/>
      <c r="H4574" s="36">
        <f t="shared" si="215"/>
        <v>2641.6403999999998</v>
      </c>
      <c r="I4574" s="37">
        <f t="shared" si="213"/>
        <v>2641.6403999999998</v>
      </c>
      <c r="J4574" s="4"/>
      <c r="K4574" s="38">
        <f t="shared" si="214"/>
        <v>0</v>
      </c>
    </row>
    <row r="4575" spans="1:11">
      <c r="A4575" t="s">
        <v>9836</v>
      </c>
      <c r="B4575" t="s">
        <v>10183</v>
      </c>
      <c r="C4575" t="s">
        <v>9823</v>
      </c>
      <c r="D4575" t="s">
        <v>9861</v>
      </c>
      <c r="E4575">
        <v>4335.3</v>
      </c>
      <c r="G4575" s="35"/>
      <c r="H4575" s="36">
        <f t="shared" si="215"/>
        <v>2731.239</v>
      </c>
      <c r="I4575" s="37">
        <f t="shared" si="213"/>
        <v>2731.239</v>
      </c>
      <c r="J4575" s="4"/>
      <c r="K4575" s="38">
        <f t="shared" si="214"/>
        <v>0</v>
      </c>
    </row>
    <row r="4576" spans="1:11">
      <c r="A4576" t="s">
        <v>9997</v>
      </c>
      <c r="B4576" t="s">
        <v>10183</v>
      </c>
      <c r="C4576" t="s">
        <v>9823</v>
      </c>
      <c r="D4576" t="s">
        <v>9998</v>
      </c>
      <c r="E4576">
        <v>6528.92</v>
      </c>
      <c r="G4576" s="35"/>
      <c r="H4576" s="36">
        <f t="shared" si="215"/>
        <v>4113.2196000000004</v>
      </c>
      <c r="I4576" s="37">
        <f t="shared" si="213"/>
        <v>4113.2196000000004</v>
      </c>
      <c r="J4576" s="4"/>
      <c r="K4576" s="38">
        <f t="shared" si="214"/>
        <v>0</v>
      </c>
    </row>
    <row r="4577" spans="1:11">
      <c r="A4577" t="s">
        <v>9923</v>
      </c>
      <c r="B4577" t="s">
        <v>10183</v>
      </c>
      <c r="C4577" t="s">
        <v>9823</v>
      </c>
      <c r="D4577" t="s">
        <v>9924</v>
      </c>
      <c r="E4577">
        <v>8501.5</v>
      </c>
      <c r="G4577" s="35"/>
      <c r="H4577" s="36">
        <f t="shared" si="215"/>
        <v>5355.9449999999997</v>
      </c>
      <c r="I4577" s="37">
        <f t="shared" si="213"/>
        <v>5355.9449999999997</v>
      </c>
      <c r="J4577" s="4"/>
      <c r="K4577" s="38">
        <f t="shared" si="214"/>
        <v>0</v>
      </c>
    </row>
    <row r="4578" spans="1:11">
      <c r="A4578" t="s">
        <v>11992</v>
      </c>
      <c r="B4578" t="s">
        <v>10183</v>
      </c>
      <c r="C4578" t="s">
        <v>9823</v>
      </c>
      <c r="D4578" t="s">
        <v>11993</v>
      </c>
      <c r="E4578">
        <v>29270.720000000001</v>
      </c>
      <c r="G4578" s="35"/>
      <c r="H4578" s="36">
        <f t="shared" si="215"/>
        <v>18440.553599999999</v>
      </c>
      <c r="I4578" s="37">
        <f t="shared" si="213"/>
        <v>18440.553599999999</v>
      </c>
      <c r="J4578" s="4"/>
      <c r="K4578" s="38">
        <f t="shared" si="214"/>
        <v>0</v>
      </c>
    </row>
    <row r="4579" spans="1:11">
      <c r="A4579" t="s">
        <v>9925</v>
      </c>
      <c r="B4579" t="s">
        <v>10183</v>
      </c>
      <c r="C4579" t="s">
        <v>9823</v>
      </c>
      <c r="D4579" t="s">
        <v>9926</v>
      </c>
      <c r="E4579">
        <v>22115.599999999999</v>
      </c>
      <c r="G4579" s="35"/>
      <c r="H4579" s="36">
        <f t="shared" si="215"/>
        <v>13932.828</v>
      </c>
      <c r="I4579" s="37">
        <f t="shared" si="213"/>
        <v>13932.828</v>
      </c>
      <c r="J4579" s="4"/>
      <c r="K4579" s="38">
        <f t="shared" si="214"/>
        <v>0</v>
      </c>
    </row>
    <row r="4580" spans="1:11">
      <c r="A4580" t="s">
        <v>9927</v>
      </c>
      <c r="B4580" t="s">
        <v>10183</v>
      </c>
      <c r="C4580" t="s">
        <v>9823</v>
      </c>
      <c r="D4580" t="s">
        <v>9928</v>
      </c>
      <c r="E4580">
        <v>23138.82</v>
      </c>
      <c r="G4580" s="35"/>
      <c r="H4580" s="36">
        <f t="shared" si="215"/>
        <v>14577.4566</v>
      </c>
      <c r="I4580" s="37">
        <f t="shared" si="213"/>
        <v>14577.4566</v>
      </c>
      <c r="J4580" s="4"/>
      <c r="K4580" s="38">
        <f t="shared" si="214"/>
        <v>0</v>
      </c>
    </row>
    <row r="4581" spans="1:11">
      <c r="A4581" t="s">
        <v>11994</v>
      </c>
      <c r="B4581" t="s">
        <v>10183</v>
      </c>
      <c r="C4581" t="s">
        <v>9823</v>
      </c>
      <c r="D4581" t="s">
        <v>11995</v>
      </c>
      <c r="E4581">
        <v>8550.5</v>
      </c>
      <c r="G4581" s="35"/>
      <c r="H4581" s="36">
        <f t="shared" si="215"/>
        <v>5386.8149999999996</v>
      </c>
      <c r="I4581" s="37">
        <f t="shared" si="213"/>
        <v>5386.8149999999996</v>
      </c>
      <c r="J4581" s="4"/>
      <c r="K4581" s="38">
        <f t="shared" si="214"/>
        <v>0</v>
      </c>
    </row>
    <row r="4582" spans="1:11">
      <c r="A4582" t="s">
        <v>9824</v>
      </c>
      <c r="B4582" t="s">
        <v>10183</v>
      </c>
      <c r="C4582" t="s">
        <v>9823</v>
      </c>
      <c r="D4582" t="s">
        <v>9862</v>
      </c>
      <c r="E4582">
        <v>18011.14</v>
      </c>
      <c r="G4582" s="35"/>
      <c r="H4582" s="36">
        <f t="shared" si="215"/>
        <v>11347.0182</v>
      </c>
      <c r="I4582" s="37">
        <f t="shared" si="213"/>
        <v>11347.0182</v>
      </c>
      <c r="J4582" s="4"/>
      <c r="K4582" s="38">
        <f t="shared" si="214"/>
        <v>0</v>
      </c>
    </row>
    <row r="4583" spans="1:11">
      <c r="A4583" t="s">
        <v>9837</v>
      </c>
      <c r="B4583" t="s">
        <v>10183</v>
      </c>
      <c r="C4583" t="s">
        <v>9823</v>
      </c>
      <c r="D4583" t="s">
        <v>9863</v>
      </c>
      <c r="E4583">
        <v>18019.71</v>
      </c>
      <c r="G4583" s="35"/>
      <c r="H4583" s="36">
        <f t="shared" si="215"/>
        <v>11352.417299999999</v>
      </c>
      <c r="I4583" s="37">
        <f t="shared" si="213"/>
        <v>11352.417299999999</v>
      </c>
      <c r="J4583" s="4"/>
      <c r="K4583" s="38">
        <f t="shared" si="214"/>
        <v>0</v>
      </c>
    </row>
    <row r="4584" spans="1:11">
      <c r="A4584" t="s">
        <v>9838</v>
      </c>
      <c r="B4584" t="s">
        <v>10183</v>
      </c>
      <c r="C4584" t="s">
        <v>9823</v>
      </c>
      <c r="D4584" t="s">
        <v>9864</v>
      </c>
      <c r="E4584">
        <v>18019.71</v>
      </c>
      <c r="G4584" s="35"/>
      <c r="H4584" s="36">
        <f t="shared" si="215"/>
        <v>11352.417299999999</v>
      </c>
      <c r="I4584" s="37">
        <f t="shared" si="213"/>
        <v>11352.417299999999</v>
      </c>
      <c r="J4584" s="4"/>
      <c r="K4584" s="38">
        <f t="shared" si="214"/>
        <v>0</v>
      </c>
    </row>
    <row r="4585" spans="1:11">
      <c r="A4585" t="s">
        <v>9929</v>
      </c>
      <c r="B4585" t="s">
        <v>10183</v>
      </c>
      <c r="C4585" t="s">
        <v>9823</v>
      </c>
      <c r="D4585" t="s">
        <v>9930</v>
      </c>
      <c r="E4585">
        <v>41939.760000000002</v>
      </c>
      <c r="G4585" s="35"/>
      <c r="H4585" s="36">
        <f t="shared" si="215"/>
        <v>26422.0488</v>
      </c>
      <c r="I4585" s="37">
        <f t="shared" si="213"/>
        <v>26422.0488</v>
      </c>
      <c r="J4585" s="4"/>
      <c r="K4585" s="38">
        <f t="shared" si="214"/>
        <v>0</v>
      </c>
    </row>
    <row r="4586" spans="1:11">
      <c r="A4586" t="s">
        <v>12379</v>
      </c>
      <c r="B4586" t="s">
        <v>10183</v>
      </c>
      <c r="C4586" t="s">
        <v>9823</v>
      </c>
      <c r="D4586" t="s">
        <v>12380</v>
      </c>
      <c r="E4586">
        <v>9674.9</v>
      </c>
      <c r="G4586" s="35"/>
      <c r="H4586" s="36">
        <f t="shared" si="215"/>
        <v>6095.1869999999999</v>
      </c>
      <c r="I4586" s="37">
        <f t="shared" si="213"/>
        <v>6095.1869999999999</v>
      </c>
      <c r="J4586" s="4"/>
      <c r="K4586" s="38">
        <f t="shared" si="214"/>
        <v>0</v>
      </c>
    </row>
    <row r="4587" spans="1:11">
      <c r="A4587" t="s">
        <v>9931</v>
      </c>
      <c r="B4587" t="s">
        <v>10183</v>
      </c>
      <c r="C4587" t="s">
        <v>9823</v>
      </c>
      <c r="D4587" t="s">
        <v>9932</v>
      </c>
      <c r="E4587">
        <v>14503.22</v>
      </c>
      <c r="G4587" s="35"/>
      <c r="H4587" s="36">
        <f t="shared" si="215"/>
        <v>9137.0285999999996</v>
      </c>
      <c r="I4587" s="37">
        <f t="shared" si="213"/>
        <v>9137.0285999999996</v>
      </c>
      <c r="J4587" s="4"/>
      <c r="K4587" s="38">
        <f t="shared" si="214"/>
        <v>0</v>
      </c>
    </row>
    <row r="4588" spans="1:11">
      <c r="A4588" t="s">
        <v>9933</v>
      </c>
      <c r="B4588" t="s">
        <v>10183</v>
      </c>
      <c r="C4588" t="s">
        <v>9823</v>
      </c>
      <c r="D4588" t="s">
        <v>9934</v>
      </c>
      <c r="E4588">
        <v>11268.84</v>
      </c>
      <c r="G4588" s="35"/>
      <c r="H4588" s="36">
        <f t="shared" si="215"/>
        <v>7099.3692000000001</v>
      </c>
      <c r="I4588" s="37">
        <f t="shared" si="213"/>
        <v>7099.3692000000001</v>
      </c>
      <c r="J4588" s="4"/>
      <c r="K4588" s="38">
        <f t="shared" si="214"/>
        <v>0</v>
      </c>
    </row>
    <row r="4589" spans="1:11">
      <c r="A4589" t="s">
        <v>9935</v>
      </c>
      <c r="B4589" t="s">
        <v>10183</v>
      </c>
      <c r="C4589" t="s">
        <v>9823</v>
      </c>
      <c r="D4589" t="s">
        <v>9936</v>
      </c>
      <c r="E4589">
        <v>10763.29</v>
      </c>
      <c r="G4589" s="35"/>
      <c r="H4589" s="36">
        <f t="shared" si="215"/>
        <v>6780.8727000000008</v>
      </c>
      <c r="I4589" s="37">
        <f t="shared" si="213"/>
        <v>6780.8727000000008</v>
      </c>
      <c r="J4589" s="4"/>
      <c r="K4589" s="38">
        <f t="shared" si="214"/>
        <v>0</v>
      </c>
    </row>
    <row r="4590" spans="1:11">
      <c r="A4590" t="s">
        <v>10059</v>
      </c>
      <c r="B4590" t="s">
        <v>10183</v>
      </c>
      <c r="C4590" t="s">
        <v>9823</v>
      </c>
      <c r="D4590" t="s">
        <v>10060</v>
      </c>
      <c r="E4590">
        <v>57358.37</v>
      </c>
      <c r="G4590" s="35"/>
      <c r="H4590" s="36">
        <f t="shared" si="215"/>
        <v>36135.773099999999</v>
      </c>
      <c r="I4590" s="37">
        <f t="shared" si="213"/>
        <v>36135.773099999999</v>
      </c>
      <c r="J4590" s="4"/>
      <c r="K4590" s="38">
        <f t="shared" si="214"/>
        <v>0</v>
      </c>
    </row>
    <row r="4591" spans="1:11">
      <c r="A4591" t="s">
        <v>9991</v>
      </c>
      <c r="B4591" t="s">
        <v>10183</v>
      </c>
      <c r="C4591" t="s">
        <v>9823</v>
      </c>
      <c r="D4591" t="s">
        <v>9992</v>
      </c>
      <c r="E4591">
        <v>8257.8700000000008</v>
      </c>
      <c r="G4591" s="35"/>
      <c r="H4591" s="36">
        <f t="shared" si="215"/>
        <v>5202.4581000000007</v>
      </c>
      <c r="I4591" s="37">
        <f t="shared" si="213"/>
        <v>5202.4581000000007</v>
      </c>
      <c r="J4591" s="4"/>
      <c r="K4591" s="38">
        <f t="shared" si="214"/>
        <v>0</v>
      </c>
    </row>
    <row r="4592" spans="1:11">
      <c r="A4592" t="s">
        <v>9937</v>
      </c>
      <c r="B4592" t="s">
        <v>10183</v>
      </c>
      <c r="C4592" t="s">
        <v>9823</v>
      </c>
      <c r="D4592" t="s">
        <v>9938</v>
      </c>
      <c r="E4592">
        <v>11839.19</v>
      </c>
      <c r="G4592" s="35"/>
      <c r="H4592" s="36">
        <f t="shared" si="215"/>
        <v>7458.6897000000008</v>
      </c>
      <c r="I4592" s="37">
        <f t="shared" si="213"/>
        <v>7458.6897000000008</v>
      </c>
      <c r="J4592" s="4"/>
      <c r="K4592" s="38">
        <f t="shared" si="214"/>
        <v>0</v>
      </c>
    </row>
    <row r="4593" spans="1:11">
      <c r="A4593" t="s">
        <v>9839</v>
      </c>
      <c r="B4593" t="s">
        <v>10183</v>
      </c>
      <c r="C4593" t="s">
        <v>9823</v>
      </c>
      <c r="D4593" t="s">
        <v>9865</v>
      </c>
      <c r="E4593">
        <v>9382.27</v>
      </c>
      <c r="G4593" s="35"/>
      <c r="H4593" s="36">
        <f t="shared" si="215"/>
        <v>5910.8301000000001</v>
      </c>
      <c r="I4593" s="37">
        <f t="shared" si="213"/>
        <v>5910.8301000000001</v>
      </c>
      <c r="J4593" s="4"/>
      <c r="K4593" s="38">
        <f t="shared" si="214"/>
        <v>0</v>
      </c>
    </row>
    <row r="4594" spans="1:11">
      <c r="A4594" t="s">
        <v>9942</v>
      </c>
      <c r="B4594" t="s">
        <v>10183</v>
      </c>
      <c r="C4594" t="s">
        <v>9823</v>
      </c>
      <c r="D4594" t="s">
        <v>9938</v>
      </c>
      <c r="E4594">
        <v>9517.2900000000009</v>
      </c>
      <c r="G4594" s="35"/>
      <c r="H4594" s="36">
        <f t="shared" si="215"/>
        <v>5995.8927000000003</v>
      </c>
      <c r="I4594" s="37">
        <f t="shared" si="213"/>
        <v>5995.8927000000003</v>
      </c>
      <c r="J4594" s="4"/>
      <c r="K4594" s="38">
        <f t="shared" si="214"/>
        <v>0</v>
      </c>
    </row>
    <row r="4595" spans="1:11">
      <c r="A4595" t="s">
        <v>9939</v>
      </c>
      <c r="B4595" t="s">
        <v>10183</v>
      </c>
      <c r="C4595" t="s">
        <v>9823</v>
      </c>
      <c r="D4595" t="s">
        <v>9938</v>
      </c>
      <c r="E4595">
        <v>8473.14</v>
      </c>
      <c r="G4595" s="35"/>
      <c r="H4595" s="36">
        <f t="shared" si="215"/>
        <v>5338.0781999999999</v>
      </c>
      <c r="I4595" s="37">
        <f t="shared" si="213"/>
        <v>5338.0781999999999</v>
      </c>
      <c r="J4595" s="4"/>
      <c r="K4595" s="38">
        <f t="shared" si="214"/>
        <v>0</v>
      </c>
    </row>
    <row r="4596" spans="1:11">
      <c r="A4596" t="s">
        <v>11776</v>
      </c>
      <c r="B4596" t="s">
        <v>10183</v>
      </c>
      <c r="C4596" t="s">
        <v>9823</v>
      </c>
      <c r="D4596" t="s">
        <v>11777</v>
      </c>
      <c r="E4596">
        <v>56436.24</v>
      </c>
      <c r="G4596" s="35"/>
      <c r="H4596" s="36">
        <f t="shared" si="215"/>
        <v>35554.831200000001</v>
      </c>
      <c r="I4596" s="37">
        <f t="shared" si="213"/>
        <v>35554.831200000001</v>
      </c>
      <c r="J4596" s="4"/>
      <c r="K4596" s="38">
        <f t="shared" si="214"/>
        <v>0</v>
      </c>
    </row>
    <row r="4597" spans="1:11">
      <c r="A4597" t="s">
        <v>9840</v>
      </c>
      <c r="B4597" t="s">
        <v>10183</v>
      </c>
      <c r="C4597" t="s">
        <v>9823</v>
      </c>
      <c r="D4597" t="s">
        <v>9866</v>
      </c>
      <c r="E4597">
        <v>14263.01</v>
      </c>
      <c r="G4597" s="35"/>
      <c r="H4597" s="36">
        <f t="shared" si="215"/>
        <v>8985.6962999999996</v>
      </c>
      <c r="I4597" s="37">
        <f t="shared" si="213"/>
        <v>8985.6962999999996</v>
      </c>
      <c r="J4597" s="4"/>
      <c r="K4597" s="38">
        <f t="shared" si="214"/>
        <v>0</v>
      </c>
    </row>
    <row r="4598" spans="1:11">
      <c r="A4598" t="s">
        <v>9943</v>
      </c>
      <c r="B4598" t="s">
        <v>10183</v>
      </c>
      <c r="C4598" t="s">
        <v>9823</v>
      </c>
      <c r="D4598" t="s">
        <v>9944</v>
      </c>
      <c r="E4598">
        <v>24874.880000000001</v>
      </c>
      <c r="G4598" s="35"/>
      <c r="H4598" s="36">
        <f t="shared" si="215"/>
        <v>15671.1744</v>
      </c>
      <c r="I4598" s="37">
        <f t="shared" si="213"/>
        <v>15671.1744</v>
      </c>
      <c r="J4598" s="4"/>
      <c r="K4598" s="38">
        <f t="shared" si="214"/>
        <v>0</v>
      </c>
    </row>
    <row r="4599" spans="1:11">
      <c r="A4599" t="s">
        <v>9940</v>
      </c>
      <c r="B4599" t="s">
        <v>10183</v>
      </c>
      <c r="C4599" t="s">
        <v>9823</v>
      </c>
      <c r="D4599" t="s">
        <v>9941</v>
      </c>
      <c r="E4599">
        <v>23658.66</v>
      </c>
      <c r="G4599" s="35"/>
      <c r="H4599" s="36">
        <f t="shared" si="215"/>
        <v>14904.9558</v>
      </c>
      <c r="I4599" s="37">
        <f t="shared" si="213"/>
        <v>14904.9558</v>
      </c>
      <c r="J4599" s="4"/>
      <c r="K4599" s="38">
        <f t="shared" si="214"/>
        <v>0</v>
      </c>
    </row>
    <row r="4600" spans="1:11">
      <c r="A4600" t="s">
        <v>13071</v>
      </c>
      <c r="B4600" t="s">
        <v>10183</v>
      </c>
      <c r="C4600" t="s">
        <v>9823</v>
      </c>
      <c r="D4600" t="s">
        <v>13072</v>
      </c>
      <c r="E4600">
        <v>30475.51</v>
      </c>
      <c r="G4600" s="35"/>
      <c r="H4600" s="36">
        <f t="shared" si="215"/>
        <v>19199.5713</v>
      </c>
      <c r="I4600" s="37">
        <f t="shared" si="213"/>
        <v>19199.5713</v>
      </c>
      <c r="J4600" s="4"/>
      <c r="K4600" s="38">
        <f t="shared" si="214"/>
        <v>0</v>
      </c>
    </row>
    <row r="4601" spans="1:11">
      <c r="A4601" t="s">
        <v>11748</v>
      </c>
      <c r="B4601" t="s">
        <v>10183</v>
      </c>
      <c r="C4601" t="s">
        <v>9823</v>
      </c>
      <c r="D4601" t="s">
        <v>11749</v>
      </c>
      <c r="E4601">
        <v>27745.65</v>
      </c>
      <c r="G4601" s="35"/>
      <c r="H4601" s="36">
        <f t="shared" si="215"/>
        <v>17479.7595</v>
      </c>
      <c r="I4601" s="37">
        <f t="shared" si="213"/>
        <v>17479.7595</v>
      </c>
      <c r="J4601" s="4"/>
      <c r="K4601" s="38">
        <f t="shared" si="214"/>
        <v>0</v>
      </c>
    </row>
    <row r="4602" spans="1:11">
      <c r="A4602" t="s">
        <v>13073</v>
      </c>
      <c r="B4602" t="s">
        <v>10183</v>
      </c>
      <c r="C4602" t="s">
        <v>9823</v>
      </c>
      <c r="D4602" t="s">
        <v>13074</v>
      </c>
      <c r="E4602">
        <v>29103.13</v>
      </c>
      <c r="G4602" s="35"/>
      <c r="H4602" s="36">
        <f t="shared" si="215"/>
        <v>18334.9719</v>
      </c>
      <c r="I4602" s="37">
        <f t="shared" si="213"/>
        <v>18334.9719</v>
      </c>
      <c r="J4602" s="4"/>
      <c r="K4602" s="38">
        <f t="shared" si="214"/>
        <v>0</v>
      </c>
    </row>
    <row r="4603" spans="1:11">
      <c r="A4603" t="s">
        <v>12411</v>
      </c>
      <c r="B4603" t="s">
        <v>10183</v>
      </c>
      <c r="C4603" t="s">
        <v>9823</v>
      </c>
      <c r="D4603" t="s">
        <v>12412</v>
      </c>
      <c r="E4603">
        <v>26125.68</v>
      </c>
      <c r="G4603" s="35"/>
      <c r="H4603" s="36">
        <f t="shared" si="215"/>
        <v>16459.178400000001</v>
      </c>
      <c r="I4603" s="37">
        <f t="shared" si="213"/>
        <v>16459.178400000001</v>
      </c>
      <c r="J4603" s="4"/>
      <c r="K4603" s="38">
        <f t="shared" si="214"/>
        <v>0</v>
      </c>
    </row>
    <row r="4604" spans="1:11">
      <c r="A4604" t="s">
        <v>12394</v>
      </c>
      <c r="B4604" t="s">
        <v>10183</v>
      </c>
      <c r="C4604" t="s">
        <v>9823</v>
      </c>
      <c r="D4604" t="s">
        <v>12395</v>
      </c>
      <c r="E4604">
        <v>28068.92</v>
      </c>
      <c r="G4604" s="35"/>
      <c r="H4604" s="36">
        <f t="shared" si="215"/>
        <v>17683.419599999997</v>
      </c>
      <c r="I4604" s="37">
        <f t="shared" si="213"/>
        <v>17683.419599999997</v>
      </c>
      <c r="J4604" s="4"/>
      <c r="K4604" s="38">
        <f t="shared" si="214"/>
        <v>0</v>
      </c>
    </row>
    <row r="4605" spans="1:11">
      <c r="A4605" t="s">
        <v>12396</v>
      </c>
      <c r="B4605" t="s">
        <v>10183</v>
      </c>
      <c r="C4605" t="s">
        <v>9823</v>
      </c>
      <c r="D4605" t="s">
        <v>12397</v>
      </c>
      <c r="E4605">
        <v>26970.06</v>
      </c>
      <c r="G4605" s="35"/>
      <c r="H4605" s="36">
        <f t="shared" si="215"/>
        <v>16991.1378</v>
      </c>
      <c r="I4605" s="37">
        <f t="shared" si="213"/>
        <v>16991.1378</v>
      </c>
      <c r="J4605" s="4"/>
      <c r="K4605" s="38">
        <f t="shared" si="214"/>
        <v>0</v>
      </c>
    </row>
    <row r="4606" spans="1:11">
      <c r="A4606" t="s">
        <v>12398</v>
      </c>
      <c r="B4606" t="s">
        <v>10183</v>
      </c>
      <c r="C4606" t="s">
        <v>9823</v>
      </c>
      <c r="D4606" t="s">
        <v>12399</v>
      </c>
      <c r="E4606">
        <v>26376.99</v>
      </c>
      <c r="G4606" s="35"/>
      <c r="H4606" s="36">
        <f t="shared" si="215"/>
        <v>16617.503700000001</v>
      </c>
      <c r="I4606" s="37">
        <f t="shared" si="213"/>
        <v>16617.503700000001</v>
      </c>
      <c r="J4606" s="4"/>
      <c r="K4606" s="38">
        <f t="shared" si="214"/>
        <v>0</v>
      </c>
    </row>
    <row r="4607" spans="1:11">
      <c r="A4607" t="s">
        <v>11679</v>
      </c>
      <c r="B4607" t="s">
        <v>10183</v>
      </c>
      <c r="C4607" t="s">
        <v>9823</v>
      </c>
      <c r="D4607" t="s">
        <v>11680</v>
      </c>
      <c r="E4607">
        <v>13338.96</v>
      </c>
      <c r="G4607" s="35"/>
      <c r="H4607" s="36">
        <f t="shared" si="215"/>
        <v>8403.5447999999997</v>
      </c>
      <c r="I4607" s="37">
        <f t="shared" si="213"/>
        <v>8403.5447999999997</v>
      </c>
      <c r="J4607" s="4"/>
      <c r="K4607" s="38">
        <f t="shared" si="214"/>
        <v>0</v>
      </c>
    </row>
    <row r="4608" spans="1:11">
      <c r="A4608" t="s">
        <v>12400</v>
      </c>
      <c r="B4608" t="s">
        <v>10183</v>
      </c>
      <c r="C4608" t="s">
        <v>9823</v>
      </c>
      <c r="D4608" t="s">
        <v>12401</v>
      </c>
      <c r="E4608">
        <v>8833.0300000000007</v>
      </c>
      <c r="G4608" s="35"/>
      <c r="H4608" s="36">
        <f t="shared" si="215"/>
        <v>5564.8089000000009</v>
      </c>
      <c r="I4608" s="37">
        <f t="shared" si="213"/>
        <v>5564.8089000000009</v>
      </c>
      <c r="J4608" s="4"/>
      <c r="K4608" s="38">
        <f t="shared" si="214"/>
        <v>0</v>
      </c>
    </row>
    <row r="4609" spans="1:11">
      <c r="A4609" t="s">
        <v>11681</v>
      </c>
      <c r="B4609" t="s">
        <v>10183</v>
      </c>
      <c r="C4609" t="s">
        <v>9823</v>
      </c>
      <c r="D4609" t="s">
        <v>11682</v>
      </c>
      <c r="E4609">
        <v>17300.05</v>
      </c>
      <c r="G4609" s="35"/>
      <c r="H4609" s="36">
        <f t="shared" si="215"/>
        <v>10899.031499999999</v>
      </c>
      <c r="I4609" s="37">
        <f t="shared" si="213"/>
        <v>10899.031499999999</v>
      </c>
      <c r="J4609" s="4"/>
      <c r="K4609" s="38">
        <f t="shared" si="214"/>
        <v>0</v>
      </c>
    </row>
    <row r="4610" spans="1:11">
      <c r="A4610" t="s">
        <v>10056</v>
      </c>
      <c r="B4610" t="s">
        <v>10183</v>
      </c>
      <c r="C4610" t="s">
        <v>10057</v>
      </c>
      <c r="D4610" t="s">
        <v>10058</v>
      </c>
      <c r="E4610">
        <v>370932.72</v>
      </c>
      <c r="G4610" s="35"/>
      <c r="H4610" s="36">
        <f t="shared" si="215"/>
        <v>233687.61359999998</v>
      </c>
      <c r="I4610" s="37">
        <f t="shared" si="213"/>
        <v>233687.61359999998</v>
      </c>
      <c r="J4610" s="4"/>
      <c r="K4610" s="38">
        <f t="shared" si="214"/>
        <v>0</v>
      </c>
    </row>
    <row r="4611" spans="1:11">
      <c r="A4611" t="s">
        <v>11916</v>
      </c>
      <c r="B4611" t="s">
        <v>10183</v>
      </c>
      <c r="C4611" t="s">
        <v>11883</v>
      </c>
      <c r="D4611" t="s">
        <v>11917</v>
      </c>
      <c r="E4611">
        <v>70195.41</v>
      </c>
      <c r="G4611" s="35"/>
      <c r="H4611" s="36">
        <f t="shared" si="215"/>
        <v>44223.1083</v>
      </c>
      <c r="I4611" s="37">
        <f t="shared" si="213"/>
        <v>44223.1083</v>
      </c>
      <c r="J4611" s="4"/>
      <c r="K4611" s="38">
        <f t="shared" si="214"/>
        <v>0</v>
      </c>
    </row>
    <row r="4612" spans="1:11">
      <c r="A4612" t="s">
        <v>11918</v>
      </c>
      <c r="B4612" t="s">
        <v>10183</v>
      </c>
      <c r="C4612" t="s">
        <v>11883</v>
      </c>
      <c r="D4612" t="s">
        <v>11919</v>
      </c>
      <c r="E4612">
        <v>45382.71</v>
      </c>
      <c r="G4612" s="35"/>
      <c r="H4612" s="36">
        <f t="shared" si="215"/>
        <v>28591.1073</v>
      </c>
      <c r="I4612" s="37">
        <f t="shared" si="213"/>
        <v>28591.1073</v>
      </c>
      <c r="J4612" s="4"/>
      <c r="K4612" s="38">
        <f t="shared" si="214"/>
        <v>0</v>
      </c>
    </row>
    <row r="4613" spans="1:11">
      <c r="A4613" t="s">
        <v>11866</v>
      </c>
      <c r="B4613" t="s">
        <v>10183</v>
      </c>
      <c r="C4613" t="s">
        <v>11883</v>
      </c>
      <c r="D4613" t="s">
        <v>11884</v>
      </c>
      <c r="E4613">
        <v>51315.77</v>
      </c>
      <c r="G4613" s="35"/>
      <c r="H4613" s="36">
        <f t="shared" si="215"/>
        <v>32328.935099999999</v>
      </c>
      <c r="I4613" s="37">
        <f t="shared" si="213"/>
        <v>32328.935099999999</v>
      </c>
      <c r="J4613" s="4"/>
      <c r="K4613" s="38">
        <f t="shared" si="214"/>
        <v>0</v>
      </c>
    </row>
    <row r="4614" spans="1:11">
      <c r="A4614" t="s">
        <v>11867</v>
      </c>
      <c r="B4614" t="s">
        <v>10183</v>
      </c>
      <c r="C4614" t="s">
        <v>11883</v>
      </c>
      <c r="D4614" t="s">
        <v>11885</v>
      </c>
      <c r="E4614">
        <v>30621.95</v>
      </c>
      <c r="G4614" s="35"/>
      <c r="H4614" s="36">
        <f t="shared" si="215"/>
        <v>19291.8285</v>
      </c>
      <c r="I4614" s="37">
        <f t="shared" ref="I4614:I4677" si="216">H4614*$H$4</f>
        <v>19291.8285</v>
      </c>
      <c r="J4614" s="4"/>
      <c r="K4614" s="38">
        <f t="shared" ref="K4614:K4677" si="217">J4614*I4614</f>
        <v>0</v>
      </c>
    </row>
    <row r="4615" spans="1:11">
      <c r="A4615" t="s">
        <v>11920</v>
      </c>
      <c r="B4615" t="s">
        <v>10183</v>
      </c>
      <c r="C4615" t="s">
        <v>11883</v>
      </c>
      <c r="D4615" t="s">
        <v>11921</v>
      </c>
      <c r="E4615">
        <v>44518.75</v>
      </c>
      <c r="G4615" s="35"/>
      <c r="H4615" s="36">
        <f t="shared" ref="H4615:H4678" si="218">+E4615*$H$1*(1-G4615)</f>
        <v>28046.8125</v>
      </c>
      <c r="I4615" s="37">
        <f t="shared" si="216"/>
        <v>28046.8125</v>
      </c>
      <c r="J4615" s="4"/>
      <c r="K4615" s="38">
        <f t="shared" si="217"/>
        <v>0</v>
      </c>
    </row>
    <row r="4616" spans="1:11">
      <c r="A4616" t="s">
        <v>11868</v>
      </c>
      <c r="B4616" t="s">
        <v>10183</v>
      </c>
      <c r="C4616" t="s">
        <v>11883</v>
      </c>
      <c r="D4616" t="s">
        <v>11886</v>
      </c>
      <c r="E4616">
        <v>19099.759999999998</v>
      </c>
      <c r="G4616" s="35"/>
      <c r="H4616" s="36">
        <f t="shared" si="218"/>
        <v>12032.8488</v>
      </c>
      <c r="I4616" s="37">
        <f t="shared" si="216"/>
        <v>12032.8488</v>
      </c>
      <c r="J4616" s="4"/>
      <c r="K4616" s="38">
        <f t="shared" si="217"/>
        <v>0</v>
      </c>
    </row>
    <row r="4617" spans="1:11">
      <c r="A4617" t="s">
        <v>12447</v>
      </c>
      <c r="B4617" t="s">
        <v>10183</v>
      </c>
      <c r="C4617" t="s">
        <v>11883</v>
      </c>
      <c r="D4617" t="s">
        <v>12448</v>
      </c>
      <c r="E4617">
        <v>24562.15</v>
      </c>
      <c r="G4617" s="35"/>
      <c r="H4617" s="36">
        <f t="shared" si="218"/>
        <v>15474.154500000001</v>
      </c>
      <c r="I4617" s="37">
        <f t="shared" si="216"/>
        <v>15474.154500000001</v>
      </c>
      <c r="J4617" s="4"/>
      <c r="K4617" s="38">
        <f t="shared" si="217"/>
        <v>0</v>
      </c>
    </row>
    <row r="4618" spans="1:11">
      <c r="A4618" t="s">
        <v>11869</v>
      </c>
      <c r="B4618" t="s">
        <v>10183</v>
      </c>
      <c r="C4618" t="s">
        <v>11883</v>
      </c>
      <c r="D4618" t="s">
        <v>11887</v>
      </c>
      <c r="E4618">
        <v>24562.15</v>
      </c>
      <c r="G4618" s="35"/>
      <c r="H4618" s="36">
        <f t="shared" si="218"/>
        <v>15474.154500000001</v>
      </c>
      <c r="I4618" s="37">
        <f t="shared" si="216"/>
        <v>15474.154500000001</v>
      </c>
      <c r="J4618" s="4"/>
      <c r="K4618" s="38">
        <f t="shared" si="217"/>
        <v>0</v>
      </c>
    </row>
    <row r="4619" spans="1:11">
      <c r="A4619" t="s">
        <v>12352</v>
      </c>
      <c r="B4619" t="s">
        <v>10183</v>
      </c>
      <c r="C4619" t="s">
        <v>11883</v>
      </c>
      <c r="D4619" t="s">
        <v>12351</v>
      </c>
      <c r="E4619">
        <v>35529.49</v>
      </c>
      <c r="G4619" s="35"/>
      <c r="H4619" s="36">
        <f t="shared" si="218"/>
        <v>22383.578699999998</v>
      </c>
      <c r="I4619" s="37">
        <f t="shared" si="216"/>
        <v>22383.578699999998</v>
      </c>
      <c r="J4619" s="4"/>
      <c r="K4619" s="38">
        <f t="shared" si="217"/>
        <v>0</v>
      </c>
    </row>
    <row r="4620" spans="1:11">
      <c r="A4620" t="s">
        <v>10022</v>
      </c>
      <c r="B4620" t="s">
        <v>10183</v>
      </c>
      <c r="C4620" t="s">
        <v>9820</v>
      </c>
      <c r="D4620" t="s">
        <v>10023</v>
      </c>
      <c r="E4620">
        <v>92934.04</v>
      </c>
      <c r="G4620" s="35"/>
      <c r="H4620" s="36">
        <f t="shared" si="218"/>
        <v>58548.445199999995</v>
      </c>
      <c r="I4620" s="37">
        <f t="shared" si="216"/>
        <v>58548.445199999995</v>
      </c>
      <c r="J4620" s="4"/>
      <c r="K4620" s="38">
        <f t="shared" si="217"/>
        <v>0</v>
      </c>
    </row>
    <row r="4621" spans="1:11">
      <c r="A4621" t="s">
        <v>11996</v>
      </c>
      <c r="B4621" t="s">
        <v>10183</v>
      </c>
      <c r="C4621" t="s">
        <v>9820</v>
      </c>
      <c r="D4621" t="s">
        <v>11997</v>
      </c>
      <c r="E4621">
        <v>166363.85999999999</v>
      </c>
      <c r="G4621" s="35"/>
      <c r="H4621" s="36">
        <f t="shared" si="218"/>
        <v>104809.23179999999</v>
      </c>
      <c r="I4621" s="37">
        <f t="shared" si="216"/>
        <v>104809.23179999999</v>
      </c>
      <c r="J4621" s="4"/>
      <c r="K4621" s="38">
        <f t="shared" si="217"/>
        <v>0</v>
      </c>
    </row>
    <row r="4622" spans="1:11">
      <c r="A4622" t="s">
        <v>11998</v>
      </c>
      <c r="B4622" t="s">
        <v>10183</v>
      </c>
      <c r="C4622" t="s">
        <v>9820</v>
      </c>
      <c r="D4622" t="s">
        <v>11999</v>
      </c>
      <c r="E4622">
        <v>177378.18</v>
      </c>
      <c r="G4622" s="35"/>
      <c r="H4622" s="36">
        <f t="shared" si="218"/>
        <v>111748.2534</v>
      </c>
      <c r="I4622" s="37">
        <f t="shared" si="216"/>
        <v>111748.2534</v>
      </c>
      <c r="J4622" s="4"/>
      <c r="K4622" s="38">
        <f t="shared" si="217"/>
        <v>0</v>
      </c>
    </row>
    <row r="4623" spans="1:11">
      <c r="A4623" t="s">
        <v>10029</v>
      </c>
      <c r="B4623" t="s">
        <v>10183</v>
      </c>
      <c r="C4623" t="s">
        <v>9820</v>
      </c>
      <c r="D4623" t="s">
        <v>10030</v>
      </c>
      <c r="E4623">
        <v>87663.16</v>
      </c>
      <c r="G4623" s="35"/>
      <c r="H4623" s="36">
        <f t="shared" si="218"/>
        <v>55227.790800000002</v>
      </c>
      <c r="I4623" s="37">
        <f t="shared" si="216"/>
        <v>55227.790800000002</v>
      </c>
      <c r="J4623" s="4"/>
      <c r="K4623" s="38">
        <f t="shared" si="217"/>
        <v>0</v>
      </c>
    </row>
    <row r="4624" spans="1:11">
      <c r="A4624" t="s">
        <v>1058</v>
      </c>
      <c r="B4624" t="s">
        <v>10184</v>
      </c>
      <c r="C4624" t="s">
        <v>6650</v>
      </c>
      <c r="D4624" t="s">
        <v>6651</v>
      </c>
      <c r="E4624">
        <v>31856.93</v>
      </c>
      <c r="G4624" s="35"/>
      <c r="H4624" s="36">
        <f t="shared" si="218"/>
        <v>20069.865900000001</v>
      </c>
      <c r="I4624" s="37">
        <f t="shared" si="216"/>
        <v>20069.865900000001</v>
      </c>
      <c r="J4624" s="4"/>
      <c r="K4624" s="38">
        <f t="shared" si="217"/>
        <v>0</v>
      </c>
    </row>
    <row r="4625" spans="1:11">
      <c r="A4625" t="s">
        <v>1059</v>
      </c>
      <c r="B4625" t="s">
        <v>10184</v>
      </c>
      <c r="C4625" t="s">
        <v>6650</v>
      </c>
      <c r="D4625" t="s">
        <v>6652</v>
      </c>
      <c r="E4625">
        <v>31856.93</v>
      </c>
      <c r="G4625" s="35"/>
      <c r="H4625" s="36">
        <f t="shared" si="218"/>
        <v>20069.865900000001</v>
      </c>
      <c r="I4625" s="37">
        <f t="shared" si="216"/>
        <v>20069.865900000001</v>
      </c>
      <c r="J4625" s="4"/>
      <c r="K4625" s="38">
        <f t="shared" si="217"/>
        <v>0</v>
      </c>
    </row>
    <row r="4626" spans="1:11">
      <c r="A4626" t="s">
        <v>1060</v>
      </c>
      <c r="B4626" t="s">
        <v>10184</v>
      </c>
      <c r="C4626" t="s">
        <v>6650</v>
      </c>
      <c r="D4626" t="s">
        <v>6653</v>
      </c>
      <c r="E4626">
        <v>31856.93</v>
      </c>
      <c r="G4626" s="35"/>
      <c r="H4626" s="36">
        <f t="shared" si="218"/>
        <v>20069.865900000001</v>
      </c>
      <c r="I4626" s="37">
        <f t="shared" si="216"/>
        <v>20069.865900000001</v>
      </c>
      <c r="J4626" s="4"/>
      <c r="K4626" s="38">
        <f t="shared" si="217"/>
        <v>0</v>
      </c>
    </row>
    <row r="4627" spans="1:11">
      <c r="A4627" t="s">
        <v>1061</v>
      </c>
      <c r="B4627" t="s">
        <v>10184</v>
      </c>
      <c r="C4627" t="s">
        <v>6650</v>
      </c>
      <c r="D4627" t="s">
        <v>6654</v>
      </c>
      <c r="E4627">
        <v>31856.93</v>
      </c>
      <c r="G4627" s="35"/>
      <c r="H4627" s="36">
        <f t="shared" si="218"/>
        <v>20069.865900000001</v>
      </c>
      <c r="I4627" s="37">
        <f t="shared" si="216"/>
        <v>20069.865900000001</v>
      </c>
      <c r="J4627" s="4"/>
      <c r="K4627" s="38">
        <f t="shared" si="217"/>
        <v>0</v>
      </c>
    </row>
    <row r="4628" spans="1:11">
      <c r="A4628" t="s">
        <v>1062</v>
      </c>
      <c r="B4628" t="s">
        <v>10184</v>
      </c>
      <c r="C4628" t="s">
        <v>6650</v>
      </c>
      <c r="D4628" t="s">
        <v>6655</v>
      </c>
      <c r="E4628">
        <v>39481.39</v>
      </c>
      <c r="G4628" s="35"/>
      <c r="H4628" s="36">
        <f t="shared" si="218"/>
        <v>24873.275699999998</v>
      </c>
      <c r="I4628" s="37">
        <f t="shared" si="216"/>
        <v>24873.275699999998</v>
      </c>
      <c r="J4628" s="4"/>
      <c r="K4628" s="38">
        <f t="shared" si="217"/>
        <v>0</v>
      </c>
    </row>
    <row r="4629" spans="1:11">
      <c r="A4629" t="s">
        <v>1063</v>
      </c>
      <c r="B4629" t="s">
        <v>10184</v>
      </c>
      <c r="C4629" t="s">
        <v>6650</v>
      </c>
      <c r="D4629" t="s">
        <v>6656</v>
      </c>
      <c r="E4629">
        <v>43425.27</v>
      </c>
      <c r="G4629" s="35"/>
      <c r="H4629" s="36">
        <f t="shared" si="218"/>
        <v>27357.920099999999</v>
      </c>
      <c r="I4629" s="37">
        <f t="shared" si="216"/>
        <v>27357.920099999999</v>
      </c>
      <c r="J4629" s="4"/>
      <c r="K4629" s="38">
        <f t="shared" si="217"/>
        <v>0</v>
      </c>
    </row>
    <row r="4630" spans="1:11">
      <c r="A4630" t="s">
        <v>1057</v>
      </c>
      <c r="B4630" t="s">
        <v>10184</v>
      </c>
      <c r="C4630" t="s">
        <v>6648</v>
      </c>
      <c r="D4630" t="s">
        <v>6649</v>
      </c>
      <c r="E4630">
        <v>5357.84</v>
      </c>
      <c r="G4630" s="35"/>
      <c r="H4630" s="36">
        <f t="shared" si="218"/>
        <v>3375.4392000000003</v>
      </c>
      <c r="I4630" s="37">
        <f t="shared" si="216"/>
        <v>3375.4392000000003</v>
      </c>
      <c r="J4630" s="4"/>
      <c r="K4630" s="38">
        <f t="shared" si="217"/>
        <v>0</v>
      </c>
    </row>
    <row r="4631" spans="1:11">
      <c r="A4631" t="s">
        <v>1051</v>
      </c>
      <c r="B4631" t="s">
        <v>10184</v>
      </c>
      <c r="C4631" t="s">
        <v>6648</v>
      </c>
      <c r="D4631" t="s">
        <v>6599</v>
      </c>
      <c r="E4631">
        <v>12559.33</v>
      </c>
      <c r="G4631" s="35"/>
      <c r="H4631" s="36">
        <f t="shared" si="218"/>
        <v>7912.3779000000004</v>
      </c>
      <c r="I4631" s="37">
        <f t="shared" si="216"/>
        <v>7912.3779000000004</v>
      </c>
      <c r="J4631" s="4"/>
      <c r="K4631" s="38">
        <f t="shared" si="217"/>
        <v>0</v>
      </c>
    </row>
    <row r="4632" spans="1:11">
      <c r="A4632" t="s">
        <v>1052</v>
      </c>
      <c r="B4632" t="s">
        <v>10184</v>
      </c>
      <c r="C4632" t="s">
        <v>6648</v>
      </c>
      <c r="D4632" t="s">
        <v>6600</v>
      </c>
      <c r="E4632">
        <v>16648.349999999999</v>
      </c>
      <c r="G4632" s="35"/>
      <c r="H4632" s="36">
        <f t="shared" si="218"/>
        <v>10488.460499999999</v>
      </c>
      <c r="I4632" s="37">
        <f t="shared" si="216"/>
        <v>10488.460499999999</v>
      </c>
      <c r="J4632" s="4"/>
      <c r="K4632" s="38">
        <f t="shared" si="217"/>
        <v>0</v>
      </c>
    </row>
    <row r="4633" spans="1:11">
      <c r="A4633" t="s">
        <v>1053</v>
      </c>
      <c r="B4633" t="s">
        <v>10184</v>
      </c>
      <c r="C4633" t="s">
        <v>6648</v>
      </c>
      <c r="D4633" t="s">
        <v>6601</v>
      </c>
      <c r="E4633">
        <v>23426.560000000001</v>
      </c>
      <c r="G4633" s="35"/>
      <c r="H4633" s="36">
        <f t="shared" si="218"/>
        <v>14758.732800000002</v>
      </c>
      <c r="I4633" s="37">
        <f t="shared" si="216"/>
        <v>14758.732800000002</v>
      </c>
      <c r="J4633" s="4"/>
      <c r="K4633" s="38">
        <f t="shared" si="217"/>
        <v>0</v>
      </c>
    </row>
    <row r="4634" spans="1:11">
      <c r="A4634" t="s">
        <v>1054</v>
      </c>
      <c r="B4634" t="s">
        <v>10184</v>
      </c>
      <c r="C4634" t="s">
        <v>6648</v>
      </c>
      <c r="D4634" t="s">
        <v>6602</v>
      </c>
      <c r="E4634">
        <v>33296.660000000003</v>
      </c>
      <c r="G4634" s="35"/>
      <c r="H4634" s="36">
        <f t="shared" si="218"/>
        <v>20976.895800000002</v>
      </c>
      <c r="I4634" s="37">
        <f t="shared" si="216"/>
        <v>20976.895800000002</v>
      </c>
      <c r="J4634" s="4"/>
      <c r="K4634" s="38">
        <f t="shared" si="217"/>
        <v>0</v>
      </c>
    </row>
    <row r="4635" spans="1:11">
      <c r="A4635" t="s">
        <v>1055</v>
      </c>
      <c r="B4635" t="s">
        <v>10184</v>
      </c>
      <c r="C4635" t="s">
        <v>6648</v>
      </c>
      <c r="D4635" t="s">
        <v>6603</v>
      </c>
      <c r="E4635">
        <v>50661.73</v>
      </c>
      <c r="G4635" s="35"/>
      <c r="H4635" s="36">
        <f t="shared" si="218"/>
        <v>31916.889900000002</v>
      </c>
      <c r="I4635" s="37">
        <f t="shared" si="216"/>
        <v>31916.889900000002</v>
      </c>
      <c r="J4635" s="4"/>
      <c r="K4635" s="38">
        <f t="shared" si="217"/>
        <v>0</v>
      </c>
    </row>
    <row r="4636" spans="1:11">
      <c r="A4636" t="s">
        <v>1056</v>
      </c>
      <c r="B4636" t="s">
        <v>10184</v>
      </c>
      <c r="C4636" t="s">
        <v>6648</v>
      </c>
      <c r="D4636" t="s">
        <v>6604</v>
      </c>
      <c r="E4636">
        <v>71607.399999999994</v>
      </c>
      <c r="G4636" s="35"/>
      <c r="H4636" s="36">
        <f t="shared" si="218"/>
        <v>45112.661999999997</v>
      </c>
      <c r="I4636" s="37">
        <f t="shared" si="216"/>
        <v>45112.661999999997</v>
      </c>
      <c r="J4636" s="4"/>
      <c r="K4636" s="38">
        <f t="shared" si="217"/>
        <v>0</v>
      </c>
    </row>
    <row r="4637" spans="1:11">
      <c r="A4637" t="s">
        <v>1003</v>
      </c>
      <c r="B4637" t="s">
        <v>10184</v>
      </c>
      <c r="C4637" t="s">
        <v>6635</v>
      </c>
      <c r="D4637" t="s">
        <v>6620</v>
      </c>
      <c r="E4637">
        <v>2376.15</v>
      </c>
      <c r="G4637" s="35"/>
      <c r="H4637" s="36">
        <f t="shared" si="218"/>
        <v>1496.9745</v>
      </c>
      <c r="I4637" s="37">
        <f t="shared" si="216"/>
        <v>1496.9745</v>
      </c>
      <c r="J4637" s="4"/>
      <c r="K4637" s="38">
        <f t="shared" si="217"/>
        <v>0</v>
      </c>
    </row>
    <row r="4638" spans="1:11">
      <c r="A4638" t="s">
        <v>1004</v>
      </c>
      <c r="B4638" t="s">
        <v>10184</v>
      </c>
      <c r="C4638" t="s">
        <v>6635</v>
      </c>
      <c r="D4638" t="s">
        <v>6621</v>
      </c>
      <c r="E4638">
        <v>2940.04</v>
      </c>
      <c r="G4638" s="35"/>
      <c r="H4638" s="36">
        <f t="shared" si="218"/>
        <v>1852.2252000000001</v>
      </c>
      <c r="I4638" s="37">
        <f t="shared" si="216"/>
        <v>1852.2252000000001</v>
      </c>
      <c r="J4638" s="4"/>
      <c r="K4638" s="38">
        <f t="shared" si="217"/>
        <v>0</v>
      </c>
    </row>
    <row r="4639" spans="1:11">
      <c r="A4639" t="s">
        <v>1005</v>
      </c>
      <c r="B4639" t="s">
        <v>10184</v>
      </c>
      <c r="C4639" t="s">
        <v>6635</v>
      </c>
      <c r="D4639" t="s">
        <v>6623</v>
      </c>
      <c r="E4639">
        <v>4295.6899999999996</v>
      </c>
      <c r="G4639" s="35"/>
      <c r="H4639" s="36">
        <f t="shared" si="218"/>
        <v>2706.2846999999997</v>
      </c>
      <c r="I4639" s="37">
        <f t="shared" si="216"/>
        <v>2706.2846999999997</v>
      </c>
      <c r="J4639" s="4"/>
      <c r="K4639" s="38">
        <f t="shared" si="217"/>
        <v>0</v>
      </c>
    </row>
    <row r="4640" spans="1:11">
      <c r="A4640" t="s">
        <v>1006</v>
      </c>
      <c r="B4640" t="s">
        <v>10184</v>
      </c>
      <c r="C4640" t="s">
        <v>6635</v>
      </c>
      <c r="D4640" t="s">
        <v>6624</v>
      </c>
      <c r="E4640">
        <v>4405.96</v>
      </c>
      <c r="G4640" s="35"/>
      <c r="H4640" s="36">
        <f t="shared" si="218"/>
        <v>2775.7548000000002</v>
      </c>
      <c r="I4640" s="37">
        <f t="shared" si="216"/>
        <v>2775.7548000000002</v>
      </c>
      <c r="J4640" s="4"/>
      <c r="K4640" s="38">
        <f t="shared" si="217"/>
        <v>0</v>
      </c>
    </row>
    <row r="4641" spans="1:11">
      <c r="A4641" t="s">
        <v>1007</v>
      </c>
      <c r="B4641" t="s">
        <v>10184</v>
      </c>
      <c r="C4641" t="s">
        <v>6635</v>
      </c>
      <c r="D4641" t="s">
        <v>6625</v>
      </c>
      <c r="E4641">
        <v>6508.31</v>
      </c>
      <c r="G4641" s="35"/>
      <c r="H4641" s="36">
        <f t="shared" si="218"/>
        <v>4100.2353000000003</v>
      </c>
      <c r="I4641" s="37">
        <f t="shared" si="216"/>
        <v>4100.2353000000003</v>
      </c>
      <c r="J4641" s="4"/>
      <c r="K4641" s="38">
        <f t="shared" si="217"/>
        <v>0</v>
      </c>
    </row>
    <row r="4642" spans="1:11">
      <c r="A4642" t="s">
        <v>1008</v>
      </c>
      <c r="B4642" t="s">
        <v>10184</v>
      </c>
      <c r="C4642" t="s">
        <v>6635</v>
      </c>
      <c r="D4642" t="s">
        <v>6626</v>
      </c>
      <c r="E4642">
        <v>6564.87</v>
      </c>
      <c r="G4642" s="35"/>
      <c r="H4642" s="36">
        <f t="shared" si="218"/>
        <v>4135.8680999999997</v>
      </c>
      <c r="I4642" s="37">
        <f t="shared" si="216"/>
        <v>4135.8680999999997</v>
      </c>
      <c r="J4642" s="4"/>
      <c r="K4642" s="38">
        <f t="shared" si="217"/>
        <v>0</v>
      </c>
    </row>
    <row r="4643" spans="1:11">
      <c r="A4643" t="s">
        <v>1009</v>
      </c>
      <c r="B4643" t="s">
        <v>10184</v>
      </c>
      <c r="C4643" t="s">
        <v>6635</v>
      </c>
      <c r="D4643" t="s">
        <v>6627</v>
      </c>
      <c r="E4643">
        <v>8511.14</v>
      </c>
      <c r="G4643" s="35"/>
      <c r="H4643" s="36">
        <f t="shared" si="218"/>
        <v>5362.0181999999995</v>
      </c>
      <c r="I4643" s="37">
        <f t="shared" si="216"/>
        <v>5362.0181999999995</v>
      </c>
      <c r="J4643" s="4"/>
      <c r="K4643" s="38">
        <f t="shared" si="217"/>
        <v>0</v>
      </c>
    </row>
    <row r="4644" spans="1:11">
      <c r="A4644" t="s">
        <v>1010</v>
      </c>
      <c r="B4644" t="s">
        <v>10184</v>
      </c>
      <c r="C4644" t="s">
        <v>6635</v>
      </c>
      <c r="D4644" t="s">
        <v>6628</v>
      </c>
      <c r="E4644">
        <v>11029.43</v>
      </c>
      <c r="G4644" s="35"/>
      <c r="H4644" s="36">
        <f t="shared" si="218"/>
        <v>6948.5409</v>
      </c>
      <c r="I4644" s="37">
        <f t="shared" si="216"/>
        <v>6948.5409</v>
      </c>
      <c r="J4644" s="4"/>
      <c r="K4644" s="38">
        <f t="shared" si="217"/>
        <v>0</v>
      </c>
    </row>
    <row r="4645" spans="1:11">
      <c r="A4645" t="s">
        <v>952</v>
      </c>
      <c r="B4645" t="s">
        <v>10184</v>
      </c>
      <c r="C4645" t="s">
        <v>6215</v>
      </c>
      <c r="D4645" t="s">
        <v>6599</v>
      </c>
      <c r="E4645">
        <v>4135.16</v>
      </c>
      <c r="G4645" s="35"/>
      <c r="H4645" s="36">
        <f t="shared" si="218"/>
        <v>2605.1507999999999</v>
      </c>
      <c r="I4645" s="37">
        <f t="shared" si="216"/>
        <v>2605.1507999999999</v>
      </c>
      <c r="J4645" s="4"/>
      <c r="K4645" s="38">
        <f t="shared" si="217"/>
        <v>0</v>
      </c>
    </row>
    <row r="4646" spans="1:11">
      <c r="A4646" t="s">
        <v>953</v>
      </c>
      <c r="B4646" t="s">
        <v>10184</v>
      </c>
      <c r="C4646" t="s">
        <v>6215</v>
      </c>
      <c r="D4646" t="s">
        <v>6600</v>
      </c>
      <c r="E4646">
        <v>4722.71</v>
      </c>
      <c r="G4646" s="35"/>
      <c r="H4646" s="36">
        <f t="shared" si="218"/>
        <v>2975.3072999999999</v>
      </c>
      <c r="I4646" s="37">
        <f t="shared" si="216"/>
        <v>2975.3072999999999</v>
      </c>
      <c r="J4646" s="4"/>
      <c r="K4646" s="38">
        <f t="shared" si="217"/>
        <v>0</v>
      </c>
    </row>
    <row r="4647" spans="1:11">
      <c r="A4647" t="s">
        <v>954</v>
      </c>
      <c r="B4647" t="s">
        <v>10184</v>
      </c>
      <c r="C4647" t="s">
        <v>6215</v>
      </c>
      <c r="D4647" t="s">
        <v>6601</v>
      </c>
      <c r="E4647">
        <v>5242.5</v>
      </c>
      <c r="G4647" s="35"/>
      <c r="H4647" s="36">
        <f t="shared" si="218"/>
        <v>3302.7750000000001</v>
      </c>
      <c r="I4647" s="37">
        <f t="shared" si="216"/>
        <v>3302.7750000000001</v>
      </c>
      <c r="J4647" s="4"/>
      <c r="K4647" s="38">
        <f t="shared" si="217"/>
        <v>0</v>
      </c>
    </row>
    <row r="4648" spans="1:11">
      <c r="A4648" t="s">
        <v>955</v>
      </c>
      <c r="B4648" t="s">
        <v>10184</v>
      </c>
      <c r="C4648" t="s">
        <v>6215</v>
      </c>
      <c r="D4648" t="s">
        <v>6602</v>
      </c>
      <c r="E4648">
        <v>11476.51</v>
      </c>
      <c r="G4648" s="35"/>
      <c r="H4648" s="36">
        <f t="shared" si="218"/>
        <v>7230.2013000000006</v>
      </c>
      <c r="I4648" s="37">
        <f t="shared" si="216"/>
        <v>7230.2013000000006</v>
      </c>
      <c r="J4648" s="4"/>
      <c r="K4648" s="38">
        <f t="shared" si="217"/>
        <v>0</v>
      </c>
    </row>
    <row r="4649" spans="1:11">
      <c r="A4649" t="s">
        <v>956</v>
      </c>
      <c r="B4649" t="s">
        <v>10184</v>
      </c>
      <c r="C4649" t="s">
        <v>6215</v>
      </c>
      <c r="D4649" t="s">
        <v>6603</v>
      </c>
      <c r="E4649">
        <v>26534.79</v>
      </c>
      <c r="G4649" s="35"/>
      <c r="H4649" s="36">
        <f t="shared" si="218"/>
        <v>16716.917700000002</v>
      </c>
      <c r="I4649" s="37">
        <f t="shared" si="216"/>
        <v>16716.917700000002</v>
      </c>
      <c r="J4649" s="4"/>
      <c r="K4649" s="38">
        <f t="shared" si="217"/>
        <v>0</v>
      </c>
    </row>
    <row r="4650" spans="1:11">
      <c r="A4650" t="s">
        <v>957</v>
      </c>
      <c r="B4650" t="s">
        <v>10184</v>
      </c>
      <c r="C4650" t="s">
        <v>6215</v>
      </c>
      <c r="D4650" t="s">
        <v>6604</v>
      </c>
      <c r="E4650">
        <v>34049.72</v>
      </c>
      <c r="G4650" s="35"/>
      <c r="H4650" s="36">
        <f t="shared" si="218"/>
        <v>21451.3236</v>
      </c>
      <c r="I4650" s="37">
        <f t="shared" si="216"/>
        <v>21451.3236</v>
      </c>
      <c r="J4650" s="4"/>
      <c r="K4650" s="38">
        <f t="shared" si="217"/>
        <v>0</v>
      </c>
    </row>
    <row r="4651" spans="1:11">
      <c r="A4651" t="s">
        <v>964</v>
      </c>
      <c r="B4651" t="s">
        <v>10184</v>
      </c>
      <c r="C4651" t="s">
        <v>6606</v>
      </c>
      <c r="D4651" t="s">
        <v>6607</v>
      </c>
      <c r="E4651">
        <v>5789.6</v>
      </c>
      <c r="G4651" s="35"/>
      <c r="H4651" s="36">
        <f t="shared" si="218"/>
        <v>3647.4480000000003</v>
      </c>
      <c r="I4651" s="37">
        <f t="shared" si="216"/>
        <v>3647.4480000000003</v>
      </c>
      <c r="J4651" s="4"/>
      <c r="K4651" s="38">
        <f t="shared" si="217"/>
        <v>0</v>
      </c>
    </row>
    <row r="4652" spans="1:11">
      <c r="A4652" t="s">
        <v>965</v>
      </c>
      <c r="B4652" t="s">
        <v>10184</v>
      </c>
      <c r="C4652" t="s">
        <v>6606</v>
      </c>
      <c r="D4652" t="s">
        <v>6608</v>
      </c>
      <c r="E4652">
        <v>8599.94</v>
      </c>
      <c r="G4652" s="35"/>
      <c r="H4652" s="36">
        <f t="shared" si="218"/>
        <v>5417.9621999999999</v>
      </c>
      <c r="I4652" s="37">
        <f t="shared" si="216"/>
        <v>5417.9621999999999</v>
      </c>
      <c r="J4652" s="4"/>
      <c r="K4652" s="38">
        <f t="shared" si="217"/>
        <v>0</v>
      </c>
    </row>
    <row r="4653" spans="1:11">
      <c r="A4653" t="s">
        <v>966</v>
      </c>
      <c r="B4653" t="s">
        <v>10184</v>
      </c>
      <c r="C4653" t="s">
        <v>6606</v>
      </c>
      <c r="D4653" t="s">
        <v>6609</v>
      </c>
      <c r="E4653">
        <v>14486.36</v>
      </c>
      <c r="G4653" s="35"/>
      <c r="H4653" s="36">
        <f t="shared" si="218"/>
        <v>9126.4068000000007</v>
      </c>
      <c r="I4653" s="37">
        <f t="shared" si="216"/>
        <v>9126.4068000000007</v>
      </c>
      <c r="J4653" s="4"/>
      <c r="K4653" s="38">
        <f t="shared" si="217"/>
        <v>0</v>
      </c>
    </row>
    <row r="4654" spans="1:11">
      <c r="A4654" t="s">
        <v>967</v>
      </c>
      <c r="B4654" t="s">
        <v>10184</v>
      </c>
      <c r="C4654" t="s">
        <v>6606</v>
      </c>
      <c r="D4654" t="s">
        <v>6610</v>
      </c>
      <c r="E4654">
        <v>25914.98</v>
      </c>
      <c r="G4654" s="35"/>
      <c r="H4654" s="36">
        <f t="shared" si="218"/>
        <v>16326.437400000001</v>
      </c>
      <c r="I4654" s="37">
        <f t="shared" si="216"/>
        <v>16326.437400000001</v>
      </c>
      <c r="J4654" s="4"/>
      <c r="K4654" s="38">
        <f t="shared" si="217"/>
        <v>0</v>
      </c>
    </row>
    <row r="4655" spans="1:11">
      <c r="A4655" t="s">
        <v>968</v>
      </c>
      <c r="B4655" t="s">
        <v>10184</v>
      </c>
      <c r="C4655" t="s">
        <v>6606</v>
      </c>
      <c r="D4655" t="s">
        <v>6611</v>
      </c>
      <c r="E4655">
        <v>36647.81</v>
      </c>
      <c r="G4655" s="35"/>
      <c r="H4655" s="36">
        <f t="shared" si="218"/>
        <v>23088.120299999999</v>
      </c>
      <c r="I4655" s="37">
        <f t="shared" si="216"/>
        <v>23088.120299999999</v>
      </c>
      <c r="J4655" s="4"/>
      <c r="K4655" s="38">
        <f t="shared" si="217"/>
        <v>0</v>
      </c>
    </row>
    <row r="4656" spans="1:11">
      <c r="A4656" t="s">
        <v>969</v>
      </c>
      <c r="B4656" t="s">
        <v>10184</v>
      </c>
      <c r="C4656" t="s">
        <v>6606</v>
      </c>
      <c r="D4656" t="s">
        <v>6612</v>
      </c>
      <c r="E4656">
        <v>46009.25</v>
      </c>
      <c r="G4656" s="35"/>
      <c r="H4656" s="36">
        <f t="shared" si="218"/>
        <v>28985.827499999999</v>
      </c>
      <c r="I4656" s="37">
        <f t="shared" si="216"/>
        <v>28985.827499999999</v>
      </c>
      <c r="J4656" s="4"/>
      <c r="K4656" s="38">
        <f t="shared" si="217"/>
        <v>0</v>
      </c>
    </row>
    <row r="4657" spans="1:11">
      <c r="A4657" t="s">
        <v>970</v>
      </c>
      <c r="B4657" t="s">
        <v>10184</v>
      </c>
      <c r="C4657" t="s">
        <v>6606</v>
      </c>
      <c r="D4657" t="s">
        <v>6613</v>
      </c>
      <c r="E4657">
        <v>7490.07</v>
      </c>
      <c r="G4657" s="35"/>
      <c r="H4657" s="36">
        <f t="shared" si="218"/>
        <v>4718.7440999999999</v>
      </c>
      <c r="I4657" s="37">
        <f t="shared" si="216"/>
        <v>4718.7440999999999</v>
      </c>
      <c r="J4657" s="4"/>
      <c r="K4657" s="38">
        <f t="shared" si="217"/>
        <v>0</v>
      </c>
    </row>
    <row r="4658" spans="1:11">
      <c r="A4658" t="s">
        <v>971</v>
      </c>
      <c r="B4658" t="s">
        <v>10184</v>
      </c>
      <c r="C4658" t="s">
        <v>6606</v>
      </c>
      <c r="D4658" t="s">
        <v>6614</v>
      </c>
      <c r="E4658">
        <v>12312.24</v>
      </c>
      <c r="G4658" s="35"/>
      <c r="H4658" s="36">
        <f t="shared" si="218"/>
        <v>7756.7111999999997</v>
      </c>
      <c r="I4658" s="37">
        <f t="shared" si="216"/>
        <v>7756.7111999999997</v>
      </c>
      <c r="J4658" s="4"/>
      <c r="K4658" s="38">
        <f t="shared" si="217"/>
        <v>0</v>
      </c>
    </row>
    <row r="4659" spans="1:11">
      <c r="A4659" t="s">
        <v>972</v>
      </c>
      <c r="B4659" t="s">
        <v>10184</v>
      </c>
      <c r="C4659" t="s">
        <v>6606</v>
      </c>
      <c r="D4659" t="s">
        <v>6615</v>
      </c>
      <c r="E4659">
        <v>25238.62</v>
      </c>
      <c r="G4659" s="35"/>
      <c r="H4659" s="36">
        <f t="shared" si="218"/>
        <v>15900.330599999999</v>
      </c>
      <c r="I4659" s="37">
        <f t="shared" si="216"/>
        <v>15900.330599999999</v>
      </c>
      <c r="J4659" s="4"/>
      <c r="K4659" s="38">
        <f t="shared" si="217"/>
        <v>0</v>
      </c>
    </row>
    <row r="4660" spans="1:11">
      <c r="A4660" t="s">
        <v>973</v>
      </c>
      <c r="B4660" t="s">
        <v>10184</v>
      </c>
      <c r="C4660" t="s">
        <v>6606</v>
      </c>
      <c r="D4660" t="s">
        <v>6616</v>
      </c>
      <c r="E4660">
        <v>35563.78</v>
      </c>
      <c r="G4660" s="35"/>
      <c r="H4660" s="36">
        <f t="shared" si="218"/>
        <v>22405.181399999998</v>
      </c>
      <c r="I4660" s="37">
        <f t="shared" si="216"/>
        <v>22405.181399999998</v>
      </c>
      <c r="J4660" s="4"/>
      <c r="K4660" s="38">
        <f t="shared" si="217"/>
        <v>0</v>
      </c>
    </row>
    <row r="4661" spans="1:11">
      <c r="A4661" t="s">
        <v>974</v>
      </c>
      <c r="B4661" t="s">
        <v>10184</v>
      </c>
      <c r="C4661" t="s">
        <v>6606</v>
      </c>
      <c r="D4661" t="s">
        <v>6617</v>
      </c>
      <c r="E4661">
        <v>48104.93</v>
      </c>
      <c r="G4661" s="35"/>
      <c r="H4661" s="36">
        <f t="shared" si="218"/>
        <v>30306.105899999999</v>
      </c>
      <c r="I4661" s="37">
        <f t="shared" si="216"/>
        <v>30306.105899999999</v>
      </c>
      <c r="J4661" s="4"/>
      <c r="K4661" s="38">
        <f t="shared" si="217"/>
        <v>0</v>
      </c>
    </row>
    <row r="4662" spans="1:11">
      <c r="A4662" t="s">
        <v>958</v>
      </c>
      <c r="B4662" t="s">
        <v>10184</v>
      </c>
      <c r="C4662" t="s">
        <v>6605</v>
      </c>
      <c r="D4662" t="s">
        <v>6599</v>
      </c>
      <c r="E4662">
        <v>2563.6999999999998</v>
      </c>
      <c r="G4662" s="35"/>
      <c r="H4662" s="36">
        <f t="shared" si="218"/>
        <v>1615.1309999999999</v>
      </c>
      <c r="I4662" s="37">
        <f t="shared" si="216"/>
        <v>1615.1309999999999</v>
      </c>
      <c r="J4662" s="4"/>
      <c r="K4662" s="38">
        <f t="shared" si="217"/>
        <v>0</v>
      </c>
    </row>
    <row r="4663" spans="1:11">
      <c r="A4663" t="s">
        <v>959</v>
      </c>
      <c r="B4663" t="s">
        <v>10184</v>
      </c>
      <c r="C4663" t="s">
        <v>6605</v>
      </c>
      <c r="D4663" t="s">
        <v>6600</v>
      </c>
      <c r="E4663">
        <v>2920.21</v>
      </c>
      <c r="G4663" s="35"/>
      <c r="H4663" s="36">
        <f t="shared" si="218"/>
        <v>1839.7323000000001</v>
      </c>
      <c r="I4663" s="37">
        <f t="shared" si="216"/>
        <v>1839.7323000000001</v>
      </c>
      <c r="J4663" s="4"/>
      <c r="K4663" s="38">
        <f t="shared" si="217"/>
        <v>0</v>
      </c>
    </row>
    <row r="4664" spans="1:11">
      <c r="A4664" t="s">
        <v>960</v>
      </c>
      <c r="B4664" t="s">
        <v>10184</v>
      </c>
      <c r="C4664" t="s">
        <v>6605</v>
      </c>
      <c r="D4664" t="s">
        <v>6601</v>
      </c>
      <c r="E4664">
        <v>4488.8</v>
      </c>
      <c r="G4664" s="35"/>
      <c r="H4664" s="36">
        <f t="shared" si="218"/>
        <v>2827.944</v>
      </c>
      <c r="I4664" s="37">
        <f t="shared" si="216"/>
        <v>2827.944</v>
      </c>
      <c r="J4664" s="4"/>
      <c r="K4664" s="38">
        <f t="shared" si="217"/>
        <v>0</v>
      </c>
    </row>
    <row r="4665" spans="1:11">
      <c r="A4665" t="s">
        <v>961</v>
      </c>
      <c r="B4665" t="s">
        <v>10184</v>
      </c>
      <c r="C4665" t="s">
        <v>6605</v>
      </c>
      <c r="D4665" t="s">
        <v>6602</v>
      </c>
      <c r="E4665">
        <v>8273.3700000000008</v>
      </c>
      <c r="G4665" s="35"/>
      <c r="H4665" s="36">
        <f t="shared" si="218"/>
        <v>5212.2231000000002</v>
      </c>
      <c r="I4665" s="37">
        <f t="shared" si="216"/>
        <v>5212.2231000000002</v>
      </c>
      <c r="J4665" s="4"/>
      <c r="K4665" s="38">
        <f t="shared" si="217"/>
        <v>0</v>
      </c>
    </row>
    <row r="4666" spans="1:11">
      <c r="A4666" t="s">
        <v>962</v>
      </c>
      <c r="B4666" t="s">
        <v>10184</v>
      </c>
      <c r="C4666" t="s">
        <v>6605</v>
      </c>
      <c r="D4666" t="s">
        <v>6603</v>
      </c>
      <c r="E4666">
        <v>18856.45</v>
      </c>
      <c r="G4666" s="35"/>
      <c r="H4666" s="36">
        <f t="shared" si="218"/>
        <v>11879.5635</v>
      </c>
      <c r="I4666" s="37">
        <f t="shared" si="216"/>
        <v>11879.5635</v>
      </c>
      <c r="J4666" s="4"/>
      <c r="K4666" s="38">
        <f t="shared" si="217"/>
        <v>0</v>
      </c>
    </row>
    <row r="4667" spans="1:11">
      <c r="A4667" t="s">
        <v>963</v>
      </c>
      <c r="B4667" t="s">
        <v>10184</v>
      </c>
      <c r="C4667" t="s">
        <v>6605</v>
      </c>
      <c r="D4667" t="s">
        <v>6604</v>
      </c>
      <c r="E4667">
        <v>29573.72</v>
      </c>
      <c r="G4667" s="35"/>
      <c r="H4667" s="36">
        <f t="shared" si="218"/>
        <v>18631.443600000002</v>
      </c>
      <c r="I4667" s="37">
        <f t="shared" si="216"/>
        <v>18631.443600000002</v>
      </c>
      <c r="J4667" s="4"/>
      <c r="K4667" s="38">
        <f t="shared" si="217"/>
        <v>0</v>
      </c>
    </row>
    <row r="4668" spans="1:11">
      <c r="A4668" t="s">
        <v>1064</v>
      </c>
      <c r="B4668" t="s">
        <v>10184</v>
      </c>
      <c r="C4668" t="s">
        <v>6657</v>
      </c>
      <c r="D4668" t="s">
        <v>6658</v>
      </c>
      <c r="E4668">
        <v>76294.880000000005</v>
      </c>
      <c r="G4668" s="35"/>
      <c r="H4668" s="36">
        <f t="shared" si="218"/>
        <v>48065.774400000002</v>
      </c>
      <c r="I4668" s="37">
        <f t="shared" si="216"/>
        <v>48065.774400000002</v>
      </c>
      <c r="J4668" s="4"/>
      <c r="K4668" s="38">
        <f t="shared" si="217"/>
        <v>0</v>
      </c>
    </row>
    <row r="4669" spans="1:11">
      <c r="A4669" t="s">
        <v>1065</v>
      </c>
      <c r="B4669" t="s">
        <v>10184</v>
      </c>
      <c r="C4669" t="s">
        <v>6657</v>
      </c>
      <c r="D4669" t="s">
        <v>6659</v>
      </c>
      <c r="E4669">
        <v>95935.2</v>
      </c>
      <c r="G4669" s="35"/>
      <c r="H4669" s="36">
        <f t="shared" si="218"/>
        <v>60439.175999999999</v>
      </c>
      <c r="I4669" s="37">
        <f t="shared" si="216"/>
        <v>60439.175999999999</v>
      </c>
      <c r="J4669" s="4"/>
      <c r="K4669" s="38">
        <f t="shared" si="217"/>
        <v>0</v>
      </c>
    </row>
    <row r="4670" spans="1:11">
      <c r="A4670" t="s">
        <v>1066</v>
      </c>
      <c r="B4670" t="s">
        <v>10184</v>
      </c>
      <c r="C4670" t="s">
        <v>6657</v>
      </c>
      <c r="D4670" t="s">
        <v>6660</v>
      </c>
      <c r="E4670">
        <v>8241.44</v>
      </c>
      <c r="G4670" s="35"/>
      <c r="H4670" s="36">
        <f t="shared" si="218"/>
        <v>5192.1072000000004</v>
      </c>
      <c r="I4670" s="37">
        <f t="shared" si="216"/>
        <v>5192.1072000000004</v>
      </c>
      <c r="J4670" s="4"/>
      <c r="K4670" s="38">
        <f t="shared" si="217"/>
        <v>0</v>
      </c>
    </row>
    <row r="4671" spans="1:11">
      <c r="A4671" t="s">
        <v>1067</v>
      </c>
      <c r="B4671" t="s">
        <v>10184</v>
      </c>
      <c r="C4671" t="s">
        <v>6657</v>
      </c>
      <c r="D4671" t="s">
        <v>6661</v>
      </c>
      <c r="E4671">
        <v>10870.79</v>
      </c>
      <c r="G4671" s="35"/>
      <c r="H4671" s="36">
        <f t="shared" si="218"/>
        <v>6848.5977000000003</v>
      </c>
      <c r="I4671" s="37">
        <f t="shared" si="216"/>
        <v>6848.5977000000003</v>
      </c>
      <c r="J4671" s="4"/>
      <c r="K4671" s="38">
        <f t="shared" si="217"/>
        <v>0</v>
      </c>
    </row>
    <row r="4672" spans="1:11">
      <c r="A4672" t="s">
        <v>1025</v>
      </c>
      <c r="B4672" t="s">
        <v>10184</v>
      </c>
      <c r="C4672" t="s">
        <v>6641</v>
      </c>
      <c r="D4672" t="s">
        <v>6599</v>
      </c>
      <c r="E4672">
        <v>1916.99</v>
      </c>
      <c r="G4672" s="35"/>
      <c r="H4672" s="36">
        <f t="shared" si="218"/>
        <v>1207.7037</v>
      </c>
      <c r="I4672" s="37">
        <f t="shared" si="216"/>
        <v>1207.7037</v>
      </c>
      <c r="J4672" s="4"/>
      <c r="K4672" s="38">
        <f t="shared" si="217"/>
        <v>0</v>
      </c>
    </row>
    <row r="4673" spans="1:11">
      <c r="A4673" t="s">
        <v>1026</v>
      </c>
      <c r="B4673" t="s">
        <v>10184</v>
      </c>
      <c r="C4673" t="s">
        <v>6641</v>
      </c>
      <c r="D4673" t="s">
        <v>6600</v>
      </c>
      <c r="E4673">
        <v>2159.0300000000002</v>
      </c>
      <c r="G4673" s="35"/>
      <c r="H4673" s="36">
        <f t="shared" si="218"/>
        <v>1360.1889000000001</v>
      </c>
      <c r="I4673" s="37">
        <f t="shared" si="216"/>
        <v>1360.1889000000001</v>
      </c>
      <c r="J4673" s="4"/>
      <c r="K4673" s="38">
        <f t="shared" si="217"/>
        <v>0</v>
      </c>
    </row>
    <row r="4674" spans="1:11">
      <c r="A4674" t="s">
        <v>1027</v>
      </c>
      <c r="B4674" t="s">
        <v>10184</v>
      </c>
      <c r="C4674" t="s">
        <v>6641</v>
      </c>
      <c r="D4674" t="s">
        <v>6601</v>
      </c>
      <c r="E4674">
        <v>2463.44</v>
      </c>
      <c r="G4674" s="35"/>
      <c r="H4674" s="36">
        <f t="shared" si="218"/>
        <v>1551.9672</v>
      </c>
      <c r="I4674" s="37">
        <f t="shared" si="216"/>
        <v>1551.9672</v>
      </c>
      <c r="J4674" s="4"/>
      <c r="K4674" s="38">
        <f t="shared" si="217"/>
        <v>0</v>
      </c>
    </row>
    <row r="4675" spans="1:11">
      <c r="A4675" t="s">
        <v>1028</v>
      </c>
      <c r="B4675" t="s">
        <v>10184</v>
      </c>
      <c r="C4675" t="s">
        <v>6641</v>
      </c>
      <c r="D4675" t="s">
        <v>6602</v>
      </c>
      <c r="E4675">
        <v>6064.32</v>
      </c>
      <c r="G4675" s="35"/>
      <c r="H4675" s="36">
        <f t="shared" si="218"/>
        <v>3820.5216</v>
      </c>
      <c r="I4675" s="37">
        <f t="shared" si="216"/>
        <v>3820.5216</v>
      </c>
      <c r="J4675" s="4"/>
      <c r="K4675" s="38">
        <f t="shared" si="217"/>
        <v>0</v>
      </c>
    </row>
    <row r="4676" spans="1:11">
      <c r="A4676" t="s">
        <v>1029</v>
      </c>
      <c r="B4676" t="s">
        <v>10184</v>
      </c>
      <c r="C4676" t="s">
        <v>6641</v>
      </c>
      <c r="D4676" t="s">
        <v>6603</v>
      </c>
      <c r="E4676">
        <v>12183.47</v>
      </c>
      <c r="G4676" s="35"/>
      <c r="H4676" s="36">
        <f t="shared" si="218"/>
        <v>7675.5860999999995</v>
      </c>
      <c r="I4676" s="37">
        <f t="shared" si="216"/>
        <v>7675.5860999999995</v>
      </c>
      <c r="J4676" s="4"/>
      <c r="K4676" s="38">
        <f t="shared" si="217"/>
        <v>0</v>
      </c>
    </row>
    <row r="4677" spans="1:11">
      <c r="A4677" t="s">
        <v>1030</v>
      </c>
      <c r="B4677" t="s">
        <v>10184</v>
      </c>
      <c r="C4677" t="s">
        <v>6641</v>
      </c>
      <c r="D4677" t="s">
        <v>6604</v>
      </c>
      <c r="E4677">
        <v>16154.34</v>
      </c>
      <c r="G4677" s="35"/>
      <c r="H4677" s="36">
        <f t="shared" si="218"/>
        <v>10177.234200000001</v>
      </c>
      <c r="I4677" s="37">
        <f t="shared" si="216"/>
        <v>10177.234200000001</v>
      </c>
      <c r="J4677" s="4"/>
      <c r="K4677" s="38">
        <f t="shared" si="217"/>
        <v>0</v>
      </c>
    </row>
    <row r="4678" spans="1:11">
      <c r="A4678" t="s">
        <v>990</v>
      </c>
      <c r="B4678" t="s">
        <v>10184</v>
      </c>
      <c r="C4678" t="s">
        <v>6629</v>
      </c>
      <c r="D4678" t="s">
        <v>6620</v>
      </c>
      <c r="E4678">
        <v>2049.5500000000002</v>
      </c>
      <c r="G4678" s="35"/>
      <c r="H4678" s="36">
        <f t="shared" si="218"/>
        <v>1291.2165000000002</v>
      </c>
      <c r="I4678" s="37">
        <f t="shared" ref="I4678:I4741" si="219">H4678*$H$4</f>
        <v>1291.2165000000002</v>
      </c>
      <c r="J4678" s="4"/>
      <c r="K4678" s="38">
        <f t="shared" ref="K4678:K4741" si="220">J4678*I4678</f>
        <v>0</v>
      </c>
    </row>
    <row r="4679" spans="1:11">
      <c r="A4679" t="s">
        <v>991</v>
      </c>
      <c r="B4679" t="s">
        <v>10184</v>
      </c>
      <c r="C4679" t="s">
        <v>6629</v>
      </c>
      <c r="D4679" t="s">
        <v>6621</v>
      </c>
      <c r="E4679">
        <v>2412.0500000000002</v>
      </c>
      <c r="G4679" s="35"/>
      <c r="H4679" s="36">
        <f t="shared" ref="H4679:H4742" si="221">+E4679*$H$1*(1-G4679)</f>
        <v>1519.5915000000002</v>
      </c>
      <c r="I4679" s="37">
        <f t="shared" si="219"/>
        <v>1519.5915000000002</v>
      </c>
      <c r="J4679" s="4"/>
      <c r="K4679" s="38">
        <f t="shared" si="220"/>
        <v>0</v>
      </c>
    </row>
    <row r="4680" spans="1:11">
      <c r="A4680" t="s">
        <v>992</v>
      </c>
      <c r="B4680" t="s">
        <v>10184</v>
      </c>
      <c r="C4680" t="s">
        <v>6629</v>
      </c>
      <c r="D4680" t="s">
        <v>6622</v>
      </c>
      <c r="E4680">
        <v>2354.73</v>
      </c>
      <c r="G4680" s="35"/>
      <c r="H4680" s="36">
        <f t="shared" si="221"/>
        <v>1483.4799</v>
      </c>
      <c r="I4680" s="37">
        <f t="shared" si="219"/>
        <v>1483.4799</v>
      </c>
      <c r="J4680" s="4"/>
      <c r="K4680" s="38">
        <f t="shared" si="220"/>
        <v>0</v>
      </c>
    </row>
    <row r="4681" spans="1:11">
      <c r="A4681" t="s">
        <v>993</v>
      </c>
      <c r="B4681" t="s">
        <v>10184</v>
      </c>
      <c r="C4681" t="s">
        <v>6629</v>
      </c>
      <c r="D4681" t="s">
        <v>6623</v>
      </c>
      <c r="E4681">
        <v>10181.68</v>
      </c>
      <c r="G4681" s="35"/>
      <c r="H4681" s="36">
        <f t="shared" si="221"/>
        <v>6414.4584000000004</v>
      </c>
      <c r="I4681" s="37">
        <f t="shared" si="219"/>
        <v>6414.4584000000004</v>
      </c>
      <c r="J4681" s="4"/>
      <c r="K4681" s="38">
        <f t="shared" si="220"/>
        <v>0</v>
      </c>
    </row>
    <row r="4682" spans="1:11">
      <c r="A4682" t="s">
        <v>994</v>
      </c>
      <c r="B4682" t="s">
        <v>10184</v>
      </c>
      <c r="C4682" t="s">
        <v>6629</v>
      </c>
      <c r="D4682" t="s">
        <v>6624</v>
      </c>
      <c r="E4682">
        <v>9793.43</v>
      </c>
      <c r="G4682" s="35"/>
      <c r="H4682" s="36">
        <f t="shared" si="221"/>
        <v>6169.8609000000006</v>
      </c>
      <c r="I4682" s="37">
        <f t="shared" si="219"/>
        <v>6169.8609000000006</v>
      </c>
      <c r="J4682" s="4"/>
      <c r="K4682" s="38">
        <f t="shared" si="220"/>
        <v>0</v>
      </c>
    </row>
    <row r="4683" spans="1:11">
      <c r="A4683" t="s">
        <v>995</v>
      </c>
      <c r="B4683" t="s">
        <v>10184</v>
      </c>
      <c r="C4683" t="s">
        <v>6629</v>
      </c>
      <c r="D4683" t="s">
        <v>6625</v>
      </c>
      <c r="E4683">
        <v>12183.47</v>
      </c>
      <c r="G4683" s="35"/>
      <c r="H4683" s="36">
        <f t="shared" si="221"/>
        <v>7675.5860999999995</v>
      </c>
      <c r="I4683" s="37">
        <f t="shared" si="219"/>
        <v>7675.5860999999995</v>
      </c>
      <c r="J4683" s="4"/>
      <c r="K4683" s="38">
        <f t="shared" si="220"/>
        <v>0</v>
      </c>
    </row>
    <row r="4684" spans="1:11">
      <c r="A4684" t="s">
        <v>996</v>
      </c>
      <c r="B4684" t="s">
        <v>10184</v>
      </c>
      <c r="C4684" t="s">
        <v>6629</v>
      </c>
      <c r="D4684" t="s">
        <v>6626</v>
      </c>
      <c r="E4684">
        <v>11964.5</v>
      </c>
      <c r="G4684" s="35"/>
      <c r="H4684" s="36">
        <f t="shared" si="221"/>
        <v>7537.6350000000002</v>
      </c>
      <c r="I4684" s="37">
        <f t="shared" si="219"/>
        <v>7537.6350000000002</v>
      </c>
      <c r="J4684" s="4"/>
      <c r="K4684" s="38">
        <f t="shared" si="220"/>
        <v>0</v>
      </c>
    </row>
    <row r="4685" spans="1:11">
      <c r="A4685" t="s">
        <v>997</v>
      </c>
      <c r="B4685" t="s">
        <v>10184</v>
      </c>
      <c r="C4685" t="s">
        <v>6629</v>
      </c>
      <c r="D4685" t="s">
        <v>6627</v>
      </c>
      <c r="E4685">
        <v>16618.8</v>
      </c>
      <c r="G4685" s="35"/>
      <c r="H4685" s="36">
        <f t="shared" si="221"/>
        <v>10469.843999999999</v>
      </c>
      <c r="I4685" s="37">
        <f t="shared" si="219"/>
        <v>10469.843999999999</v>
      </c>
      <c r="J4685" s="4"/>
      <c r="K4685" s="38">
        <f t="shared" si="220"/>
        <v>0</v>
      </c>
    </row>
    <row r="4686" spans="1:11">
      <c r="A4686" t="s">
        <v>998</v>
      </c>
      <c r="B4686" t="s">
        <v>10184</v>
      </c>
      <c r="C4686" t="s">
        <v>6629</v>
      </c>
      <c r="D4686" t="s">
        <v>6628</v>
      </c>
      <c r="E4686">
        <v>14647.29</v>
      </c>
      <c r="G4686" s="35"/>
      <c r="H4686" s="36">
        <f t="shared" si="221"/>
        <v>9227.7927</v>
      </c>
      <c r="I4686" s="37">
        <f t="shared" si="219"/>
        <v>9227.7927</v>
      </c>
      <c r="J4686" s="4"/>
      <c r="K4686" s="38">
        <f t="shared" si="220"/>
        <v>0</v>
      </c>
    </row>
    <row r="4687" spans="1:11">
      <c r="A4687" t="s">
        <v>1069</v>
      </c>
      <c r="B4687" t="s">
        <v>10184</v>
      </c>
      <c r="C4687" t="s">
        <v>6664</v>
      </c>
      <c r="D4687" t="s">
        <v>6665</v>
      </c>
      <c r="E4687">
        <v>5512.55</v>
      </c>
      <c r="G4687" s="35"/>
      <c r="H4687" s="36">
        <f t="shared" si="221"/>
        <v>3472.9065000000001</v>
      </c>
      <c r="I4687" s="37">
        <f t="shared" si="219"/>
        <v>3472.9065000000001</v>
      </c>
      <c r="J4687" s="4"/>
      <c r="K4687" s="38">
        <f t="shared" si="220"/>
        <v>0</v>
      </c>
    </row>
    <row r="4688" spans="1:11">
      <c r="A4688" t="s">
        <v>1070</v>
      </c>
      <c r="B4688" t="s">
        <v>10184</v>
      </c>
      <c r="C4688" t="s">
        <v>6664</v>
      </c>
      <c r="D4688" t="s">
        <v>6666</v>
      </c>
      <c r="E4688">
        <v>5895.38</v>
      </c>
      <c r="G4688" s="35"/>
      <c r="H4688" s="36">
        <f t="shared" si="221"/>
        <v>3714.0894000000003</v>
      </c>
      <c r="I4688" s="37">
        <f t="shared" si="219"/>
        <v>3714.0894000000003</v>
      </c>
      <c r="J4688" s="4"/>
      <c r="K4688" s="38">
        <f t="shared" si="220"/>
        <v>0</v>
      </c>
    </row>
    <row r="4689" spans="1:11">
      <c r="A4689" t="s">
        <v>1071</v>
      </c>
      <c r="B4689" t="s">
        <v>10184</v>
      </c>
      <c r="C4689" t="s">
        <v>6664</v>
      </c>
      <c r="D4689" t="s">
        <v>6667</v>
      </c>
      <c r="E4689">
        <v>6752.32</v>
      </c>
      <c r="G4689" s="35"/>
      <c r="H4689" s="36">
        <f t="shared" si="221"/>
        <v>4253.9615999999996</v>
      </c>
      <c r="I4689" s="37">
        <f t="shared" si="219"/>
        <v>4253.9615999999996</v>
      </c>
      <c r="J4689" s="4"/>
      <c r="K4689" s="38">
        <f t="shared" si="220"/>
        <v>0</v>
      </c>
    </row>
    <row r="4690" spans="1:11">
      <c r="A4690" t="s">
        <v>1002</v>
      </c>
      <c r="B4690" t="s">
        <v>10184</v>
      </c>
      <c r="C4690" t="s">
        <v>6630</v>
      </c>
      <c r="D4690" t="s">
        <v>6634</v>
      </c>
      <c r="E4690">
        <v>11047.73</v>
      </c>
      <c r="G4690" s="35"/>
      <c r="H4690" s="36">
        <f t="shared" si="221"/>
        <v>6960.0698999999995</v>
      </c>
      <c r="I4690" s="37">
        <f t="shared" si="219"/>
        <v>6960.0698999999995</v>
      </c>
      <c r="J4690" s="4"/>
      <c r="K4690" s="38">
        <f t="shared" si="220"/>
        <v>0</v>
      </c>
    </row>
    <row r="4691" spans="1:11">
      <c r="A4691" t="s">
        <v>999</v>
      </c>
      <c r="B4691" t="s">
        <v>10184</v>
      </c>
      <c r="C4691" t="s">
        <v>6630</v>
      </c>
      <c r="D4691" t="s">
        <v>6631</v>
      </c>
      <c r="E4691">
        <v>28822.85</v>
      </c>
      <c r="G4691" s="35"/>
      <c r="H4691" s="36">
        <f t="shared" si="221"/>
        <v>18158.395499999999</v>
      </c>
      <c r="I4691" s="37">
        <f t="shared" si="219"/>
        <v>18158.395499999999</v>
      </c>
      <c r="J4691" s="4"/>
      <c r="K4691" s="38">
        <f t="shared" si="220"/>
        <v>0</v>
      </c>
    </row>
    <row r="4692" spans="1:11">
      <c r="A4692" t="s">
        <v>1000</v>
      </c>
      <c r="B4692" t="s">
        <v>10184</v>
      </c>
      <c r="C4692" t="s">
        <v>6630</v>
      </c>
      <c r="D4692" t="s">
        <v>6632</v>
      </c>
      <c r="E4692">
        <v>28853.25</v>
      </c>
      <c r="G4692" s="35"/>
      <c r="H4692" s="36">
        <f t="shared" si="221"/>
        <v>18177.547500000001</v>
      </c>
      <c r="I4692" s="37">
        <f t="shared" si="219"/>
        <v>18177.547500000001</v>
      </c>
      <c r="J4692" s="4"/>
      <c r="K4692" s="38">
        <f t="shared" si="220"/>
        <v>0</v>
      </c>
    </row>
    <row r="4693" spans="1:11">
      <c r="A4693" t="s">
        <v>1001</v>
      </c>
      <c r="B4693" t="s">
        <v>10184</v>
      </c>
      <c r="C4693" t="s">
        <v>6630</v>
      </c>
      <c r="D4693" t="s">
        <v>6633</v>
      </c>
      <c r="E4693">
        <v>61820.12</v>
      </c>
      <c r="G4693" s="35"/>
      <c r="H4693" s="36">
        <f t="shared" si="221"/>
        <v>38946.675600000002</v>
      </c>
      <c r="I4693" s="37">
        <f t="shared" si="219"/>
        <v>38946.675600000002</v>
      </c>
      <c r="J4693" s="4"/>
      <c r="K4693" s="38">
        <f t="shared" si="220"/>
        <v>0</v>
      </c>
    </row>
    <row r="4694" spans="1:11">
      <c r="A4694" t="s">
        <v>11870</v>
      </c>
      <c r="B4694" t="s">
        <v>10184</v>
      </c>
      <c r="C4694" t="s">
        <v>6630</v>
      </c>
      <c r="D4694" t="s">
        <v>11888</v>
      </c>
      <c r="E4694">
        <v>72072.800000000003</v>
      </c>
      <c r="G4694" s="35"/>
      <c r="H4694" s="36">
        <f t="shared" si="221"/>
        <v>45405.864000000001</v>
      </c>
      <c r="I4694" s="37">
        <f t="shared" si="219"/>
        <v>45405.864000000001</v>
      </c>
      <c r="J4694" s="4"/>
      <c r="K4694" s="38">
        <f t="shared" si="220"/>
        <v>0</v>
      </c>
    </row>
    <row r="4695" spans="1:11">
      <c r="A4695" t="s">
        <v>11942</v>
      </c>
      <c r="B4695" t="s">
        <v>10184</v>
      </c>
      <c r="C4695" t="s">
        <v>6630</v>
      </c>
      <c r="D4695" t="s">
        <v>11943</v>
      </c>
      <c r="E4695">
        <v>39316.080000000002</v>
      </c>
      <c r="G4695" s="35"/>
      <c r="H4695" s="36">
        <f t="shared" si="221"/>
        <v>24769.130400000002</v>
      </c>
      <c r="I4695" s="37">
        <f t="shared" si="219"/>
        <v>24769.130400000002</v>
      </c>
      <c r="J4695" s="4"/>
      <c r="K4695" s="38">
        <f t="shared" si="220"/>
        <v>0</v>
      </c>
    </row>
    <row r="4696" spans="1:11">
      <c r="A4696" t="s">
        <v>1031</v>
      </c>
      <c r="B4696" t="s">
        <v>10184</v>
      </c>
      <c r="C4696" t="s">
        <v>6642</v>
      </c>
      <c r="D4696" t="s">
        <v>6643</v>
      </c>
      <c r="E4696">
        <v>418.16</v>
      </c>
      <c r="G4696" s="35"/>
      <c r="H4696" s="36">
        <f t="shared" si="221"/>
        <v>263.44080000000002</v>
      </c>
      <c r="I4696" s="37">
        <f t="shared" si="219"/>
        <v>263.44080000000002</v>
      </c>
      <c r="J4696" s="4"/>
      <c r="K4696" s="38">
        <f t="shared" si="220"/>
        <v>0</v>
      </c>
    </row>
    <row r="4697" spans="1:11">
      <c r="A4697" t="s">
        <v>1032</v>
      </c>
      <c r="B4697" t="s">
        <v>10184</v>
      </c>
      <c r="C4697" t="s">
        <v>6642</v>
      </c>
      <c r="D4697" t="s">
        <v>6644</v>
      </c>
      <c r="E4697">
        <v>729.41</v>
      </c>
      <c r="G4697" s="35"/>
      <c r="H4697" s="36">
        <f t="shared" si="221"/>
        <v>459.5283</v>
      </c>
      <c r="I4697" s="37">
        <f t="shared" si="219"/>
        <v>459.5283</v>
      </c>
      <c r="J4697" s="4"/>
      <c r="K4697" s="38">
        <f t="shared" si="220"/>
        <v>0</v>
      </c>
    </row>
    <row r="4698" spans="1:11">
      <c r="A4698" t="s">
        <v>11873</v>
      </c>
      <c r="B4698" t="s">
        <v>10184</v>
      </c>
      <c r="C4698" t="s">
        <v>6642</v>
      </c>
      <c r="D4698" t="s">
        <v>11891</v>
      </c>
      <c r="E4698">
        <v>9389.2000000000007</v>
      </c>
      <c r="G4698" s="35"/>
      <c r="H4698" s="36">
        <f t="shared" si="221"/>
        <v>5915.1960000000008</v>
      </c>
      <c r="I4698" s="37">
        <f t="shared" si="219"/>
        <v>5915.1960000000008</v>
      </c>
      <c r="J4698" s="4"/>
      <c r="K4698" s="38">
        <f t="shared" si="220"/>
        <v>0</v>
      </c>
    </row>
    <row r="4699" spans="1:11">
      <c r="A4699" t="s">
        <v>11871</v>
      </c>
      <c r="B4699" t="s">
        <v>10184</v>
      </c>
      <c r="C4699" t="s">
        <v>6642</v>
      </c>
      <c r="D4699" t="s">
        <v>11889</v>
      </c>
      <c r="E4699">
        <v>104630.42</v>
      </c>
      <c r="G4699" s="35"/>
      <c r="H4699" s="36">
        <f t="shared" si="221"/>
        <v>65917.164600000004</v>
      </c>
      <c r="I4699" s="37">
        <f t="shared" si="219"/>
        <v>65917.164600000004</v>
      </c>
      <c r="J4699" s="4"/>
      <c r="K4699" s="38">
        <f t="shared" si="220"/>
        <v>0</v>
      </c>
    </row>
    <row r="4700" spans="1:11">
      <c r="A4700" t="s">
        <v>11872</v>
      </c>
      <c r="B4700" t="s">
        <v>10184</v>
      </c>
      <c r="C4700" t="s">
        <v>6642</v>
      </c>
      <c r="D4700" t="s">
        <v>11890</v>
      </c>
      <c r="E4700">
        <v>177952.03</v>
      </c>
      <c r="G4700" s="35"/>
      <c r="H4700" s="36">
        <f t="shared" si="221"/>
        <v>112109.7789</v>
      </c>
      <c r="I4700" s="37">
        <f t="shared" si="219"/>
        <v>112109.7789</v>
      </c>
      <c r="J4700" s="4"/>
      <c r="K4700" s="38">
        <f t="shared" si="220"/>
        <v>0</v>
      </c>
    </row>
    <row r="4701" spans="1:11">
      <c r="A4701" t="s">
        <v>1045</v>
      </c>
      <c r="B4701" t="s">
        <v>10184</v>
      </c>
      <c r="C4701" t="s">
        <v>6647</v>
      </c>
      <c r="D4701" t="s">
        <v>6599</v>
      </c>
      <c r="E4701">
        <v>1116.26</v>
      </c>
      <c r="G4701" s="35"/>
      <c r="H4701" s="36">
        <f t="shared" si="221"/>
        <v>703.24379999999996</v>
      </c>
      <c r="I4701" s="37">
        <f t="shared" si="219"/>
        <v>703.24379999999996</v>
      </c>
      <c r="J4701" s="4"/>
      <c r="K4701" s="38">
        <f t="shared" si="220"/>
        <v>0</v>
      </c>
    </row>
    <row r="4702" spans="1:11">
      <c r="A4702" t="s">
        <v>1046</v>
      </c>
      <c r="B4702" t="s">
        <v>10184</v>
      </c>
      <c r="C4702" t="s">
        <v>6647</v>
      </c>
      <c r="D4702" t="s">
        <v>6600</v>
      </c>
      <c r="E4702">
        <v>1116.26</v>
      </c>
      <c r="G4702" s="35"/>
      <c r="H4702" s="36">
        <f t="shared" si="221"/>
        <v>703.24379999999996</v>
      </c>
      <c r="I4702" s="37">
        <f t="shared" si="219"/>
        <v>703.24379999999996</v>
      </c>
      <c r="J4702" s="4"/>
      <c r="K4702" s="38">
        <f t="shared" si="220"/>
        <v>0</v>
      </c>
    </row>
    <row r="4703" spans="1:11">
      <c r="A4703" t="s">
        <v>1047</v>
      </c>
      <c r="B4703" t="s">
        <v>10184</v>
      </c>
      <c r="C4703" t="s">
        <v>6647</v>
      </c>
      <c r="D4703" t="s">
        <v>6601</v>
      </c>
      <c r="E4703">
        <v>1116.26</v>
      </c>
      <c r="G4703" s="35"/>
      <c r="H4703" s="36">
        <f t="shared" si="221"/>
        <v>703.24379999999996</v>
      </c>
      <c r="I4703" s="37">
        <f t="shared" si="219"/>
        <v>703.24379999999996</v>
      </c>
      <c r="J4703" s="4"/>
      <c r="K4703" s="38">
        <f t="shared" si="220"/>
        <v>0</v>
      </c>
    </row>
    <row r="4704" spans="1:11">
      <c r="A4704" t="s">
        <v>1048</v>
      </c>
      <c r="B4704" t="s">
        <v>10184</v>
      </c>
      <c r="C4704" t="s">
        <v>6647</v>
      </c>
      <c r="D4704" t="s">
        <v>6602</v>
      </c>
      <c r="E4704">
        <v>1186.48</v>
      </c>
      <c r="G4704" s="35"/>
      <c r="H4704" s="36">
        <f t="shared" si="221"/>
        <v>747.48239999999998</v>
      </c>
      <c r="I4704" s="37">
        <f t="shared" si="219"/>
        <v>747.48239999999998</v>
      </c>
      <c r="J4704" s="4"/>
      <c r="K4704" s="38">
        <f t="shared" si="220"/>
        <v>0</v>
      </c>
    </row>
    <row r="4705" spans="1:11">
      <c r="A4705" t="s">
        <v>1049</v>
      </c>
      <c r="B4705" t="s">
        <v>10184</v>
      </c>
      <c r="C4705" t="s">
        <v>6647</v>
      </c>
      <c r="D4705" t="s">
        <v>6603</v>
      </c>
      <c r="E4705">
        <v>1186.54</v>
      </c>
      <c r="G4705" s="35"/>
      <c r="H4705" s="36">
        <f t="shared" si="221"/>
        <v>747.52019999999993</v>
      </c>
      <c r="I4705" s="37">
        <f t="shared" si="219"/>
        <v>747.52019999999993</v>
      </c>
      <c r="J4705" s="4"/>
      <c r="K4705" s="38">
        <f t="shared" si="220"/>
        <v>0</v>
      </c>
    </row>
    <row r="4706" spans="1:11">
      <c r="A4706" t="s">
        <v>1050</v>
      </c>
      <c r="B4706" t="s">
        <v>10184</v>
      </c>
      <c r="C4706" t="s">
        <v>6647</v>
      </c>
      <c r="D4706" t="s">
        <v>6604</v>
      </c>
      <c r="E4706">
        <v>1186.54</v>
      </c>
      <c r="G4706" s="35"/>
      <c r="H4706" s="36">
        <f t="shared" si="221"/>
        <v>747.52019999999993</v>
      </c>
      <c r="I4706" s="37">
        <f t="shared" si="219"/>
        <v>747.52019999999993</v>
      </c>
      <c r="J4706" s="4"/>
      <c r="K4706" s="38">
        <f t="shared" si="220"/>
        <v>0</v>
      </c>
    </row>
    <row r="4707" spans="1:11">
      <c r="A4707" t="s">
        <v>1033</v>
      </c>
      <c r="B4707" t="s">
        <v>10184</v>
      </c>
      <c r="C4707" t="s">
        <v>6645</v>
      </c>
      <c r="D4707" t="s">
        <v>6599</v>
      </c>
      <c r="E4707">
        <v>2203.9699999999998</v>
      </c>
      <c r="G4707" s="35"/>
      <c r="H4707" s="36">
        <f t="shared" si="221"/>
        <v>1388.5011</v>
      </c>
      <c r="I4707" s="37">
        <f t="shared" si="219"/>
        <v>1388.5011</v>
      </c>
      <c r="J4707" s="4"/>
      <c r="K4707" s="38">
        <f t="shared" si="220"/>
        <v>0</v>
      </c>
    </row>
    <row r="4708" spans="1:11">
      <c r="A4708" t="s">
        <v>1034</v>
      </c>
      <c r="B4708" t="s">
        <v>10184</v>
      </c>
      <c r="C4708" t="s">
        <v>6645</v>
      </c>
      <c r="D4708" t="s">
        <v>6600</v>
      </c>
      <c r="E4708">
        <v>2183.62</v>
      </c>
      <c r="G4708" s="35"/>
      <c r="H4708" s="36">
        <f t="shared" si="221"/>
        <v>1375.6805999999999</v>
      </c>
      <c r="I4708" s="37">
        <f t="shared" si="219"/>
        <v>1375.6805999999999</v>
      </c>
      <c r="J4708" s="4"/>
      <c r="K4708" s="38">
        <f t="shared" si="220"/>
        <v>0</v>
      </c>
    </row>
    <row r="4709" spans="1:11">
      <c r="A4709" t="s">
        <v>1035</v>
      </c>
      <c r="B4709" t="s">
        <v>10184</v>
      </c>
      <c r="C4709" t="s">
        <v>6645</v>
      </c>
      <c r="D4709" t="s">
        <v>6601</v>
      </c>
      <c r="E4709">
        <v>2252.88</v>
      </c>
      <c r="G4709" s="35"/>
      <c r="H4709" s="36">
        <f t="shared" si="221"/>
        <v>1419.3144</v>
      </c>
      <c r="I4709" s="37">
        <f t="shared" si="219"/>
        <v>1419.3144</v>
      </c>
      <c r="J4709" s="4"/>
      <c r="K4709" s="38">
        <f t="shared" si="220"/>
        <v>0</v>
      </c>
    </row>
    <row r="4710" spans="1:11">
      <c r="A4710" t="s">
        <v>1036</v>
      </c>
      <c r="B4710" t="s">
        <v>10184</v>
      </c>
      <c r="C4710" t="s">
        <v>6645</v>
      </c>
      <c r="D4710" t="s">
        <v>6602</v>
      </c>
      <c r="E4710">
        <v>4133.57</v>
      </c>
      <c r="G4710" s="35"/>
      <c r="H4710" s="36">
        <f t="shared" si="221"/>
        <v>2604.1490999999996</v>
      </c>
      <c r="I4710" s="37">
        <f t="shared" si="219"/>
        <v>2604.1490999999996</v>
      </c>
      <c r="J4710" s="4"/>
      <c r="K4710" s="38">
        <f t="shared" si="220"/>
        <v>0</v>
      </c>
    </row>
    <row r="4711" spans="1:11">
      <c r="A4711" t="s">
        <v>1037</v>
      </c>
      <c r="B4711" t="s">
        <v>10184</v>
      </c>
      <c r="C4711" t="s">
        <v>6645</v>
      </c>
      <c r="D4711" t="s">
        <v>6603</v>
      </c>
      <c r="E4711">
        <v>5217.1899999999996</v>
      </c>
      <c r="G4711" s="35"/>
      <c r="H4711" s="36">
        <f t="shared" si="221"/>
        <v>3286.8296999999998</v>
      </c>
      <c r="I4711" s="37">
        <f t="shared" si="219"/>
        <v>3286.8296999999998</v>
      </c>
      <c r="J4711" s="4"/>
      <c r="K4711" s="38">
        <f t="shared" si="220"/>
        <v>0</v>
      </c>
    </row>
    <row r="4712" spans="1:11">
      <c r="A4712" t="s">
        <v>1038</v>
      </c>
      <c r="B4712" t="s">
        <v>10184</v>
      </c>
      <c r="C4712" t="s">
        <v>6645</v>
      </c>
      <c r="D4712" t="s">
        <v>6604</v>
      </c>
      <c r="E4712">
        <v>6470.97</v>
      </c>
      <c r="G4712" s="35"/>
      <c r="H4712" s="36">
        <f t="shared" si="221"/>
        <v>4076.7111</v>
      </c>
      <c r="I4712" s="37">
        <f t="shared" si="219"/>
        <v>4076.7111</v>
      </c>
      <c r="J4712" s="4"/>
      <c r="K4712" s="38">
        <f t="shared" si="220"/>
        <v>0</v>
      </c>
    </row>
    <row r="4713" spans="1:11">
      <c r="A4713" t="s">
        <v>1068</v>
      </c>
      <c r="B4713" t="s">
        <v>10184</v>
      </c>
      <c r="C4713" t="s">
        <v>6662</v>
      </c>
      <c r="D4713" t="s">
        <v>6663</v>
      </c>
      <c r="E4713">
        <v>19632.07</v>
      </c>
      <c r="G4713" s="35"/>
      <c r="H4713" s="36">
        <f t="shared" si="221"/>
        <v>12368.204099999999</v>
      </c>
      <c r="I4713" s="37">
        <f t="shared" si="219"/>
        <v>12368.204099999999</v>
      </c>
      <c r="J4713" s="4"/>
      <c r="K4713" s="38">
        <f t="shared" si="220"/>
        <v>0</v>
      </c>
    </row>
    <row r="4714" spans="1:11">
      <c r="A4714" t="s">
        <v>1039</v>
      </c>
      <c r="B4714" t="s">
        <v>10184</v>
      </c>
      <c r="C4714" t="s">
        <v>6646</v>
      </c>
      <c r="D4714" t="s">
        <v>6599</v>
      </c>
      <c r="E4714">
        <v>2044.73</v>
      </c>
      <c r="G4714" s="35"/>
      <c r="H4714" s="36">
        <f t="shared" si="221"/>
        <v>1288.1799000000001</v>
      </c>
      <c r="I4714" s="37">
        <f t="shared" si="219"/>
        <v>1288.1799000000001</v>
      </c>
      <c r="J4714" s="4"/>
      <c r="K4714" s="38">
        <f t="shared" si="220"/>
        <v>0</v>
      </c>
    </row>
    <row r="4715" spans="1:11">
      <c r="A4715" t="s">
        <v>1040</v>
      </c>
      <c r="B4715" t="s">
        <v>10184</v>
      </c>
      <c r="C4715" t="s">
        <v>6646</v>
      </c>
      <c r="D4715" t="s">
        <v>6600</v>
      </c>
      <c r="E4715">
        <v>2235.58</v>
      </c>
      <c r="G4715" s="35"/>
      <c r="H4715" s="36">
        <f t="shared" si="221"/>
        <v>1408.4153999999999</v>
      </c>
      <c r="I4715" s="37">
        <f t="shared" si="219"/>
        <v>1408.4153999999999</v>
      </c>
      <c r="J4715" s="4"/>
      <c r="K4715" s="38">
        <f t="shared" si="220"/>
        <v>0</v>
      </c>
    </row>
    <row r="4716" spans="1:11">
      <c r="A4716" t="s">
        <v>1041</v>
      </c>
      <c r="B4716" t="s">
        <v>10184</v>
      </c>
      <c r="C4716" t="s">
        <v>6646</v>
      </c>
      <c r="D4716" t="s">
        <v>6601</v>
      </c>
      <c r="E4716">
        <v>2401.84</v>
      </c>
      <c r="G4716" s="35"/>
      <c r="H4716" s="36">
        <f t="shared" si="221"/>
        <v>1513.1592000000001</v>
      </c>
      <c r="I4716" s="37">
        <f t="shared" si="219"/>
        <v>1513.1592000000001</v>
      </c>
      <c r="J4716" s="4"/>
      <c r="K4716" s="38">
        <f t="shared" si="220"/>
        <v>0</v>
      </c>
    </row>
    <row r="4717" spans="1:11">
      <c r="A4717" t="s">
        <v>1042</v>
      </c>
      <c r="B4717" t="s">
        <v>10184</v>
      </c>
      <c r="C4717" t="s">
        <v>6646</v>
      </c>
      <c r="D4717" t="s">
        <v>6602</v>
      </c>
      <c r="E4717">
        <v>5328.24</v>
      </c>
      <c r="G4717" s="35"/>
      <c r="H4717" s="36">
        <f t="shared" si="221"/>
        <v>3356.7911999999997</v>
      </c>
      <c r="I4717" s="37">
        <f t="shared" si="219"/>
        <v>3356.7911999999997</v>
      </c>
      <c r="J4717" s="4"/>
      <c r="K4717" s="38">
        <f t="shared" si="220"/>
        <v>0</v>
      </c>
    </row>
    <row r="4718" spans="1:11">
      <c r="A4718" t="s">
        <v>1043</v>
      </c>
      <c r="B4718" t="s">
        <v>10184</v>
      </c>
      <c r="C4718" t="s">
        <v>6646</v>
      </c>
      <c r="D4718" t="s">
        <v>6603</v>
      </c>
      <c r="E4718">
        <v>6735.4</v>
      </c>
      <c r="G4718" s="35"/>
      <c r="H4718" s="36">
        <f t="shared" si="221"/>
        <v>4243.3019999999997</v>
      </c>
      <c r="I4718" s="37">
        <f t="shared" si="219"/>
        <v>4243.3019999999997</v>
      </c>
      <c r="J4718" s="4"/>
      <c r="K4718" s="38">
        <f t="shared" si="220"/>
        <v>0</v>
      </c>
    </row>
    <row r="4719" spans="1:11">
      <c r="A4719" t="s">
        <v>1044</v>
      </c>
      <c r="B4719" t="s">
        <v>10184</v>
      </c>
      <c r="C4719" t="s">
        <v>6646</v>
      </c>
      <c r="D4719" t="s">
        <v>6604</v>
      </c>
      <c r="E4719">
        <v>9193.33</v>
      </c>
      <c r="G4719" s="35"/>
      <c r="H4719" s="36">
        <f t="shared" si="221"/>
        <v>5791.7978999999996</v>
      </c>
      <c r="I4719" s="37">
        <f t="shared" si="219"/>
        <v>5791.7978999999996</v>
      </c>
      <c r="J4719" s="4"/>
      <c r="K4719" s="38">
        <f t="shared" si="220"/>
        <v>0</v>
      </c>
    </row>
    <row r="4720" spans="1:11">
      <c r="A4720" t="s">
        <v>11947</v>
      </c>
      <c r="B4720" t="s">
        <v>10184</v>
      </c>
      <c r="C4720" t="s">
        <v>6646</v>
      </c>
      <c r="D4720" t="s">
        <v>11948</v>
      </c>
      <c r="E4720">
        <v>7766.09</v>
      </c>
      <c r="G4720" s="35"/>
      <c r="H4720" s="36">
        <f t="shared" si="221"/>
        <v>4892.6367</v>
      </c>
      <c r="I4720" s="37">
        <f t="shared" si="219"/>
        <v>4892.6367</v>
      </c>
      <c r="J4720" s="4"/>
      <c r="K4720" s="38">
        <f t="shared" si="220"/>
        <v>0</v>
      </c>
    </row>
    <row r="4721" spans="1:11">
      <c r="A4721" t="s">
        <v>975</v>
      </c>
      <c r="B4721" t="s">
        <v>10184</v>
      </c>
      <c r="C4721" t="s">
        <v>6618</v>
      </c>
      <c r="D4721" t="s">
        <v>6599</v>
      </c>
      <c r="E4721">
        <v>4809.3100000000004</v>
      </c>
      <c r="G4721" s="35"/>
      <c r="H4721" s="36">
        <f t="shared" si="221"/>
        <v>3029.8653000000004</v>
      </c>
      <c r="I4721" s="37">
        <f t="shared" si="219"/>
        <v>3029.8653000000004</v>
      </c>
      <c r="J4721" s="4"/>
      <c r="K4721" s="38">
        <f t="shared" si="220"/>
        <v>0</v>
      </c>
    </row>
    <row r="4722" spans="1:11">
      <c r="A4722" t="s">
        <v>976</v>
      </c>
      <c r="B4722" t="s">
        <v>10184</v>
      </c>
      <c r="C4722" t="s">
        <v>6618</v>
      </c>
      <c r="D4722" t="s">
        <v>6600</v>
      </c>
      <c r="E4722">
        <v>5161.8999999999996</v>
      </c>
      <c r="G4722" s="35"/>
      <c r="H4722" s="36">
        <f t="shared" si="221"/>
        <v>3251.9969999999998</v>
      </c>
      <c r="I4722" s="37">
        <f t="shared" si="219"/>
        <v>3251.9969999999998</v>
      </c>
      <c r="J4722" s="4"/>
      <c r="K4722" s="38">
        <f t="shared" si="220"/>
        <v>0</v>
      </c>
    </row>
    <row r="4723" spans="1:11">
      <c r="A4723" t="s">
        <v>977</v>
      </c>
      <c r="B4723" t="s">
        <v>10184</v>
      </c>
      <c r="C4723" t="s">
        <v>6618</v>
      </c>
      <c r="D4723" t="s">
        <v>6601</v>
      </c>
      <c r="E4723">
        <v>6793.95</v>
      </c>
      <c r="G4723" s="35"/>
      <c r="H4723" s="36">
        <f t="shared" si="221"/>
        <v>4280.1885000000002</v>
      </c>
      <c r="I4723" s="37">
        <f t="shared" si="219"/>
        <v>4280.1885000000002</v>
      </c>
      <c r="J4723" s="4"/>
      <c r="K4723" s="38">
        <f t="shared" si="220"/>
        <v>0</v>
      </c>
    </row>
    <row r="4724" spans="1:11">
      <c r="A4724" t="s">
        <v>978</v>
      </c>
      <c r="B4724" t="s">
        <v>10184</v>
      </c>
      <c r="C4724" t="s">
        <v>6618</v>
      </c>
      <c r="D4724" t="s">
        <v>6602</v>
      </c>
      <c r="E4724">
        <v>12700.32</v>
      </c>
      <c r="G4724" s="35"/>
      <c r="H4724" s="36">
        <f t="shared" si="221"/>
        <v>8001.2016000000003</v>
      </c>
      <c r="I4724" s="37">
        <f t="shared" si="219"/>
        <v>8001.2016000000003</v>
      </c>
      <c r="J4724" s="4"/>
      <c r="K4724" s="38">
        <f t="shared" si="220"/>
        <v>0</v>
      </c>
    </row>
    <row r="4725" spans="1:11">
      <c r="A4725" t="s">
        <v>979</v>
      </c>
      <c r="B4725" t="s">
        <v>10184</v>
      </c>
      <c r="C4725" t="s">
        <v>6618</v>
      </c>
      <c r="D4725" t="s">
        <v>6603</v>
      </c>
      <c r="E4725">
        <v>25406.95</v>
      </c>
      <c r="G4725" s="35"/>
      <c r="H4725" s="36">
        <f t="shared" si="221"/>
        <v>16006.378500000001</v>
      </c>
      <c r="I4725" s="37">
        <f t="shared" si="219"/>
        <v>16006.378500000001</v>
      </c>
      <c r="J4725" s="4"/>
      <c r="K4725" s="38">
        <f t="shared" si="220"/>
        <v>0</v>
      </c>
    </row>
    <row r="4726" spans="1:11">
      <c r="A4726" t="s">
        <v>980</v>
      </c>
      <c r="B4726" t="s">
        <v>10184</v>
      </c>
      <c r="C4726" t="s">
        <v>6618</v>
      </c>
      <c r="D4726" t="s">
        <v>6604</v>
      </c>
      <c r="E4726">
        <v>46262.91</v>
      </c>
      <c r="G4726" s="35"/>
      <c r="H4726" s="36">
        <f t="shared" si="221"/>
        <v>29145.633300000001</v>
      </c>
      <c r="I4726" s="37">
        <f t="shared" si="219"/>
        <v>29145.633300000001</v>
      </c>
      <c r="J4726" s="4"/>
      <c r="K4726" s="38">
        <f t="shared" si="220"/>
        <v>0</v>
      </c>
    </row>
    <row r="4727" spans="1:11">
      <c r="A4727" t="s">
        <v>981</v>
      </c>
      <c r="B4727" t="s">
        <v>10184</v>
      </c>
      <c r="C4727" t="s">
        <v>6619</v>
      </c>
      <c r="D4727" t="s">
        <v>6620</v>
      </c>
      <c r="E4727">
        <v>5291.83</v>
      </c>
      <c r="G4727" s="35"/>
      <c r="H4727" s="36">
        <f t="shared" si="221"/>
        <v>3333.8528999999999</v>
      </c>
      <c r="I4727" s="37">
        <f t="shared" si="219"/>
        <v>3333.8528999999999</v>
      </c>
      <c r="J4727" s="4"/>
      <c r="K4727" s="38">
        <f t="shared" si="220"/>
        <v>0</v>
      </c>
    </row>
    <row r="4728" spans="1:11">
      <c r="A4728" t="s">
        <v>982</v>
      </c>
      <c r="B4728" t="s">
        <v>10184</v>
      </c>
      <c r="C4728" t="s">
        <v>6619</v>
      </c>
      <c r="D4728" t="s">
        <v>6621</v>
      </c>
      <c r="E4728">
        <v>5970.58</v>
      </c>
      <c r="G4728" s="35"/>
      <c r="H4728" s="36">
        <f t="shared" si="221"/>
        <v>3761.4654</v>
      </c>
      <c r="I4728" s="37">
        <f t="shared" si="219"/>
        <v>3761.4654</v>
      </c>
      <c r="J4728" s="4"/>
      <c r="K4728" s="38">
        <f t="shared" si="220"/>
        <v>0</v>
      </c>
    </row>
    <row r="4729" spans="1:11">
      <c r="A4729" t="s">
        <v>983</v>
      </c>
      <c r="B4729" t="s">
        <v>10184</v>
      </c>
      <c r="C4729" t="s">
        <v>6619</v>
      </c>
      <c r="D4729" t="s">
        <v>6622</v>
      </c>
      <c r="E4729">
        <v>6198.16</v>
      </c>
      <c r="G4729" s="35"/>
      <c r="H4729" s="36">
        <f t="shared" si="221"/>
        <v>3904.8407999999999</v>
      </c>
      <c r="I4729" s="37">
        <f t="shared" si="219"/>
        <v>3904.8407999999999</v>
      </c>
      <c r="J4729" s="4"/>
      <c r="K4729" s="38">
        <f t="shared" si="220"/>
        <v>0</v>
      </c>
    </row>
    <row r="4730" spans="1:11">
      <c r="A4730" t="s">
        <v>984</v>
      </c>
      <c r="B4730" t="s">
        <v>10184</v>
      </c>
      <c r="C4730" t="s">
        <v>6619</v>
      </c>
      <c r="D4730" t="s">
        <v>6623</v>
      </c>
      <c r="E4730">
        <v>11818.81</v>
      </c>
      <c r="G4730" s="35"/>
      <c r="H4730" s="36">
        <f t="shared" si="221"/>
        <v>7445.8503000000001</v>
      </c>
      <c r="I4730" s="37">
        <f t="shared" si="219"/>
        <v>7445.8503000000001</v>
      </c>
      <c r="J4730" s="4"/>
      <c r="K4730" s="38">
        <f t="shared" si="220"/>
        <v>0</v>
      </c>
    </row>
    <row r="4731" spans="1:11">
      <c r="A4731" t="s">
        <v>985</v>
      </c>
      <c r="B4731" t="s">
        <v>10184</v>
      </c>
      <c r="C4731" t="s">
        <v>6619</v>
      </c>
      <c r="D4731" t="s">
        <v>6624</v>
      </c>
      <c r="E4731">
        <v>11255.99</v>
      </c>
      <c r="G4731" s="35"/>
      <c r="H4731" s="36">
        <f t="shared" si="221"/>
        <v>7091.2736999999997</v>
      </c>
      <c r="I4731" s="37">
        <f t="shared" si="219"/>
        <v>7091.2736999999997</v>
      </c>
      <c r="J4731" s="4"/>
      <c r="K4731" s="38">
        <f t="shared" si="220"/>
        <v>0</v>
      </c>
    </row>
    <row r="4732" spans="1:11">
      <c r="A4732" t="s">
        <v>986</v>
      </c>
      <c r="B4732" t="s">
        <v>10184</v>
      </c>
      <c r="C4732" t="s">
        <v>6619</v>
      </c>
      <c r="D4732" t="s">
        <v>6625</v>
      </c>
      <c r="E4732">
        <v>30633.32</v>
      </c>
      <c r="G4732" s="35"/>
      <c r="H4732" s="36">
        <f t="shared" si="221"/>
        <v>19298.991600000001</v>
      </c>
      <c r="I4732" s="37">
        <f t="shared" si="219"/>
        <v>19298.991600000001</v>
      </c>
      <c r="J4732" s="4"/>
      <c r="K4732" s="38">
        <f t="shared" si="220"/>
        <v>0</v>
      </c>
    </row>
    <row r="4733" spans="1:11">
      <c r="A4733" t="s">
        <v>987</v>
      </c>
      <c r="B4733" t="s">
        <v>10184</v>
      </c>
      <c r="C4733" t="s">
        <v>6619</v>
      </c>
      <c r="D4733" t="s">
        <v>6626</v>
      </c>
      <c r="E4733">
        <v>27178.42</v>
      </c>
      <c r="G4733" s="35"/>
      <c r="H4733" s="36">
        <f t="shared" si="221"/>
        <v>17122.404599999998</v>
      </c>
      <c r="I4733" s="37">
        <f t="shared" si="219"/>
        <v>17122.404599999998</v>
      </c>
      <c r="J4733" s="4"/>
      <c r="K4733" s="38">
        <f t="shared" si="220"/>
        <v>0</v>
      </c>
    </row>
    <row r="4734" spans="1:11">
      <c r="A4734" t="s">
        <v>988</v>
      </c>
      <c r="B4734" t="s">
        <v>10184</v>
      </c>
      <c r="C4734" t="s">
        <v>6619</v>
      </c>
      <c r="D4734" t="s">
        <v>6627</v>
      </c>
      <c r="E4734">
        <v>44039.42</v>
      </c>
      <c r="G4734" s="35"/>
      <c r="H4734" s="36">
        <f t="shared" si="221"/>
        <v>27744.834599999998</v>
      </c>
      <c r="I4734" s="37">
        <f t="shared" si="219"/>
        <v>27744.834599999998</v>
      </c>
      <c r="J4734" s="4"/>
      <c r="K4734" s="38">
        <f t="shared" si="220"/>
        <v>0</v>
      </c>
    </row>
    <row r="4735" spans="1:11">
      <c r="A4735" t="s">
        <v>989</v>
      </c>
      <c r="B4735" t="s">
        <v>10184</v>
      </c>
      <c r="C4735" t="s">
        <v>6619</v>
      </c>
      <c r="D4735" t="s">
        <v>6628</v>
      </c>
      <c r="E4735">
        <v>39945.33</v>
      </c>
      <c r="G4735" s="35"/>
      <c r="H4735" s="36">
        <f t="shared" si="221"/>
        <v>25165.5579</v>
      </c>
      <c r="I4735" s="37">
        <f t="shared" si="219"/>
        <v>25165.5579</v>
      </c>
      <c r="J4735" s="4"/>
      <c r="K4735" s="38">
        <f t="shared" si="220"/>
        <v>0</v>
      </c>
    </row>
    <row r="4736" spans="1:11">
      <c r="A4736" t="s">
        <v>1011</v>
      </c>
      <c r="B4736" t="s">
        <v>10184</v>
      </c>
      <c r="C4736" t="s">
        <v>6636</v>
      </c>
      <c r="D4736" t="s">
        <v>6607</v>
      </c>
      <c r="E4736">
        <v>5057.24</v>
      </c>
      <c r="G4736" s="35"/>
      <c r="H4736" s="36">
        <f t="shared" si="221"/>
        <v>3186.0612000000001</v>
      </c>
      <c r="I4736" s="37">
        <f t="shared" si="219"/>
        <v>3186.0612000000001</v>
      </c>
      <c r="J4736" s="4"/>
      <c r="K4736" s="38">
        <f t="shared" si="220"/>
        <v>0</v>
      </c>
    </row>
    <row r="4737" spans="1:11">
      <c r="A4737" t="s">
        <v>1012</v>
      </c>
      <c r="B4737" t="s">
        <v>10184</v>
      </c>
      <c r="C4737" t="s">
        <v>6636</v>
      </c>
      <c r="D4737" t="s">
        <v>6608</v>
      </c>
      <c r="E4737">
        <v>6913.66</v>
      </c>
      <c r="G4737" s="35"/>
      <c r="H4737" s="36">
        <f t="shared" si="221"/>
        <v>4355.6058000000003</v>
      </c>
      <c r="I4737" s="37">
        <f t="shared" si="219"/>
        <v>4355.6058000000003</v>
      </c>
      <c r="J4737" s="4"/>
      <c r="K4737" s="38">
        <f t="shared" si="220"/>
        <v>0</v>
      </c>
    </row>
    <row r="4738" spans="1:11">
      <c r="A4738" t="s">
        <v>1013</v>
      </c>
      <c r="B4738" t="s">
        <v>10184</v>
      </c>
      <c r="C4738" t="s">
        <v>6636</v>
      </c>
      <c r="D4738" t="s">
        <v>6609</v>
      </c>
      <c r="E4738">
        <v>9036.09</v>
      </c>
      <c r="G4738" s="35"/>
      <c r="H4738" s="36">
        <f t="shared" si="221"/>
        <v>5692.7367000000004</v>
      </c>
      <c r="I4738" s="37">
        <f t="shared" si="219"/>
        <v>5692.7367000000004</v>
      </c>
      <c r="J4738" s="4"/>
      <c r="K4738" s="38">
        <f t="shared" si="220"/>
        <v>0</v>
      </c>
    </row>
    <row r="4739" spans="1:11">
      <c r="A4739" t="s">
        <v>1014</v>
      </c>
      <c r="B4739" t="s">
        <v>10184</v>
      </c>
      <c r="C4739" t="s">
        <v>6636</v>
      </c>
      <c r="D4739" t="s">
        <v>6637</v>
      </c>
      <c r="E4739">
        <v>18376.7</v>
      </c>
      <c r="G4739" s="35"/>
      <c r="H4739" s="36">
        <f t="shared" si="221"/>
        <v>11577.321</v>
      </c>
      <c r="I4739" s="37">
        <f t="shared" si="219"/>
        <v>11577.321</v>
      </c>
      <c r="J4739" s="4"/>
      <c r="K4739" s="38">
        <f t="shared" si="220"/>
        <v>0</v>
      </c>
    </row>
    <row r="4740" spans="1:11">
      <c r="A4740" t="s">
        <v>1015</v>
      </c>
      <c r="B4740" t="s">
        <v>10184</v>
      </c>
      <c r="C4740" t="s">
        <v>6636</v>
      </c>
      <c r="D4740" t="s">
        <v>6611</v>
      </c>
      <c r="E4740">
        <v>27700.25</v>
      </c>
      <c r="G4740" s="35"/>
      <c r="H4740" s="36">
        <f t="shared" si="221"/>
        <v>17451.157500000001</v>
      </c>
      <c r="I4740" s="37">
        <f t="shared" si="219"/>
        <v>17451.157500000001</v>
      </c>
      <c r="J4740" s="4"/>
      <c r="K4740" s="38">
        <f t="shared" si="220"/>
        <v>0</v>
      </c>
    </row>
    <row r="4741" spans="1:11">
      <c r="A4741" t="s">
        <v>1016</v>
      </c>
      <c r="B4741" t="s">
        <v>10184</v>
      </c>
      <c r="C4741" t="s">
        <v>6636</v>
      </c>
      <c r="D4741" t="s">
        <v>6612</v>
      </c>
      <c r="E4741">
        <v>44724.81</v>
      </c>
      <c r="G4741" s="35"/>
      <c r="H4741" s="36">
        <f t="shared" si="221"/>
        <v>28176.630299999997</v>
      </c>
      <c r="I4741" s="37">
        <f t="shared" si="219"/>
        <v>28176.630299999997</v>
      </c>
      <c r="J4741" s="4"/>
      <c r="K4741" s="38">
        <f t="shared" si="220"/>
        <v>0</v>
      </c>
    </row>
    <row r="4742" spans="1:11">
      <c r="A4742" t="s">
        <v>1017</v>
      </c>
      <c r="B4742" t="s">
        <v>10184</v>
      </c>
      <c r="C4742" t="s">
        <v>6636</v>
      </c>
      <c r="D4742" t="s">
        <v>6613</v>
      </c>
      <c r="E4742">
        <v>7037.15</v>
      </c>
      <c r="G4742" s="35"/>
      <c r="H4742" s="36">
        <f t="shared" si="221"/>
        <v>4433.4044999999996</v>
      </c>
      <c r="I4742" s="37">
        <f t="shared" ref="I4742:I4805" si="222">H4742*$H$4</f>
        <v>4433.4044999999996</v>
      </c>
      <c r="J4742" s="4"/>
      <c r="K4742" s="38">
        <f t="shared" ref="K4742:K4805" si="223">J4742*I4742</f>
        <v>0</v>
      </c>
    </row>
    <row r="4743" spans="1:11">
      <c r="A4743" t="s">
        <v>1018</v>
      </c>
      <c r="B4743" t="s">
        <v>10184</v>
      </c>
      <c r="C4743" t="s">
        <v>6638</v>
      </c>
      <c r="D4743" t="s">
        <v>6607</v>
      </c>
      <c r="E4743">
        <v>5660.7</v>
      </c>
      <c r="G4743" s="35"/>
      <c r="H4743" s="36">
        <f t="shared" ref="H4743:H4806" si="224">+E4743*$H$1*(1-G4743)</f>
        <v>3566.241</v>
      </c>
      <c r="I4743" s="37">
        <f t="shared" si="222"/>
        <v>3566.241</v>
      </c>
      <c r="J4743" s="4"/>
      <c r="K4743" s="38">
        <f t="shared" si="223"/>
        <v>0</v>
      </c>
    </row>
    <row r="4744" spans="1:11">
      <c r="A4744" t="s">
        <v>1019</v>
      </c>
      <c r="B4744" t="s">
        <v>10184</v>
      </c>
      <c r="C4744" t="s">
        <v>6638</v>
      </c>
      <c r="D4744" t="s">
        <v>6608</v>
      </c>
      <c r="E4744">
        <v>7901.5</v>
      </c>
      <c r="G4744" s="35"/>
      <c r="H4744" s="36">
        <f t="shared" si="224"/>
        <v>4977.9449999999997</v>
      </c>
      <c r="I4744" s="37">
        <f t="shared" si="222"/>
        <v>4977.9449999999997</v>
      </c>
      <c r="J4744" s="4"/>
      <c r="K4744" s="38">
        <f t="shared" si="223"/>
        <v>0</v>
      </c>
    </row>
    <row r="4745" spans="1:11">
      <c r="A4745" t="s">
        <v>1020</v>
      </c>
      <c r="B4745" t="s">
        <v>10184</v>
      </c>
      <c r="C4745" t="s">
        <v>6638</v>
      </c>
      <c r="D4745" t="s">
        <v>6609</v>
      </c>
      <c r="E4745">
        <v>10149.11</v>
      </c>
      <c r="G4745" s="35"/>
      <c r="H4745" s="36">
        <f t="shared" si="224"/>
        <v>6393.9393</v>
      </c>
      <c r="I4745" s="37">
        <f t="shared" si="222"/>
        <v>6393.9393</v>
      </c>
      <c r="J4745" s="4"/>
      <c r="K4745" s="38">
        <f t="shared" si="223"/>
        <v>0</v>
      </c>
    </row>
    <row r="4746" spans="1:11">
      <c r="A4746" t="s">
        <v>1021</v>
      </c>
      <c r="B4746" t="s">
        <v>10184</v>
      </c>
      <c r="C4746" t="s">
        <v>6638</v>
      </c>
      <c r="D4746" t="s">
        <v>6637</v>
      </c>
      <c r="E4746">
        <v>21043.45</v>
      </c>
      <c r="G4746" s="35"/>
      <c r="H4746" s="36">
        <f t="shared" si="224"/>
        <v>13257.3735</v>
      </c>
      <c r="I4746" s="37">
        <f t="shared" si="222"/>
        <v>13257.3735</v>
      </c>
      <c r="J4746" s="4"/>
      <c r="K4746" s="38">
        <f t="shared" si="223"/>
        <v>0</v>
      </c>
    </row>
    <row r="4747" spans="1:11">
      <c r="A4747" t="s">
        <v>1022</v>
      </c>
      <c r="B4747" t="s">
        <v>10184</v>
      </c>
      <c r="C4747" t="s">
        <v>6638</v>
      </c>
      <c r="D4747" t="s">
        <v>6639</v>
      </c>
      <c r="E4747">
        <v>44841.19</v>
      </c>
      <c r="G4747" s="35"/>
      <c r="H4747" s="36">
        <f t="shared" si="224"/>
        <v>28249.949700000001</v>
      </c>
      <c r="I4747" s="37">
        <f t="shared" si="222"/>
        <v>28249.949700000001</v>
      </c>
      <c r="J4747" s="4"/>
      <c r="K4747" s="38">
        <f t="shared" si="223"/>
        <v>0</v>
      </c>
    </row>
    <row r="4748" spans="1:11">
      <c r="A4748" t="s">
        <v>1023</v>
      </c>
      <c r="B4748" t="s">
        <v>10184</v>
      </c>
      <c r="C4748" t="s">
        <v>6638</v>
      </c>
      <c r="D4748" t="s">
        <v>6640</v>
      </c>
      <c r="E4748">
        <v>43498.47</v>
      </c>
      <c r="G4748" s="35"/>
      <c r="H4748" s="36">
        <f t="shared" si="224"/>
        <v>27404.036100000001</v>
      </c>
      <c r="I4748" s="37">
        <f t="shared" si="222"/>
        <v>27404.036100000001</v>
      </c>
      <c r="J4748" s="4"/>
      <c r="K4748" s="38">
        <f t="shared" si="223"/>
        <v>0</v>
      </c>
    </row>
    <row r="4749" spans="1:11">
      <c r="A4749" t="s">
        <v>1024</v>
      </c>
      <c r="B4749" t="s">
        <v>10184</v>
      </c>
      <c r="C4749" t="s">
        <v>6638</v>
      </c>
      <c r="D4749" t="s">
        <v>6613</v>
      </c>
      <c r="E4749">
        <v>7300.81</v>
      </c>
      <c r="G4749" s="35"/>
      <c r="H4749" s="36">
        <f t="shared" si="224"/>
        <v>4599.5102999999999</v>
      </c>
      <c r="I4749" s="37">
        <f t="shared" si="222"/>
        <v>4599.5102999999999</v>
      </c>
      <c r="J4749" s="4"/>
      <c r="K4749" s="38">
        <f t="shared" si="223"/>
        <v>0</v>
      </c>
    </row>
    <row r="4750" spans="1:11">
      <c r="A4750" t="s">
        <v>946</v>
      </c>
      <c r="B4750" t="s">
        <v>10184</v>
      </c>
      <c r="C4750" t="s">
        <v>6598</v>
      </c>
      <c r="D4750" t="s">
        <v>6599</v>
      </c>
      <c r="E4750">
        <v>20565.28</v>
      </c>
      <c r="G4750" s="35"/>
      <c r="H4750" s="36">
        <f t="shared" si="224"/>
        <v>12956.126399999999</v>
      </c>
      <c r="I4750" s="37">
        <f t="shared" si="222"/>
        <v>12956.126399999999</v>
      </c>
      <c r="J4750" s="4"/>
      <c r="K4750" s="38">
        <f t="shared" si="223"/>
        <v>0</v>
      </c>
    </row>
    <row r="4751" spans="1:11">
      <c r="A4751" t="s">
        <v>947</v>
      </c>
      <c r="B4751" t="s">
        <v>10184</v>
      </c>
      <c r="C4751" t="s">
        <v>6598</v>
      </c>
      <c r="D4751" t="s">
        <v>6600</v>
      </c>
      <c r="E4751">
        <v>26656.25</v>
      </c>
      <c r="G4751" s="35"/>
      <c r="H4751" s="36">
        <f t="shared" si="224"/>
        <v>16793.4375</v>
      </c>
      <c r="I4751" s="37">
        <f t="shared" si="222"/>
        <v>16793.4375</v>
      </c>
      <c r="J4751" s="4"/>
      <c r="K4751" s="38">
        <f t="shared" si="223"/>
        <v>0</v>
      </c>
    </row>
    <row r="4752" spans="1:11">
      <c r="A4752" t="s">
        <v>948</v>
      </c>
      <c r="B4752" t="s">
        <v>10184</v>
      </c>
      <c r="C4752" t="s">
        <v>6598</v>
      </c>
      <c r="D4752" t="s">
        <v>6601</v>
      </c>
      <c r="E4752">
        <v>40631.26</v>
      </c>
      <c r="G4752" s="35"/>
      <c r="H4752" s="36">
        <f t="shared" si="224"/>
        <v>25597.693800000001</v>
      </c>
      <c r="I4752" s="37">
        <f t="shared" si="222"/>
        <v>25597.693800000001</v>
      </c>
      <c r="J4752" s="4"/>
      <c r="K4752" s="38">
        <f t="shared" si="223"/>
        <v>0</v>
      </c>
    </row>
    <row r="4753" spans="1:11">
      <c r="A4753" t="s">
        <v>949</v>
      </c>
      <c r="B4753" t="s">
        <v>10184</v>
      </c>
      <c r="C4753" t="s">
        <v>6598</v>
      </c>
      <c r="D4753" t="s">
        <v>6602</v>
      </c>
      <c r="E4753">
        <v>48398.84</v>
      </c>
      <c r="G4753" s="35"/>
      <c r="H4753" s="36">
        <f t="shared" si="224"/>
        <v>30491.269199999999</v>
      </c>
      <c r="I4753" s="37">
        <f t="shared" si="222"/>
        <v>30491.269199999999</v>
      </c>
      <c r="J4753" s="4"/>
      <c r="K4753" s="38">
        <f t="shared" si="223"/>
        <v>0</v>
      </c>
    </row>
    <row r="4754" spans="1:11">
      <c r="A4754" t="s">
        <v>950</v>
      </c>
      <c r="B4754" t="s">
        <v>10184</v>
      </c>
      <c r="C4754" t="s">
        <v>6598</v>
      </c>
      <c r="D4754" t="s">
        <v>6603</v>
      </c>
      <c r="E4754">
        <v>60590.32</v>
      </c>
      <c r="G4754" s="35"/>
      <c r="H4754" s="36">
        <f t="shared" si="224"/>
        <v>38171.901599999997</v>
      </c>
      <c r="I4754" s="37">
        <f t="shared" si="222"/>
        <v>38171.901599999997</v>
      </c>
      <c r="J4754" s="4"/>
      <c r="K4754" s="38">
        <f t="shared" si="223"/>
        <v>0</v>
      </c>
    </row>
    <row r="4755" spans="1:11">
      <c r="A4755" t="s">
        <v>951</v>
      </c>
      <c r="B4755" t="s">
        <v>10184</v>
      </c>
      <c r="C4755" t="s">
        <v>6598</v>
      </c>
      <c r="D4755" t="s">
        <v>6604</v>
      </c>
      <c r="E4755">
        <v>78097.14</v>
      </c>
      <c r="G4755" s="35"/>
      <c r="H4755" s="36">
        <f t="shared" si="224"/>
        <v>49201.198199999999</v>
      </c>
      <c r="I4755" s="37">
        <f t="shared" si="222"/>
        <v>49201.198199999999</v>
      </c>
      <c r="J4755" s="4"/>
      <c r="K4755" s="38">
        <f t="shared" si="223"/>
        <v>0</v>
      </c>
    </row>
    <row r="4756" spans="1:11">
      <c r="A4756" t="s">
        <v>12974</v>
      </c>
      <c r="B4756" t="s">
        <v>10182</v>
      </c>
      <c r="C4756" t="s">
        <v>7614</v>
      </c>
      <c r="D4756" t="s">
        <v>12975</v>
      </c>
      <c r="E4756">
        <v>190545.6</v>
      </c>
      <c r="G4756" s="35"/>
      <c r="H4756" s="36">
        <f t="shared" si="224"/>
        <v>120043.728</v>
      </c>
      <c r="I4756" s="37">
        <f t="shared" si="222"/>
        <v>120043.728</v>
      </c>
      <c r="J4756" s="4"/>
      <c r="K4756" s="38">
        <f t="shared" si="223"/>
        <v>0</v>
      </c>
    </row>
    <row r="4757" spans="1:11">
      <c r="A4757" t="s">
        <v>2029</v>
      </c>
      <c r="B4757" t="s">
        <v>10182</v>
      </c>
      <c r="C4757" t="s">
        <v>7614</v>
      </c>
      <c r="D4757" t="s">
        <v>7615</v>
      </c>
      <c r="E4757">
        <v>49505.82</v>
      </c>
      <c r="G4757" s="35"/>
      <c r="H4757" s="36">
        <f t="shared" si="224"/>
        <v>31188.6666</v>
      </c>
      <c r="I4757" s="37">
        <f t="shared" si="222"/>
        <v>31188.6666</v>
      </c>
      <c r="J4757" s="4"/>
      <c r="K4757" s="38">
        <f t="shared" si="223"/>
        <v>0</v>
      </c>
    </row>
    <row r="4758" spans="1:11">
      <c r="A4758" t="s">
        <v>2030</v>
      </c>
      <c r="B4758" t="s">
        <v>10182</v>
      </c>
      <c r="C4758" t="s">
        <v>7614</v>
      </c>
      <c r="D4758" t="s">
        <v>7616</v>
      </c>
      <c r="E4758">
        <v>32336.959999999999</v>
      </c>
      <c r="G4758" s="35"/>
      <c r="H4758" s="36">
        <f t="shared" si="224"/>
        <v>20372.284800000001</v>
      </c>
      <c r="I4758" s="37">
        <f t="shared" si="222"/>
        <v>20372.284800000001</v>
      </c>
      <c r="J4758" s="4"/>
      <c r="K4758" s="38">
        <f t="shared" si="223"/>
        <v>0</v>
      </c>
    </row>
    <row r="4759" spans="1:11">
      <c r="A4759" t="s">
        <v>2031</v>
      </c>
      <c r="B4759" t="s">
        <v>10182</v>
      </c>
      <c r="C4759" t="s">
        <v>7614</v>
      </c>
      <c r="D4759" t="s">
        <v>7617</v>
      </c>
      <c r="E4759">
        <v>205174.73</v>
      </c>
      <c r="G4759" s="35"/>
      <c r="H4759" s="36">
        <f t="shared" si="224"/>
        <v>129260.07990000001</v>
      </c>
      <c r="I4759" s="37">
        <f t="shared" si="222"/>
        <v>129260.07990000001</v>
      </c>
      <c r="J4759" s="4"/>
      <c r="K4759" s="38">
        <f t="shared" si="223"/>
        <v>0</v>
      </c>
    </row>
    <row r="4760" spans="1:11">
      <c r="A4760" t="s">
        <v>2032</v>
      </c>
      <c r="B4760" t="s">
        <v>10182</v>
      </c>
      <c r="C4760" t="s">
        <v>7614</v>
      </c>
      <c r="D4760" t="s">
        <v>7618</v>
      </c>
      <c r="E4760">
        <v>96689.4</v>
      </c>
      <c r="G4760" s="35"/>
      <c r="H4760" s="36">
        <f t="shared" si="224"/>
        <v>60914.322</v>
      </c>
      <c r="I4760" s="37">
        <f t="shared" si="222"/>
        <v>60914.322</v>
      </c>
      <c r="J4760" s="4"/>
      <c r="K4760" s="38">
        <f t="shared" si="223"/>
        <v>0</v>
      </c>
    </row>
    <row r="4761" spans="1:11">
      <c r="A4761" t="s">
        <v>2033</v>
      </c>
      <c r="B4761" t="s">
        <v>10182</v>
      </c>
      <c r="C4761" t="s">
        <v>7614</v>
      </c>
      <c r="D4761" t="s">
        <v>7619</v>
      </c>
      <c r="E4761">
        <v>30766.78</v>
      </c>
      <c r="G4761" s="35"/>
      <c r="H4761" s="36">
        <f t="shared" si="224"/>
        <v>19383.071400000001</v>
      </c>
      <c r="I4761" s="37">
        <f t="shared" si="222"/>
        <v>19383.071400000001</v>
      </c>
      <c r="J4761" s="4"/>
      <c r="K4761" s="38">
        <f t="shared" si="223"/>
        <v>0</v>
      </c>
    </row>
    <row r="4762" spans="1:11">
      <c r="A4762" t="s">
        <v>2034</v>
      </c>
      <c r="B4762" t="s">
        <v>10182</v>
      </c>
      <c r="C4762" t="s">
        <v>7614</v>
      </c>
      <c r="D4762" t="s">
        <v>7620</v>
      </c>
      <c r="E4762">
        <v>33222.92</v>
      </c>
      <c r="G4762" s="35"/>
      <c r="H4762" s="36">
        <f t="shared" si="224"/>
        <v>20930.439599999998</v>
      </c>
      <c r="I4762" s="37">
        <f t="shared" si="222"/>
        <v>20930.439599999998</v>
      </c>
      <c r="J4762" s="4"/>
      <c r="K4762" s="38">
        <f t="shared" si="223"/>
        <v>0</v>
      </c>
    </row>
    <row r="4763" spans="1:11">
      <c r="A4763" t="s">
        <v>2035</v>
      </c>
      <c r="B4763" t="s">
        <v>10182</v>
      </c>
      <c r="C4763" t="s">
        <v>7614</v>
      </c>
      <c r="D4763" t="s">
        <v>7621</v>
      </c>
      <c r="E4763">
        <v>22912.04</v>
      </c>
      <c r="G4763" s="35"/>
      <c r="H4763" s="36">
        <f t="shared" si="224"/>
        <v>14434.585200000001</v>
      </c>
      <c r="I4763" s="37">
        <f t="shared" si="222"/>
        <v>14434.585200000001</v>
      </c>
      <c r="J4763" s="4"/>
      <c r="K4763" s="38">
        <f t="shared" si="223"/>
        <v>0</v>
      </c>
    </row>
    <row r="4764" spans="1:11">
      <c r="A4764" t="s">
        <v>3914</v>
      </c>
      <c r="B4764" t="s">
        <v>10182</v>
      </c>
      <c r="C4764" t="s">
        <v>9386</v>
      </c>
      <c r="D4764" t="s">
        <v>9387</v>
      </c>
      <c r="E4764">
        <v>69160</v>
      </c>
      <c r="G4764" s="35"/>
      <c r="H4764" s="36">
        <f t="shared" si="224"/>
        <v>43570.8</v>
      </c>
      <c r="I4764" s="37">
        <f t="shared" si="222"/>
        <v>43570.8</v>
      </c>
      <c r="J4764" s="4"/>
      <c r="K4764" s="38">
        <f t="shared" si="223"/>
        <v>0</v>
      </c>
    </row>
    <row r="4765" spans="1:11">
      <c r="A4765" t="s">
        <v>3915</v>
      </c>
      <c r="B4765" t="s">
        <v>10182</v>
      </c>
      <c r="C4765" t="s">
        <v>9386</v>
      </c>
      <c r="D4765" t="s">
        <v>9388</v>
      </c>
      <c r="E4765">
        <v>81536</v>
      </c>
      <c r="G4765" s="35"/>
      <c r="H4765" s="36">
        <f t="shared" si="224"/>
        <v>51367.68</v>
      </c>
      <c r="I4765" s="37">
        <f t="shared" si="222"/>
        <v>51367.68</v>
      </c>
      <c r="J4765" s="4"/>
      <c r="K4765" s="38">
        <f t="shared" si="223"/>
        <v>0</v>
      </c>
    </row>
    <row r="4766" spans="1:11">
      <c r="A4766" t="s">
        <v>1433</v>
      </c>
      <c r="B4766" t="s">
        <v>10182</v>
      </c>
      <c r="C4766" t="s">
        <v>7013</v>
      </c>
      <c r="D4766" t="s">
        <v>7014</v>
      </c>
      <c r="E4766">
        <v>25776.07</v>
      </c>
      <c r="G4766" s="35"/>
      <c r="H4766" s="36">
        <f t="shared" si="224"/>
        <v>16238.9241</v>
      </c>
      <c r="I4766" s="37">
        <f t="shared" si="222"/>
        <v>16238.9241</v>
      </c>
      <c r="J4766" s="4"/>
      <c r="K4766" s="38">
        <f t="shared" si="223"/>
        <v>0</v>
      </c>
    </row>
    <row r="4767" spans="1:11">
      <c r="A4767" t="s">
        <v>1434</v>
      </c>
      <c r="B4767" t="s">
        <v>10182</v>
      </c>
      <c r="C4767" t="s">
        <v>7013</v>
      </c>
      <c r="D4767" t="s">
        <v>7015</v>
      </c>
      <c r="E4767">
        <v>29548.68</v>
      </c>
      <c r="G4767" s="35"/>
      <c r="H4767" s="36">
        <f t="shared" si="224"/>
        <v>18615.668399999999</v>
      </c>
      <c r="I4767" s="37">
        <f t="shared" si="222"/>
        <v>18615.668399999999</v>
      </c>
      <c r="J4767" s="4"/>
      <c r="K4767" s="38">
        <f t="shared" si="223"/>
        <v>0</v>
      </c>
    </row>
    <row r="4768" spans="1:11">
      <c r="A4768" t="s">
        <v>1435</v>
      </c>
      <c r="B4768" t="s">
        <v>10182</v>
      </c>
      <c r="C4768" t="s">
        <v>7013</v>
      </c>
      <c r="D4768" t="s">
        <v>7016</v>
      </c>
      <c r="E4768">
        <v>49620.67</v>
      </c>
      <c r="G4768" s="35"/>
      <c r="H4768" s="36">
        <f t="shared" si="224"/>
        <v>31261.022099999998</v>
      </c>
      <c r="I4768" s="37">
        <f t="shared" si="222"/>
        <v>31261.022099999998</v>
      </c>
      <c r="J4768" s="4"/>
      <c r="K4768" s="38">
        <f t="shared" si="223"/>
        <v>0</v>
      </c>
    </row>
    <row r="4769" spans="1:11">
      <c r="A4769" t="s">
        <v>1436</v>
      </c>
      <c r="B4769" t="s">
        <v>10182</v>
      </c>
      <c r="C4769" t="s">
        <v>7013</v>
      </c>
      <c r="D4769" t="s">
        <v>7017</v>
      </c>
      <c r="E4769">
        <v>61579.14</v>
      </c>
      <c r="G4769" s="35"/>
      <c r="H4769" s="36">
        <f t="shared" si="224"/>
        <v>38794.858200000002</v>
      </c>
      <c r="I4769" s="37">
        <f t="shared" si="222"/>
        <v>38794.858200000002</v>
      </c>
      <c r="J4769" s="4"/>
      <c r="K4769" s="38">
        <f t="shared" si="223"/>
        <v>0</v>
      </c>
    </row>
    <row r="4770" spans="1:11">
      <c r="A4770" t="s">
        <v>820</v>
      </c>
      <c r="B4770" t="s">
        <v>10182</v>
      </c>
      <c r="C4770" t="s">
        <v>6468</v>
      </c>
      <c r="D4770" t="s">
        <v>6469</v>
      </c>
      <c r="E4770">
        <v>334978.7</v>
      </c>
      <c r="G4770" s="35"/>
      <c r="H4770" s="36">
        <f t="shared" si="224"/>
        <v>211036.58100000001</v>
      </c>
      <c r="I4770" s="37">
        <f t="shared" si="222"/>
        <v>211036.58100000001</v>
      </c>
      <c r="J4770" s="4"/>
      <c r="K4770" s="38">
        <f t="shared" si="223"/>
        <v>0</v>
      </c>
    </row>
    <row r="4771" spans="1:11">
      <c r="A4771" t="s">
        <v>821</v>
      </c>
      <c r="B4771" t="s">
        <v>10182</v>
      </c>
      <c r="C4771" t="s">
        <v>6468</v>
      </c>
      <c r="D4771" t="s">
        <v>6470</v>
      </c>
      <c r="E4771">
        <v>569042.88</v>
      </c>
      <c r="G4771" s="35"/>
      <c r="H4771" s="36">
        <f t="shared" si="224"/>
        <v>358497.01439999999</v>
      </c>
      <c r="I4771" s="37">
        <f t="shared" si="222"/>
        <v>358497.01439999999</v>
      </c>
      <c r="J4771" s="4"/>
      <c r="K4771" s="38">
        <f t="shared" si="223"/>
        <v>0</v>
      </c>
    </row>
    <row r="4772" spans="1:11">
      <c r="A4772" t="s">
        <v>822</v>
      </c>
      <c r="B4772" t="s">
        <v>10182</v>
      </c>
      <c r="C4772" t="s">
        <v>6468</v>
      </c>
      <c r="D4772" t="s">
        <v>6471</v>
      </c>
      <c r="E4772">
        <v>908093.06</v>
      </c>
      <c r="G4772" s="35"/>
      <c r="H4772" s="36">
        <f t="shared" si="224"/>
        <v>572098.62780000002</v>
      </c>
      <c r="I4772" s="37">
        <f t="shared" si="222"/>
        <v>572098.62780000002</v>
      </c>
      <c r="J4772" s="4"/>
      <c r="K4772" s="38">
        <f t="shared" si="223"/>
        <v>0</v>
      </c>
    </row>
    <row r="4773" spans="1:11">
      <c r="A4773" t="s">
        <v>12482</v>
      </c>
      <c r="B4773" t="s">
        <v>10182</v>
      </c>
      <c r="C4773" t="s">
        <v>12483</v>
      </c>
      <c r="D4773" t="s">
        <v>12484</v>
      </c>
      <c r="E4773">
        <v>129285.82</v>
      </c>
      <c r="G4773" s="35"/>
      <c r="H4773" s="36">
        <f t="shared" si="224"/>
        <v>81450.066600000006</v>
      </c>
      <c r="I4773" s="37">
        <f t="shared" si="222"/>
        <v>81450.066600000006</v>
      </c>
      <c r="J4773" s="4"/>
      <c r="K4773" s="38">
        <f t="shared" si="223"/>
        <v>0</v>
      </c>
    </row>
    <row r="4774" spans="1:11">
      <c r="A4774" t="s">
        <v>12485</v>
      </c>
      <c r="B4774" t="s">
        <v>10182</v>
      </c>
      <c r="C4774" t="s">
        <v>12483</v>
      </c>
      <c r="D4774" t="s">
        <v>12486</v>
      </c>
      <c r="E4774">
        <v>166469.6</v>
      </c>
      <c r="G4774" s="35"/>
      <c r="H4774" s="36">
        <f t="shared" si="224"/>
        <v>104875.848</v>
      </c>
      <c r="I4774" s="37">
        <f t="shared" si="222"/>
        <v>104875.848</v>
      </c>
      <c r="J4774" s="4"/>
      <c r="K4774" s="38">
        <f t="shared" si="223"/>
        <v>0</v>
      </c>
    </row>
    <row r="4775" spans="1:11">
      <c r="A4775" t="s">
        <v>12487</v>
      </c>
      <c r="B4775" t="s">
        <v>10182</v>
      </c>
      <c r="C4775" t="s">
        <v>12483</v>
      </c>
      <c r="D4775" t="s">
        <v>12488</v>
      </c>
      <c r="E4775">
        <v>207595.1</v>
      </c>
      <c r="G4775" s="35"/>
      <c r="H4775" s="36">
        <f t="shared" si="224"/>
        <v>130784.913</v>
      </c>
      <c r="I4775" s="37">
        <f t="shared" si="222"/>
        <v>130784.913</v>
      </c>
      <c r="J4775" s="4"/>
      <c r="K4775" s="38">
        <f t="shared" si="223"/>
        <v>0</v>
      </c>
    </row>
    <row r="4776" spans="1:11">
      <c r="A4776" t="s">
        <v>12489</v>
      </c>
      <c r="B4776" t="s">
        <v>10182</v>
      </c>
      <c r="C4776" t="s">
        <v>12483</v>
      </c>
      <c r="D4776" t="s">
        <v>12490</v>
      </c>
      <c r="E4776">
        <v>233698.92</v>
      </c>
      <c r="G4776" s="35"/>
      <c r="H4776" s="36">
        <f t="shared" si="224"/>
        <v>147230.31960000002</v>
      </c>
      <c r="I4776" s="37">
        <f t="shared" si="222"/>
        <v>147230.31960000002</v>
      </c>
      <c r="J4776" s="4"/>
      <c r="K4776" s="38">
        <f t="shared" si="223"/>
        <v>0</v>
      </c>
    </row>
    <row r="4777" spans="1:11">
      <c r="A4777" t="s">
        <v>2224</v>
      </c>
      <c r="B4777" t="s">
        <v>10182</v>
      </c>
      <c r="C4777" t="s">
        <v>9868</v>
      </c>
      <c r="D4777" t="s">
        <v>7779</v>
      </c>
      <c r="E4777">
        <v>297223.78999999998</v>
      </c>
      <c r="G4777" s="35"/>
      <c r="H4777" s="36">
        <f t="shared" si="224"/>
        <v>187250.9877</v>
      </c>
      <c r="I4777" s="37">
        <f t="shared" si="222"/>
        <v>187250.9877</v>
      </c>
      <c r="J4777" s="4"/>
      <c r="K4777" s="38">
        <f t="shared" si="223"/>
        <v>0</v>
      </c>
    </row>
    <row r="4778" spans="1:11">
      <c r="A4778" t="s">
        <v>2225</v>
      </c>
      <c r="B4778" t="s">
        <v>10182</v>
      </c>
      <c r="C4778" t="s">
        <v>9868</v>
      </c>
      <c r="D4778" t="s">
        <v>7780</v>
      </c>
      <c r="E4778">
        <v>478096.7</v>
      </c>
      <c r="G4778" s="35"/>
      <c r="H4778" s="36">
        <f t="shared" si="224"/>
        <v>301200.92100000003</v>
      </c>
      <c r="I4778" s="37">
        <f t="shared" si="222"/>
        <v>301200.92100000003</v>
      </c>
      <c r="J4778" s="4"/>
      <c r="K4778" s="38">
        <f t="shared" si="223"/>
        <v>0</v>
      </c>
    </row>
    <row r="4779" spans="1:11">
      <c r="A4779" t="s">
        <v>2226</v>
      </c>
      <c r="B4779" t="s">
        <v>10182</v>
      </c>
      <c r="C4779" t="s">
        <v>9868</v>
      </c>
      <c r="D4779" t="s">
        <v>7781</v>
      </c>
      <c r="E4779">
        <v>277862.23</v>
      </c>
      <c r="G4779" s="35"/>
      <c r="H4779" s="36">
        <f t="shared" si="224"/>
        <v>175053.20489999998</v>
      </c>
      <c r="I4779" s="37">
        <f t="shared" si="222"/>
        <v>175053.20489999998</v>
      </c>
      <c r="J4779" s="4"/>
      <c r="K4779" s="38">
        <f t="shared" si="223"/>
        <v>0</v>
      </c>
    </row>
    <row r="4780" spans="1:11">
      <c r="A4780" t="s">
        <v>2227</v>
      </c>
      <c r="B4780" t="s">
        <v>10182</v>
      </c>
      <c r="C4780" t="s">
        <v>9868</v>
      </c>
      <c r="D4780" t="s">
        <v>7782</v>
      </c>
      <c r="E4780">
        <v>216327.83</v>
      </c>
      <c r="G4780" s="35"/>
      <c r="H4780" s="36">
        <f t="shared" si="224"/>
        <v>136286.53289999999</v>
      </c>
      <c r="I4780" s="37">
        <f t="shared" si="222"/>
        <v>136286.53289999999</v>
      </c>
      <c r="J4780" s="4"/>
      <c r="K4780" s="38">
        <f t="shared" si="223"/>
        <v>0</v>
      </c>
    </row>
    <row r="4781" spans="1:11">
      <c r="A4781" t="s">
        <v>2228</v>
      </c>
      <c r="B4781" t="s">
        <v>10182</v>
      </c>
      <c r="C4781" t="s">
        <v>9868</v>
      </c>
      <c r="D4781" t="s">
        <v>7783</v>
      </c>
      <c r="E4781">
        <v>254885.85</v>
      </c>
      <c r="G4781" s="35"/>
      <c r="H4781" s="36">
        <f t="shared" si="224"/>
        <v>160578.08550000002</v>
      </c>
      <c r="I4781" s="37">
        <f t="shared" si="222"/>
        <v>160578.08550000002</v>
      </c>
      <c r="J4781" s="4"/>
      <c r="K4781" s="38">
        <f t="shared" si="223"/>
        <v>0</v>
      </c>
    </row>
    <row r="4782" spans="1:11">
      <c r="A4782" t="s">
        <v>2229</v>
      </c>
      <c r="B4782" t="s">
        <v>10182</v>
      </c>
      <c r="C4782" t="s">
        <v>9868</v>
      </c>
      <c r="D4782" t="s">
        <v>7784</v>
      </c>
      <c r="E4782">
        <v>371748.44</v>
      </c>
      <c r="G4782" s="35"/>
      <c r="H4782" s="36">
        <f t="shared" si="224"/>
        <v>234201.5172</v>
      </c>
      <c r="I4782" s="37">
        <f t="shared" si="222"/>
        <v>234201.5172</v>
      </c>
      <c r="J4782" s="4"/>
      <c r="K4782" s="38">
        <f t="shared" si="223"/>
        <v>0</v>
      </c>
    </row>
    <row r="4783" spans="1:11">
      <c r="A4783" t="s">
        <v>2230</v>
      </c>
      <c r="B4783" t="s">
        <v>10182</v>
      </c>
      <c r="C4783" t="s">
        <v>9868</v>
      </c>
      <c r="D4783" t="s">
        <v>7785</v>
      </c>
      <c r="E4783">
        <v>426663.95</v>
      </c>
      <c r="G4783" s="35"/>
      <c r="H4783" s="36">
        <f t="shared" si="224"/>
        <v>268798.28850000002</v>
      </c>
      <c r="I4783" s="37">
        <f t="shared" si="222"/>
        <v>268798.28850000002</v>
      </c>
      <c r="J4783" s="4"/>
      <c r="K4783" s="38">
        <f t="shared" si="223"/>
        <v>0</v>
      </c>
    </row>
    <row r="4784" spans="1:11">
      <c r="A4784" t="s">
        <v>2231</v>
      </c>
      <c r="B4784" t="s">
        <v>10182</v>
      </c>
      <c r="C4784" t="s">
        <v>9868</v>
      </c>
      <c r="D4784" t="s">
        <v>7786</v>
      </c>
      <c r="E4784">
        <v>900386.58</v>
      </c>
      <c r="G4784" s="35"/>
      <c r="H4784" s="36">
        <f t="shared" si="224"/>
        <v>567243.54539999994</v>
      </c>
      <c r="I4784" s="37">
        <f t="shared" si="222"/>
        <v>567243.54539999994</v>
      </c>
      <c r="J4784" s="4"/>
      <c r="K4784" s="38">
        <f t="shared" si="223"/>
        <v>0</v>
      </c>
    </row>
    <row r="4785" spans="1:11">
      <c r="A4785" t="s">
        <v>2217</v>
      </c>
      <c r="B4785" t="s">
        <v>10182</v>
      </c>
      <c r="C4785" t="s">
        <v>9868</v>
      </c>
      <c r="D4785" t="s">
        <v>7773</v>
      </c>
      <c r="E4785">
        <v>485282.5</v>
      </c>
      <c r="G4785" s="35"/>
      <c r="H4785" s="36">
        <f t="shared" si="224"/>
        <v>305727.97499999998</v>
      </c>
      <c r="I4785" s="37">
        <f t="shared" si="222"/>
        <v>305727.97499999998</v>
      </c>
      <c r="J4785" s="4"/>
      <c r="K4785" s="38">
        <f t="shared" si="223"/>
        <v>0</v>
      </c>
    </row>
    <row r="4786" spans="1:11">
      <c r="A4786" t="s">
        <v>2218</v>
      </c>
      <c r="B4786" t="s">
        <v>10182</v>
      </c>
      <c r="C4786" t="s">
        <v>9868</v>
      </c>
      <c r="D4786" t="s">
        <v>7774</v>
      </c>
      <c r="E4786">
        <v>782114.45</v>
      </c>
      <c r="G4786" s="35"/>
      <c r="H4786" s="36">
        <f t="shared" si="224"/>
        <v>492732.10349999997</v>
      </c>
      <c r="I4786" s="37">
        <f t="shared" si="222"/>
        <v>492732.10349999997</v>
      </c>
      <c r="J4786" s="4"/>
      <c r="K4786" s="38">
        <f t="shared" si="223"/>
        <v>0</v>
      </c>
    </row>
    <row r="4787" spans="1:11">
      <c r="A4787" t="s">
        <v>2219</v>
      </c>
      <c r="B4787" t="s">
        <v>10182</v>
      </c>
      <c r="C4787" t="s">
        <v>9868</v>
      </c>
      <c r="D4787" t="s">
        <v>7775</v>
      </c>
      <c r="E4787">
        <v>1276149.3700000001</v>
      </c>
      <c r="G4787" s="35"/>
      <c r="H4787" s="36">
        <f t="shared" si="224"/>
        <v>803974.10310000007</v>
      </c>
      <c r="I4787" s="37">
        <f t="shared" si="222"/>
        <v>803974.10310000007</v>
      </c>
      <c r="J4787" s="4"/>
      <c r="K4787" s="38">
        <f t="shared" si="223"/>
        <v>0</v>
      </c>
    </row>
    <row r="4788" spans="1:11">
      <c r="A4788" t="s">
        <v>2220</v>
      </c>
      <c r="B4788" t="s">
        <v>10182</v>
      </c>
      <c r="C4788" t="s">
        <v>9868</v>
      </c>
      <c r="D4788" t="s">
        <v>11927</v>
      </c>
      <c r="E4788">
        <v>1133470.6499999999</v>
      </c>
      <c r="G4788" s="35"/>
      <c r="H4788" s="36">
        <f t="shared" si="224"/>
        <v>714086.50949999993</v>
      </c>
      <c r="I4788" s="37">
        <f t="shared" si="222"/>
        <v>714086.50949999993</v>
      </c>
      <c r="J4788" s="4"/>
      <c r="K4788" s="38">
        <f t="shared" si="223"/>
        <v>0</v>
      </c>
    </row>
    <row r="4789" spans="1:11">
      <c r="A4789" t="s">
        <v>12258</v>
      </c>
      <c r="B4789" t="s">
        <v>10182</v>
      </c>
      <c r="C4789" t="s">
        <v>9868</v>
      </c>
      <c r="D4789" t="s">
        <v>12265</v>
      </c>
      <c r="E4789">
        <v>2008447.78</v>
      </c>
      <c r="G4789" s="35"/>
      <c r="H4789" s="36">
        <f t="shared" si="224"/>
        <v>1265322.1014</v>
      </c>
      <c r="I4789" s="37">
        <f t="shared" si="222"/>
        <v>1265322.1014</v>
      </c>
      <c r="J4789" s="4"/>
      <c r="K4789" s="38">
        <f t="shared" si="223"/>
        <v>0</v>
      </c>
    </row>
    <row r="4790" spans="1:11">
      <c r="A4790" t="s">
        <v>10063</v>
      </c>
      <c r="B4790" t="s">
        <v>10182</v>
      </c>
      <c r="C4790" t="s">
        <v>9868</v>
      </c>
      <c r="D4790" t="s">
        <v>10064</v>
      </c>
      <c r="E4790">
        <v>1189133.3600000001</v>
      </c>
      <c r="G4790" s="35"/>
      <c r="H4790" s="36">
        <f t="shared" si="224"/>
        <v>749154.0168000001</v>
      </c>
      <c r="I4790" s="37">
        <f t="shared" si="222"/>
        <v>749154.0168000001</v>
      </c>
      <c r="J4790" s="4"/>
      <c r="K4790" s="38">
        <f t="shared" si="223"/>
        <v>0</v>
      </c>
    </row>
    <row r="4791" spans="1:11">
      <c r="A4791" t="s">
        <v>2221</v>
      </c>
      <c r="B4791" t="s">
        <v>10182</v>
      </c>
      <c r="C4791" t="s">
        <v>9868</v>
      </c>
      <c r="D4791" t="s">
        <v>7776</v>
      </c>
      <c r="E4791">
        <v>949329.03</v>
      </c>
      <c r="G4791" s="35"/>
      <c r="H4791" s="36">
        <f t="shared" si="224"/>
        <v>598077.28890000004</v>
      </c>
      <c r="I4791" s="37">
        <f t="shared" si="222"/>
        <v>598077.28890000004</v>
      </c>
      <c r="J4791" s="4"/>
      <c r="K4791" s="38">
        <f t="shared" si="223"/>
        <v>0</v>
      </c>
    </row>
    <row r="4792" spans="1:11">
      <c r="A4792" t="s">
        <v>2222</v>
      </c>
      <c r="B4792" t="s">
        <v>10182</v>
      </c>
      <c r="C4792" t="s">
        <v>9868</v>
      </c>
      <c r="D4792" t="s">
        <v>7777</v>
      </c>
      <c r="E4792">
        <v>1299331.28</v>
      </c>
      <c r="G4792" s="35"/>
      <c r="H4792" s="36">
        <f t="shared" si="224"/>
        <v>818578.70640000002</v>
      </c>
      <c r="I4792" s="37">
        <f t="shared" si="222"/>
        <v>818578.70640000002</v>
      </c>
      <c r="J4792" s="4"/>
      <c r="K4792" s="38">
        <f t="shared" si="223"/>
        <v>0</v>
      </c>
    </row>
    <row r="4793" spans="1:11">
      <c r="A4793" t="s">
        <v>2223</v>
      </c>
      <c r="B4793" t="s">
        <v>10182</v>
      </c>
      <c r="C4793" t="s">
        <v>9868</v>
      </c>
      <c r="D4793" t="s">
        <v>7778</v>
      </c>
      <c r="E4793">
        <v>3439411.15</v>
      </c>
      <c r="G4793" s="35"/>
      <c r="H4793" s="36">
        <f t="shared" si="224"/>
        <v>2166829.0244999998</v>
      </c>
      <c r="I4793" s="37">
        <f t="shared" si="222"/>
        <v>2166829.0244999998</v>
      </c>
      <c r="J4793" s="4"/>
      <c r="K4793" s="38">
        <f t="shared" si="223"/>
        <v>0</v>
      </c>
    </row>
    <row r="4794" spans="1:11">
      <c r="A4794" t="s">
        <v>2614</v>
      </c>
      <c r="B4794" t="s">
        <v>10182</v>
      </c>
      <c r="C4794" t="s">
        <v>8147</v>
      </c>
      <c r="D4794" t="s">
        <v>11787</v>
      </c>
      <c r="E4794">
        <v>169106.56</v>
      </c>
      <c r="G4794" s="35"/>
      <c r="H4794" s="36">
        <f t="shared" si="224"/>
        <v>106537.13279999999</v>
      </c>
      <c r="I4794" s="37">
        <f t="shared" si="222"/>
        <v>106537.13279999999</v>
      </c>
      <c r="J4794" s="4"/>
      <c r="K4794" s="38">
        <f t="shared" si="223"/>
        <v>0</v>
      </c>
    </row>
    <row r="4795" spans="1:11">
      <c r="A4795" t="s">
        <v>2615</v>
      </c>
      <c r="B4795" t="s">
        <v>10182</v>
      </c>
      <c r="C4795" t="s">
        <v>8147</v>
      </c>
      <c r="D4795" t="s">
        <v>11788</v>
      </c>
      <c r="E4795">
        <v>199245.8</v>
      </c>
      <c r="G4795" s="35"/>
      <c r="H4795" s="36">
        <f t="shared" si="224"/>
        <v>125524.85399999999</v>
      </c>
      <c r="I4795" s="37">
        <f t="shared" si="222"/>
        <v>125524.85399999999</v>
      </c>
      <c r="J4795" s="4"/>
      <c r="K4795" s="38">
        <f t="shared" si="223"/>
        <v>0</v>
      </c>
    </row>
    <row r="4796" spans="1:11">
      <c r="A4796" t="s">
        <v>2616</v>
      </c>
      <c r="B4796" t="s">
        <v>10182</v>
      </c>
      <c r="C4796" t="s">
        <v>8147</v>
      </c>
      <c r="D4796" t="s">
        <v>11789</v>
      </c>
      <c r="E4796">
        <v>290615.7</v>
      </c>
      <c r="G4796" s="35"/>
      <c r="H4796" s="36">
        <f t="shared" si="224"/>
        <v>183087.891</v>
      </c>
      <c r="I4796" s="37">
        <f t="shared" si="222"/>
        <v>183087.891</v>
      </c>
      <c r="J4796" s="4"/>
      <c r="K4796" s="38">
        <f t="shared" si="223"/>
        <v>0</v>
      </c>
    </row>
    <row r="4797" spans="1:11">
      <c r="A4797" t="s">
        <v>2617</v>
      </c>
      <c r="B4797" t="s">
        <v>10182</v>
      </c>
      <c r="C4797" t="s">
        <v>8147</v>
      </c>
      <c r="D4797" t="s">
        <v>11790</v>
      </c>
      <c r="E4797">
        <v>333816.81</v>
      </c>
      <c r="G4797" s="35"/>
      <c r="H4797" s="36">
        <f t="shared" si="224"/>
        <v>210304.59030000001</v>
      </c>
      <c r="I4797" s="37">
        <f t="shared" si="222"/>
        <v>210304.59030000001</v>
      </c>
      <c r="J4797" s="4"/>
      <c r="K4797" s="38">
        <f t="shared" si="223"/>
        <v>0</v>
      </c>
    </row>
    <row r="4798" spans="1:11">
      <c r="A4798" t="s">
        <v>2618</v>
      </c>
      <c r="B4798" t="s">
        <v>10182</v>
      </c>
      <c r="C4798" t="s">
        <v>8147</v>
      </c>
      <c r="D4798" t="s">
        <v>11791</v>
      </c>
      <c r="E4798">
        <v>676172.27</v>
      </c>
      <c r="G4798" s="35"/>
      <c r="H4798" s="36">
        <f t="shared" si="224"/>
        <v>425988.53010000003</v>
      </c>
      <c r="I4798" s="37">
        <f t="shared" si="222"/>
        <v>425988.53010000003</v>
      </c>
      <c r="J4798" s="4"/>
      <c r="K4798" s="38">
        <f t="shared" si="223"/>
        <v>0</v>
      </c>
    </row>
    <row r="4799" spans="1:11">
      <c r="A4799" t="s">
        <v>2247</v>
      </c>
      <c r="B4799" t="s">
        <v>10182</v>
      </c>
      <c r="C4799" t="s">
        <v>7803</v>
      </c>
      <c r="D4799" t="s">
        <v>7804</v>
      </c>
      <c r="E4799">
        <v>646886.24</v>
      </c>
      <c r="G4799" s="35"/>
      <c r="H4799" s="36">
        <f t="shared" si="224"/>
        <v>407538.33120000002</v>
      </c>
      <c r="I4799" s="37">
        <f t="shared" si="222"/>
        <v>407538.33120000002</v>
      </c>
      <c r="J4799" s="4"/>
      <c r="K4799" s="38">
        <f t="shared" si="223"/>
        <v>0</v>
      </c>
    </row>
    <row r="4800" spans="1:11">
      <c r="A4800" t="s">
        <v>2248</v>
      </c>
      <c r="B4800" t="s">
        <v>10182</v>
      </c>
      <c r="C4800" t="s">
        <v>7803</v>
      </c>
      <c r="D4800" t="s">
        <v>7805</v>
      </c>
      <c r="E4800">
        <v>1176013.28</v>
      </c>
      <c r="G4800" s="35"/>
      <c r="H4800" s="36">
        <f t="shared" si="224"/>
        <v>740888.36640000006</v>
      </c>
      <c r="I4800" s="37">
        <f t="shared" si="222"/>
        <v>740888.36640000006</v>
      </c>
      <c r="J4800" s="4"/>
      <c r="K4800" s="38">
        <f t="shared" si="223"/>
        <v>0</v>
      </c>
    </row>
    <row r="4801" spans="1:11">
      <c r="A4801" t="s">
        <v>2249</v>
      </c>
      <c r="B4801" t="s">
        <v>10182</v>
      </c>
      <c r="C4801" t="s">
        <v>7803</v>
      </c>
      <c r="D4801" t="s">
        <v>7806</v>
      </c>
      <c r="E4801">
        <v>2138319.04</v>
      </c>
      <c r="G4801" s="35"/>
      <c r="H4801" s="36">
        <f t="shared" si="224"/>
        <v>1347140.9952</v>
      </c>
      <c r="I4801" s="37">
        <f t="shared" si="222"/>
        <v>1347140.9952</v>
      </c>
      <c r="J4801" s="4"/>
      <c r="K4801" s="38">
        <f t="shared" si="223"/>
        <v>0</v>
      </c>
    </row>
    <row r="4802" spans="1:11">
      <c r="A4802" t="s">
        <v>2250</v>
      </c>
      <c r="B4802" t="s">
        <v>10182</v>
      </c>
      <c r="C4802" t="s">
        <v>7803</v>
      </c>
      <c r="D4802" t="s">
        <v>7807</v>
      </c>
      <c r="E4802">
        <v>2915810.56</v>
      </c>
      <c r="G4802" s="35"/>
      <c r="H4802" s="36">
        <f t="shared" si="224"/>
        <v>1836960.6528</v>
      </c>
      <c r="I4802" s="37">
        <f t="shared" si="222"/>
        <v>1836960.6528</v>
      </c>
      <c r="J4802" s="4"/>
      <c r="K4802" s="38">
        <f t="shared" si="223"/>
        <v>0</v>
      </c>
    </row>
    <row r="4803" spans="1:11">
      <c r="A4803" t="s">
        <v>2251</v>
      </c>
      <c r="B4803" t="s">
        <v>10182</v>
      </c>
      <c r="C4803" t="s">
        <v>7803</v>
      </c>
      <c r="D4803" t="s">
        <v>7808</v>
      </c>
      <c r="E4803">
        <v>4417888.8</v>
      </c>
      <c r="G4803" s="35"/>
      <c r="H4803" s="36">
        <f t="shared" si="224"/>
        <v>2783269.9440000001</v>
      </c>
      <c r="I4803" s="37">
        <f t="shared" si="222"/>
        <v>2783269.9440000001</v>
      </c>
      <c r="J4803" s="4"/>
      <c r="K4803" s="38">
        <f t="shared" si="223"/>
        <v>0</v>
      </c>
    </row>
    <row r="4804" spans="1:11">
      <c r="A4804" t="s">
        <v>2232</v>
      </c>
      <c r="B4804" t="s">
        <v>10182</v>
      </c>
      <c r="C4804" t="s">
        <v>7787</v>
      </c>
      <c r="D4804" t="s">
        <v>7788</v>
      </c>
      <c r="E4804">
        <v>2500212</v>
      </c>
      <c r="G4804" s="35"/>
      <c r="H4804" s="36">
        <f t="shared" si="224"/>
        <v>1575133.56</v>
      </c>
      <c r="I4804" s="37">
        <f t="shared" si="222"/>
        <v>1575133.56</v>
      </c>
      <c r="J4804" s="4"/>
      <c r="K4804" s="38">
        <f t="shared" si="223"/>
        <v>0</v>
      </c>
    </row>
    <row r="4805" spans="1:11">
      <c r="A4805" t="s">
        <v>2233</v>
      </c>
      <c r="B4805" t="s">
        <v>10182</v>
      </c>
      <c r="C4805" t="s">
        <v>7787</v>
      </c>
      <c r="D4805" t="s">
        <v>7789</v>
      </c>
      <c r="E4805">
        <v>4610933.5999999996</v>
      </c>
      <c r="G4805" s="35"/>
      <c r="H4805" s="36">
        <f t="shared" si="224"/>
        <v>2904888.1679999996</v>
      </c>
      <c r="I4805" s="37">
        <f t="shared" si="222"/>
        <v>2904888.1679999996</v>
      </c>
      <c r="J4805" s="4"/>
      <c r="K4805" s="38">
        <f t="shared" si="223"/>
        <v>0</v>
      </c>
    </row>
    <row r="4806" spans="1:11">
      <c r="A4806" t="s">
        <v>2234</v>
      </c>
      <c r="B4806" t="s">
        <v>10182</v>
      </c>
      <c r="C4806" t="s">
        <v>7787</v>
      </c>
      <c r="D4806" t="s">
        <v>7790</v>
      </c>
      <c r="E4806">
        <v>8605877.2799999993</v>
      </c>
      <c r="G4806" s="35"/>
      <c r="H4806" s="36">
        <f t="shared" si="224"/>
        <v>5421702.6864</v>
      </c>
      <c r="I4806" s="37">
        <f t="shared" ref="I4806:I4869" si="225">H4806*$H$4</f>
        <v>5421702.6864</v>
      </c>
      <c r="J4806" s="4"/>
      <c r="K4806" s="38">
        <f t="shared" ref="K4806:K4869" si="226">J4806*I4806</f>
        <v>0</v>
      </c>
    </row>
    <row r="4807" spans="1:11">
      <c r="A4807" t="s">
        <v>2235</v>
      </c>
      <c r="B4807" t="s">
        <v>10182</v>
      </c>
      <c r="C4807" t="s">
        <v>7787</v>
      </c>
      <c r="D4807" t="s">
        <v>7791</v>
      </c>
      <c r="E4807">
        <v>2500212</v>
      </c>
      <c r="G4807" s="35"/>
      <c r="H4807" s="36">
        <f t="shared" ref="H4807:H4870" si="227">+E4807*$H$1*(1-G4807)</f>
        <v>1575133.56</v>
      </c>
      <c r="I4807" s="37">
        <f t="shared" si="225"/>
        <v>1575133.56</v>
      </c>
      <c r="J4807" s="4"/>
      <c r="K4807" s="38">
        <f t="shared" si="226"/>
        <v>0</v>
      </c>
    </row>
    <row r="4808" spans="1:11">
      <c r="A4808" t="s">
        <v>2236</v>
      </c>
      <c r="B4808" t="s">
        <v>10182</v>
      </c>
      <c r="C4808" t="s">
        <v>7787</v>
      </c>
      <c r="D4808" t="s">
        <v>7792</v>
      </c>
      <c r="E4808">
        <v>4610933.5999999996</v>
      </c>
      <c r="G4808" s="35"/>
      <c r="H4808" s="36">
        <f t="shared" si="227"/>
        <v>2904888.1679999996</v>
      </c>
      <c r="I4808" s="37">
        <f t="shared" si="225"/>
        <v>2904888.1679999996</v>
      </c>
      <c r="J4808" s="4"/>
      <c r="K4808" s="38">
        <f t="shared" si="226"/>
        <v>0</v>
      </c>
    </row>
    <row r="4809" spans="1:11">
      <c r="A4809" t="s">
        <v>2237</v>
      </c>
      <c r="B4809" t="s">
        <v>10182</v>
      </c>
      <c r="C4809" t="s">
        <v>7787</v>
      </c>
      <c r="D4809" t="s">
        <v>7793</v>
      </c>
      <c r="E4809">
        <v>8605877.2799999993</v>
      </c>
      <c r="G4809" s="35"/>
      <c r="H4809" s="36">
        <f t="shared" si="227"/>
        <v>5421702.6864</v>
      </c>
      <c r="I4809" s="37">
        <f t="shared" si="225"/>
        <v>5421702.6864</v>
      </c>
      <c r="J4809" s="4"/>
      <c r="K4809" s="38">
        <f t="shared" si="226"/>
        <v>0</v>
      </c>
    </row>
    <row r="4810" spans="1:11">
      <c r="A4810" t="s">
        <v>2238</v>
      </c>
      <c r="B4810" t="s">
        <v>10182</v>
      </c>
      <c r="C4810" t="s">
        <v>7787</v>
      </c>
      <c r="D4810" t="s">
        <v>7794</v>
      </c>
      <c r="E4810">
        <v>3500292.64</v>
      </c>
      <c r="G4810" s="35"/>
      <c r="H4810" s="36">
        <f t="shared" si="227"/>
        <v>2205184.3632</v>
      </c>
      <c r="I4810" s="37">
        <f t="shared" si="225"/>
        <v>2205184.3632</v>
      </c>
      <c r="J4810" s="4"/>
      <c r="K4810" s="38">
        <f t="shared" si="226"/>
        <v>0</v>
      </c>
    </row>
    <row r="4811" spans="1:11">
      <c r="A4811" t="s">
        <v>2239</v>
      </c>
      <c r="B4811" t="s">
        <v>10182</v>
      </c>
      <c r="C4811" t="s">
        <v>7787</v>
      </c>
      <c r="D4811" t="s">
        <v>7795</v>
      </c>
      <c r="E4811">
        <v>6455219.6799999997</v>
      </c>
      <c r="G4811" s="35"/>
      <c r="H4811" s="36">
        <f t="shared" si="227"/>
        <v>4066788.3983999998</v>
      </c>
      <c r="I4811" s="37">
        <f t="shared" si="225"/>
        <v>4066788.3983999998</v>
      </c>
      <c r="J4811" s="4"/>
      <c r="K4811" s="38">
        <f t="shared" si="226"/>
        <v>0</v>
      </c>
    </row>
    <row r="4812" spans="1:11">
      <c r="A4812" t="s">
        <v>2240</v>
      </c>
      <c r="B4812" t="s">
        <v>10182</v>
      </c>
      <c r="C4812" t="s">
        <v>7787</v>
      </c>
      <c r="D4812" t="s">
        <v>7796</v>
      </c>
      <c r="E4812">
        <v>12048164.960000001</v>
      </c>
      <c r="G4812" s="35"/>
      <c r="H4812" s="36">
        <f t="shared" si="227"/>
        <v>7590343.9248000002</v>
      </c>
      <c r="I4812" s="37">
        <f t="shared" si="225"/>
        <v>7590343.9248000002</v>
      </c>
      <c r="J4812" s="4"/>
      <c r="K4812" s="38">
        <f t="shared" si="226"/>
        <v>0</v>
      </c>
    </row>
    <row r="4813" spans="1:11">
      <c r="A4813" t="s">
        <v>2241</v>
      </c>
      <c r="B4813" t="s">
        <v>10182</v>
      </c>
      <c r="C4813" t="s">
        <v>7787</v>
      </c>
      <c r="D4813" t="s">
        <v>7797</v>
      </c>
      <c r="E4813">
        <v>3500292.64</v>
      </c>
      <c r="G4813" s="35"/>
      <c r="H4813" s="36">
        <f t="shared" si="227"/>
        <v>2205184.3632</v>
      </c>
      <c r="I4813" s="37">
        <f t="shared" si="225"/>
        <v>2205184.3632</v>
      </c>
      <c r="J4813" s="4"/>
      <c r="K4813" s="38">
        <f t="shared" si="226"/>
        <v>0</v>
      </c>
    </row>
    <row r="4814" spans="1:11">
      <c r="A4814" t="s">
        <v>2242</v>
      </c>
      <c r="B4814" t="s">
        <v>10182</v>
      </c>
      <c r="C4814" t="s">
        <v>7787</v>
      </c>
      <c r="D4814" t="s">
        <v>7798</v>
      </c>
      <c r="E4814">
        <v>6455219.6799999997</v>
      </c>
      <c r="G4814" s="35"/>
      <c r="H4814" s="36">
        <f t="shared" si="227"/>
        <v>4066788.3983999998</v>
      </c>
      <c r="I4814" s="37">
        <f t="shared" si="225"/>
        <v>4066788.3983999998</v>
      </c>
      <c r="J4814" s="4"/>
      <c r="K4814" s="38">
        <f t="shared" si="226"/>
        <v>0</v>
      </c>
    </row>
    <row r="4815" spans="1:11">
      <c r="A4815" t="s">
        <v>2243</v>
      </c>
      <c r="B4815" t="s">
        <v>10182</v>
      </c>
      <c r="C4815" t="s">
        <v>7787</v>
      </c>
      <c r="D4815" t="s">
        <v>7799</v>
      </c>
      <c r="E4815">
        <v>12048164.960000001</v>
      </c>
      <c r="G4815" s="35"/>
      <c r="H4815" s="36">
        <f t="shared" si="227"/>
        <v>7590343.9248000002</v>
      </c>
      <c r="I4815" s="37">
        <f t="shared" si="225"/>
        <v>7590343.9248000002</v>
      </c>
      <c r="J4815" s="4"/>
      <c r="K4815" s="38">
        <f t="shared" si="226"/>
        <v>0</v>
      </c>
    </row>
    <row r="4816" spans="1:11">
      <c r="A4816" t="s">
        <v>2244</v>
      </c>
      <c r="B4816" t="s">
        <v>10182</v>
      </c>
      <c r="C4816" t="s">
        <v>7787</v>
      </c>
      <c r="D4816" t="s">
        <v>7800</v>
      </c>
      <c r="E4816">
        <v>2500212</v>
      </c>
      <c r="G4816" s="35"/>
      <c r="H4816" s="36">
        <f t="shared" si="227"/>
        <v>1575133.56</v>
      </c>
      <c r="I4816" s="37">
        <f t="shared" si="225"/>
        <v>1575133.56</v>
      </c>
      <c r="J4816" s="4"/>
      <c r="K4816" s="38">
        <f t="shared" si="226"/>
        <v>0</v>
      </c>
    </row>
    <row r="4817" spans="1:11">
      <c r="A4817" t="s">
        <v>2245</v>
      </c>
      <c r="B4817" t="s">
        <v>10182</v>
      </c>
      <c r="C4817" t="s">
        <v>7787</v>
      </c>
      <c r="D4817" t="s">
        <v>7801</v>
      </c>
      <c r="E4817">
        <v>4610933.5999999996</v>
      </c>
      <c r="G4817" s="35"/>
      <c r="H4817" s="36">
        <f t="shared" si="227"/>
        <v>2904888.1679999996</v>
      </c>
      <c r="I4817" s="37">
        <f t="shared" si="225"/>
        <v>2904888.1679999996</v>
      </c>
      <c r="J4817" s="4"/>
      <c r="K4817" s="38">
        <f t="shared" si="226"/>
        <v>0</v>
      </c>
    </row>
    <row r="4818" spans="1:11">
      <c r="A4818" t="s">
        <v>2246</v>
      </c>
      <c r="B4818" t="s">
        <v>10182</v>
      </c>
      <c r="C4818" t="s">
        <v>7787</v>
      </c>
      <c r="D4818" t="s">
        <v>7802</v>
      </c>
      <c r="E4818">
        <v>8605877.2799999993</v>
      </c>
      <c r="G4818" s="35"/>
      <c r="H4818" s="36">
        <f t="shared" si="227"/>
        <v>5421702.6864</v>
      </c>
      <c r="I4818" s="37">
        <f t="shared" si="225"/>
        <v>5421702.6864</v>
      </c>
      <c r="J4818" s="4"/>
      <c r="K4818" s="38">
        <f t="shared" si="226"/>
        <v>0</v>
      </c>
    </row>
    <row r="4819" spans="1:11">
      <c r="A4819" t="s">
        <v>1469</v>
      </c>
      <c r="B4819" t="s">
        <v>12449</v>
      </c>
      <c r="C4819" t="s">
        <v>7056</v>
      </c>
      <c r="D4819" t="s">
        <v>7057</v>
      </c>
      <c r="E4819">
        <v>2536.62</v>
      </c>
      <c r="G4819" s="35"/>
      <c r="H4819" s="36">
        <f t="shared" si="227"/>
        <v>1598.0706</v>
      </c>
      <c r="I4819" s="37">
        <f t="shared" si="225"/>
        <v>1598.0706</v>
      </c>
      <c r="J4819" s="4"/>
      <c r="K4819" s="38">
        <f t="shared" si="226"/>
        <v>0</v>
      </c>
    </row>
    <row r="4820" spans="1:11">
      <c r="A4820" t="s">
        <v>1470</v>
      </c>
      <c r="B4820" t="s">
        <v>12449</v>
      </c>
      <c r="C4820" t="s">
        <v>7056</v>
      </c>
      <c r="D4820" t="s">
        <v>7058</v>
      </c>
      <c r="E4820">
        <v>3135.67</v>
      </c>
      <c r="G4820" s="35"/>
      <c r="H4820" s="36">
        <f t="shared" si="227"/>
        <v>1975.4721</v>
      </c>
      <c r="I4820" s="37">
        <f t="shared" si="225"/>
        <v>1975.4721</v>
      </c>
      <c r="J4820" s="4"/>
      <c r="K4820" s="38">
        <f t="shared" si="226"/>
        <v>0</v>
      </c>
    </row>
    <row r="4821" spans="1:11">
      <c r="A4821" t="s">
        <v>1471</v>
      </c>
      <c r="B4821" t="s">
        <v>12449</v>
      </c>
      <c r="C4821" t="s">
        <v>7056</v>
      </c>
      <c r="D4821" t="s">
        <v>7059</v>
      </c>
      <c r="E4821">
        <v>2215.67</v>
      </c>
      <c r="G4821" s="35"/>
      <c r="H4821" s="36">
        <f t="shared" si="227"/>
        <v>1395.8721</v>
      </c>
      <c r="I4821" s="37">
        <f t="shared" si="225"/>
        <v>1395.8721</v>
      </c>
      <c r="J4821" s="4"/>
      <c r="K4821" s="38">
        <f t="shared" si="226"/>
        <v>0</v>
      </c>
    </row>
    <row r="4822" spans="1:11">
      <c r="A4822" t="s">
        <v>1472</v>
      </c>
      <c r="B4822" t="s">
        <v>12449</v>
      </c>
      <c r="C4822" t="s">
        <v>7056</v>
      </c>
      <c r="D4822" t="s">
        <v>7060</v>
      </c>
      <c r="E4822">
        <v>2759.79</v>
      </c>
      <c r="G4822" s="35"/>
      <c r="H4822" s="36">
        <f t="shared" si="227"/>
        <v>1738.6677</v>
      </c>
      <c r="I4822" s="37">
        <f t="shared" si="225"/>
        <v>1738.6677</v>
      </c>
      <c r="J4822" s="4"/>
      <c r="K4822" s="38">
        <f t="shared" si="226"/>
        <v>0</v>
      </c>
    </row>
    <row r="4823" spans="1:11">
      <c r="A4823" t="s">
        <v>1473</v>
      </c>
      <c r="B4823" t="s">
        <v>12449</v>
      </c>
      <c r="C4823" t="s">
        <v>7056</v>
      </c>
      <c r="D4823" t="s">
        <v>7061</v>
      </c>
      <c r="E4823">
        <v>4333.24</v>
      </c>
      <c r="G4823" s="35"/>
      <c r="H4823" s="36">
        <f t="shared" si="227"/>
        <v>2729.9411999999998</v>
      </c>
      <c r="I4823" s="37">
        <f t="shared" si="225"/>
        <v>2729.9411999999998</v>
      </c>
      <c r="J4823" s="4"/>
      <c r="K4823" s="38">
        <f t="shared" si="226"/>
        <v>0</v>
      </c>
    </row>
    <row r="4824" spans="1:11">
      <c r="A4824" t="s">
        <v>1474</v>
      </c>
      <c r="B4824" t="s">
        <v>12449</v>
      </c>
      <c r="C4824" t="s">
        <v>7056</v>
      </c>
      <c r="D4824" t="s">
        <v>7062</v>
      </c>
      <c r="E4824">
        <v>11371.87</v>
      </c>
      <c r="G4824" s="35"/>
      <c r="H4824" s="36">
        <f t="shared" si="227"/>
        <v>7164.2781000000004</v>
      </c>
      <c r="I4824" s="37">
        <f t="shared" si="225"/>
        <v>7164.2781000000004</v>
      </c>
      <c r="J4824" s="4"/>
      <c r="K4824" s="38">
        <f t="shared" si="226"/>
        <v>0</v>
      </c>
    </row>
    <row r="4825" spans="1:11">
      <c r="A4825" t="s">
        <v>1475</v>
      </c>
      <c r="B4825" t="s">
        <v>12449</v>
      </c>
      <c r="C4825" t="s">
        <v>7056</v>
      </c>
      <c r="D4825" t="s">
        <v>7063</v>
      </c>
      <c r="E4825">
        <v>14121.57</v>
      </c>
      <c r="G4825" s="35"/>
      <c r="H4825" s="36">
        <f t="shared" si="227"/>
        <v>8896.5890999999992</v>
      </c>
      <c r="I4825" s="37">
        <f t="shared" si="225"/>
        <v>8896.5890999999992</v>
      </c>
      <c r="J4825" s="4"/>
      <c r="K4825" s="38">
        <f t="shared" si="226"/>
        <v>0</v>
      </c>
    </row>
    <row r="4826" spans="1:11">
      <c r="A4826" t="s">
        <v>1476</v>
      </c>
      <c r="B4826" t="s">
        <v>12449</v>
      </c>
      <c r="C4826" t="s">
        <v>7056</v>
      </c>
      <c r="D4826" t="s">
        <v>7064</v>
      </c>
      <c r="E4826">
        <v>17446.04</v>
      </c>
      <c r="G4826" s="35"/>
      <c r="H4826" s="36">
        <f t="shared" si="227"/>
        <v>10991.005200000001</v>
      </c>
      <c r="I4826" s="37">
        <f t="shared" si="225"/>
        <v>10991.005200000001</v>
      </c>
      <c r="J4826" s="4"/>
      <c r="K4826" s="38">
        <f t="shared" si="226"/>
        <v>0</v>
      </c>
    </row>
    <row r="4827" spans="1:11">
      <c r="A4827" t="s">
        <v>1477</v>
      </c>
      <c r="B4827" t="s">
        <v>12449</v>
      </c>
      <c r="C4827" t="s">
        <v>7056</v>
      </c>
      <c r="D4827" t="s">
        <v>7065</v>
      </c>
      <c r="E4827">
        <v>53265.96</v>
      </c>
      <c r="G4827" s="35"/>
      <c r="H4827" s="36">
        <f t="shared" si="227"/>
        <v>33557.554799999998</v>
      </c>
      <c r="I4827" s="37">
        <f t="shared" si="225"/>
        <v>33557.554799999998</v>
      </c>
      <c r="J4827" s="4"/>
      <c r="K4827" s="38">
        <f t="shared" si="226"/>
        <v>0</v>
      </c>
    </row>
    <row r="4828" spans="1:11">
      <c r="A4828" t="s">
        <v>1478</v>
      </c>
      <c r="B4828" t="s">
        <v>12449</v>
      </c>
      <c r="C4828" t="s">
        <v>7056</v>
      </c>
      <c r="D4828" t="s">
        <v>7066</v>
      </c>
      <c r="E4828">
        <v>76660.149999999994</v>
      </c>
      <c r="G4828" s="35"/>
      <c r="H4828" s="36">
        <f t="shared" si="227"/>
        <v>48295.894499999995</v>
      </c>
      <c r="I4828" s="37">
        <f t="shared" si="225"/>
        <v>48295.894499999995</v>
      </c>
      <c r="J4828" s="4"/>
      <c r="K4828" s="38">
        <f t="shared" si="226"/>
        <v>0</v>
      </c>
    </row>
    <row r="4829" spans="1:11">
      <c r="A4829" t="s">
        <v>652</v>
      </c>
      <c r="B4829" t="s">
        <v>12449</v>
      </c>
      <c r="C4829" t="s">
        <v>6308</v>
      </c>
      <c r="D4829" t="s">
        <v>6309</v>
      </c>
      <c r="E4829">
        <v>2663.38</v>
      </c>
      <c r="G4829" s="35"/>
      <c r="H4829" s="36">
        <f t="shared" si="227"/>
        <v>1677.9294</v>
      </c>
      <c r="I4829" s="37">
        <f t="shared" si="225"/>
        <v>1677.9294</v>
      </c>
      <c r="J4829" s="4"/>
      <c r="K4829" s="38">
        <f t="shared" si="226"/>
        <v>0</v>
      </c>
    </row>
    <row r="4830" spans="1:11">
      <c r="A4830" t="s">
        <v>653</v>
      </c>
      <c r="B4830" t="s">
        <v>12449</v>
      </c>
      <c r="C4830" t="s">
        <v>6308</v>
      </c>
      <c r="D4830" t="s">
        <v>6310</v>
      </c>
      <c r="E4830">
        <v>3293.22</v>
      </c>
      <c r="G4830" s="35"/>
      <c r="H4830" s="36">
        <f t="shared" si="227"/>
        <v>2074.7285999999999</v>
      </c>
      <c r="I4830" s="37">
        <f t="shared" si="225"/>
        <v>2074.7285999999999</v>
      </c>
      <c r="J4830" s="4"/>
      <c r="K4830" s="38">
        <f t="shared" si="226"/>
        <v>0</v>
      </c>
    </row>
    <row r="4831" spans="1:11">
      <c r="A4831" t="s">
        <v>654</v>
      </c>
      <c r="B4831" t="s">
        <v>12449</v>
      </c>
      <c r="C4831" t="s">
        <v>6308</v>
      </c>
      <c r="D4831" t="s">
        <v>6311</v>
      </c>
      <c r="E4831">
        <v>2929.68</v>
      </c>
      <c r="G4831" s="35"/>
      <c r="H4831" s="36">
        <f t="shared" si="227"/>
        <v>1845.6984</v>
      </c>
      <c r="I4831" s="37">
        <f t="shared" si="225"/>
        <v>1845.6984</v>
      </c>
      <c r="J4831" s="4"/>
      <c r="K4831" s="38">
        <f t="shared" si="226"/>
        <v>0</v>
      </c>
    </row>
    <row r="4832" spans="1:11">
      <c r="A4832" t="s">
        <v>655</v>
      </c>
      <c r="B4832" t="s">
        <v>12449</v>
      </c>
      <c r="C4832" t="s">
        <v>6308</v>
      </c>
      <c r="D4832" t="s">
        <v>6312</v>
      </c>
      <c r="E4832">
        <v>3621.29</v>
      </c>
      <c r="G4832" s="35"/>
      <c r="H4832" s="36">
        <f t="shared" si="227"/>
        <v>2281.4126999999999</v>
      </c>
      <c r="I4832" s="37">
        <f t="shared" si="225"/>
        <v>2281.4126999999999</v>
      </c>
      <c r="J4832" s="4"/>
      <c r="K4832" s="38">
        <f t="shared" si="226"/>
        <v>0</v>
      </c>
    </row>
    <row r="4833" spans="1:11">
      <c r="A4833" t="s">
        <v>656</v>
      </c>
      <c r="B4833" t="s">
        <v>12449</v>
      </c>
      <c r="C4833" t="s">
        <v>6308</v>
      </c>
      <c r="D4833" t="s">
        <v>6313</v>
      </c>
      <c r="E4833">
        <v>3798.8</v>
      </c>
      <c r="G4833" s="35"/>
      <c r="H4833" s="36">
        <f t="shared" si="227"/>
        <v>2393.2440000000001</v>
      </c>
      <c r="I4833" s="37">
        <f t="shared" si="225"/>
        <v>2393.2440000000001</v>
      </c>
      <c r="J4833" s="4"/>
      <c r="K4833" s="38">
        <f t="shared" si="226"/>
        <v>0</v>
      </c>
    </row>
    <row r="4834" spans="1:11">
      <c r="A4834" t="s">
        <v>657</v>
      </c>
      <c r="B4834" t="s">
        <v>12449</v>
      </c>
      <c r="C4834" t="s">
        <v>6308</v>
      </c>
      <c r="D4834" t="s">
        <v>6314</v>
      </c>
      <c r="E4834">
        <v>4507.72</v>
      </c>
      <c r="G4834" s="35"/>
      <c r="H4834" s="36">
        <f t="shared" si="227"/>
        <v>2839.8636000000001</v>
      </c>
      <c r="I4834" s="37">
        <f t="shared" si="225"/>
        <v>2839.8636000000001</v>
      </c>
      <c r="J4834" s="4"/>
      <c r="K4834" s="38">
        <f t="shared" si="226"/>
        <v>0</v>
      </c>
    </row>
    <row r="4835" spans="1:11">
      <c r="A4835" t="s">
        <v>658</v>
      </c>
      <c r="B4835" t="s">
        <v>12449</v>
      </c>
      <c r="C4835" t="s">
        <v>6308</v>
      </c>
      <c r="D4835" t="s">
        <v>6315</v>
      </c>
      <c r="E4835">
        <v>4536.6099999999997</v>
      </c>
      <c r="G4835" s="35"/>
      <c r="H4835" s="36">
        <f t="shared" si="227"/>
        <v>2858.0643</v>
      </c>
      <c r="I4835" s="37">
        <f t="shared" si="225"/>
        <v>2858.0643</v>
      </c>
      <c r="J4835" s="4"/>
      <c r="K4835" s="38">
        <f t="shared" si="226"/>
        <v>0</v>
      </c>
    </row>
    <row r="4836" spans="1:11">
      <c r="A4836" t="s">
        <v>659</v>
      </c>
      <c r="B4836" t="s">
        <v>12449</v>
      </c>
      <c r="C4836" t="s">
        <v>6308</v>
      </c>
      <c r="D4836" t="s">
        <v>6316</v>
      </c>
      <c r="E4836">
        <v>5103.97</v>
      </c>
      <c r="G4836" s="35"/>
      <c r="H4836" s="36">
        <f t="shared" si="227"/>
        <v>3215.5011000000004</v>
      </c>
      <c r="I4836" s="37">
        <f t="shared" si="225"/>
        <v>3215.5011000000004</v>
      </c>
      <c r="J4836" s="4"/>
      <c r="K4836" s="38">
        <f t="shared" si="226"/>
        <v>0</v>
      </c>
    </row>
    <row r="4837" spans="1:11">
      <c r="A4837" t="s">
        <v>660</v>
      </c>
      <c r="B4837" t="s">
        <v>12449</v>
      </c>
      <c r="C4837" t="s">
        <v>6308</v>
      </c>
      <c r="D4837" t="s">
        <v>6317</v>
      </c>
      <c r="E4837">
        <v>3193.27</v>
      </c>
      <c r="G4837" s="35"/>
      <c r="H4837" s="36">
        <f t="shared" si="227"/>
        <v>2011.7601</v>
      </c>
      <c r="I4837" s="37">
        <f t="shared" si="225"/>
        <v>2011.7601</v>
      </c>
      <c r="J4837" s="4"/>
      <c r="K4837" s="38">
        <f t="shared" si="226"/>
        <v>0</v>
      </c>
    </row>
    <row r="4838" spans="1:11">
      <c r="A4838" t="s">
        <v>661</v>
      </c>
      <c r="B4838" t="s">
        <v>12449</v>
      </c>
      <c r="C4838" t="s">
        <v>6308</v>
      </c>
      <c r="D4838" t="s">
        <v>6318</v>
      </c>
      <c r="E4838">
        <v>3947.88</v>
      </c>
      <c r="G4838" s="35"/>
      <c r="H4838" s="36">
        <f t="shared" si="227"/>
        <v>2487.1644000000001</v>
      </c>
      <c r="I4838" s="37">
        <f t="shared" si="225"/>
        <v>2487.1644000000001</v>
      </c>
      <c r="J4838" s="4"/>
      <c r="K4838" s="38">
        <f t="shared" si="226"/>
        <v>0</v>
      </c>
    </row>
    <row r="4839" spans="1:11">
      <c r="A4839" t="s">
        <v>1210</v>
      </c>
      <c r="B4839" t="s">
        <v>12449</v>
      </c>
      <c r="C4839" t="s">
        <v>6789</v>
      </c>
      <c r="D4839" t="s">
        <v>6790</v>
      </c>
      <c r="E4839">
        <v>3626.03</v>
      </c>
      <c r="G4839" s="35"/>
      <c r="H4839" s="36">
        <f t="shared" si="227"/>
        <v>2284.3989000000001</v>
      </c>
      <c r="I4839" s="37">
        <f t="shared" si="225"/>
        <v>2284.3989000000001</v>
      </c>
      <c r="J4839" s="4"/>
      <c r="K4839" s="38">
        <f t="shared" si="226"/>
        <v>0</v>
      </c>
    </row>
    <row r="4840" spans="1:11">
      <c r="A4840" t="s">
        <v>1211</v>
      </c>
      <c r="B4840" t="s">
        <v>12449</v>
      </c>
      <c r="C4840" t="s">
        <v>6789</v>
      </c>
      <c r="D4840" t="s">
        <v>6791</v>
      </c>
      <c r="E4840">
        <v>5441.29</v>
      </c>
      <c r="G4840" s="35"/>
      <c r="H4840" s="36">
        <f t="shared" si="227"/>
        <v>3428.0127000000002</v>
      </c>
      <c r="I4840" s="37">
        <f t="shared" si="225"/>
        <v>3428.0127000000002</v>
      </c>
      <c r="J4840" s="4"/>
      <c r="K4840" s="38">
        <f t="shared" si="226"/>
        <v>0</v>
      </c>
    </row>
    <row r="4841" spans="1:11">
      <c r="A4841" t="s">
        <v>1212</v>
      </c>
      <c r="B4841" t="s">
        <v>12449</v>
      </c>
      <c r="C4841" t="s">
        <v>6789</v>
      </c>
      <c r="D4841" t="s">
        <v>6792</v>
      </c>
      <c r="E4841">
        <v>11450.11</v>
      </c>
      <c r="G4841" s="35"/>
      <c r="H4841" s="36">
        <f t="shared" si="227"/>
        <v>7213.5693000000001</v>
      </c>
      <c r="I4841" s="37">
        <f t="shared" si="225"/>
        <v>7213.5693000000001</v>
      </c>
      <c r="J4841" s="4"/>
      <c r="K4841" s="38">
        <f t="shared" si="226"/>
        <v>0</v>
      </c>
    </row>
    <row r="4842" spans="1:11">
      <c r="A4842" t="s">
        <v>1213</v>
      </c>
      <c r="B4842" t="s">
        <v>12449</v>
      </c>
      <c r="C4842" t="s">
        <v>6789</v>
      </c>
      <c r="D4842" t="s">
        <v>6793</v>
      </c>
      <c r="E4842">
        <v>19623.400000000001</v>
      </c>
      <c r="G4842" s="35"/>
      <c r="H4842" s="36">
        <f t="shared" si="227"/>
        <v>12362.742</v>
      </c>
      <c r="I4842" s="37">
        <f t="shared" si="225"/>
        <v>12362.742</v>
      </c>
      <c r="J4842" s="4"/>
      <c r="K4842" s="38">
        <f t="shared" si="226"/>
        <v>0</v>
      </c>
    </row>
    <row r="4843" spans="1:11">
      <c r="A4843" t="s">
        <v>1214</v>
      </c>
      <c r="B4843" t="s">
        <v>12449</v>
      </c>
      <c r="C4843" t="s">
        <v>6789</v>
      </c>
      <c r="D4843" t="s">
        <v>6794</v>
      </c>
      <c r="E4843">
        <v>37670.25</v>
      </c>
      <c r="G4843" s="35"/>
      <c r="H4843" s="36">
        <f t="shared" si="227"/>
        <v>23732.2575</v>
      </c>
      <c r="I4843" s="37">
        <f t="shared" si="225"/>
        <v>23732.2575</v>
      </c>
      <c r="J4843" s="4"/>
      <c r="K4843" s="38">
        <f t="shared" si="226"/>
        <v>0</v>
      </c>
    </row>
    <row r="4844" spans="1:11">
      <c r="A4844" t="s">
        <v>13001</v>
      </c>
      <c r="B4844" t="s">
        <v>12449</v>
      </c>
      <c r="C4844" t="s">
        <v>13002</v>
      </c>
      <c r="D4844" t="s">
        <v>13003</v>
      </c>
      <c r="E4844">
        <v>7561.88</v>
      </c>
      <c r="G4844" s="35"/>
      <c r="H4844" s="36">
        <f t="shared" si="227"/>
        <v>4763.9844000000003</v>
      </c>
      <c r="I4844" s="37">
        <f t="shared" si="225"/>
        <v>4763.9844000000003</v>
      </c>
      <c r="J4844" s="4"/>
      <c r="K4844" s="38">
        <f t="shared" si="226"/>
        <v>0</v>
      </c>
    </row>
    <row r="4845" spans="1:11">
      <c r="A4845" t="s">
        <v>13004</v>
      </c>
      <c r="B4845" t="s">
        <v>12449</v>
      </c>
      <c r="C4845" t="s">
        <v>13002</v>
      </c>
      <c r="D4845" t="s">
        <v>13005</v>
      </c>
      <c r="E4845">
        <v>21925.47</v>
      </c>
      <c r="G4845" s="35"/>
      <c r="H4845" s="36">
        <f t="shared" si="227"/>
        <v>13813.046100000001</v>
      </c>
      <c r="I4845" s="37">
        <f t="shared" si="225"/>
        <v>13813.046100000001</v>
      </c>
      <c r="J4845" s="4"/>
      <c r="K4845" s="38">
        <f t="shared" si="226"/>
        <v>0</v>
      </c>
    </row>
    <row r="4846" spans="1:11">
      <c r="A4846" t="s">
        <v>13006</v>
      </c>
      <c r="B4846" t="s">
        <v>12449</v>
      </c>
      <c r="C4846" t="s">
        <v>13002</v>
      </c>
      <c r="D4846" t="s">
        <v>13007</v>
      </c>
      <c r="E4846">
        <v>6048.18</v>
      </c>
      <c r="G4846" s="35"/>
      <c r="H4846" s="36">
        <f t="shared" si="227"/>
        <v>3810.3534000000004</v>
      </c>
      <c r="I4846" s="37">
        <f t="shared" si="225"/>
        <v>3810.3534000000004</v>
      </c>
      <c r="J4846" s="4"/>
      <c r="K4846" s="38">
        <f t="shared" si="226"/>
        <v>0</v>
      </c>
    </row>
    <row r="4847" spans="1:11">
      <c r="A4847" t="s">
        <v>13008</v>
      </c>
      <c r="B4847" t="s">
        <v>12449</v>
      </c>
      <c r="C4847" t="s">
        <v>13002</v>
      </c>
      <c r="D4847" t="s">
        <v>13009</v>
      </c>
      <c r="E4847">
        <v>8771.5</v>
      </c>
      <c r="G4847" s="35"/>
      <c r="H4847" s="36">
        <f t="shared" si="227"/>
        <v>5526.0450000000001</v>
      </c>
      <c r="I4847" s="37">
        <f t="shared" si="225"/>
        <v>5526.0450000000001</v>
      </c>
      <c r="J4847" s="4"/>
      <c r="K4847" s="38">
        <f t="shared" si="226"/>
        <v>0</v>
      </c>
    </row>
    <row r="4848" spans="1:11">
      <c r="A4848" t="s">
        <v>13010</v>
      </c>
      <c r="B4848" t="s">
        <v>12449</v>
      </c>
      <c r="C4848" t="s">
        <v>13002</v>
      </c>
      <c r="D4848" t="s">
        <v>13011</v>
      </c>
      <c r="E4848">
        <v>7711.7</v>
      </c>
      <c r="G4848" s="35"/>
      <c r="H4848" s="36">
        <f t="shared" si="227"/>
        <v>4858.3710000000001</v>
      </c>
      <c r="I4848" s="37">
        <f t="shared" si="225"/>
        <v>4858.3710000000001</v>
      </c>
      <c r="J4848" s="4"/>
      <c r="K4848" s="38">
        <f t="shared" si="226"/>
        <v>0</v>
      </c>
    </row>
    <row r="4849" spans="1:11">
      <c r="A4849" t="s">
        <v>13012</v>
      </c>
      <c r="B4849" t="s">
        <v>12449</v>
      </c>
      <c r="C4849" t="s">
        <v>13002</v>
      </c>
      <c r="D4849" t="s">
        <v>13013</v>
      </c>
      <c r="E4849">
        <v>11190.79</v>
      </c>
      <c r="G4849" s="35"/>
      <c r="H4849" s="36">
        <f t="shared" si="227"/>
        <v>7050.1977000000006</v>
      </c>
      <c r="I4849" s="37">
        <f t="shared" si="225"/>
        <v>7050.1977000000006</v>
      </c>
      <c r="J4849" s="4"/>
      <c r="K4849" s="38">
        <f t="shared" si="226"/>
        <v>0</v>
      </c>
    </row>
    <row r="4850" spans="1:11">
      <c r="A4850" t="s">
        <v>4161</v>
      </c>
      <c r="B4850" t="s">
        <v>12449</v>
      </c>
      <c r="C4850" t="s">
        <v>13</v>
      </c>
      <c r="D4850" t="s">
        <v>9620</v>
      </c>
      <c r="E4850">
        <v>2753.25</v>
      </c>
      <c r="G4850" s="35"/>
      <c r="H4850" s="36">
        <f t="shared" si="227"/>
        <v>1734.5474999999999</v>
      </c>
      <c r="I4850" s="37">
        <f t="shared" si="225"/>
        <v>1734.5474999999999</v>
      </c>
      <c r="J4850" s="4"/>
      <c r="K4850" s="38">
        <f t="shared" si="226"/>
        <v>0</v>
      </c>
    </row>
    <row r="4851" spans="1:11">
      <c r="A4851" t="s">
        <v>4162</v>
      </c>
      <c r="B4851" t="s">
        <v>12449</v>
      </c>
      <c r="C4851" t="s">
        <v>13</v>
      </c>
      <c r="D4851" t="s">
        <v>9621</v>
      </c>
      <c r="E4851">
        <v>2808.66</v>
      </c>
      <c r="G4851" s="35"/>
      <c r="H4851" s="36">
        <f t="shared" si="227"/>
        <v>1769.4558</v>
      </c>
      <c r="I4851" s="37">
        <f t="shared" si="225"/>
        <v>1769.4558</v>
      </c>
      <c r="J4851" s="4"/>
      <c r="K4851" s="38">
        <f t="shared" si="226"/>
        <v>0</v>
      </c>
    </row>
    <row r="4852" spans="1:11">
      <c r="A4852" t="s">
        <v>4163</v>
      </c>
      <c r="B4852" t="s">
        <v>12449</v>
      </c>
      <c r="C4852" t="s">
        <v>13</v>
      </c>
      <c r="D4852" t="s">
        <v>9622</v>
      </c>
      <c r="E4852">
        <v>3599.46</v>
      </c>
      <c r="G4852" s="35"/>
      <c r="H4852" s="36">
        <f t="shared" si="227"/>
        <v>2267.6597999999999</v>
      </c>
      <c r="I4852" s="37">
        <f t="shared" si="225"/>
        <v>2267.6597999999999</v>
      </c>
      <c r="J4852" s="4"/>
      <c r="K4852" s="38">
        <f t="shared" si="226"/>
        <v>0</v>
      </c>
    </row>
    <row r="4853" spans="1:11">
      <c r="A4853" t="s">
        <v>4164</v>
      </c>
      <c r="B4853" t="s">
        <v>12449</v>
      </c>
      <c r="C4853" t="s">
        <v>13</v>
      </c>
      <c r="D4853" t="s">
        <v>9623</v>
      </c>
      <c r="E4853">
        <v>3671.34</v>
      </c>
      <c r="G4853" s="35"/>
      <c r="H4853" s="36">
        <f t="shared" si="227"/>
        <v>2312.9441999999999</v>
      </c>
      <c r="I4853" s="37">
        <f t="shared" si="225"/>
        <v>2312.9441999999999</v>
      </c>
      <c r="J4853" s="4"/>
      <c r="K4853" s="38">
        <f t="shared" si="226"/>
        <v>0</v>
      </c>
    </row>
    <row r="4854" spans="1:11">
      <c r="A4854" t="s">
        <v>4165</v>
      </c>
      <c r="B4854" t="s">
        <v>12449</v>
      </c>
      <c r="C4854" t="s">
        <v>13</v>
      </c>
      <c r="D4854" t="s">
        <v>9624</v>
      </c>
      <c r="E4854">
        <v>2946.34</v>
      </c>
      <c r="G4854" s="35"/>
      <c r="H4854" s="36">
        <f t="shared" si="227"/>
        <v>1856.1942000000001</v>
      </c>
      <c r="I4854" s="37">
        <f t="shared" si="225"/>
        <v>1856.1942000000001</v>
      </c>
      <c r="J4854" s="4"/>
      <c r="K4854" s="38">
        <f t="shared" si="226"/>
        <v>0</v>
      </c>
    </row>
    <row r="4855" spans="1:11">
      <c r="A4855" t="s">
        <v>4166</v>
      </c>
      <c r="B4855" t="s">
        <v>12449</v>
      </c>
      <c r="C4855" t="s">
        <v>13</v>
      </c>
      <c r="D4855" t="s">
        <v>9625</v>
      </c>
      <c r="E4855">
        <v>2946.34</v>
      </c>
      <c r="G4855" s="35"/>
      <c r="H4855" s="36">
        <f t="shared" si="227"/>
        <v>1856.1942000000001</v>
      </c>
      <c r="I4855" s="37">
        <f t="shared" si="225"/>
        <v>1856.1942000000001</v>
      </c>
      <c r="J4855" s="4"/>
      <c r="K4855" s="38">
        <f t="shared" si="226"/>
        <v>0</v>
      </c>
    </row>
    <row r="4856" spans="1:11">
      <c r="A4856" t="s">
        <v>4167</v>
      </c>
      <c r="B4856" t="s">
        <v>12449</v>
      </c>
      <c r="C4856" t="s">
        <v>13</v>
      </c>
      <c r="D4856" t="s">
        <v>9626</v>
      </c>
      <c r="E4856">
        <v>3682.69</v>
      </c>
      <c r="G4856" s="35"/>
      <c r="H4856" s="36">
        <f t="shared" si="227"/>
        <v>2320.0947000000001</v>
      </c>
      <c r="I4856" s="37">
        <f t="shared" si="225"/>
        <v>2320.0947000000001</v>
      </c>
      <c r="J4856" s="4"/>
      <c r="K4856" s="38">
        <f t="shared" si="226"/>
        <v>0</v>
      </c>
    </row>
    <row r="4857" spans="1:11">
      <c r="A4857" t="s">
        <v>4168</v>
      </c>
      <c r="B4857" t="s">
        <v>12449</v>
      </c>
      <c r="C4857" t="s">
        <v>13</v>
      </c>
      <c r="D4857" t="s">
        <v>9627</v>
      </c>
      <c r="E4857">
        <v>4558.9399999999996</v>
      </c>
      <c r="G4857" s="35"/>
      <c r="H4857" s="36">
        <f t="shared" si="227"/>
        <v>2872.1321999999996</v>
      </c>
      <c r="I4857" s="37">
        <f t="shared" si="225"/>
        <v>2872.1321999999996</v>
      </c>
      <c r="J4857" s="4"/>
      <c r="K4857" s="38">
        <f t="shared" si="226"/>
        <v>0</v>
      </c>
    </row>
    <row r="4858" spans="1:11">
      <c r="A4858" t="s">
        <v>4169</v>
      </c>
      <c r="B4858" t="s">
        <v>12449</v>
      </c>
      <c r="C4858" t="s">
        <v>13</v>
      </c>
      <c r="D4858" t="s">
        <v>9628</v>
      </c>
      <c r="E4858">
        <v>1827.34</v>
      </c>
      <c r="G4858" s="35"/>
      <c r="H4858" s="36">
        <f t="shared" si="227"/>
        <v>1151.2241999999999</v>
      </c>
      <c r="I4858" s="37">
        <f t="shared" si="225"/>
        <v>1151.2241999999999</v>
      </c>
      <c r="J4858" s="4"/>
      <c r="K4858" s="38">
        <f t="shared" si="226"/>
        <v>0</v>
      </c>
    </row>
    <row r="4859" spans="1:11">
      <c r="A4859" t="s">
        <v>4170</v>
      </c>
      <c r="B4859" t="s">
        <v>12449</v>
      </c>
      <c r="C4859" t="s">
        <v>13</v>
      </c>
      <c r="D4859" t="s">
        <v>9629</v>
      </c>
      <c r="E4859">
        <v>6509.11</v>
      </c>
      <c r="G4859" s="35"/>
      <c r="H4859" s="36">
        <f t="shared" si="227"/>
        <v>4100.7393000000002</v>
      </c>
      <c r="I4859" s="37">
        <f t="shared" si="225"/>
        <v>4100.7393000000002</v>
      </c>
      <c r="J4859" s="4"/>
      <c r="K4859" s="38">
        <f t="shared" si="226"/>
        <v>0</v>
      </c>
    </row>
    <row r="4860" spans="1:11">
      <c r="A4860" t="s">
        <v>4171</v>
      </c>
      <c r="B4860" t="s">
        <v>12449</v>
      </c>
      <c r="C4860" t="s">
        <v>13</v>
      </c>
      <c r="D4860" t="s">
        <v>9630</v>
      </c>
      <c r="E4860">
        <v>8461.98</v>
      </c>
      <c r="G4860" s="35"/>
      <c r="H4860" s="36">
        <f t="shared" si="227"/>
        <v>5331.0473999999995</v>
      </c>
      <c r="I4860" s="37">
        <f t="shared" si="225"/>
        <v>5331.0473999999995</v>
      </c>
      <c r="J4860" s="4"/>
      <c r="K4860" s="38">
        <f t="shared" si="226"/>
        <v>0</v>
      </c>
    </row>
    <row r="4861" spans="1:11">
      <c r="A4861" t="s">
        <v>12128</v>
      </c>
      <c r="B4861" t="s">
        <v>12449</v>
      </c>
      <c r="C4861" t="s">
        <v>12129</v>
      </c>
      <c r="D4861" t="s">
        <v>12130</v>
      </c>
      <c r="E4861">
        <v>8487.6200000000008</v>
      </c>
      <c r="G4861" s="35"/>
      <c r="H4861" s="36">
        <f t="shared" si="227"/>
        <v>5347.2006000000001</v>
      </c>
      <c r="I4861" s="37">
        <f t="shared" si="225"/>
        <v>5347.2006000000001</v>
      </c>
      <c r="J4861" s="4"/>
      <c r="K4861" s="38">
        <f t="shared" si="226"/>
        <v>0</v>
      </c>
    </row>
    <row r="4862" spans="1:11">
      <c r="A4862" t="s">
        <v>12131</v>
      </c>
      <c r="B4862" t="s">
        <v>12449</v>
      </c>
      <c r="C4862" t="s">
        <v>12129</v>
      </c>
      <c r="D4862" t="s">
        <v>12132</v>
      </c>
      <c r="E4862">
        <v>11374.09</v>
      </c>
      <c r="G4862" s="35"/>
      <c r="H4862" s="36">
        <f t="shared" si="227"/>
        <v>7165.6767</v>
      </c>
      <c r="I4862" s="37">
        <f t="shared" si="225"/>
        <v>7165.6767</v>
      </c>
      <c r="J4862" s="4"/>
      <c r="K4862" s="38">
        <f t="shared" si="226"/>
        <v>0</v>
      </c>
    </row>
    <row r="4863" spans="1:11">
      <c r="A4863" t="s">
        <v>12133</v>
      </c>
      <c r="B4863" t="s">
        <v>12449</v>
      </c>
      <c r="C4863" t="s">
        <v>12129</v>
      </c>
      <c r="D4863" t="s">
        <v>12134</v>
      </c>
      <c r="E4863">
        <v>8487.6200000000008</v>
      </c>
      <c r="G4863" s="35"/>
      <c r="H4863" s="36">
        <f t="shared" si="227"/>
        <v>5347.2006000000001</v>
      </c>
      <c r="I4863" s="37">
        <f t="shared" si="225"/>
        <v>5347.2006000000001</v>
      </c>
      <c r="J4863" s="4"/>
      <c r="K4863" s="38">
        <f t="shared" si="226"/>
        <v>0</v>
      </c>
    </row>
    <row r="4864" spans="1:11">
      <c r="A4864" t="s">
        <v>12135</v>
      </c>
      <c r="B4864" t="s">
        <v>12449</v>
      </c>
      <c r="C4864" t="s">
        <v>12129</v>
      </c>
      <c r="D4864" t="s">
        <v>12136</v>
      </c>
      <c r="E4864">
        <v>11374.09</v>
      </c>
      <c r="G4864" s="35"/>
      <c r="H4864" s="36">
        <f t="shared" si="227"/>
        <v>7165.6767</v>
      </c>
      <c r="I4864" s="37">
        <f t="shared" si="225"/>
        <v>7165.6767</v>
      </c>
      <c r="J4864" s="4"/>
      <c r="K4864" s="38">
        <f t="shared" si="226"/>
        <v>0</v>
      </c>
    </row>
    <row r="4865" spans="1:11">
      <c r="A4865" t="s">
        <v>13014</v>
      </c>
      <c r="B4865" t="s">
        <v>12449</v>
      </c>
      <c r="C4865" t="s">
        <v>13015</v>
      </c>
      <c r="D4865" t="s">
        <v>13016</v>
      </c>
      <c r="E4865">
        <v>771.17</v>
      </c>
      <c r="G4865" s="35"/>
      <c r="H4865" s="36">
        <f t="shared" si="227"/>
        <v>485.83709999999996</v>
      </c>
      <c r="I4865" s="37">
        <f t="shared" si="225"/>
        <v>485.83709999999996</v>
      </c>
      <c r="J4865" s="4"/>
      <c r="K4865" s="38">
        <f t="shared" si="226"/>
        <v>0</v>
      </c>
    </row>
    <row r="4866" spans="1:11">
      <c r="A4866" t="s">
        <v>13017</v>
      </c>
      <c r="B4866" t="s">
        <v>12449</v>
      </c>
      <c r="C4866" t="s">
        <v>13015</v>
      </c>
      <c r="D4866" t="s">
        <v>13018</v>
      </c>
      <c r="E4866">
        <v>1271.33</v>
      </c>
      <c r="G4866" s="35"/>
      <c r="H4866" s="36">
        <f t="shared" si="227"/>
        <v>800.93790000000001</v>
      </c>
      <c r="I4866" s="37">
        <f t="shared" si="225"/>
        <v>800.93790000000001</v>
      </c>
      <c r="J4866" s="4"/>
      <c r="K4866" s="38">
        <f t="shared" si="226"/>
        <v>0</v>
      </c>
    </row>
    <row r="4867" spans="1:11">
      <c r="A4867" t="s">
        <v>13019</v>
      </c>
      <c r="B4867" t="s">
        <v>12449</v>
      </c>
      <c r="C4867" t="s">
        <v>13015</v>
      </c>
      <c r="D4867" t="s">
        <v>13020</v>
      </c>
      <c r="E4867">
        <v>927.45</v>
      </c>
      <c r="G4867" s="35"/>
      <c r="H4867" s="36">
        <f t="shared" si="227"/>
        <v>584.29349999999999</v>
      </c>
      <c r="I4867" s="37">
        <f t="shared" si="225"/>
        <v>584.29349999999999</v>
      </c>
      <c r="J4867" s="4"/>
      <c r="K4867" s="38">
        <f t="shared" si="226"/>
        <v>0</v>
      </c>
    </row>
    <row r="4868" spans="1:11">
      <c r="A4868" t="s">
        <v>13021</v>
      </c>
      <c r="B4868" t="s">
        <v>12449</v>
      </c>
      <c r="C4868" t="s">
        <v>13015</v>
      </c>
      <c r="D4868" t="s">
        <v>13022</v>
      </c>
      <c r="E4868">
        <v>1271.33</v>
      </c>
      <c r="G4868" s="35"/>
      <c r="H4868" s="36">
        <f t="shared" si="227"/>
        <v>800.93790000000001</v>
      </c>
      <c r="I4868" s="37">
        <f t="shared" si="225"/>
        <v>800.93790000000001</v>
      </c>
      <c r="J4868" s="4"/>
      <c r="K4868" s="38">
        <f t="shared" si="226"/>
        <v>0</v>
      </c>
    </row>
    <row r="4869" spans="1:11">
      <c r="A4869" t="s">
        <v>13023</v>
      </c>
      <c r="B4869" t="s">
        <v>12449</v>
      </c>
      <c r="C4869" t="s">
        <v>13015</v>
      </c>
      <c r="D4869" t="s">
        <v>13024</v>
      </c>
      <c r="E4869">
        <v>1194.22</v>
      </c>
      <c r="G4869" s="35"/>
      <c r="H4869" s="36">
        <f t="shared" si="227"/>
        <v>752.35860000000002</v>
      </c>
      <c r="I4869" s="37">
        <f t="shared" si="225"/>
        <v>752.35860000000002</v>
      </c>
      <c r="J4869" s="4"/>
      <c r="K4869" s="38">
        <f t="shared" si="226"/>
        <v>0</v>
      </c>
    </row>
    <row r="4870" spans="1:11">
      <c r="A4870" t="s">
        <v>13025</v>
      </c>
      <c r="B4870" t="s">
        <v>12449</v>
      </c>
      <c r="C4870" t="s">
        <v>13015</v>
      </c>
      <c r="D4870" t="s">
        <v>13026</v>
      </c>
      <c r="E4870">
        <v>1436.58</v>
      </c>
      <c r="G4870" s="35"/>
      <c r="H4870" s="36">
        <f t="shared" si="227"/>
        <v>905.04539999999997</v>
      </c>
      <c r="I4870" s="37">
        <f t="shared" ref="I4870:I4933" si="228">H4870*$H$4</f>
        <v>905.04539999999997</v>
      </c>
      <c r="J4870" s="4"/>
      <c r="K4870" s="38">
        <f t="shared" ref="K4870:K4933" si="229">J4870*I4870</f>
        <v>0</v>
      </c>
    </row>
    <row r="4871" spans="1:11">
      <c r="A4871" t="s">
        <v>13027</v>
      </c>
      <c r="B4871" t="s">
        <v>12449</v>
      </c>
      <c r="C4871" t="s">
        <v>13015</v>
      </c>
      <c r="D4871" t="s">
        <v>13028</v>
      </c>
      <c r="E4871">
        <v>1392.52</v>
      </c>
      <c r="G4871" s="35"/>
      <c r="H4871" s="36">
        <f t="shared" ref="H4871:H4934" si="230">+E4871*$H$1*(1-G4871)</f>
        <v>877.2876</v>
      </c>
      <c r="I4871" s="37">
        <f t="shared" si="228"/>
        <v>877.2876</v>
      </c>
      <c r="J4871" s="4"/>
      <c r="K4871" s="38">
        <f t="shared" si="229"/>
        <v>0</v>
      </c>
    </row>
    <row r="4872" spans="1:11">
      <c r="A4872" t="s">
        <v>13029</v>
      </c>
      <c r="B4872" t="s">
        <v>12449</v>
      </c>
      <c r="C4872" t="s">
        <v>13015</v>
      </c>
      <c r="D4872" t="s">
        <v>13030</v>
      </c>
      <c r="E4872">
        <v>1694.38</v>
      </c>
      <c r="G4872" s="35"/>
      <c r="H4872" s="36">
        <f t="shared" si="230"/>
        <v>1067.4594000000002</v>
      </c>
      <c r="I4872" s="37">
        <f t="shared" si="228"/>
        <v>1067.4594000000002</v>
      </c>
      <c r="J4872" s="4"/>
      <c r="K4872" s="38">
        <f t="shared" si="229"/>
        <v>0</v>
      </c>
    </row>
    <row r="4873" spans="1:11">
      <c r="A4873" t="s">
        <v>13031</v>
      </c>
      <c r="B4873" t="s">
        <v>12449</v>
      </c>
      <c r="C4873" t="s">
        <v>13015</v>
      </c>
      <c r="D4873" t="s">
        <v>13032</v>
      </c>
      <c r="E4873">
        <v>1601.83</v>
      </c>
      <c r="G4873" s="35"/>
      <c r="H4873" s="36">
        <f t="shared" si="230"/>
        <v>1009.1528999999999</v>
      </c>
      <c r="I4873" s="37">
        <f t="shared" si="228"/>
        <v>1009.1528999999999</v>
      </c>
      <c r="J4873" s="4"/>
      <c r="K4873" s="38">
        <f t="shared" si="229"/>
        <v>0</v>
      </c>
    </row>
    <row r="4874" spans="1:11">
      <c r="A4874" t="s">
        <v>13033</v>
      </c>
      <c r="B4874" t="s">
        <v>12449</v>
      </c>
      <c r="C4874" t="s">
        <v>13015</v>
      </c>
      <c r="D4874" t="s">
        <v>13034</v>
      </c>
      <c r="E4874">
        <v>1844.2</v>
      </c>
      <c r="G4874" s="35"/>
      <c r="H4874" s="36">
        <f t="shared" si="230"/>
        <v>1161.846</v>
      </c>
      <c r="I4874" s="37">
        <f t="shared" si="228"/>
        <v>1161.846</v>
      </c>
      <c r="J4874" s="4"/>
      <c r="K4874" s="38">
        <f t="shared" si="229"/>
        <v>0</v>
      </c>
    </row>
    <row r="4875" spans="1:11">
      <c r="A4875" t="s">
        <v>1403</v>
      </c>
      <c r="B4875" t="s">
        <v>12449</v>
      </c>
      <c r="C4875" t="s">
        <v>6979</v>
      </c>
      <c r="D4875" t="s">
        <v>6980</v>
      </c>
      <c r="E4875">
        <v>2924.11</v>
      </c>
      <c r="G4875" s="35"/>
      <c r="H4875" s="36">
        <f t="shared" si="230"/>
        <v>1842.1893</v>
      </c>
      <c r="I4875" s="37">
        <f t="shared" si="228"/>
        <v>1842.1893</v>
      </c>
      <c r="J4875" s="4"/>
      <c r="K4875" s="38">
        <f t="shared" si="229"/>
        <v>0</v>
      </c>
    </row>
    <row r="4876" spans="1:11">
      <c r="A4876" t="s">
        <v>9956</v>
      </c>
      <c r="B4876" t="s">
        <v>12449</v>
      </c>
      <c r="C4876" t="s">
        <v>6979</v>
      </c>
      <c r="D4876" t="s">
        <v>9957</v>
      </c>
      <c r="E4876">
        <v>1831.45</v>
      </c>
      <c r="G4876" s="35"/>
      <c r="H4876" s="36">
        <f t="shared" si="230"/>
        <v>1153.8135</v>
      </c>
      <c r="I4876" s="37">
        <f t="shared" si="228"/>
        <v>1153.8135</v>
      </c>
      <c r="J4876" s="4"/>
      <c r="K4876" s="38">
        <f t="shared" si="229"/>
        <v>0</v>
      </c>
    </row>
    <row r="4877" spans="1:11">
      <c r="A4877" t="s">
        <v>1404</v>
      </c>
      <c r="B4877" t="s">
        <v>12449</v>
      </c>
      <c r="C4877" t="s">
        <v>6979</v>
      </c>
      <c r="D4877" t="s">
        <v>6981</v>
      </c>
      <c r="E4877">
        <v>3399.41</v>
      </c>
      <c r="G4877" s="35"/>
      <c r="H4877" s="36">
        <f t="shared" si="230"/>
        <v>2141.6282999999999</v>
      </c>
      <c r="I4877" s="37">
        <f t="shared" si="228"/>
        <v>2141.6282999999999</v>
      </c>
      <c r="J4877" s="4"/>
      <c r="K4877" s="38">
        <f t="shared" si="229"/>
        <v>0</v>
      </c>
    </row>
    <row r="4878" spans="1:11">
      <c r="A4878" t="s">
        <v>1405</v>
      </c>
      <c r="B4878" t="s">
        <v>12449</v>
      </c>
      <c r="C4878" t="s">
        <v>6979</v>
      </c>
      <c r="D4878" t="s">
        <v>6982</v>
      </c>
      <c r="E4878">
        <v>3157.85</v>
      </c>
      <c r="G4878" s="35"/>
      <c r="H4878" s="36">
        <f t="shared" si="230"/>
        <v>1989.4455</v>
      </c>
      <c r="I4878" s="37">
        <f t="shared" si="228"/>
        <v>1989.4455</v>
      </c>
      <c r="J4878" s="4"/>
      <c r="K4878" s="38">
        <f t="shared" si="229"/>
        <v>0</v>
      </c>
    </row>
    <row r="4879" spans="1:11">
      <c r="A4879" t="s">
        <v>1406</v>
      </c>
      <c r="B4879" t="s">
        <v>12449</v>
      </c>
      <c r="C4879" t="s">
        <v>6979</v>
      </c>
      <c r="D4879" t="s">
        <v>6983</v>
      </c>
      <c r="E4879">
        <v>3125.69</v>
      </c>
      <c r="G4879" s="35"/>
      <c r="H4879" s="36">
        <f t="shared" si="230"/>
        <v>1969.1847</v>
      </c>
      <c r="I4879" s="37">
        <f t="shared" si="228"/>
        <v>1969.1847</v>
      </c>
      <c r="J4879" s="4"/>
      <c r="K4879" s="38">
        <f t="shared" si="229"/>
        <v>0</v>
      </c>
    </row>
    <row r="4880" spans="1:11">
      <c r="A4880" t="s">
        <v>36</v>
      </c>
      <c r="B4880" t="s">
        <v>12449</v>
      </c>
      <c r="C4880" t="s">
        <v>5641</v>
      </c>
      <c r="D4880" t="s">
        <v>5642</v>
      </c>
      <c r="E4880">
        <v>6488.85</v>
      </c>
      <c r="G4880" s="35"/>
      <c r="H4880" s="36">
        <f t="shared" si="230"/>
        <v>4087.9755000000005</v>
      </c>
      <c r="I4880" s="37">
        <f t="shared" si="228"/>
        <v>4087.9755000000005</v>
      </c>
      <c r="J4880" s="4"/>
      <c r="K4880" s="38">
        <f t="shared" si="229"/>
        <v>0</v>
      </c>
    </row>
    <row r="4881" spans="1:11">
      <c r="A4881" t="s">
        <v>37</v>
      </c>
      <c r="B4881" t="s">
        <v>12449</v>
      </c>
      <c r="C4881" t="s">
        <v>5641</v>
      </c>
      <c r="D4881" t="s">
        <v>5643</v>
      </c>
      <c r="E4881">
        <v>52285.78</v>
      </c>
      <c r="G4881" s="35"/>
      <c r="H4881" s="36">
        <f t="shared" si="230"/>
        <v>32940.041400000002</v>
      </c>
      <c r="I4881" s="37">
        <f t="shared" si="228"/>
        <v>32940.041400000002</v>
      </c>
      <c r="J4881" s="4"/>
      <c r="K4881" s="38">
        <f t="shared" si="229"/>
        <v>0</v>
      </c>
    </row>
    <row r="4882" spans="1:11">
      <c r="A4882" t="s">
        <v>38</v>
      </c>
      <c r="B4882" t="s">
        <v>12449</v>
      </c>
      <c r="C4882" t="s">
        <v>5641</v>
      </c>
      <c r="D4882" t="s">
        <v>5644</v>
      </c>
      <c r="E4882">
        <v>17230.96</v>
      </c>
      <c r="G4882" s="35"/>
      <c r="H4882" s="36">
        <f t="shared" si="230"/>
        <v>10855.504799999999</v>
      </c>
      <c r="I4882" s="37">
        <f t="shared" si="228"/>
        <v>10855.504799999999</v>
      </c>
      <c r="J4882" s="4"/>
      <c r="K4882" s="38">
        <f t="shared" si="229"/>
        <v>0</v>
      </c>
    </row>
    <row r="4883" spans="1:11">
      <c r="A4883" t="s">
        <v>39</v>
      </c>
      <c r="B4883" t="s">
        <v>12449</v>
      </c>
      <c r="C4883" t="s">
        <v>5641</v>
      </c>
      <c r="D4883" t="s">
        <v>5645</v>
      </c>
      <c r="E4883">
        <v>17230.96</v>
      </c>
      <c r="G4883" s="35"/>
      <c r="H4883" s="36">
        <f t="shared" si="230"/>
        <v>10855.504799999999</v>
      </c>
      <c r="I4883" s="37">
        <f t="shared" si="228"/>
        <v>10855.504799999999</v>
      </c>
      <c r="J4883" s="4"/>
      <c r="K4883" s="38">
        <f t="shared" si="229"/>
        <v>0</v>
      </c>
    </row>
    <row r="4884" spans="1:11">
      <c r="A4884" t="s">
        <v>105</v>
      </c>
      <c r="B4884" t="s">
        <v>12449</v>
      </c>
      <c r="C4884" t="s">
        <v>5666</v>
      </c>
      <c r="D4884" t="s">
        <v>5667</v>
      </c>
      <c r="E4884">
        <v>38581.82</v>
      </c>
      <c r="G4884" s="35"/>
      <c r="H4884" s="36">
        <f t="shared" si="230"/>
        <v>24306.546600000001</v>
      </c>
      <c r="I4884" s="37">
        <f t="shared" si="228"/>
        <v>24306.546600000001</v>
      </c>
      <c r="J4884" s="4"/>
      <c r="K4884" s="38">
        <f t="shared" si="229"/>
        <v>0</v>
      </c>
    </row>
    <row r="4885" spans="1:11">
      <c r="A4885" t="s">
        <v>106</v>
      </c>
      <c r="B4885" t="s">
        <v>12449</v>
      </c>
      <c r="C4885" t="s">
        <v>5666</v>
      </c>
      <c r="D4885" t="s">
        <v>5668</v>
      </c>
      <c r="E4885">
        <v>14038.79</v>
      </c>
      <c r="G4885" s="35"/>
      <c r="H4885" s="36">
        <f t="shared" si="230"/>
        <v>8844.4377000000004</v>
      </c>
      <c r="I4885" s="37">
        <f t="shared" si="228"/>
        <v>8844.4377000000004</v>
      </c>
      <c r="J4885" s="4"/>
      <c r="K4885" s="38">
        <f t="shared" si="229"/>
        <v>0</v>
      </c>
    </row>
    <row r="4886" spans="1:11">
      <c r="A4886" t="s">
        <v>107</v>
      </c>
      <c r="B4886" t="s">
        <v>12449</v>
      </c>
      <c r="C4886" t="s">
        <v>5666</v>
      </c>
      <c r="D4886" t="s">
        <v>5669</v>
      </c>
      <c r="E4886">
        <v>25616.92</v>
      </c>
      <c r="G4886" s="35"/>
      <c r="H4886" s="36">
        <f t="shared" si="230"/>
        <v>16138.659599999999</v>
      </c>
      <c r="I4886" s="37">
        <f t="shared" si="228"/>
        <v>16138.659599999999</v>
      </c>
      <c r="J4886" s="4"/>
      <c r="K4886" s="38">
        <f t="shared" si="229"/>
        <v>0</v>
      </c>
    </row>
    <row r="4887" spans="1:11">
      <c r="A4887" t="s">
        <v>108</v>
      </c>
      <c r="B4887" t="s">
        <v>12449</v>
      </c>
      <c r="C4887" t="s">
        <v>5666</v>
      </c>
      <c r="D4887" t="s">
        <v>5670</v>
      </c>
      <c r="E4887">
        <v>31016.23</v>
      </c>
      <c r="G4887" s="35"/>
      <c r="H4887" s="36">
        <f t="shared" si="230"/>
        <v>19540.224900000001</v>
      </c>
      <c r="I4887" s="37">
        <f t="shared" si="228"/>
        <v>19540.224900000001</v>
      </c>
      <c r="J4887" s="4"/>
      <c r="K4887" s="38">
        <f t="shared" si="229"/>
        <v>0</v>
      </c>
    </row>
    <row r="4888" spans="1:11">
      <c r="A4888" t="s">
        <v>109</v>
      </c>
      <c r="B4888" t="s">
        <v>12449</v>
      </c>
      <c r="C4888" t="s">
        <v>5666</v>
      </c>
      <c r="D4888" t="s">
        <v>5671</v>
      </c>
      <c r="E4888">
        <v>22285.360000000001</v>
      </c>
      <c r="G4888" s="35"/>
      <c r="H4888" s="36">
        <f t="shared" si="230"/>
        <v>14039.7768</v>
      </c>
      <c r="I4888" s="37">
        <f t="shared" si="228"/>
        <v>14039.7768</v>
      </c>
      <c r="J4888" s="4"/>
      <c r="K4888" s="38">
        <f t="shared" si="229"/>
        <v>0</v>
      </c>
    </row>
    <row r="4889" spans="1:11">
      <c r="A4889" t="s">
        <v>13035</v>
      </c>
      <c r="B4889" t="s">
        <v>12449</v>
      </c>
      <c r="C4889" t="s">
        <v>13036</v>
      </c>
      <c r="D4889" t="s">
        <v>13037</v>
      </c>
      <c r="E4889">
        <v>7711.7</v>
      </c>
      <c r="G4889" s="35"/>
      <c r="H4889" s="36">
        <f t="shared" si="230"/>
        <v>4858.3710000000001</v>
      </c>
      <c r="I4889" s="37">
        <f t="shared" si="228"/>
        <v>4858.3710000000001</v>
      </c>
      <c r="J4889" s="4"/>
      <c r="K4889" s="38">
        <f t="shared" si="229"/>
        <v>0</v>
      </c>
    </row>
    <row r="4890" spans="1:11">
      <c r="A4890" t="s">
        <v>13038</v>
      </c>
      <c r="B4890" t="s">
        <v>12449</v>
      </c>
      <c r="C4890" t="s">
        <v>13036</v>
      </c>
      <c r="D4890" t="s">
        <v>13039</v>
      </c>
      <c r="E4890">
        <v>14872.57</v>
      </c>
      <c r="G4890" s="35"/>
      <c r="H4890" s="36">
        <f t="shared" si="230"/>
        <v>9369.7191000000003</v>
      </c>
      <c r="I4890" s="37">
        <f t="shared" si="228"/>
        <v>9369.7191000000003</v>
      </c>
      <c r="J4890" s="4"/>
      <c r="K4890" s="38">
        <f t="shared" si="229"/>
        <v>0</v>
      </c>
    </row>
    <row r="4891" spans="1:11">
      <c r="A4891" t="s">
        <v>13040</v>
      </c>
      <c r="B4891" t="s">
        <v>12449</v>
      </c>
      <c r="C4891" t="s">
        <v>13036</v>
      </c>
      <c r="D4891" t="s">
        <v>13041</v>
      </c>
      <c r="E4891">
        <v>7107.98</v>
      </c>
      <c r="G4891" s="35"/>
      <c r="H4891" s="36">
        <f t="shared" si="230"/>
        <v>4478.0273999999999</v>
      </c>
      <c r="I4891" s="37">
        <f t="shared" si="228"/>
        <v>4478.0273999999999</v>
      </c>
      <c r="J4891" s="4"/>
      <c r="K4891" s="38">
        <f t="shared" si="229"/>
        <v>0</v>
      </c>
    </row>
    <row r="4892" spans="1:11">
      <c r="A4892" t="s">
        <v>13042</v>
      </c>
      <c r="B4892" t="s">
        <v>12449</v>
      </c>
      <c r="C4892" t="s">
        <v>13036</v>
      </c>
      <c r="D4892" t="s">
        <v>13043</v>
      </c>
      <c r="E4892">
        <v>4688.71</v>
      </c>
      <c r="G4892" s="35"/>
      <c r="H4892" s="36">
        <f t="shared" si="230"/>
        <v>2953.8872999999999</v>
      </c>
      <c r="I4892" s="37">
        <f t="shared" si="228"/>
        <v>2953.8872999999999</v>
      </c>
      <c r="J4892" s="4"/>
      <c r="K4892" s="38">
        <f t="shared" si="229"/>
        <v>0</v>
      </c>
    </row>
    <row r="4893" spans="1:11">
      <c r="A4893" t="s">
        <v>12965</v>
      </c>
      <c r="B4893" t="s">
        <v>12449</v>
      </c>
      <c r="C4893" t="s">
        <v>7051</v>
      </c>
      <c r="D4893" t="s">
        <v>12966</v>
      </c>
      <c r="E4893">
        <v>1794.51</v>
      </c>
      <c r="G4893" s="35"/>
      <c r="H4893" s="36">
        <f t="shared" si="230"/>
        <v>1130.5413000000001</v>
      </c>
      <c r="I4893" s="37">
        <f t="shared" si="228"/>
        <v>1130.5413000000001</v>
      </c>
      <c r="J4893" s="4"/>
      <c r="K4893" s="38">
        <f t="shared" si="229"/>
        <v>0</v>
      </c>
    </row>
    <row r="4894" spans="1:11">
      <c r="A4894" t="s">
        <v>1467</v>
      </c>
      <c r="B4894" t="s">
        <v>12449</v>
      </c>
      <c r="C4894" t="s">
        <v>7051</v>
      </c>
      <c r="D4894" t="s">
        <v>7052</v>
      </c>
      <c r="E4894">
        <v>5805.52</v>
      </c>
      <c r="G4894" s="35"/>
      <c r="H4894" s="36">
        <f t="shared" si="230"/>
        <v>3657.4776000000002</v>
      </c>
      <c r="I4894" s="37">
        <f t="shared" si="228"/>
        <v>3657.4776000000002</v>
      </c>
      <c r="J4894" s="4"/>
      <c r="K4894" s="38">
        <f t="shared" si="229"/>
        <v>0</v>
      </c>
    </row>
    <row r="4895" spans="1:11">
      <c r="A4895" t="s">
        <v>1468</v>
      </c>
      <c r="B4895" t="s">
        <v>12449</v>
      </c>
      <c r="C4895" t="s">
        <v>7051</v>
      </c>
      <c r="D4895" t="s">
        <v>7053</v>
      </c>
      <c r="E4895">
        <v>5076.07</v>
      </c>
      <c r="G4895" s="35"/>
      <c r="H4895" s="36">
        <f t="shared" si="230"/>
        <v>3197.9240999999997</v>
      </c>
      <c r="I4895" s="37">
        <f t="shared" si="228"/>
        <v>3197.9240999999997</v>
      </c>
      <c r="J4895" s="4"/>
      <c r="K4895" s="38">
        <f t="shared" si="229"/>
        <v>0</v>
      </c>
    </row>
    <row r="4896" spans="1:11">
      <c r="A4896" t="s">
        <v>13044</v>
      </c>
      <c r="B4896" t="s">
        <v>12449</v>
      </c>
      <c r="C4896" t="s">
        <v>13045</v>
      </c>
      <c r="D4896" t="s">
        <v>13046</v>
      </c>
      <c r="E4896">
        <v>6048.18</v>
      </c>
      <c r="G4896" s="35"/>
      <c r="H4896" s="36">
        <f t="shared" si="230"/>
        <v>3810.3534000000004</v>
      </c>
      <c r="I4896" s="37">
        <f t="shared" si="228"/>
        <v>3810.3534000000004</v>
      </c>
      <c r="J4896" s="4"/>
      <c r="K4896" s="38">
        <f t="shared" si="229"/>
        <v>0</v>
      </c>
    </row>
    <row r="4897" spans="1:11">
      <c r="A4897" t="s">
        <v>13047</v>
      </c>
      <c r="B4897" t="s">
        <v>12449</v>
      </c>
      <c r="C4897" t="s">
        <v>13045</v>
      </c>
      <c r="D4897" t="s">
        <v>13048</v>
      </c>
      <c r="E4897">
        <v>5140.3999999999996</v>
      </c>
      <c r="G4897" s="35"/>
      <c r="H4897" s="36">
        <f t="shared" si="230"/>
        <v>3238.4519999999998</v>
      </c>
      <c r="I4897" s="37">
        <f t="shared" si="228"/>
        <v>3238.4519999999998</v>
      </c>
      <c r="J4897" s="4"/>
      <c r="K4897" s="38">
        <f t="shared" si="229"/>
        <v>0</v>
      </c>
    </row>
    <row r="4898" spans="1:11">
      <c r="A4898" t="s">
        <v>2561</v>
      </c>
      <c r="B4898" t="s">
        <v>12449</v>
      </c>
      <c r="C4898" t="s">
        <v>8085</v>
      </c>
      <c r="D4898" t="s">
        <v>8086</v>
      </c>
      <c r="E4898">
        <v>7252.05</v>
      </c>
      <c r="G4898" s="35"/>
      <c r="H4898" s="36">
        <f t="shared" si="230"/>
        <v>4568.7915000000003</v>
      </c>
      <c r="I4898" s="37">
        <f t="shared" si="228"/>
        <v>4568.7915000000003</v>
      </c>
      <c r="J4898" s="4"/>
      <c r="K4898" s="38">
        <f t="shared" si="229"/>
        <v>0</v>
      </c>
    </row>
    <row r="4899" spans="1:11">
      <c r="A4899" t="s">
        <v>2562</v>
      </c>
      <c r="B4899" t="s">
        <v>12449</v>
      </c>
      <c r="C4899" t="s">
        <v>8085</v>
      </c>
      <c r="D4899" t="s">
        <v>8087</v>
      </c>
      <c r="E4899">
        <v>13252.98</v>
      </c>
      <c r="G4899" s="35"/>
      <c r="H4899" s="36">
        <f t="shared" si="230"/>
        <v>8349.3773999999994</v>
      </c>
      <c r="I4899" s="37">
        <f t="shared" si="228"/>
        <v>8349.3773999999994</v>
      </c>
      <c r="J4899" s="4"/>
      <c r="K4899" s="38">
        <f t="shared" si="229"/>
        <v>0</v>
      </c>
    </row>
    <row r="4900" spans="1:11">
      <c r="A4900" t="s">
        <v>2563</v>
      </c>
      <c r="B4900" t="s">
        <v>12449</v>
      </c>
      <c r="C4900" t="s">
        <v>8085</v>
      </c>
      <c r="D4900" t="s">
        <v>8088</v>
      </c>
      <c r="E4900">
        <v>7908.26</v>
      </c>
      <c r="G4900" s="35"/>
      <c r="H4900" s="36">
        <f t="shared" si="230"/>
        <v>4982.2038000000002</v>
      </c>
      <c r="I4900" s="37">
        <f t="shared" si="228"/>
        <v>4982.2038000000002</v>
      </c>
      <c r="J4900" s="4"/>
      <c r="K4900" s="38">
        <f t="shared" si="229"/>
        <v>0</v>
      </c>
    </row>
    <row r="4901" spans="1:11">
      <c r="A4901" t="s">
        <v>2564</v>
      </c>
      <c r="B4901" t="s">
        <v>12449</v>
      </c>
      <c r="C4901" t="s">
        <v>8085</v>
      </c>
      <c r="D4901" t="s">
        <v>8089</v>
      </c>
      <c r="E4901">
        <v>11515.06</v>
      </c>
      <c r="G4901" s="35"/>
      <c r="H4901" s="36">
        <f t="shared" si="230"/>
        <v>7254.4877999999999</v>
      </c>
      <c r="I4901" s="37">
        <f t="shared" si="228"/>
        <v>7254.4877999999999</v>
      </c>
      <c r="J4901" s="4"/>
      <c r="K4901" s="38">
        <f t="shared" si="229"/>
        <v>0</v>
      </c>
    </row>
    <row r="4902" spans="1:11">
      <c r="A4902" t="s">
        <v>2565</v>
      </c>
      <c r="B4902" t="s">
        <v>12449</v>
      </c>
      <c r="C4902" t="s">
        <v>8085</v>
      </c>
      <c r="D4902" t="s">
        <v>8090</v>
      </c>
      <c r="E4902">
        <v>7908.26</v>
      </c>
      <c r="G4902" s="35"/>
      <c r="H4902" s="36">
        <f t="shared" si="230"/>
        <v>4982.2038000000002</v>
      </c>
      <c r="I4902" s="37">
        <f t="shared" si="228"/>
        <v>4982.2038000000002</v>
      </c>
      <c r="J4902" s="4"/>
      <c r="K4902" s="38">
        <f t="shared" si="229"/>
        <v>0</v>
      </c>
    </row>
    <row r="4903" spans="1:11">
      <c r="A4903" t="s">
        <v>2566</v>
      </c>
      <c r="B4903" t="s">
        <v>12449</v>
      </c>
      <c r="C4903" t="s">
        <v>8085</v>
      </c>
      <c r="D4903" t="s">
        <v>8091</v>
      </c>
      <c r="E4903">
        <v>11515.06</v>
      </c>
      <c r="G4903" s="35"/>
      <c r="H4903" s="36">
        <f t="shared" si="230"/>
        <v>7254.4877999999999</v>
      </c>
      <c r="I4903" s="37">
        <f t="shared" si="228"/>
        <v>7254.4877999999999</v>
      </c>
      <c r="J4903" s="4"/>
      <c r="K4903" s="38">
        <f t="shared" si="229"/>
        <v>0</v>
      </c>
    </row>
    <row r="4904" spans="1:11">
      <c r="A4904" t="s">
        <v>72</v>
      </c>
      <c r="B4904" t="s">
        <v>12449</v>
      </c>
      <c r="C4904" t="s">
        <v>5653</v>
      </c>
      <c r="D4904" t="s">
        <v>5654</v>
      </c>
      <c r="E4904">
        <v>3240.21</v>
      </c>
      <c r="G4904" s="35"/>
      <c r="H4904" s="36">
        <f t="shared" si="230"/>
        <v>2041.3323</v>
      </c>
      <c r="I4904" s="37">
        <f t="shared" si="228"/>
        <v>2041.3323</v>
      </c>
      <c r="J4904" s="4"/>
      <c r="K4904" s="38">
        <f t="shared" si="229"/>
        <v>0</v>
      </c>
    </row>
    <row r="4905" spans="1:11">
      <c r="A4905" t="s">
        <v>73</v>
      </c>
      <c r="B4905" t="s">
        <v>12449</v>
      </c>
      <c r="C4905" t="s">
        <v>5653</v>
      </c>
      <c r="D4905" t="s">
        <v>5655</v>
      </c>
      <c r="E4905">
        <v>3240.21</v>
      </c>
      <c r="G4905" s="35"/>
      <c r="H4905" s="36">
        <f t="shared" si="230"/>
        <v>2041.3323</v>
      </c>
      <c r="I4905" s="37">
        <f t="shared" si="228"/>
        <v>2041.3323</v>
      </c>
      <c r="J4905" s="4"/>
      <c r="K4905" s="38">
        <f t="shared" si="229"/>
        <v>0</v>
      </c>
    </row>
    <row r="4906" spans="1:11">
      <c r="A4906" t="s">
        <v>74</v>
      </c>
      <c r="B4906" t="s">
        <v>12449</v>
      </c>
      <c r="C4906" t="s">
        <v>5653</v>
      </c>
      <c r="D4906" t="s">
        <v>5656</v>
      </c>
      <c r="E4906">
        <v>3800.6</v>
      </c>
      <c r="G4906" s="35"/>
      <c r="H4906" s="36">
        <f t="shared" si="230"/>
        <v>2394.3780000000002</v>
      </c>
      <c r="I4906" s="37">
        <f t="shared" si="228"/>
        <v>2394.3780000000002</v>
      </c>
      <c r="J4906" s="4"/>
      <c r="K4906" s="38">
        <f t="shared" si="229"/>
        <v>0</v>
      </c>
    </row>
    <row r="4907" spans="1:11">
      <c r="A4907" t="s">
        <v>75</v>
      </c>
      <c r="B4907" t="s">
        <v>12449</v>
      </c>
      <c r="C4907" t="s">
        <v>5653</v>
      </c>
      <c r="D4907" t="s">
        <v>5657</v>
      </c>
      <c r="E4907">
        <v>3800.6</v>
      </c>
      <c r="G4907" s="35"/>
      <c r="H4907" s="36">
        <f t="shared" si="230"/>
        <v>2394.3780000000002</v>
      </c>
      <c r="I4907" s="37">
        <f t="shared" si="228"/>
        <v>2394.3780000000002</v>
      </c>
      <c r="J4907" s="4"/>
      <c r="K4907" s="38">
        <f t="shared" si="229"/>
        <v>0</v>
      </c>
    </row>
    <row r="4908" spans="1:11">
      <c r="A4908" t="s">
        <v>76</v>
      </c>
      <c r="B4908" t="s">
        <v>12449</v>
      </c>
      <c r="C4908" t="s">
        <v>5653</v>
      </c>
      <c r="D4908" t="s">
        <v>5658</v>
      </c>
      <c r="E4908">
        <v>2404.27</v>
      </c>
      <c r="G4908" s="35"/>
      <c r="H4908" s="36">
        <f t="shared" si="230"/>
        <v>1514.6901</v>
      </c>
      <c r="I4908" s="37">
        <f t="shared" si="228"/>
        <v>1514.6901</v>
      </c>
      <c r="J4908" s="4"/>
      <c r="K4908" s="38">
        <f t="shared" si="229"/>
        <v>0</v>
      </c>
    </row>
    <row r="4909" spans="1:11">
      <c r="A4909" t="s">
        <v>12976</v>
      </c>
      <c r="B4909" t="s">
        <v>12449</v>
      </c>
      <c r="C4909" t="s">
        <v>5653</v>
      </c>
      <c r="D4909" t="s">
        <v>12977</v>
      </c>
      <c r="E4909">
        <v>2526.1</v>
      </c>
      <c r="G4909" s="35"/>
      <c r="H4909" s="36">
        <f t="shared" si="230"/>
        <v>1591.443</v>
      </c>
      <c r="I4909" s="37">
        <f t="shared" si="228"/>
        <v>1591.443</v>
      </c>
      <c r="J4909" s="4"/>
      <c r="K4909" s="38">
        <f t="shared" si="229"/>
        <v>0</v>
      </c>
    </row>
    <row r="4910" spans="1:11">
      <c r="A4910" t="s">
        <v>13049</v>
      </c>
      <c r="B4910" t="s">
        <v>12449</v>
      </c>
      <c r="C4910" t="s">
        <v>13050</v>
      </c>
      <c r="D4910" t="s">
        <v>13051</v>
      </c>
      <c r="E4910">
        <v>36291.269999999997</v>
      </c>
      <c r="G4910" s="35"/>
      <c r="H4910" s="36">
        <f t="shared" si="230"/>
        <v>22863.500099999997</v>
      </c>
      <c r="I4910" s="37">
        <f t="shared" si="228"/>
        <v>22863.500099999997</v>
      </c>
      <c r="J4910" s="4"/>
      <c r="K4910" s="38">
        <f t="shared" si="229"/>
        <v>0</v>
      </c>
    </row>
    <row r="4911" spans="1:11">
      <c r="A4911" t="s">
        <v>13052</v>
      </c>
      <c r="B4911" t="s">
        <v>12449</v>
      </c>
      <c r="C4911" t="s">
        <v>13050</v>
      </c>
      <c r="D4911" t="s">
        <v>13053</v>
      </c>
      <c r="E4911">
        <v>108871.64</v>
      </c>
      <c r="G4911" s="35"/>
      <c r="H4911" s="36">
        <f t="shared" si="230"/>
        <v>68589.133199999997</v>
      </c>
      <c r="I4911" s="37">
        <f t="shared" si="228"/>
        <v>68589.133199999997</v>
      </c>
      <c r="J4911" s="4"/>
      <c r="K4911" s="38">
        <f t="shared" si="229"/>
        <v>0</v>
      </c>
    </row>
    <row r="4912" spans="1:11">
      <c r="A4912" t="s">
        <v>3754</v>
      </c>
      <c r="B4912" t="s">
        <v>12449</v>
      </c>
      <c r="C4912" t="s">
        <v>9231</v>
      </c>
      <c r="D4912" t="s">
        <v>9232</v>
      </c>
      <c r="E4912">
        <v>5744.53</v>
      </c>
      <c r="G4912" s="35"/>
      <c r="H4912" s="36">
        <f t="shared" si="230"/>
        <v>3619.0538999999999</v>
      </c>
      <c r="I4912" s="37">
        <f t="shared" si="228"/>
        <v>3619.0538999999999</v>
      </c>
      <c r="J4912" s="4"/>
      <c r="K4912" s="38">
        <f t="shared" si="229"/>
        <v>0</v>
      </c>
    </row>
    <row r="4913" spans="1:11">
      <c r="A4913" t="s">
        <v>3755</v>
      </c>
      <c r="B4913" t="s">
        <v>12449</v>
      </c>
      <c r="C4913" t="s">
        <v>9231</v>
      </c>
      <c r="D4913" t="s">
        <v>9233</v>
      </c>
      <c r="E4913">
        <v>7108.37</v>
      </c>
      <c r="G4913" s="35"/>
      <c r="H4913" s="36">
        <f t="shared" si="230"/>
        <v>4478.2731000000003</v>
      </c>
      <c r="I4913" s="37">
        <f t="shared" si="228"/>
        <v>4478.2731000000003</v>
      </c>
      <c r="J4913" s="4"/>
      <c r="K4913" s="38">
        <f t="shared" si="229"/>
        <v>0</v>
      </c>
    </row>
    <row r="4914" spans="1:11">
      <c r="A4914" t="s">
        <v>3756</v>
      </c>
      <c r="B4914" t="s">
        <v>12449</v>
      </c>
      <c r="C4914" t="s">
        <v>9231</v>
      </c>
      <c r="D4914" t="s">
        <v>9234</v>
      </c>
      <c r="E4914">
        <v>14838.56</v>
      </c>
      <c r="G4914" s="35"/>
      <c r="H4914" s="36">
        <f t="shared" si="230"/>
        <v>9348.2927999999993</v>
      </c>
      <c r="I4914" s="37">
        <f t="shared" si="228"/>
        <v>9348.2927999999993</v>
      </c>
      <c r="J4914" s="4"/>
      <c r="K4914" s="38">
        <f t="shared" si="229"/>
        <v>0</v>
      </c>
    </row>
    <row r="4915" spans="1:11">
      <c r="A4915" t="s">
        <v>3757</v>
      </c>
      <c r="B4915" t="s">
        <v>12449</v>
      </c>
      <c r="C4915" t="s">
        <v>9231</v>
      </c>
      <c r="D4915" t="s">
        <v>9235</v>
      </c>
      <c r="E4915">
        <v>16435.91</v>
      </c>
      <c r="G4915" s="35"/>
      <c r="H4915" s="36">
        <f t="shared" si="230"/>
        <v>10354.623299999999</v>
      </c>
      <c r="I4915" s="37">
        <f t="shared" si="228"/>
        <v>10354.623299999999</v>
      </c>
      <c r="J4915" s="4"/>
      <c r="K4915" s="38">
        <f t="shared" si="229"/>
        <v>0</v>
      </c>
    </row>
    <row r="4916" spans="1:11">
      <c r="A4916" t="s">
        <v>3758</v>
      </c>
      <c r="B4916" t="s">
        <v>12449</v>
      </c>
      <c r="C4916" t="s">
        <v>9231</v>
      </c>
      <c r="D4916" t="s">
        <v>9236</v>
      </c>
      <c r="E4916">
        <v>22833.75</v>
      </c>
      <c r="G4916" s="35"/>
      <c r="H4916" s="36">
        <f t="shared" si="230"/>
        <v>14385.262500000001</v>
      </c>
      <c r="I4916" s="37">
        <f t="shared" si="228"/>
        <v>14385.262500000001</v>
      </c>
      <c r="J4916" s="4"/>
      <c r="K4916" s="38">
        <f t="shared" si="229"/>
        <v>0</v>
      </c>
    </row>
    <row r="4917" spans="1:11">
      <c r="A4917" t="s">
        <v>12152</v>
      </c>
      <c r="B4917" t="s">
        <v>12449</v>
      </c>
      <c r="C4917" t="s">
        <v>12153</v>
      </c>
      <c r="D4917" t="s">
        <v>12154</v>
      </c>
      <c r="E4917">
        <v>7896.62</v>
      </c>
      <c r="G4917" s="35"/>
      <c r="H4917" s="36">
        <f t="shared" si="230"/>
        <v>4974.8706000000002</v>
      </c>
      <c r="I4917" s="37">
        <f t="shared" si="228"/>
        <v>4974.8706000000002</v>
      </c>
      <c r="J4917" s="4"/>
      <c r="K4917" s="38">
        <f t="shared" si="229"/>
        <v>0</v>
      </c>
    </row>
    <row r="4918" spans="1:11">
      <c r="A4918" t="s">
        <v>12155</v>
      </c>
      <c r="B4918" t="s">
        <v>12449</v>
      </c>
      <c r="C4918" t="s">
        <v>12153</v>
      </c>
      <c r="D4918" t="s">
        <v>12156</v>
      </c>
      <c r="E4918">
        <v>11239.13</v>
      </c>
      <c r="G4918" s="35"/>
      <c r="H4918" s="36">
        <f t="shared" si="230"/>
        <v>7080.6518999999998</v>
      </c>
      <c r="I4918" s="37">
        <f t="shared" si="228"/>
        <v>7080.6518999999998</v>
      </c>
      <c r="J4918" s="4"/>
      <c r="K4918" s="38">
        <f t="shared" si="229"/>
        <v>0</v>
      </c>
    </row>
    <row r="4919" spans="1:11">
      <c r="A4919" t="s">
        <v>12157</v>
      </c>
      <c r="B4919" t="s">
        <v>12449</v>
      </c>
      <c r="C4919" t="s">
        <v>12153</v>
      </c>
      <c r="D4919" t="s">
        <v>12158</v>
      </c>
      <c r="E4919">
        <v>18490.27</v>
      </c>
      <c r="G4919" s="35"/>
      <c r="H4919" s="36">
        <f t="shared" si="230"/>
        <v>11648.8701</v>
      </c>
      <c r="I4919" s="37">
        <f t="shared" si="228"/>
        <v>11648.8701</v>
      </c>
      <c r="J4919" s="4"/>
      <c r="K4919" s="38">
        <f t="shared" si="229"/>
        <v>0</v>
      </c>
    </row>
    <row r="4920" spans="1:11">
      <c r="A4920" t="s">
        <v>3653</v>
      </c>
      <c r="B4920" t="s">
        <v>12449</v>
      </c>
      <c r="C4920" t="s">
        <v>9127</v>
      </c>
      <c r="D4920" t="s">
        <v>9128</v>
      </c>
      <c r="E4920">
        <v>3209.77</v>
      </c>
      <c r="G4920" s="35"/>
      <c r="H4920" s="36">
        <f t="shared" si="230"/>
        <v>2022.1550999999999</v>
      </c>
      <c r="I4920" s="37">
        <f t="shared" si="228"/>
        <v>2022.1550999999999</v>
      </c>
      <c r="J4920" s="4"/>
      <c r="K4920" s="38">
        <f t="shared" si="229"/>
        <v>0</v>
      </c>
    </row>
    <row r="4921" spans="1:11">
      <c r="A4921" t="s">
        <v>3654</v>
      </c>
      <c r="B4921" t="s">
        <v>12449</v>
      </c>
      <c r="C4921" t="s">
        <v>9127</v>
      </c>
      <c r="D4921" t="s">
        <v>9129</v>
      </c>
      <c r="E4921">
        <v>4035.11</v>
      </c>
      <c r="G4921" s="35"/>
      <c r="H4921" s="36">
        <f t="shared" si="230"/>
        <v>2542.1193000000003</v>
      </c>
      <c r="I4921" s="37">
        <f t="shared" si="228"/>
        <v>2542.1193000000003</v>
      </c>
      <c r="J4921" s="4"/>
      <c r="K4921" s="38">
        <f t="shared" si="229"/>
        <v>0</v>
      </c>
    </row>
    <row r="4922" spans="1:11">
      <c r="A4922" t="s">
        <v>3655</v>
      </c>
      <c r="B4922" t="s">
        <v>12449</v>
      </c>
      <c r="C4922" t="s">
        <v>9127</v>
      </c>
      <c r="D4922" t="s">
        <v>9130</v>
      </c>
      <c r="E4922">
        <v>6088.75</v>
      </c>
      <c r="G4922" s="35"/>
      <c r="H4922" s="36">
        <f t="shared" si="230"/>
        <v>3835.9124999999999</v>
      </c>
      <c r="I4922" s="37">
        <f t="shared" si="228"/>
        <v>3835.9124999999999</v>
      </c>
      <c r="J4922" s="4"/>
      <c r="K4922" s="38">
        <f t="shared" si="229"/>
        <v>0</v>
      </c>
    </row>
    <row r="4923" spans="1:11">
      <c r="A4923" t="s">
        <v>3656</v>
      </c>
      <c r="B4923" t="s">
        <v>12449</v>
      </c>
      <c r="C4923" t="s">
        <v>9127</v>
      </c>
      <c r="D4923" t="s">
        <v>9131</v>
      </c>
      <c r="E4923">
        <v>14956.55</v>
      </c>
      <c r="G4923" s="35"/>
      <c r="H4923" s="36">
        <f t="shared" si="230"/>
        <v>9422.6265000000003</v>
      </c>
      <c r="I4923" s="37">
        <f t="shared" si="228"/>
        <v>9422.6265000000003</v>
      </c>
      <c r="J4923" s="4"/>
      <c r="K4923" s="38">
        <f t="shared" si="229"/>
        <v>0</v>
      </c>
    </row>
    <row r="4924" spans="1:11">
      <c r="A4924" t="s">
        <v>3657</v>
      </c>
      <c r="B4924" t="s">
        <v>12449</v>
      </c>
      <c r="C4924" t="s">
        <v>9127</v>
      </c>
      <c r="D4924" t="s">
        <v>9132</v>
      </c>
      <c r="E4924">
        <v>19006.73</v>
      </c>
      <c r="G4924" s="35"/>
      <c r="H4924" s="36">
        <f t="shared" si="230"/>
        <v>11974.2399</v>
      </c>
      <c r="I4924" s="37">
        <f t="shared" si="228"/>
        <v>11974.2399</v>
      </c>
      <c r="J4924" s="4"/>
      <c r="K4924" s="38">
        <f t="shared" si="229"/>
        <v>0</v>
      </c>
    </row>
    <row r="4925" spans="1:11">
      <c r="A4925" t="s">
        <v>3658</v>
      </c>
      <c r="B4925" t="s">
        <v>12449</v>
      </c>
      <c r="C4925" t="s">
        <v>9127</v>
      </c>
      <c r="D4925" t="s">
        <v>9133</v>
      </c>
      <c r="E4925">
        <v>24110.09</v>
      </c>
      <c r="G4925" s="35"/>
      <c r="H4925" s="36">
        <f t="shared" si="230"/>
        <v>15189.3567</v>
      </c>
      <c r="I4925" s="37">
        <f t="shared" si="228"/>
        <v>15189.3567</v>
      </c>
      <c r="J4925" s="4"/>
      <c r="K4925" s="38">
        <f t="shared" si="229"/>
        <v>0</v>
      </c>
    </row>
    <row r="4926" spans="1:11">
      <c r="A4926" t="s">
        <v>3659</v>
      </c>
      <c r="B4926" t="s">
        <v>12449</v>
      </c>
      <c r="C4926" t="s">
        <v>9127</v>
      </c>
      <c r="D4926" t="s">
        <v>9134</v>
      </c>
      <c r="E4926">
        <v>4040.52</v>
      </c>
      <c r="G4926" s="35"/>
      <c r="H4926" s="36">
        <f t="shared" si="230"/>
        <v>2545.5275999999999</v>
      </c>
      <c r="I4926" s="37">
        <f t="shared" si="228"/>
        <v>2545.5275999999999</v>
      </c>
      <c r="J4926" s="4"/>
      <c r="K4926" s="38">
        <f t="shared" si="229"/>
        <v>0</v>
      </c>
    </row>
    <row r="4927" spans="1:11">
      <c r="A4927" t="s">
        <v>3660</v>
      </c>
      <c r="B4927" t="s">
        <v>12449</v>
      </c>
      <c r="C4927" t="s">
        <v>9127</v>
      </c>
      <c r="D4927" t="s">
        <v>9135</v>
      </c>
      <c r="E4927">
        <v>5079.88</v>
      </c>
      <c r="G4927" s="35"/>
      <c r="H4927" s="36">
        <f t="shared" si="230"/>
        <v>3200.3244</v>
      </c>
      <c r="I4927" s="37">
        <f t="shared" si="228"/>
        <v>3200.3244</v>
      </c>
      <c r="J4927" s="4"/>
      <c r="K4927" s="38">
        <f t="shared" si="229"/>
        <v>0</v>
      </c>
    </row>
    <row r="4928" spans="1:11">
      <c r="A4928" t="s">
        <v>3661</v>
      </c>
      <c r="B4928" t="s">
        <v>12449</v>
      </c>
      <c r="C4928" t="s">
        <v>9127</v>
      </c>
      <c r="D4928" t="s">
        <v>9136</v>
      </c>
      <c r="E4928">
        <v>7663.86</v>
      </c>
      <c r="G4928" s="35"/>
      <c r="H4928" s="36">
        <f t="shared" si="230"/>
        <v>4828.2317999999996</v>
      </c>
      <c r="I4928" s="37">
        <f t="shared" si="228"/>
        <v>4828.2317999999996</v>
      </c>
      <c r="J4928" s="4"/>
      <c r="K4928" s="38">
        <f t="shared" si="229"/>
        <v>0</v>
      </c>
    </row>
    <row r="4929" spans="1:11">
      <c r="A4929" t="s">
        <v>3662</v>
      </c>
      <c r="B4929" t="s">
        <v>12449</v>
      </c>
      <c r="C4929" t="s">
        <v>9127</v>
      </c>
      <c r="D4929" t="s">
        <v>9137</v>
      </c>
      <c r="E4929">
        <v>17947.509999999998</v>
      </c>
      <c r="G4929" s="35"/>
      <c r="H4929" s="36">
        <f t="shared" si="230"/>
        <v>11306.931299999998</v>
      </c>
      <c r="I4929" s="37">
        <f t="shared" si="228"/>
        <v>11306.931299999998</v>
      </c>
      <c r="J4929" s="4"/>
      <c r="K4929" s="38">
        <f t="shared" si="229"/>
        <v>0</v>
      </c>
    </row>
    <row r="4930" spans="1:11">
      <c r="A4930" t="s">
        <v>3663</v>
      </c>
      <c r="B4930" t="s">
        <v>12449</v>
      </c>
      <c r="C4930" t="s">
        <v>9127</v>
      </c>
      <c r="D4930" t="s">
        <v>9138</v>
      </c>
      <c r="E4930">
        <v>22808.37</v>
      </c>
      <c r="G4930" s="35"/>
      <c r="H4930" s="36">
        <f t="shared" si="230"/>
        <v>14369.2731</v>
      </c>
      <c r="I4930" s="37">
        <f t="shared" si="228"/>
        <v>14369.2731</v>
      </c>
      <c r="J4930" s="4"/>
      <c r="K4930" s="38">
        <f t="shared" si="229"/>
        <v>0</v>
      </c>
    </row>
    <row r="4931" spans="1:11">
      <c r="A4931" t="s">
        <v>3664</v>
      </c>
      <c r="B4931" t="s">
        <v>12449</v>
      </c>
      <c r="C4931" t="s">
        <v>9127</v>
      </c>
      <c r="D4931" t="s">
        <v>9139</v>
      </c>
      <c r="E4931">
        <v>28931.87</v>
      </c>
      <c r="G4931" s="35"/>
      <c r="H4931" s="36">
        <f t="shared" si="230"/>
        <v>18227.078099999999</v>
      </c>
      <c r="I4931" s="37">
        <f t="shared" si="228"/>
        <v>18227.078099999999</v>
      </c>
      <c r="J4931" s="4"/>
      <c r="K4931" s="38">
        <f t="shared" si="229"/>
        <v>0</v>
      </c>
    </row>
    <row r="4932" spans="1:11">
      <c r="A4932" t="s">
        <v>3665</v>
      </c>
      <c r="B4932" t="s">
        <v>12449</v>
      </c>
      <c r="C4932" t="s">
        <v>9127</v>
      </c>
      <c r="D4932" t="s">
        <v>9140</v>
      </c>
      <c r="E4932">
        <v>5051.71</v>
      </c>
      <c r="G4932" s="35"/>
      <c r="H4932" s="36">
        <f t="shared" si="230"/>
        <v>3182.5772999999999</v>
      </c>
      <c r="I4932" s="37">
        <f t="shared" si="228"/>
        <v>3182.5772999999999</v>
      </c>
      <c r="J4932" s="4"/>
      <c r="K4932" s="38">
        <f t="shared" si="229"/>
        <v>0</v>
      </c>
    </row>
    <row r="4933" spans="1:11">
      <c r="A4933" t="s">
        <v>3666</v>
      </c>
      <c r="B4933" t="s">
        <v>12449</v>
      </c>
      <c r="C4933" t="s">
        <v>9127</v>
      </c>
      <c r="D4933" t="s">
        <v>9141</v>
      </c>
      <c r="E4933">
        <v>6349.85</v>
      </c>
      <c r="G4933" s="35"/>
      <c r="H4933" s="36">
        <f t="shared" si="230"/>
        <v>4000.4055000000003</v>
      </c>
      <c r="I4933" s="37">
        <f t="shared" si="228"/>
        <v>4000.4055000000003</v>
      </c>
      <c r="J4933" s="4"/>
      <c r="K4933" s="38">
        <f t="shared" si="229"/>
        <v>0</v>
      </c>
    </row>
    <row r="4934" spans="1:11">
      <c r="A4934" t="s">
        <v>3667</v>
      </c>
      <c r="B4934" t="s">
        <v>12449</v>
      </c>
      <c r="C4934" t="s">
        <v>9127</v>
      </c>
      <c r="D4934" t="s">
        <v>9142</v>
      </c>
      <c r="E4934">
        <v>9580.83</v>
      </c>
      <c r="G4934" s="35"/>
      <c r="H4934" s="36">
        <f t="shared" si="230"/>
        <v>6035.9228999999996</v>
      </c>
      <c r="I4934" s="37">
        <f t="shared" ref="I4934:I4997" si="231">H4934*$H$4</f>
        <v>6035.9228999999996</v>
      </c>
      <c r="J4934" s="4"/>
      <c r="K4934" s="38">
        <f t="shared" ref="K4934:K4997" si="232">J4934*I4934</f>
        <v>0</v>
      </c>
    </row>
    <row r="4935" spans="1:11">
      <c r="A4935" t="s">
        <v>3668</v>
      </c>
      <c r="B4935" t="s">
        <v>12449</v>
      </c>
      <c r="C4935" t="s">
        <v>9127</v>
      </c>
      <c r="D4935" t="s">
        <v>9143</v>
      </c>
      <c r="E4935">
        <v>22435.59</v>
      </c>
      <c r="G4935" s="35"/>
      <c r="H4935" s="36">
        <f t="shared" ref="H4935:H4998" si="233">+E4935*$H$1*(1-G4935)</f>
        <v>14134.421700000001</v>
      </c>
      <c r="I4935" s="37">
        <f t="shared" si="231"/>
        <v>14134.421700000001</v>
      </c>
      <c r="J4935" s="4"/>
      <c r="K4935" s="38">
        <f t="shared" si="232"/>
        <v>0</v>
      </c>
    </row>
    <row r="4936" spans="1:11">
      <c r="A4936" t="s">
        <v>3669</v>
      </c>
      <c r="B4936" t="s">
        <v>12449</v>
      </c>
      <c r="C4936" t="s">
        <v>9127</v>
      </c>
      <c r="D4936" t="s">
        <v>9144</v>
      </c>
      <c r="E4936">
        <v>28510.25</v>
      </c>
      <c r="G4936" s="35"/>
      <c r="H4936" s="36">
        <f t="shared" si="233"/>
        <v>17961.4575</v>
      </c>
      <c r="I4936" s="37">
        <f t="shared" si="231"/>
        <v>17961.4575</v>
      </c>
      <c r="J4936" s="4"/>
      <c r="K4936" s="38">
        <f t="shared" si="232"/>
        <v>0</v>
      </c>
    </row>
    <row r="4937" spans="1:11">
      <c r="A4937" t="s">
        <v>3670</v>
      </c>
      <c r="B4937" t="s">
        <v>12449</v>
      </c>
      <c r="C4937" t="s">
        <v>9127</v>
      </c>
      <c r="D4937" t="s">
        <v>9145</v>
      </c>
      <c r="E4937">
        <v>36164.6</v>
      </c>
      <c r="G4937" s="35"/>
      <c r="H4937" s="36">
        <f t="shared" si="233"/>
        <v>22783.698</v>
      </c>
      <c r="I4937" s="37">
        <f t="shared" si="231"/>
        <v>22783.698</v>
      </c>
      <c r="J4937" s="4"/>
      <c r="K4937" s="38">
        <f t="shared" si="232"/>
        <v>0</v>
      </c>
    </row>
    <row r="4938" spans="1:11">
      <c r="A4938" t="s">
        <v>3671</v>
      </c>
      <c r="B4938" t="s">
        <v>12449</v>
      </c>
      <c r="C4938" t="s">
        <v>9127</v>
      </c>
      <c r="D4938" t="s">
        <v>9146</v>
      </c>
      <c r="E4938">
        <v>4585.32</v>
      </c>
      <c r="G4938" s="35"/>
      <c r="H4938" s="36">
        <f t="shared" si="233"/>
        <v>2888.7516000000001</v>
      </c>
      <c r="I4938" s="37">
        <f t="shared" si="231"/>
        <v>2888.7516000000001</v>
      </c>
      <c r="J4938" s="4"/>
      <c r="K4938" s="38">
        <f t="shared" si="232"/>
        <v>0</v>
      </c>
    </row>
    <row r="4939" spans="1:11">
      <c r="A4939" t="s">
        <v>3672</v>
      </c>
      <c r="B4939" t="s">
        <v>12449</v>
      </c>
      <c r="C4939" t="s">
        <v>9127</v>
      </c>
      <c r="D4939" t="s">
        <v>9147</v>
      </c>
      <c r="E4939">
        <v>5755.83</v>
      </c>
      <c r="G4939" s="35"/>
      <c r="H4939" s="36">
        <f t="shared" si="233"/>
        <v>3626.1729</v>
      </c>
      <c r="I4939" s="37">
        <f t="shared" si="231"/>
        <v>3626.1729</v>
      </c>
      <c r="J4939" s="4"/>
      <c r="K4939" s="38">
        <f t="shared" si="232"/>
        <v>0</v>
      </c>
    </row>
    <row r="4940" spans="1:11">
      <c r="A4940" t="s">
        <v>3673</v>
      </c>
      <c r="B4940" t="s">
        <v>12449</v>
      </c>
      <c r="C4940" t="s">
        <v>9127</v>
      </c>
      <c r="D4940" t="s">
        <v>9148</v>
      </c>
      <c r="E4940">
        <v>8025.72</v>
      </c>
      <c r="G4940" s="35"/>
      <c r="H4940" s="36">
        <f t="shared" si="233"/>
        <v>5056.2035999999998</v>
      </c>
      <c r="I4940" s="37">
        <f t="shared" si="231"/>
        <v>5056.2035999999998</v>
      </c>
      <c r="J4940" s="4"/>
      <c r="K4940" s="38">
        <f t="shared" si="232"/>
        <v>0</v>
      </c>
    </row>
    <row r="4941" spans="1:11">
      <c r="A4941" t="s">
        <v>3674</v>
      </c>
      <c r="B4941" t="s">
        <v>12449</v>
      </c>
      <c r="C4941" t="s">
        <v>9127</v>
      </c>
      <c r="D4941" t="s">
        <v>9149</v>
      </c>
      <c r="E4941">
        <v>3970.45</v>
      </c>
      <c r="G4941" s="35"/>
      <c r="H4941" s="36">
        <f t="shared" si="233"/>
        <v>2501.3834999999999</v>
      </c>
      <c r="I4941" s="37">
        <f t="shared" si="231"/>
        <v>2501.3834999999999</v>
      </c>
      <c r="J4941" s="4"/>
      <c r="K4941" s="38">
        <f t="shared" si="232"/>
        <v>0</v>
      </c>
    </row>
    <row r="4942" spans="1:11">
      <c r="A4942" t="s">
        <v>3675</v>
      </c>
      <c r="B4942" t="s">
        <v>12449</v>
      </c>
      <c r="C4942" t="s">
        <v>9127</v>
      </c>
      <c r="D4942" t="s">
        <v>9150</v>
      </c>
      <c r="E4942">
        <v>5121.3599999999997</v>
      </c>
      <c r="G4942" s="35"/>
      <c r="H4942" s="36">
        <f t="shared" si="233"/>
        <v>3226.4567999999999</v>
      </c>
      <c r="I4942" s="37">
        <f t="shared" si="231"/>
        <v>3226.4567999999999</v>
      </c>
      <c r="J4942" s="4"/>
      <c r="K4942" s="38">
        <f t="shared" si="232"/>
        <v>0</v>
      </c>
    </row>
    <row r="4943" spans="1:11">
      <c r="A4943" t="s">
        <v>3676</v>
      </c>
      <c r="B4943" t="s">
        <v>12449</v>
      </c>
      <c r="C4943" t="s">
        <v>9127</v>
      </c>
      <c r="D4943" t="s">
        <v>9151</v>
      </c>
      <c r="E4943">
        <v>22435.59</v>
      </c>
      <c r="G4943" s="35"/>
      <c r="H4943" s="36">
        <f t="shared" si="233"/>
        <v>14134.421700000001</v>
      </c>
      <c r="I4943" s="37">
        <f t="shared" si="231"/>
        <v>14134.421700000001</v>
      </c>
      <c r="J4943" s="4"/>
      <c r="K4943" s="38">
        <f t="shared" si="232"/>
        <v>0</v>
      </c>
    </row>
    <row r="4944" spans="1:11">
      <c r="A4944" t="s">
        <v>3677</v>
      </c>
      <c r="B4944" t="s">
        <v>12449</v>
      </c>
      <c r="C4944" t="s">
        <v>9127</v>
      </c>
      <c r="D4944" t="s">
        <v>9152</v>
      </c>
      <c r="E4944">
        <v>28510.25</v>
      </c>
      <c r="G4944" s="35"/>
      <c r="H4944" s="36">
        <f t="shared" si="233"/>
        <v>17961.4575</v>
      </c>
      <c r="I4944" s="37">
        <f t="shared" si="231"/>
        <v>17961.4575</v>
      </c>
      <c r="J4944" s="4"/>
      <c r="K4944" s="38">
        <f t="shared" si="232"/>
        <v>0</v>
      </c>
    </row>
    <row r="4945" spans="1:11">
      <c r="A4945" t="s">
        <v>734</v>
      </c>
      <c r="B4945" t="s">
        <v>12449</v>
      </c>
      <c r="C4945" t="s">
        <v>6385</v>
      </c>
      <c r="D4945" t="s">
        <v>6386</v>
      </c>
      <c r="E4945">
        <v>6044.57</v>
      </c>
      <c r="G4945" s="35"/>
      <c r="H4945" s="36">
        <f t="shared" si="233"/>
        <v>3808.0790999999999</v>
      </c>
      <c r="I4945" s="37">
        <f t="shared" si="231"/>
        <v>3808.0790999999999</v>
      </c>
      <c r="J4945" s="4"/>
      <c r="K4945" s="38">
        <f t="shared" si="232"/>
        <v>0</v>
      </c>
    </row>
    <row r="4946" spans="1:11">
      <c r="A4946" t="s">
        <v>735</v>
      </c>
      <c r="B4946" t="s">
        <v>12449</v>
      </c>
      <c r="C4946" t="s">
        <v>6385</v>
      </c>
      <c r="D4946" t="s">
        <v>6387</v>
      </c>
      <c r="E4946">
        <v>6668.76</v>
      </c>
      <c r="G4946" s="35"/>
      <c r="H4946" s="36">
        <f t="shared" si="233"/>
        <v>4201.3188</v>
      </c>
      <c r="I4946" s="37">
        <f t="shared" si="231"/>
        <v>4201.3188</v>
      </c>
      <c r="J4946" s="4"/>
      <c r="K4946" s="38">
        <f t="shared" si="232"/>
        <v>0</v>
      </c>
    </row>
    <row r="4947" spans="1:11">
      <c r="A4947" t="s">
        <v>4153</v>
      </c>
      <c r="B4947" t="s">
        <v>12449</v>
      </c>
      <c r="C4947" t="s">
        <v>9610</v>
      </c>
      <c r="D4947" t="s">
        <v>9611</v>
      </c>
      <c r="E4947">
        <v>5480.29</v>
      </c>
      <c r="G4947" s="35"/>
      <c r="H4947" s="36">
        <f t="shared" si="233"/>
        <v>3452.5826999999999</v>
      </c>
      <c r="I4947" s="37">
        <f t="shared" si="231"/>
        <v>3452.5826999999999</v>
      </c>
      <c r="J4947" s="4"/>
      <c r="K4947" s="38">
        <f t="shared" si="232"/>
        <v>0</v>
      </c>
    </row>
    <row r="4948" spans="1:11">
      <c r="A4948" t="s">
        <v>4154</v>
      </c>
      <c r="B4948" t="s">
        <v>12449</v>
      </c>
      <c r="C4948" t="s">
        <v>9610</v>
      </c>
      <c r="D4948" t="s">
        <v>9612</v>
      </c>
      <c r="E4948">
        <v>6270.26</v>
      </c>
      <c r="G4948" s="35"/>
      <c r="H4948" s="36">
        <f t="shared" si="233"/>
        <v>3950.2638000000002</v>
      </c>
      <c r="I4948" s="37">
        <f t="shared" si="231"/>
        <v>3950.2638000000002</v>
      </c>
      <c r="J4948" s="4"/>
      <c r="K4948" s="38">
        <f t="shared" si="232"/>
        <v>0</v>
      </c>
    </row>
    <row r="4949" spans="1:11">
      <c r="A4949" t="s">
        <v>4155</v>
      </c>
      <c r="B4949" t="s">
        <v>12449</v>
      </c>
      <c r="C4949" t="s">
        <v>9610</v>
      </c>
      <c r="D4949" t="s">
        <v>9613</v>
      </c>
      <c r="E4949">
        <v>11855.26</v>
      </c>
      <c r="G4949" s="35"/>
      <c r="H4949" s="36">
        <f t="shared" si="233"/>
        <v>7468.8137999999999</v>
      </c>
      <c r="I4949" s="37">
        <f t="shared" si="231"/>
        <v>7468.8137999999999</v>
      </c>
      <c r="J4949" s="4"/>
      <c r="K4949" s="38">
        <f t="shared" si="232"/>
        <v>0</v>
      </c>
    </row>
    <row r="4950" spans="1:11">
      <c r="A4950" t="s">
        <v>4156</v>
      </c>
      <c r="B4950" t="s">
        <v>12449</v>
      </c>
      <c r="C4950" t="s">
        <v>9610</v>
      </c>
      <c r="D4950" t="s">
        <v>9614</v>
      </c>
      <c r="E4950">
        <v>14584.52</v>
      </c>
      <c r="G4950" s="35"/>
      <c r="H4950" s="36">
        <f t="shared" si="233"/>
        <v>9188.2476000000006</v>
      </c>
      <c r="I4950" s="37">
        <f t="shared" si="231"/>
        <v>9188.2476000000006</v>
      </c>
      <c r="J4950" s="4"/>
      <c r="K4950" s="38">
        <f t="shared" si="232"/>
        <v>0</v>
      </c>
    </row>
    <row r="4951" spans="1:11">
      <c r="A4951" t="s">
        <v>4157</v>
      </c>
      <c r="B4951" t="s">
        <v>12449</v>
      </c>
      <c r="C4951" t="s">
        <v>9610</v>
      </c>
      <c r="D4951" t="s">
        <v>9615</v>
      </c>
      <c r="E4951">
        <v>18152.400000000001</v>
      </c>
      <c r="G4951" s="35"/>
      <c r="H4951" s="36">
        <f t="shared" si="233"/>
        <v>11436.012000000001</v>
      </c>
      <c r="I4951" s="37">
        <f t="shared" si="231"/>
        <v>11436.012000000001</v>
      </c>
      <c r="J4951" s="4"/>
      <c r="K4951" s="38">
        <f t="shared" si="232"/>
        <v>0</v>
      </c>
    </row>
    <row r="4952" spans="1:11">
      <c r="A4952" t="s">
        <v>355</v>
      </c>
      <c r="B4952" t="s">
        <v>10181</v>
      </c>
      <c r="C4952" t="s">
        <v>6022</v>
      </c>
      <c r="D4952" t="s">
        <v>6023</v>
      </c>
      <c r="E4952">
        <v>325.98</v>
      </c>
      <c r="G4952" s="35"/>
      <c r="H4952" s="36">
        <f t="shared" si="233"/>
        <v>205.3674</v>
      </c>
      <c r="I4952" s="37">
        <f t="shared" si="231"/>
        <v>205.3674</v>
      </c>
      <c r="J4952" s="4"/>
      <c r="K4952" s="38">
        <f t="shared" si="232"/>
        <v>0</v>
      </c>
    </row>
    <row r="4953" spans="1:11">
      <c r="A4953" t="s">
        <v>356</v>
      </c>
      <c r="B4953" t="s">
        <v>10181</v>
      </c>
      <c r="C4953" t="s">
        <v>6022</v>
      </c>
      <c r="D4953" t="s">
        <v>6024</v>
      </c>
      <c r="E4953">
        <v>518.54</v>
      </c>
      <c r="G4953" s="35"/>
      <c r="H4953" s="36">
        <f t="shared" si="233"/>
        <v>326.68019999999996</v>
      </c>
      <c r="I4953" s="37">
        <f t="shared" si="231"/>
        <v>326.68019999999996</v>
      </c>
      <c r="J4953" s="4"/>
      <c r="K4953" s="38">
        <f t="shared" si="232"/>
        <v>0</v>
      </c>
    </row>
    <row r="4954" spans="1:11">
      <c r="A4954" t="s">
        <v>357</v>
      </c>
      <c r="B4954" t="s">
        <v>10181</v>
      </c>
      <c r="C4954" t="s">
        <v>6022</v>
      </c>
      <c r="D4954" t="s">
        <v>6025</v>
      </c>
      <c r="E4954">
        <v>1139.43</v>
      </c>
      <c r="G4954" s="35"/>
      <c r="H4954" s="36">
        <f t="shared" si="233"/>
        <v>717.84090000000003</v>
      </c>
      <c r="I4954" s="37">
        <f t="shared" si="231"/>
        <v>717.84090000000003</v>
      </c>
      <c r="J4954" s="4"/>
      <c r="K4954" s="38">
        <f t="shared" si="232"/>
        <v>0</v>
      </c>
    </row>
    <row r="4955" spans="1:11">
      <c r="A4955" t="s">
        <v>358</v>
      </c>
      <c r="B4955" t="s">
        <v>10181</v>
      </c>
      <c r="C4955" t="s">
        <v>6022</v>
      </c>
      <c r="D4955" t="s">
        <v>6026</v>
      </c>
      <c r="E4955">
        <v>1905.24</v>
      </c>
      <c r="G4955" s="35"/>
      <c r="H4955" s="36">
        <f t="shared" si="233"/>
        <v>1200.3012000000001</v>
      </c>
      <c r="I4955" s="37">
        <f t="shared" si="231"/>
        <v>1200.3012000000001</v>
      </c>
      <c r="J4955" s="4"/>
      <c r="K4955" s="38">
        <f t="shared" si="232"/>
        <v>0</v>
      </c>
    </row>
    <row r="4956" spans="1:11">
      <c r="A4956" t="s">
        <v>359</v>
      </c>
      <c r="B4956" t="s">
        <v>10181</v>
      </c>
      <c r="C4956" t="s">
        <v>6022</v>
      </c>
      <c r="D4956" t="s">
        <v>6027</v>
      </c>
      <c r="E4956">
        <v>2670.47</v>
      </c>
      <c r="G4956" s="35"/>
      <c r="H4956" s="36">
        <f t="shared" si="233"/>
        <v>1682.3960999999999</v>
      </c>
      <c r="I4956" s="37">
        <f t="shared" si="231"/>
        <v>1682.3960999999999</v>
      </c>
      <c r="J4956" s="4"/>
      <c r="K4956" s="38">
        <f t="shared" si="232"/>
        <v>0</v>
      </c>
    </row>
    <row r="4957" spans="1:11">
      <c r="A4957" t="s">
        <v>360</v>
      </c>
      <c r="B4957" t="s">
        <v>10181</v>
      </c>
      <c r="C4957" t="s">
        <v>6022</v>
      </c>
      <c r="D4957" t="s">
        <v>6028</v>
      </c>
      <c r="E4957">
        <v>4326.12</v>
      </c>
      <c r="G4957" s="35"/>
      <c r="H4957" s="36">
        <f t="shared" si="233"/>
        <v>2725.4555999999998</v>
      </c>
      <c r="I4957" s="37">
        <f t="shared" si="231"/>
        <v>2725.4555999999998</v>
      </c>
      <c r="J4957" s="4"/>
      <c r="K4957" s="38">
        <f t="shared" si="232"/>
        <v>0</v>
      </c>
    </row>
    <row r="4958" spans="1:11">
      <c r="A4958" t="s">
        <v>361</v>
      </c>
      <c r="B4958" t="s">
        <v>10181</v>
      </c>
      <c r="C4958" t="s">
        <v>6022</v>
      </c>
      <c r="D4958" t="s">
        <v>6029</v>
      </c>
      <c r="E4958">
        <v>9252.35</v>
      </c>
      <c r="G4958" s="35"/>
      <c r="H4958" s="36">
        <f t="shared" si="233"/>
        <v>5828.9805000000006</v>
      </c>
      <c r="I4958" s="37">
        <f t="shared" si="231"/>
        <v>5828.9805000000006</v>
      </c>
      <c r="J4958" s="4"/>
      <c r="K4958" s="38">
        <f t="shared" si="232"/>
        <v>0</v>
      </c>
    </row>
    <row r="4959" spans="1:11">
      <c r="A4959" t="s">
        <v>362</v>
      </c>
      <c r="B4959" t="s">
        <v>10181</v>
      </c>
      <c r="C4959" t="s">
        <v>6022</v>
      </c>
      <c r="D4959" t="s">
        <v>6030</v>
      </c>
      <c r="E4959">
        <v>29502.77</v>
      </c>
      <c r="G4959" s="35"/>
      <c r="H4959" s="36">
        <f t="shared" si="233"/>
        <v>18586.7451</v>
      </c>
      <c r="I4959" s="37">
        <f t="shared" si="231"/>
        <v>18586.7451</v>
      </c>
      <c r="J4959" s="4"/>
      <c r="K4959" s="38">
        <f t="shared" si="232"/>
        <v>0</v>
      </c>
    </row>
    <row r="4960" spans="1:11">
      <c r="A4960" t="s">
        <v>363</v>
      </c>
      <c r="B4960" t="s">
        <v>10181</v>
      </c>
      <c r="C4960" t="s">
        <v>6022</v>
      </c>
      <c r="D4960" t="s">
        <v>6031</v>
      </c>
      <c r="E4960">
        <v>74422.06</v>
      </c>
      <c r="G4960" s="35"/>
      <c r="H4960" s="36">
        <f t="shared" si="233"/>
        <v>46885.897799999999</v>
      </c>
      <c r="I4960" s="37">
        <f t="shared" si="231"/>
        <v>46885.897799999999</v>
      </c>
      <c r="J4960" s="4"/>
      <c r="K4960" s="38">
        <f t="shared" si="232"/>
        <v>0</v>
      </c>
    </row>
    <row r="4961" spans="1:11">
      <c r="A4961" t="s">
        <v>364</v>
      </c>
      <c r="B4961" t="s">
        <v>10181</v>
      </c>
      <c r="C4961" t="s">
        <v>6022</v>
      </c>
      <c r="D4961" t="s">
        <v>6032</v>
      </c>
      <c r="E4961">
        <v>448</v>
      </c>
      <c r="G4961" s="35"/>
      <c r="H4961" s="36">
        <f t="shared" si="233"/>
        <v>282.24</v>
      </c>
      <c r="I4961" s="37">
        <f t="shared" si="231"/>
        <v>282.24</v>
      </c>
      <c r="J4961" s="4"/>
      <c r="K4961" s="38">
        <f t="shared" si="232"/>
        <v>0</v>
      </c>
    </row>
    <row r="4962" spans="1:11">
      <c r="A4962" t="s">
        <v>365</v>
      </c>
      <c r="B4962" t="s">
        <v>10181</v>
      </c>
      <c r="C4962" t="s">
        <v>6022</v>
      </c>
      <c r="D4962" t="s">
        <v>6033</v>
      </c>
      <c r="E4962">
        <v>715.81</v>
      </c>
      <c r="G4962" s="35"/>
      <c r="H4962" s="36">
        <f t="shared" si="233"/>
        <v>450.96029999999996</v>
      </c>
      <c r="I4962" s="37">
        <f t="shared" si="231"/>
        <v>450.96029999999996</v>
      </c>
      <c r="J4962" s="4"/>
      <c r="K4962" s="38">
        <f t="shared" si="232"/>
        <v>0</v>
      </c>
    </row>
    <row r="4963" spans="1:11">
      <c r="A4963" t="s">
        <v>366</v>
      </c>
      <c r="B4963" t="s">
        <v>10181</v>
      </c>
      <c r="C4963" t="s">
        <v>6022</v>
      </c>
      <c r="D4963" t="s">
        <v>6034</v>
      </c>
      <c r="E4963">
        <v>1399.96</v>
      </c>
      <c r="G4963" s="35"/>
      <c r="H4963" s="36">
        <f t="shared" si="233"/>
        <v>881.97480000000007</v>
      </c>
      <c r="I4963" s="37">
        <f t="shared" si="231"/>
        <v>881.97480000000007</v>
      </c>
      <c r="J4963" s="4"/>
      <c r="K4963" s="38">
        <f t="shared" si="232"/>
        <v>0</v>
      </c>
    </row>
    <row r="4964" spans="1:11">
      <c r="A4964" t="s">
        <v>367</v>
      </c>
      <c r="B4964" t="s">
        <v>10181</v>
      </c>
      <c r="C4964" t="s">
        <v>6022</v>
      </c>
      <c r="D4964" t="s">
        <v>6035</v>
      </c>
      <c r="E4964">
        <v>2174.0100000000002</v>
      </c>
      <c r="G4964" s="35"/>
      <c r="H4964" s="36">
        <f t="shared" si="233"/>
        <v>1369.6263000000001</v>
      </c>
      <c r="I4964" s="37">
        <f t="shared" si="231"/>
        <v>1369.6263000000001</v>
      </c>
      <c r="J4964" s="4"/>
      <c r="K4964" s="38">
        <f t="shared" si="232"/>
        <v>0</v>
      </c>
    </row>
    <row r="4965" spans="1:11">
      <c r="A4965" t="s">
        <v>368</v>
      </c>
      <c r="B4965" t="s">
        <v>10181</v>
      </c>
      <c r="C4965" t="s">
        <v>6022</v>
      </c>
      <c r="D4965" t="s">
        <v>6036</v>
      </c>
      <c r="E4965">
        <v>3023.93</v>
      </c>
      <c r="G4965" s="35"/>
      <c r="H4965" s="36">
        <f t="shared" si="233"/>
        <v>1905.0758999999998</v>
      </c>
      <c r="I4965" s="37">
        <f t="shared" si="231"/>
        <v>1905.0758999999998</v>
      </c>
      <c r="J4965" s="4"/>
      <c r="K4965" s="38">
        <f t="shared" si="232"/>
        <v>0</v>
      </c>
    </row>
    <row r="4966" spans="1:11">
      <c r="A4966" t="s">
        <v>369</v>
      </c>
      <c r="B4966" t="s">
        <v>10181</v>
      </c>
      <c r="C4966" t="s">
        <v>6022</v>
      </c>
      <c r="D4966" t="s">
        <v>6037</v>
      </c>
      <c r="E4966">
        <v>5413.1</v>
      </c>
      <c r="G4966" s="35"/>
      <c r="H4966" s="36">
        <f t="shared" si="233"/>
        <v>3410.2530000000002</v>
      </c>
      <c r="I4966" s="37">
        <f t="shared" si="231"/>
        <v>3410.2530000000002</v>
      </c>
      <c r="J4966" s="4"/>
      <c r="K4966" s="38">
        <f t="shared" si="232"/>
        <v>0</v>
      </c>
    </row>
    <row r="4967" spans="1:11">
      <c r="A4967" t="s">
        <v>370</v>
      </c>
      <c r="B4967" t="s">
        <v>10181</v>
      </c>
      <c r="C4967" t="s">
        <v>6022</v>
      </c>
      <c r="D4967" t="s">
        <v>6038</v>
      </c>
      <c r="E4967">
        <v>13065.55</v>
      </c>
      <c r="G4967" s="35"/>
      <c r="H4967" s="36">
        <f t="shared" si="233"/>
        <v>8231.2965000000004</v>
      </c>
      <c r="I4967" s="37">
        <f t="shared" si="231"/>
        <v>8231.2965000000004</v>
      </c>
      <c r="J4967" s="4"/>
      <c r="K4967" s="38">
        <f t="shared" si="232"/>
        <v>0</v>
      </c>
    </row>
    <row r="4968" spans="1:11">
      <c r="A4968" t="s">
        <v>371</v>
      </c>
      <c r="B4968" t="s">
        <v>10181</v>
      </c>
      <c r="C4968" t="s">
        <v>6022</v>
      </c>
      <c r="D4968" t="s">
        <v>6039</v>
      </c>
      <c r="E4968">
        <v>37548.699999999997</v>
      </c>
      <c r="G4968" s="35"/>
      <c r="H4968" s="36">
        <f t="shared" si="233"/>
        <v>23655.680999999997</v>
      </c>
      <c r="I4968" s="37">
        <f t="shared" si="231"/>
        <v>23655.680999999997</v>
      </c>
      <c r="J4968" s="4"/>
      <c r="K4968" s="38">
        <f t="shared" si="232"/>
        <v>0</v>
      </c>
    </row>
    <row r="4969" spans="1:11">
      <c r="A4969" t="s">
        <v>372</v>
      </c>
      <c r="B4969" t="s">
        <v>10181</v>
      </c>
      <c r="C4969" t="s">
        <v>6022</v>
      </c>
      <c r="D4969" t="s">
        <v>6040</v>
      </c>
      <c r="E4969">
        <v>760.92</v>
      </c>
      <c r="G4969" s="35"/>
      <c r="H4969" s="36">
        <f t="shared" si="233"/>
        <v>479.37959999999998</v>
      </c>
      <c r="I4969" s="37">
        <f t="shared" si="231"/>
        <v>479.37959999999998</v>
      </c>
      <c r="J4969" s="4"/>
      <c r="K4969" s="38">
        <f t="shared" si="232"/>
        <v>0</v>
      </c>
    </row>
    <row r="4970" spans="1:11">
      <c r="A4970" t="s">
        <v>373</v>
      </c>
      <c r="B4970" t="s">
        <v>10181</v>
      </c>
      <c r="C4970" t="s">
        <v>6022</v>
      </c>
      <c r="D4970" t="s">
        <v>6041</v>
      </c>
      <c r="E4970">
        <v>970.08</v>
      </c>
      <c r="G4970" s="35"/>
      <c r="H4970" s="36">
        <f t="shared" si="233"/>
        <v>611.15039999999999</v>
      </c>
      <c r="I4970" s="37">
        <f t="shared" si="231"/>
        <v>611.15039999999999</v>
      </c>
      <c r="J4970" s="4"/>
      <c r="K4970" s="38">
        <f t="shared" si="232"/>
        <v>0</v>
      </c>
    </row>
    <row r="4971" spans="1:11">
      <c r="A4971" t="s">
        <v>374</v>
      </c>
      <c r="B4971" t="s">
        <v>10181</v>
      </c>
      <c r="C4971" t="s">
        <v>6022</v>
      </c>
      <c r="D4971" t="s">
        <v>6042</v>
      </c>
      <c r="E4971">
        <v>1695.19</v>
      </c>
      <c r="G4971" s="35"/>
      <c r="H4971" s="36">
        <f t="shared" si="233"/>
        <v>1067.9697000000001</v>
      </c>
      <c r="I4971" s="37">
        <f t="shared" si="231"/>
        <v>1067.9697000000001</v>
      </c>
      <c r="J4971" s="4"/>
      <c r="K4971" s="38">
        <f t="shared" si="232"/>
        <v>0</v>
      </c>
    </row>
    <row r="4972" spans="1:11">
      <c r="A4972" t="s">
        <v>375</v>
      </c>
      <c r="B4972" t="s">
        <v>10181</v>
      </c>
      <c r="C4972" t="s">
        <v>6022</v>
      </c>
      <c r="D4972" t="s">
        <v>6043</v>
      </c>
      <c r="E4972">
        <v>4140.75</v>
      </c>
      <c r="G4972" s="35"/>
      <c r="H4972" s="36">
        <f t="shared" si="233"/>
        <v>2608.6725000000001</v>
      </c>
      <c r="I4972" s="37">
        <f t="shared" si="231"/>
        <v>2608.6725000000001</v>
      </c>
      <c r="J4972" s="4"/>
      <c r="K4972" s="38">
        <f t="shared" si="232"/>
        <v>0</v>
      </c>
    </row>
    <row r="4973" spans="1:11">
      <c r="A4973" t="s">
        <v>376</v>
      </c>
      <c r="B4973" t="s">
        <v>10181</v>
      </c>
      <c r="C4973" t="s">
        <v>6022</v>
      </c>
      <c r="D4973" t="s">
        <v>6044</v>
      </c>
      <c r="E4973">
        <v>5655.68</v>
      </c>
      <c r="G4973" s="35"/>
      <c r="H4973" s="36">
        <f t="shared" si="233"/>
        <v>3563.0784000000003</v>
      </c>
      <c r="I4973" s="37">
        <f t="shared" si="231"/>
        <v>3563.0784000000003</v>
      </c>
      <c r="J4973" s="4"/>
      <c r="K4973" s="38">
        <f t="shared" si="232"/>
        <v>0</v>
      </c>
    </row>
    <row r="4974" spans="1:11">
      <c r="A4974" t="s">
        <v>377</v>
      </c>
      <c r="B4974" t="s">
        <v>10181</v>
      </c>
      <c r="C4974" t="s">
        <v>6022</v>
      </c>
      <c r="D4974" t="s">
        <v>6045</v>
      </c>
      <c r="E4974">
        <v>10601.89</v>
      </c>
      <c r="G4974" s="35"/>
      <c r="H4974" s="36">
        <f t="shared" si="233"/>
        <v>6679.1907000000001</v>
      </c>
      <c r="I4974" s="37">
        <f t="shared" si="231"/>
        <v>6679.1907000000001</v>
      </c>
      <c r="J4974" s="4"/>
      <c r="K4974" s="38">
        <f t="shared" si="232"/>
        <v>0</v>
      </c>
    </row>
    <row r="4975" spans="1:11">
      <c r="A4975" t="s">
        <v>378</v>
      </c>
      <c r="B4975" t="s">
        <v>10181</v>
      </c>
      <c r="C4975" t="s">
        <v>6022</v>
      </c>
      <c r="D4975" t="s">
        <v>6046</v>
      </c>
      <c r="E4975">
        <v>3189.42</v>
      </c>
      <c r="G4975" s="35"/>
      <c r="H4975" s="36">
        <f t="shared" si="233"/>
        <v>2009.3346000000001</v>
      </c>
      <c r="I4975" s="37">
        <f t="shared" si="231"/>
        <v>2009.3346000000001</v>
      </c>
      <c r="J4975" s="4"/>
      <c r="K4975" s="38">
        <f t="shared" si="232"/>
        <v>0</v>
      </c>
    </row>
    <row r="4976" spans="1:11">
      <c r="A4976" t="s">
        <v>379</v>
      </c>
      <c r="B4976" t="s">
        <v>10181</v>
      </c>
      <c r="C4976" t="s">
        <v>6022</v>
      </c>
      <c r="D4976" t="s">
        <v>6047</v>
      </c>
      <c r="E4976">
        <v>4255.5600000000004</v>
      </c>
      <c r="G4976" s="35"/>
      <c r="H4976" s="36">
        <f t="shared" si="233"/>
        <v>2681.0028000000002</v>
      </c>
      <c r="I4976" s="37">
        <f t="shared" si="231"/>
        <v>2681.0028000000002</v>
      </c>
      <c r="J4976" s="4"/>
      <c r="K4976" s="38">
        <f t="shared" si="232"/>
        <v>0</v>
      </c>
    </row>
    <row r="4977" spans="1:11">
      <c r="A4977" t="s">
        <v>380</v>
      </c>
      <c r="B4977" t="s">
        <v>10181</v>
      </c>
      <c r="C4977" t="s">
        <v>6022</v>
      </c>
      <c r="D4977" t="s">
        <v>6048</v>
      </c>
      <c r="E4977">
        <v>9084.8700000000008</v>
      </c>
      <c r="G4977" s="35"/>
      <c r="H4977" s="36">
        <f t="shared" si="233"/>
        <v>5723.468100000001</v>
      </c>
      <c r="I4977" s="37">
        <f t="shared" si="231"/>
        <v>5723.468100000001</v>
      </c>
      <c r="J4977" s="4"/>
      <c r="K4977" s="38">
        <f t="shared" si="232"/>
        <v>0</v>
      </c>
    </row>
    <row r="4978" spans="1:11">
      <c r="A4978" t="s">
        <v>381</v>
      </c>
      <c r="B4978" t="s">
        <v>10181</v>
      </c>
      <c r="C4978" t="s">
        <v>6022</v>
      </c>
      <c r="D4978" t="s">
        <v>6049</v>
      </c>
      <c r="E4978">
        <v>263.29000000000002</v>
      </c>
      <c r="G4978" s="35"/>
      <c r="H4978" s="36">
        <f t="shared" si="233"/>
        <v>165.87270000000001</v>
      </c>
      <c r="I4978" s="37">
        <f t="shared" si="231"/>
        <v>165.87270000000001</v>
      </c>
      <c r="J4978" s="4"/>
      <c r="K4978" s="38">
        <f t="shared" si="232"/>
        <v>0</v>
      </c>
    </row>
    <row r="4979" spans="1:11">
      <c r="A4979" t="s">
        <v>382</v>
      </c>
      <c r="B4979" t="s">
        <v>10181</v>
      </c>
      <c r="C4979" t="s">
        <v>6022</v>
      </c>
      <c r="D4979" t="s">
        <v>6050</v>
      </c>
      <c r="E4979">
        <v>378.84</v>
      </c>
      <c r="G4979" s="35"/>
      <c r="H4979" s="36">
        <f t="shared" si="233"/>
        <v>238.66919999999999</v>
      </c>
      <c r="I4979" s="37">
        <f t="shared" si="231"/>
        <v>238.66919999999999</v>
      </c>
      <c r="J4979" s="4"/>
      <c r="K4979" s="38">
        <f t="shared" si="232"/>
        <v>0</v>
      </c>
    </row>
    <row r="4980" spans="1:11">
      <c r="A4980" t="s">
        <v>383</v>
      </c>
      <c r="B4980" t="s">
        <v>10181</v>
      </c>
      <c r="C4980" t="s">
        <v>6022</v>
      </c>
      <c r="D4980" t="s">
        <v>6051</v>
      </c>
      <c r="E4980">
        <v>831.89</v>
      </c>
      <c r="G4980" s="35"/>
      <c r="H4980" s="36">
        <f t="shared" si="233"/>
        <v>524.09069999999997</v>
      </c>
      <c r="I4980" s="37">
        <f t="shared" si="231"/>
        <v>524.09069999999997</v>
      </c>
      <c r="J4980" s="4"/>
      <c r="K4980" s="38">
        <f t="shared" si="232"/>
        <v>0</v>
      </c>
    </row>
    <row r="4981" spans="1:11">
      <c r="A4981" t="s">
        <v>384</v>
      </c>
      <c r="B4981" t="s">
        <v>10181</v>
      </c>
      <c r="C4981" t="s">
        <v>6022</v>
      </c>
      <c r="D4981" t="s">
        <v>6052</v>
      </c>
      <c r="E4981">
        <v>1487.54</v>
      </c>
      <c r="G4981" s="35"/>
      <c r="H4981" s="36">
        <f t="shared" si="233"/>
        <v>937.15019999999993</v>
      </c>
      <c r="I4981" s="37">
        <f t="shared" si="231"/>
        <v>937.15019999999993</v>
      </c>
      <c r="J4981" s="4"/>
      <c r="K4981" s="38">
        <f t="shared" si="232"/>
        <v>0</v>
      </c>
    </row>
    <row r="4982" spans="1:11">
      <c r="A4982" t="s">
        <v>385</v>
      </c>
      <c r="B4982" t="s">
        <v>10181</v>
      </c>
      <c r="C4982" t="s">
        <v>6022</v>
      </c>
      <c r="D4982" t="s">
        <v>6053</v>
      </c>
      <c r="E4982">
        <v>1853.24</v>
      </c>
      <c r="G4982" s="35"/>
      <c r="H4982" s="36">
        <f t="shared" si="233"/>
        <v>1167.5412000000001</v>
      </c>
      <c r="I4982" s="37">
        <f t="shared" si="231"/>
        <v>1167.5412000000001</v>
      </c>
      <c r="J4982" s="4"/>
      <c r="K4982" s="38">
        <f t="shared" si="232"/>
        <v>0</v>
      </c>
    </row>
    <row r="4983" spans="1:11">
      <c r="A4983" t="s">
        <v>386</v>
      </c>
      <c r="B4983" t="s">
        <v>10181</v>
      </c>
      <c r="C4983" t="s">
        <v>6022</v>
      </c>
      <c r="D4983" t="s">
        <v>6054</v>
      </c>
      <c r="E4983">
        <v>3067.3</v>
      </c>
      <c r="G4983" s="35"/>
      <c r="H4983" s="36">
        <f t="shared" si="233"/>
        <v>1932.3990000000001</v>
      </c>
      <c r="I4983" s="37">
        <f t="shared" si="231"/>
        <v>1932.3990000000001</v>
      </c>
      <c r="J4983" s="4"/>
      <c r="K4983" s="38">
        <f t="shared" si="232"/>
        <v>0</v>
      </c>
    </row>
    <row r="4984" spans="1:11">
      <c r="A4984" t="s">
        <v>387</v>
      </c>
      <c r="B4984" t="s">
        <v>10181</v>
      </c>
      <c r="C4984" t="s">
        <v>6022</v>
      </c>
      <c r="D4984" t="s">
        <v>6055</v>
      </c>
      <c r="E4984">
        <v>6319.14</v>
      </c>
      <c r="G4984" s="35"/>
      <c r="H4984" s="36">
        <f t="shared" si="233"/>
        <v>3981.0582000000004</v>
      </c>
      <c r="I4984" s="37">
        <f t="shared" si="231"/>
        <v>3981.0582000000004</v>
      </c>
      <c r="J4984" s="4"/>
      <c r="K4984" s="38">
        <f t="shared" si="232"/>
        <v>0</v>
      </c>
    </row>
    <row r="4985" spans="1:11">
      <c r="A4985" t="s">
        <v>388</v>
      </c>
      <c r="B4985" t="s">
        <v>10181</v>
      </c>
      <c r="C4985" t="s">
        <v>6022</v>
      </c>
      <c r="D4985" t="s">
        <v>6056</v>
      </c>
      <c r="E4985">
        <v>3937.29</v>
      </c>
      <c r="G4985" s="35"/>
      <c r="H4985" s="36">
        <f t="shared" si="233"/>
        <v>2480.4926999999998</v>
      </c>
      <c r="I4985" s="37">
        <f t="shared" si="231"/>
        <v>2480.4926999999998</v>
      </c>
      <c r="J4985" s="4"/>
      <c r="K4985" s="38">
        <f t="shared" si="232"/>
        <v>0</v>
      </c>
    </row>
    <row r="4986" spans="1:11">
      <c r="A4986" t="s">
        <v>389</v>
      </c>
      <c r="B4986" t="s">
        <v>10181</v>
      </c>
      <c r="C4986" t="s">
        <v>6022</v>
      </c>
      <c r="D4986" t="s">
        <v>6057</v>
      </c>
      <c r="E4986">
        <v>6511.86</v>
      </c>
      <c r="G4986" s="35"/>
      <c r="H4986" s="36">
        <f t="shared" si="233"/>
        <v>4102.4718000000003</v>
      </c>
      <c r="I4986" s="37">
        <f t="shared" si="231"/>
        <v>4102.4718000000003</v>
      </c>
      <c r="J4986" s="4"/>
      <c r="K4986" s="38">
        <f t="shared" si="232"/>
        <v>0</v>
      </c>
    </row>
    <row r="4987" spans="1:11">
      <c r="A4987" t="s">
        <v>390</v>
      </c>
      <c r="B4987" t="s">
        <v>10181</v>
      </c>
      <c r="C4987" t="s">
        <v>6022</v>
      </c>
      <c r="D4987" t="s">
        <v>11571</v>
      </c>
      <c r="E4987">
        <v>195.04</v>
      </c>
      <c r="G4987" s="35"/>
      <c r="H4987" s="36">
        <f t="shared" si="233"/>
        <v>122.87519999999999</v>
      </c>
      <c r="I4987" s="37">
        <f t="shared" si="231"/>
        <v>122.87519999999999</v>
      </c>
      <c r="J4987" s="4"/>
      <c r="K4987" s="38">
        <f t="shared" si="232"/>
        <v>0</v>
      </c>
    </row>
    <row r="4988" spans="1:11">
      <c r="A4988" t="s">
        <v>391</v>
      </c>
      <c r="B4988" t="s">
        <v>10181</v>
      </c>
      <c r="C4988" t="s">
        <v>6022</v>
      </c>
      <c r="D4988" t="s">
        <v>11572</v>
      </c>
      <c r="E4988">
        <v>281.12</v>
      </c>
      <c r="G4988" s="35"/>
      <c r="H4988" s="36">
        <f t="shared" si="233"/>
        <v>177.10560000000001</v>
      </c>
      <c r="I4988" s="37">
        <f t="shared" si="231"/>
        <v>177.10560000000001</v>
      </c>
      <c r="J4988" s="4"/>
      <c r="K4988" s="38">
        <f t="shared" si="232"/>
        <v>0</v>
      </c>
    </row>
    <row r="4989" spans="1:11">
      <c r="A4989" t="s">
        <v>392</v>
      </c>
      <c r="B4989" t="s">
        <v>10181</v>
      </c>
      <c r="C4989" t="s">
        <v>6022</v>
      </c>
      <c r="D4989" t="s">
        <v>11573</v>
      </c>
      <c r="E4989">
        <v>448</v>
      </c>
      <c r="G4989" s="35"/>
      <c r="H4989" s="36">
        <f t="shared" si="233"/>
        <v>282.24</v>
      </c>
      <c r="I4989" s="37">
        <f t="shared" si="231"/>
        <v>282.24</v>
      </c>
      <c r="J4989" s="4"/>
      <c r="K4989" s="38">
        <f t="shared" si="232"/>
        <v>0</v>
      </c>
    </row>
    <row r="4990" spans="1:11">
      <c r="A4990" t="s">
        <v>393</v>
      </c>
      <c r="B4990" t="s">
        <v>10181</v>
      </c>
      <c r="C4990" t="s">
        <v>6022</v>
      </c>
      <c r="D4990" t="s">
        <v>11574</v>
      </c>
      <c r="E4990">
        <v>639.41999999999996</v>
      </c>
      <c r="G4990" s="35"/>
      <c r="H4990" s="36">
        <f t="shared" si="233"/>
        <v>402.83459999999997</v>
      </c>
      <c r="I4990" s="37">
        <f t="shared" si="231"/>
        <v>402.83459999999997</v>
      </c>
      <c r="J4990" s="4"/>
      <c r="K4990" s="38">
        <f t="shared" si="232"/>
        <v>0</v>
      </c>
    </row>
    <row r="4991" spans="1:11">
      <c r="A4991" t="s">
        <v>394</v>
      </c>
      <c r="B4991" t="s">
        <v>10181</v>
      </c>
      <c r="C4991" t="s">
        <v>6022</v>
      </c>
      <c r="D4991" t="s">
        <v>11575</v>
      </c>
      <c r="E4991">
        <v>1130.72</v>
      </c>
      <c r="G4991" s="35"/>
      <c r="H4991" s="36">
        <f t="shared" si="233"/>
        <v>712.35360000000003</v>
      </c>
      <c r="I4991" s="37">
        <f t="shared" si="231"/>
        <v>712.35360000000003</v>
      </c>
      <c r="J4991" s="4"/>
      <c r="K4991" s="38">
        <f t="shared" si="232"/>
        <v>0</v>
      </c>
    </row>
    <row r="4992" spans="1:11">
      <c r="A4992" t="s">
        <v>395</v>
      </c>
      <c r="B4992" t="s">
        <v>10181</v>
      </c>
      <c r="C4992" t="s">
        <v>6022</v>
      </c>
      <c r="D4992" t="s">
        <v>11576</v>
      </c>
      <c r="E4992">
        <v>1729.35</v>
      </c>
      <c r="G4992" s="35"/>
      <c r="H4992" s="36">
        <f t="shared" si="233"/>
        <v>1089.4904999999999</v>
      </c>
      <c r="I4992" s="37">
        <f t="shared" si="231"/>
        <v>1089.4904999999999</v>
      </c>
      <c r="J4992" s="4"/>
      <c r="K4992" s="38">
        <f t="shared" si="232"/>
        <v>0</v>
      </c>
    </row>
    <row r="4993" spans="1:11">
      <c r="A4993" t="s">
        <v>396</v>
      </c>
      <c r="B4993" t="s">
        <v>10181</v>
      </c>
      <c r="C4993" t="s">
        <v>6022</v>
      </c>
      <c r="D4993" t="s">
        <v>11577</v>
      </c>
      <c r="E4993">
        <v>4643.4799999999996</v>
      </c>
      <c r="G4993" s="35"/>
      <c r="H4993" s="36">
        <f t="shared" si="233"/>
        <v>2925.3923999999997</v>
      </c>
      <c r="I4993" s="37">
        <f t="shared" si="231"/>
        <v>2925.3923999999997</v>
      </c>
      <c r="J4993" s="4"/>
      <c r="K4993" s="38">
        <f t="shared" si="232"/>
        <v>0</v>
      </c>
    </row>
    <row r="4994" spans="1:11">
      <c r="A4994" t="s">
        <v>397</v>
      </c>
      <c r="B4994" t="s">
        <v>10181</v>
      </c>
      <c r="C4994" t="s">
        <v>6022</v>
      </c>
      <c r="D4994" t="s">
        <v>6058</v>
      </c>
      <c r="E4994">
        <v>13408.82</v>
      </c>
      <c r="G4994" s="35"/>
      <c r="H4994" s="36">
        <f t="shared" si="233"/>
        <v>8447.5565999999999</v>
      </c>
      <c r="I4994" s="37">
        <f t="shared" si="231"/>
        <v>8447.5565999999999</v>
      </c>
      <c r="J4994" s="4"/>
      <c r="K4994" s="38">
        <f t="shared" si="232"/>
        <v>0</v>
      </c>
    </row>
    <row r="4995" spans="1:11">
      <c r="A4995" t="s">
        <v>398</v>
      </c>
      <c r="B4995" t="s">
        <v>10181</v>
      </c>
      <c r="C4995" t="s">
        <v>6022</v>
      </c>
      <c r="D4995" t="s">
        <v>6059</v>
      </c>
      <c r="E4995">
        <v>18772.509999999998</v>
      </c>
      <c r="G4995" s="35"/>
      <c r="H4995" s="36">
        <f t="shared" si="233"/>
        <v>11826.681299999998</v>
      </c>
      <c r="I4995" s="37">
        <f t="shared" si="231"/>
        <v>11826.681299999998</v>
      </c>
      <c r="J4995" s="4"/>
      <c r="K4995" s="38">
        <f t="shared" si="232"/>
        <v>0</v>
      </c>
    </row>
    <row r="4996" spans="1:11">
      <c r="A4996" t="s">
        <v>399</v>
      </c>
      <c r="B4996" t="s">
        <v>10181</v>
      </c>
      <c r="C4996" t="s">
        <v>6022</v>
      </c>
      <c r="D4996" t="s">
        <v>6060</v>
      </c>
      <c r="E4996">
        <v>1061.1400000000001</v>
      </c>
      <c r="G4996" s="35"/>
      <c r="H4996" s="36">
        <f t="shared" si="233"/>
        <v>668.51820000000009</v>
      </c>
      <c r="I4996" s="37">
        <f t="shared" si="231"/>
        <v>668.51820000000009</v>
      </c>
      <c r="J4996" s="4"/>
      <c r="K4996" s="38">
        <f t="shared" si="232"/>
        <v>0</v>
      </c>
    </row>
    <row r="4997" spans="1:11">
      <c r="A4997" t="s">
        <v>400</v>
      </c>
      <c r="B4997" t="s">
        <v>10181</v>
      </c>
      <c r="C4997" t="s">
        <v>6022</v>
      </c>
      <c r="D4997" t="s">
        <v>6061</v>
      </c>
      <c r="E4997">
        <v>1356.91</v>
      </c>
      <c r="G4997" s="35"/>
      <c r="H4997" s="36">
        <f t="shared" si="233"/>
        <v>854.8533000000001</v>
      </c>
      <c r="I4997" s="37">
        <f t="shared" si="231"/>
        <v>854.8533000000001</v>
      </c>
      <c r="J4997" s="4"/>
      <c r="K4997" s="38">
        <f t="shared" si="232"/>
        <v>0</v>
      </c>
    </row>
    <row r="4998" spans="1:11">
      <c r="A4998" t="s">
        <v>401</v>
      </c>
      <c r="B4998" t="s">
        <v>10181</v>
      </c>
      <c r="C4998" t="s">
        <v>6022</v>
      </c>
      <c r="D4998" t="s">
        <v>6062</v>
      </c>
      <c r="E4998">
        <v>2291.4899999999998</v>
      </c>
      <c r="G4998" s="35"/>
      <c r="H4998" s="36">
        <f t="shared" si="233"/>
        <v>1443.6387</v>
      </c>
      <c r="I4998" s="37">
        <f t="shared" ref="I4998:I5061" si="234">H4998*$H$4</f>
        <v>1443.6387</v>
      </c>
      <c r="J4998" s="4"/>
      <c r="K4998" s="38">
        <f t="shared" ref="K4998:K5061" si="235">J4998*I4998</f>
        <v>0</v>
      </c>
    </row>
    <row r="4999" spans="1:11">
      <c r="A4999" t="s">
        <v>402</v>
      </c>
      <c r="B4999" t="s">
        <v>10181</v>
      </c>
      <c r="C4999" t="s">
        <v>6022</v>
      </c>
      <c r="D4999" t="s">
        <v>6063</v>
      </c>
      <c r="E4999">
        <v>4566.6400000000003</v>
      </c>
      <c r="G4999" s="35"/>
      <c r="H4999" s="36">
        <f t="shared" ref="H4999:H5062" si="236">+E4999*$H$1*(1-G4999)</f>
        <v>2876.9832000000001</v>
      </c>
      <c r="I4999" s="37">
        <f t="shared" si="234"/>
        <v>2876.9832000000001</v>
      </c>
      <c r="J4999" s="4"/>
      <c r="K4999" s="38">
        <f t="shared" si="235"/>
        <v>0</v>
      </c>
    </row>
    <row r="5000" spans="1:11">
      <c r="A5000" t="s">
        <v>403</v>
      </c>
      <c r="B5000" t="s">
        <v>10181</v>
      </c>
      <c r="C5000" t="s">
        <v>6022</v>
      </c>
      <c r="D5000" t="s">
        <v>6064</v>
      </c>
      <c r="E5000">
        <v>8496.89</v>
      </c>
      <c r="G5000" s="35"/>
      <c r="H5000" s="36">
        <f t="shared" si="236"/>
        <v>5353.0406999999996</v>
      </c>
      <c r="I5000" s="37">
        <f t="shared" si="234"/>
        <v>5353.0406999999996</v>
      </c>
      <c r="J5000" s="4"/>
      <c r="K5000" s="38">
        <f t="shared" si="235"/>
        <v>0</v>
      </c>
    </row>
    <row r="5001" spans="1:11">
      <c r="A5001" t="s">
        <v>404</v>
      </c>
      <c r="B5001" t="s">
        <v>10181</v>
      </c>
      <c r="C5001" t="s">
        <v>6022</v>
      </c>
      <c r="D5001" t="s">
        <v>6065</v>
      </c>
      <c r="E5001">
        <v>10223.620000000001</v>
      </c>
      <c r="G5001" s="35"/>
      <c r="H5001" s="36">
        <f t="shared" si="236"/>
        <v>6440.8806000000004</v>
      </c>
      <c r="I5001" s="37">
        <f t="shared" si="234"/>
        <v>6440.8806000000004</v>
      </c>
      <c r="J5001" s="4"/>
      <c r="K5001" s="38">
        <f t="shared" si="235"/>
        <v>0</v>
      </c>
    </row>
    <row r="5002" spans="1:11">
      <c r="A5002" t="s">
        <v>405</v>
      </c>
      <c r="B5002" t="s">
        <v>10181</v>
      </c>
      <c r="C5002" t="s">
        <v>6022</v>
      </c>
      <c r="D5002" t="s">
        <v>6066</v>
      </c>
      <c r="E5002">
        <v>21811.040000000001</v>
      </c>
      <c r="G5002" s="35"/>
      <c r="H5002" s="36">
        <f t="shared" si="236"/>
        <v>13740.9552</v>
      </c>
      <c r="I5002" s="37">
        <f t="shared" si="234"/>
        <v>13740.9552</v>
      </c>
      <c r="J5002" s="4"/>
      <c r="K5002" s="38">
        <f t="shared" si="235"/>
        <v>0</v>
      </c>
    </row>
    <row r="5003" spans="1:11">
      <c r="A5003" t="s">
        <v>406</v>
      </c>
      <c r="B5003" t="s">
        <v>10181</v>
      </c>
      <c r="C5003" t="s">
        <v>6022</v>
      </c>
      <c r="D5003" t="s">
        <v>6067</v>
      </c>
      <c r="E5003">
        <v>182.2</v>
      </c>
      <c r="G5003" s="35"/>
      <c r="H5003" s="36">
        <f t="shared" si="236"/>
        <v>114.78599999999999</v>
      </c>
      <c r="I5003" s="37">
        <f t="shared" si="234"/>
        <v>114.78599999999999</v>
      </c>
      <c r="J5003" s="4"/>
      <c r="K5003" s="38">
        <f t="shared" si="235"/>
        <v>0</v>
      </c>
    </row>
    <row r="5004" spans="1:11">
      <c r="A5004" t="s">
        <v>407</v>
      </c>
      <c r="B5004" t="s">
        <v>10181</v>
      </c>
      <c r="C5004" t="s">
        <v>6022</v>
      </c>
      <c r="D5004" t="s">
        <v>6068</v>
      </c>
      <c r="E5004">
        <v>254.23</v>
      </c>
      <c r="G5004" s="35"/>
      <c r="H5004" s="36">
        <f t="shared" si="236"/>
        <v>160.16489999999999</v>
      </c>
      <c r="I5004" s="37">
        <f t="shared" si="234"/>
        <v>160.16489999999999</v>
      </c>
      <c r="J5004" s="4"/>
      <c r="K5004" s="38">
        <f t="shared" si="235"/>
        <v>0</v>
      </c>
    </row>
    <row r="5005" spans="1:11">
      <c r="A5005" t="s">
        <v>408</v>
      </c>
      <c r="B5005" t="s">
        <v>10181</v>
      </c>
      <c r="C5005" t="s">
        <v>6022</v>
      </c>
      <c r="D5005" t="s">
        <v>6069</v>
      </c>
      <c r="E5005">
        <v>474.44</v>
      </c>
      <c r="G5005" s="35"/>
      <c r="H5005" s="36">
        <f t="shared" si="236"/>
        <v>298.8972</v>
      </c>
      <c r="I5005" s="37">
        <f t="shared" si="234"/>
        <v>298.8972</v>
      </c>
      <c r="J5005" s="4"/>
      <c r="K5005" s="38">
        <f t="shared" si="235"/>
        <v>0</v>
      </c>
    </row>
    <row r="5006" spans="1:11">
      <c r="A5006" t="s">
        <v>409</v>
      </c>
      <c r="B5006" t="s">
        <v>10181</v>
      </c>
      <c r="C5006" t="s">
        <v>6022</v>
      </c>
      <c r="D5006" t="s">
        <v>6070</v>
      </c>
      <c r="E5006">
        <v>946.64</v>
      </c>
      <c r="G5006" s="35"/>
      <c r="H5006" s="36">
        <f t="shared" si="236"/>
        <v>596.38319999999999</v>
      </c>
      <c r="I5006" s="37">
        <f t="shared" si="234"/>
        <v>596.38319999999999</v>
      </c>
      <c r="J5006" s="4"/>
      <c r="K5006" s="38">
        <f t="shared" si="235"/>
        <v>0</v>
      </c>
    </row>
    <row r="5007" spans="1:11">
      <c r="A5007" t="s">
        <v>410</v>
      </c>
      <c r="B5007" t="s">
        <v>10181</v>
      </c>
      <c r="C5007" t="s">
        <v>6022</v>
      </c>
      <c r="D5007" t="s">
        <v>6071</v>
      </c>
      <c r="E5007">
        <v>1623.46</v>
      </c>
      <c r="G5007" s="35"/>
      <c r="H5007" s="36">
        <f t="shared" si="236"/>
        <v>1022.7798</v>
      </c>
      <c r="I5007" s="37">
        <f t="shared" si="234"/>
        <v>1022.7798</v>
      </c>
      <c r="J5007" s="4"/>
      <c r="K5007" s="38">
        <f t="shared" si="235"/>
        <v>0</v>
      </c>
    </row>
    <row r="5008" spans="1:11">
      <c r="A5008" t="s">
        <v>411</v>
      </c>
      <c r="B5008" t="s">
        <v>10181</v>
      </c>
      <c r="C5008" t="s">
        <v>6022</v>
      </c>
      <c r="D5008" t="s">
        <v>6072</v>
      </c>
      <c r="E5008">
        <v>2196.79</v>
      </c>
      <c r="G5008" s="35"/>
      <c r="H5008" s="36">
        <f t="shared" si="236"/>
        <v>1383.9776999999999</v>
      </c>
      <c r="I5008" s="37">
        <f t="shared" si="234"/>
        <v>1383.9776999999999</v>
      </c>
      <c r="J5008" s="4"/>
      <c r="K5008" s="38">
        <f t="shared" si="235"/>
        <v>0</v>
      </c>
    </row>
    <row r="5009" spans="1:11">
      <c r="A5009" t="s">
        <v>412</v>
      </c>
      <c r="B5009" t="s">
        <v>10181</v>
      </c>
      <c r="C5009" t="s">
        <v>6022</v>
      </c>
      <c r="D5009" t="s">
        <v>6073</v>
      </c>
      <c r="E5009">
        <v>208.91</v>
      </c>
      <c r="G5009" s="35"/>
      <c r="H5009" s="36">
        <f t="shared" si="236"/>
        <v>131.61330000000001</v>
      </c>
      <c r="I5009" s="37">
        <f t="shared" si="234"/>
        <v>131.61330000000001</v>
      </c>
      <c r="J5009" s="4"/>
      <c r="K5009" s="38">
        <f t="shared" si="235"/>
        <v>0</v>
      </c>
    </row>
    <row r="5010" spans="1:11">
      <c r="A5010" t="s">
        <v>413</v>
      </c>
      <c r="B5010" t="s">
        <v>10181</v>
      </c>
      <c r="C5010" t="s">
        <v>6022</v>
      </c>
      <c r="D5010" t="s">
        <v>6074</v>
      </c>
      <c r="E5010">
        <v>227.29</v>
      </c>
      <c r="G5010" s="35"/>
      <c r="H5010" s="36">
        <f t="shared" si="236"/>
        <v>143.1927</v>
      </c>
      <c r="I5010" s="37">
        <f t="shared" si="234"/>
        <v>143.1927</v>
      </c>
      <c r="J5010" s="4"/>
      <c r="K5010" s="38">
        <f t="shared" si="235"/>
        <v>0</v>
      </c>
    </row>
    <row r="5011" spans="1:11">
      <c r="A5011" t="s">
        <v>414</v>
      </c>
      <c r="B5011" t="s">
        <v>10181</v>
      </c>
      <c r="C5011" t="s">
        <v>6022</v>
      </c>
      <c r="D5011" t="s">
        <v>6075</v>
      </c>
      <c r="E5011">
        <v>382.62</v>
      </c>
      <c r="G5011" s="35"/>
      <c r="H5011" s="36">
        <f t="shared" si="236"/>
        <v>241.0506</v>
      </c>
      <c r="I5011" s="37">
        <f t="shared" si="234"/>
        <v>241.0506</v>
      </c>
      <c r="J5011" s="4"/>
      <c r="K5011" s="38">
        <f t="shared" si="235"/>
        <v>0</v>
      </c>
    </row>
    <row r="5012" spans="1:11">
      <c r="A5012" t="s">
        <v>415</v>
      </c>
      <c r="B5012" t="s">
        <v>10181</v>
      </c>
      <c r="C5012" t="s">
        <v>6022</v>
      </c>
      <c r="D5012" t="s">
        <v>6076</v>
      </c>
      <c r="E5012">
        <v>578.59</v>
      </c>
      <c r="G5012" s="35"/>
      <c r="H5012" s="36">
        <f t="shared" si="236"/>
        <v>364.51170000000002</v>
      </c>
      <c r="I5012" s="37">
        <f t="shared" si="234"/>
        <v>364.51170000000002</v>
      </c>
      <c r="J5012" s="4"/>
      <c r="K5012" s="38">
        <f t="shared" si="235"/>
        <v>0</v>
      </c>
    </row>
    <row r="5013" spans="1:11">
      <c r="A5013" t="s">
        <v>416</v>
      </c>
      <c r="B5013" t="s">
        <v>10181</v>
      </c>
      <c r="C5013" t="s">
        <v>6022</v>
      </c>
      <c r="D5013" t="s">
        <v>6077</v>
      </c>
      <c r="E5013">
        <v>646.79</v>
      </c>
      <c r="G5013" s="35"/>
      <c r="H5013" s="36">
        <f t="shared" si="236"/>
        <v>407.47769999999997</v>
      </c>
      <c r="I5013" s="37">
        <f t="shared" si="234"/>
        <v>407.47769999999997</v>
      </c>
      <c r="J5013" s="4"/>
      <c r="K5013" s="38">
        <f t="shared" si="235"/>
        <v>0</v>
      </c>
    </row>
    <row r="5014" spans="1:11">
      <c r="A5014" t="s">
        <v>417</v>
      </c>
      <c r="B5014" t="s">
        <v>10181</v>
      </c>
      <c r="C5014" t="s">
        <v>6022</v>
      </c>
      <c r="D5014" t="s">
        <v>6078</v>
      </c>
      <c r="E5014">
        <v>1657.18</v>
      </c>
      <c r="G5014" s="35"/>
      <c r="H5014" s="36">
        <f t="shared" si="236"/>
        <v>1044.0234</v>
      </c>
      <c r="I5014" s="37">
        <f t="shared" si="234"/>
        <v>1044.0234</v>
      </c>
      <c r="J5014" s="4"/>
      <c r="K5014" s="38">
        <f t="shared" si="235"/>
        <v>0</v>
      </c>
    </row>
    <row r="5015" spans="1:11">
      <c r="A5015" t="s">
        <v>418</v>
      </c>
      <c r="B5015" t="s">
        <v>10181</v>
      </c>
      <c r="C5015" t="s">
        <v>6022</v>
      </c>
      <c r="D5015" t="s">
        <v>6079</v>
      </c>
      <c r="E5015">
        <v>5690.52</v>
      </c>
      <c r="G5015" s="35"/>
      <c r="H5015" s="36">
        <f t="shared" si="236"/>
        <v>3585.0276000000003</v>
      </c>
      <c r="I5015" s="37">
        <f t="shared" si="234"/>
        <v>3585.0276000000003</v>
      </c>
      <c r="J5015" s="4"/>
      <c r="K5015" s="38">
        <f t="shared" si="235"/>
        <v>0</v>
      </c>
    </row>
    <row r="5016" spans="1:11">
      <c r="A5016" t="s">
        <v>419</v>
      </c>
      <c r="B5016" t="s">
        <v>10181</v>
      </c>
      <c r="C5016" t="s">
        <v>6022</v>
      </c>
      <c r="D5016" t="s">
        <v>6080</v>
      </c>
      <c r="E5016">
        <v>11175.21</v>
      </c>
      <c r="G5016" s="35"/>
      <c r="H5016" s="36">
        <f t="shared" si="236"/>
        <v>7040.3822999999993</v>
      </c>
      <c r="I5016" s="37">
        <f t="shared" si="234"/>
        <v>7040.3822999999993</v>
      </c>
      <c r="J5016" s="4"/>
      <c r="K5016" s="38">
        <f t="shared" si="235"/>
        <v>0</v>
      </c>
    </row>
    <row r="5017" spans="1:11">
      <c r="A5017" t="s">
        <v>420</v>
      </c>
      <c r="B5017" t="s">
        <v>10181</v>
      </c>
      <c r="C5017" t="s">
        <v>6022</v>
      </c>
      <c r="D5017" t="s">
        <v>6081</v>
      </c>
      <c r="E5017">
        <v>21457.65</v>
      </c>
      <c r="G5017" s="35"/>
      <c r="H5017" s="36">
        <f t="shared" si="236"/>
        <v>13518.319500000001</v>
      </c>
      <c r="I5017" s="37">
        <f t="shared" si="234"/>
        <v>13518.319500000001</v>
      </c>
      <c r="J5017" s="4"/>
      <c r="K5017" s="38">
        <f t="shared" si="235"/>
        <v>0</v>
      </c>
    </row>
    <row r="5018" spans="1:11">
      <c r="A5018" t="s">
        <v>421</v>
      </c>
      <c r="B5018" t="s">
        <v>10181</v>
      </c>
      <c r="C5018" t="s">
        <v>6022</v>
      </c>
      <c r="D5018" t="s">
        <v>6082</v>
      </c>
      <c r="E5018">
        <v>339.77</v>
      </c>
      <c r="G5018" s="35"/>
      <c r="H5018" s="36">
        <f t="shared" si="236"/>
        <v>214.05509999999998</v>
      </c>
      <c r="I5018" s="37">
        <f t="shared" si="234"/>
        <v>214.05509999999998</v>
      </c>
      <c r="J5018" s="4"/>
      <c r="K5018" s="38">
        <f t="shared" si="235"/>
        <v>0</v>
      </c>
    </row>
    <row r="5019" spans="1:11">
      <c r="A5019" t="s">
        <v>422</v>
      </c>
      <c r="B5019" t="s">
        <v>10181</v>
      </c>
      <c r="C5019" t="s">
        <v>6022</v>
      </c>
      <c r="D5019" t="s">
        <v>6083</v>
      </c>
      <c r="E5019">
        <v>537.89</v>
      </c>
      <c r="G5019" s="35"/>
      <c r="H5019" s="36">
        <f t="shared" si="236"/>
        <v>338.8707</v>
      </c>
      <c r="I5019" s="37">
        <f t="shared" si="234"/>
        <v>338.8707</v>
      </c>
      <c r="J5019" s="4"/>
      <c r="K5019" s="38">
        <f t="shared" si="235"/>
        <v>0</v>
      </c>
    </row>
    <row r="5020" spans="1:11">
      <c r="A5020" t="s">
        <v>423</v>
      </c>
      <c r="B5020" t="s">
        <v>10181</v>
      </c>
      <c r="C5020" t="s">
        <v>6022</v>
      </c>
      <c r="D5020" t="s">
        <v>6084</v>
      </c>
      <c r="E5020">
        <v>957.39</v>
      </c>
      <c r="G5020" s="35"/>
      <c r="H5020" s="36">
        <f t="shared" si="236"/>
        <v>603.15570000000002</v>
      </c>
      <c r="I5020" s="37">
        <f t="shared" si="234"/>
        <v>603.15570000000002</v>
      </c>
      <c r="J5020" s="4"/>
      <c r="K5020" s="38">
        <f t="shared" si="235"/>
        <v>0</v>
      </c>
    </row>
    <row r="5021" spans="1:11">
      <c r="A5021" t="s">
        <v>424</v>
      </c>
      <c r="B5021" t="s">
        <v>10181</v>
      </c>
      <c r="C5021" t="s">
        <v>6022</v>
      </c>
      <c r="D5021" t="s">
        <v>6085</v>
      </c>
      <c r="E5021">
        <v>2405.17</v>
      </c>
      <c r="G5021" s="35"/>
      <c r="H5021" s="36">
        <f t="shared" si="236"/>
        <v>1515.2571</v>
      </c>
      <c r="I5021" s="37">
        <f t="shared" si="234"/>
        <v>1515.2571</v>
      </c>
      <c r="J5021" s="4"/>
      <c r="K5021" s="38">
        <f t="shared" si="235"/>
        <v>0</v>
      </c>
    </row>
    <row r="5022" spans="1:11">
      <c r="A5022" t="s">
        <v>425</v>
      </c>
      <c r="B5022" t="s">
        <v>10181</v>
      </c>
      <c r="C5022" t="s">
        <v>6022</v>
      </c>
      <c r="D5022" t="s">
        <v>6086</v>
      </c>
      <c r="E5022">
        <v>3562.21</v>
      </c>
      <c r="G5022" s="35"/>
      <c r="H5022" s="36">
        <f t="shared" si="236"/>
        <v>2244.1923000000002</v>
      </c>
      <c r="I5022" s="37">
        <f t="shared" si="234"/>
        <v>2244.1923000000002</v>
      </c>
      <c r="J5022" s="4"/>
      <c r="K5022" s="38">
        <f t="shared" si="235"/>
        <v>0</v>
      </c>
    </row>
    <row r="5023" spans="1:11">
      <c r="A5023" t="s">
        <v>426</v>
      </c>
      <c r="B5023" t="s">
        <v>10181</v>
      </c>
      <c r="C5023" t="s">
        <v>6022</v>
      </c>
      <c r="D5023" t="s">
        <v>6087</v>
      </c>
      <c r="E5023">
        <v>5655.68</v>
      </c>
      <c r="G5023" s="35"/>
      <c r="H5023" s="36">
        <f t="shared" si="236"/>
        <v>3563.0784000000003</v>
      </c>
      <c r="I5023" s="37">
        <f t="shared" si="234"/>
        <v>3563.0784000000003</v>
      </c>
      <c r="J5023" s="4"/>
      <c r="K5023" s="38">
        <f t="shared" si="235"/>
        <v>0</v>
      </c>
    </row>
    <row r="5024" spans="1:11">
      <c r="A5024" t="s">
        <v>427</v>
      </c>
      <c r="B5024" t="s">
        <v>10181</v>
      </c>
      <c r="C5024" t="s">
        <v>6022</v>
      </c>
      <c r="D5024" t="s">
        <v>6088</v>
      </c>
      <c r="E5024">
        <v>918.62</v>
      </c>
      <c r="G5024" s="35"/>
      <c r="H5024" s="36">
        <f t="shared" si="236"/>
        <v>578.73059999999998</v>
      </c>
      <c r="I5024" s="37">
        <f t="shared" si="234"/>
        <v>578.73059999999998</v>
      </c>
      <c r="J5024" s="4"/>
      <c r="K5024" s="38">
        <f t="shared" si="235"/>
        <v>0</v>
      </c>
    </row>
    <row r="5025" spans="1:11">
      <c r="A5025" t="s">
        <v>428</v>
      </c>
      <c r="B5025" t="s">
        <v>10181</v>
      </c>
      <c r="C5025" t="s">
        <v>6022</v>
      </c>
      <c r="D5025" t="s">
        <v>6089</v>
      </c>
      <c r="E5025">
        <v>1166.21</v>
      </c>
      <c r="G5025" s="35"/>
      <c r="H5025" s="36">
        <f t="shared" si="236"/>
        <v>734.71230000000003</v>
      </c>
      <c r="I5025" s="37">
        <f t="shared" si="234"/>
        <v>734.71230000000003</v>
      </c>
      <c r="J5025" s="4"/>
      <c r="K5025" s="38">
        <f t="shared" si="235"/>
        <v>0</v>
      </c>
    </row>
    <row r="5026" spans="1:11">
      <c r="A5026" t="s">
        <v>429</v>
      </c>
      <c r="B5026" t="s">
        <v>10181</v>
      </c>
      <c r="C5026" t="s">
        <v>6022</v>
      </c>
      <c r="D5026" t="s">
        <v>6090</v>
      </c>
      <c r="E5026">
        <v>2000.7</v>
      </c>
      <c r="G5026" s="35"/>
      <c r="H5026" s="36">
        <f t="shared" si="236"/>
        <v>1260.441</v>
      </c>
      <c r="I5026" s="37">
        <f t="shared" si="234"/>
        <v>1260.441</v>
      </c>
      <c r="J5026" s="4"/>
      <c r="K5026" s="38">
        <f t="shared" si="235"/>
        <v>0</v>
      </c>
    </row>
    <row r="5027" spans="1:11">
      <c r="A5027" t="s">
        <v>430</v>
      </c>
      <c r="B5027" t="s">
        <v>10181</v>
      </c>
      <c r="C5027" t="s">
        <v>6022</v>
      </c>
      <c r="D5027" t="s">
        <v>6091</v>
      </c>
      <c r="E5027">
        <v>1866.6</v>
      </c>
      <c r="G5027" s="35"/>
      <c r="H5027" s="36">
        <f t="shared" si="236"/>
        <v>1175.9579999999999</v>
      </c>
      <c r="I5027" s="37">
        <f t="shared" si="234"/>
        <v>1175.9579999999999</v>
      </c>
      <c r="J5027" s="4"/>
      <c r="K5027" s="38">
        <f t="shared" si="235"/>
        <v>0</v>
      </c>
    </row>
    <row r="5028" spans="1:11">
      <c r="A5028" t="s">
        <v>431</v>
      </c>
      <c r="B5028" t="s">
        <v>10181</v>
      </c>
      <c r="C5028" t="s">
        <v>6022</v>
      </c>
      <c r="D5028" t="s">
        <v>6092</v>
      </c>
      <c r="E5028">
        <v>3180.04</v>
      </c>
      <c r="G5028" s="35"/>
      <c r="H5028" s="36">
        <f t="shared" si="236"/>
        <v>2003.4251999999999</v>
      </c>
      <c r="I5028" s="37">
        <f t="shared" si="234"/>
        <v>2003.4251999999999</v>
      </c>
      <c r="J5028" s="4"/>
      <c r="K5028" s="38">
        <f t="shared" si="235"/>
        <v>0</v>
      </c>
    </row>
    <row r="5029" spans="1:11">
      <c r="A5029" t="s">
        <v>432</v>
      </c>
      <c r="B5029" t="s">
        <v>10181</v>
      </c>
      <c r="C5029" t="s">
        <v>6022</v>
      </c>
      <c r="D5029" t="s">
        <v>6093</v>
      </c>
      <c r="E5029">
        <v>5027.26</v>
      </c>
      <c r="G5029" s="35"/>
      <c r="H5029" s="36">
        <f t="shared" si="236"/>
        <v>3167.1738</v>
      </c>
      <c r="I5029" s="37">
        <f t="shared" si="234"/>
        <v>3167.1738</v>
      </c>
      <c r="J5029" s="4"/>
      <c r="K5029" s="38">
        <f t="shared" si="235"/>
        <v>0</v>
      </c>
    </row>
    <row r="5030" spans="1:11">
      <c r="A5030" t="s">
        <v>433</v>
      </c>
      <c r="B5030" t="s">
        <v>10181</v>
      </c>
      <c r="C5030" t="s">
        <v>6022</v>
      </c>
      <c r="D5030" t="s">
        <v>6094</v>
      </c>
      <c r="E5030">
        <v>3177.21</v>
      </c>
      <c r="G5030" s="35"/>
      <c r="H5030" s="36">
        <f t="shared" si="236"/>
        <v>2001.6423</v>
      </c>
      <c r="I5030" s="37">
        <f t="shared" si="234"/>
        <v>2001.6423</v>
      </c>
      <c r="J5030" s="4"/>
      <c r="K5030" s="38">
        <f t="shared" si="235"/>
        <v>0</v>
      </c>
    </row>
    <row r="5031" spans="1:11">
      <c r="A5031" t="s">
        <v>434</v>
      </c>
      <c r="B5031" t="s">
        <v>10181</v>
      </c>
      <c r="C5031" t="s">
        <v>6022</v>
      </c>
      <c r="D5031" t="s">
        <v>6095</v>
      </c>
      <c r="E5031">
        <v>3616.17</v>
      </c>
      <c r="G5031" s="35"/>
      <c r="H5031" s="36">
        <f t="shared" si="236"/>
        <v>2278.1871000000001</v>
      </c>
      <c r="I5031" s="37">
        <f t="shared" si="234"/>
        <v>2278.1871000000001</v>
      </c>
      <c r="J5031" s="4"/>
      <c r="K5031" s="38">
        <f t="shared" si="235"/>
        <v>0</v>
      </c>
    </row>
    <row r="5032" spans="1:11">
      <c r="A5032" t="s">
        <v>435</v>
      </c>
      <c r="B5032" t="s">
        <v>10181</v>
      </c>
      <c r="C5032" t="s">
        <v>6022</v>
      </c>
      <c r="D5032" t="s">
        <v>6096</v>
      </c>
      <c r="E5032">
        <v>4078.27</v>
      </c>
      <c r="G5032" s="35"/>
      <c r="H5032" s="36">
        <f t="shared" si="236"/>
        <v>2569.3101000000001</v>
      </c>
      <c r="I5032" s="37">
        <f t="shared" si="234"/>
        <v>2569.3101000000001</v>
      </c>
      <c r="J5032" s="4"/>
      <c r="K5032" s="38">
        <f t="shared" si="235"/>
        <v>0</v>
      </c>
    </row>
    <row r="5033" spans="1:11">
      <c r="A5033" t="s">
        <v>436</v>
      </c>
      <c r="B5033" t="s">
        <v>10181</v>
      </c>
      <c r="C5033" t="s">
        <v>6022</v>
      </c>
      <c r="D5033" t="s">
        <v>6097</v>
      </c>
      <c r="E5033">
        <v>4539.9399999999996</v>
      </c>
      <c r="G5033" s="35"/>
      <c r="H5033" s="36">
        <f t="shared" si="236"/>
        <v>2860.1621999999998</v>
      </c>
      <c r="I5033" s="37">
        <f t="shared" si="234"/>
        <v>2860.1621999999998</v>
      </c>
      <c r="J5033" s="4"/>
      <c r="K5033" s="38">
        <f t="shared" si="235"/>
        <v>0</v>
      </c>
    </row>
    <row r="5034" spans="1:11">
      <c r="A5034" t="s">
        <v>437</v>
      </c>
      <c r="B5034" t="s">
        <v>10181</v>
      </c>
      <c r="C5034" t="s">
        <v>6022</v>
      </c>
      <c r="D5034" t="s">
        <v>6098</v>
      </c>
      <c r="E5034">
        <v>5428.77</v>
      </c>
      <c r="G5034" s="35"/>
      <c r="H5034" s="36">
        <f t="shared" si="236"/>
        <v>3420.1251000000002</v>
      </c>
      <c r="I5034" s="37">
        <f t="shared" si="234"/>
        <v>3420.1251000000002</v>
      </c>
      <c r="J5034" s="4"/>
      <c r="K5034" s="38">
        <f t="shared" si="235"/>
        <v>0</v>
      </c>
    </row>
    <row r="5035" spans="1:11">
      <c r="A5035" t="s">
        <v>438</v>
      </c>
      <c r="B5035" t="s">
        <v>10181</v>
      </c>
      <c r="C5035" t="s">
        <v>6022</v>
      </c>
      <c r="D5035" t="s">
        <v>6099</v>
      </c>
      <c r="E5035">
        <v>7482.26</v>
      </c>
      <c r="G5035" s="35"/>
      <c r="H5035" s="36">
        <f t="shared" si="236"/>
        <v>4713.8238000000001</v>
      </c>
      <c r="I5035" s="37">
        <f t="shared" si="234"/>
        <v>4713.8238000000001</v>
      </c>
      <c r="J5035" s="4"/>
      <c r="K5035" s="38">
        <f t="shared" si="235"/>
        <v>0</v>
      </c>
    </row>
    <row r="5036" spans="1:11">
      <c r="A5036" t="s">
        <v>439</v>
      </c>
      <c r="B5036" t="s">
        <v>10181</v>
      </c>
      <c r="C5036" t="s">
        <v>6022</v>
      </c>
      <c r="D5036" t="s">
        <v>6100</v>
      </c>
      <c r="E5036">
        <v>1051.95</v>
      </c>
      <c r="G5036" s="35"/>
      <c r="H5036" s="36">
        <f t="shared" si="236"/>
        <v>662.72850000000005</v>
      </c>
      <c r="I5036" s="37">
        <f t="shared" si="234"/>
        <v>662.72850000000005</v>
      </c>
      <c r="J5036" s="4"/>
      <c r="K5036" s="38">
        <f t="shared" si="235"/>
        <v>0</v>
      </c>
    </row>
    <row r="5037" spans="1:11">
      <c r="A5037" t="s">
        <v>440</v>
      </c>
      <c r="B5037" t="s">
        <v>10181</v>
      </c>
      <c r="C5037" t="s">
        <v>6022</v>
      </c>
      <c r="D5037" t="s">
        <v>6101</v>
      </c>
      <c r="E5037">
        <v>1111.8900000000001</v>
      </c>
      <c r="G5037" s="35"/>
      <c r="H5037" s="36">
        <f t="shared" si="236"/>
        <v>700.49070000000006</v>
      </c>
      <c r="I5037" s="37">
        <f t="shared" si="234"/>
        <v>700.49070000000006</v>
      </c>
      <c r="J5037" s="4"/>
      <c r="K5037" s="38">
        <f t="shared" si="235"/>
        <v>0</v>
      </c>
    </row>
    <row r="5038" spans="1:11">
      <c r="A5038" t="s">
        <v>441</v>
      </c>
      <c r="B5038" t="s">
        <v>10181</v>
      </c>
      <c r="C5038" t="s">
        <v>6022</v>
      </c>
      <c r="D5038" t="s">
        <v>6102</v>
      </c>
      <c r="E5038">
        <v>1179.57</v>
      </c>
      <c r="G5038" s="35"/>
      <c r="H5038" s="36">
        <f t="shared" si="236"/>
        <v>743.12909999999999</v>
      </c>
      <c r="I5038" s="37">
        <f t="shared" si="234"/>
        <v>743.12909999999999</v>
      </c>
      <c r="J5038" s="4"/>
      <c r="K5038" s="38">
        <f t="shared" si="235"/>
        <v>0</v>
      </c>
    </row>
    <row r="5039" spans="1:11">
      <c r="A5039" t="s">
        <v>442</v>
      </c>
      <c r="B5039" t="s">
        <v>10181</v>
      </c>
      <c r="C5039" t="s">
        <v>6022</v>
      </c>
      <c r="D5039" t="s">
        <v>6103</v>
      </c>
      <c r="E5039">
        <v>2373.2600000000002</v>
      </c>
      <c r="G5039" s="35"/>
      <c r="H5039" s="36">
        <f t="shared" si="236"/>
        <v>1495.1538</v>
      </c>
      <c r="I5039" s="37">
        <f t="shared" si="234"/>
        <v>1495.1538</v>
      </c>
      <c r="J5039" s="4"/>
      <c r="K5039" s="38">
        <f t="shared" si="235"/>
        <v>0</v>
      </c>
    </row>
    <row r="5040" spans="1:11">
      <c r="A5040" t="s">
        <v>443</v>
      </c>
      <c r="B5040" t="s">
        <v>10181</v>
      </c>
      <c r="C5040" t="s">
        <v>6022</v>
      </c>
      <c r="D5040" t="s">
        <v>6104</v>
      </c>
      <c r="E5040">
        <v>2857.12</v>
      </c>
      <c r="G5040" s="35"/>
      <c r="H5040" s="36">
        <f t="shared" si="236"/>
        <v>1799.9856</v>
      </c>
      <c r="I5040" s="37">
        <f t="shared" si="234"/>
        <v>1799.9856</v>
      </c>
      <c r="J5040" s="4"/>
      <c r="K5040" s="38">
        <f t="shared" si="235"/>
        <v>0</v>
      </c>
    </row>
    <row r="5041" spans="1:11">
      <c r="A5041" t="s">
        <v>444</v>
      </c>
      <c r="B5041" t="s">
        <v>10181</v>
      </c>
      <c r="C5041" t="s">
        <v>6022</v>
      </c>
      <c r="D5041" t="s">
        <v>6105</v>
      </c>
      <c r="E5041">
        <v>3963.52</v>
      </c>
      <c r="G5041" s="35"/>
      <c r="H5041" s="36">
        <f t="shared" si="236"/>
        <v>2497.0176000000001</v>
      </c>
      <c r="I5041" s="37">
        <f t="shared" si="234"/>
        <v>2497.0176000000001</v>
      </c>
      <c r="J5041" s="4"/>
      <c r="K5041" s="38">
        <f t="shared" si="235"/>
        <v>0</v>
      </c>
    </row>
    <row r="5042" spans="1:11">
      <c r="A5042" t="s">
        <v>445</v>
      </c>
      <c r="B5042" t="s">
        <v>10181</v>
      </c>
      <c r="C5042" t="s">
        <v>6022</v>
      </c>
      <c r="D5042" t="s">
        <v>6106</v>
      </c>
      <c r="E5042">
        <v>173.31</v>
      </c>
      <c r="G5042" s="35"/>
      <c r="H5042" s="36">
        <f t="shared" si="236"/>
        <v>109.1853</v>
      </c>
      <c r="I5042" s="37">
        <f t="shared" si="234"/>
        <v>109.1853</v>
      </c>
      <c r="J5042" s="4"/>
      <c r="K5042" s="38">
        <f t="shared" si="235"/>
        <v>0</v>
      </c>
    </row>
    <row r="5043" spans="1:11">
      <c r="A5043" t="s">
        <v>446</v>
      </c>
      <c r="B5043" t="s">
        <v>10181</v>
      </c>
      <c r="C5043" t="s">
        <v>6022</v>
      </c>
      <c r="D5043" t="s">
        <v>6107</v>
      </c>
      <c r="E5043">
        <v>192.55</v>
      </c>
      <c r="G5043" s="35"/>
      <c r="H5043" s="36">
        <f t="shared" si="236"/>
        <v>121.30650000000001</v>
      </c>
      <c r="I5043" s="37">
        <f t="shared" si="234"/>
        <v>121.30650000000001</v>
      </c>
      <c r="J5043" s="4"/>
      <c r="K5043" s="38">
        <f t="shared" si="235"/>
        <v>0</v>
      </c>
    </row>
    <row r="5044" spans="1:11">
      <c r="A5044" t="s">
        <v>447</v>
      </c>
      <c r="B5044" t="s">
        <v>10181</v>
      </c>
      <c r="C5044" t="s">
        <v>6022</v>
      </c>
      <c r="D5044" t="s">
        <v>6108</v>
      </c>
      <c r="E5044">
        <v>408.86</v>
      </c>
      <c r="G5044" s="35"/>
      <c r="H5044" s="36">
        <f t="shared" si="236"/>
        <v>257.58179999999999</v>
      </c>
      <c r="I5044" s="37">
        <f t="shared" si="234"/>
        <v>257.58179999999999</v>
      </c>
      <c r="J5044" s="4"/>
      <c r="K5044" s="38">
        <f t="shared" si="235"/>
        <v>0</v>
      </c>
    </row>
    <row r="5045" spans="1:11">
      <c r="A5045" t="s">
        <v>448</v>
      </c>
      <c r="B5045" t="s">
        <v>10181</v>
      </c>
      <c r="C5045" t="s">
        <v>6022</v>
      </c>
      <c r="D5045" t="s">
        <v>6109</v>
      </c>
      <c r="E5045">
        <v>465.32</v>
      </c>
      <c r="G5045" s="35"/>
      <c r="H5045" s="36">
        <f t="shared" si="236"/>
        <v>293.15159999999997</v>
      </c>
      <c r="I5045" s="37">
        <f t="shared" si="234"/>
        <v>293.15159999999997</v>
      </c>
      <c r="J5045" s="4"/>
      <c r="K5045" s="38">
        <f t="shared" si="235"/>
        <v>0</v>
      </c>
    </row>
    <row r="5046" spans="1:11">
      <c r="A5046" t="s">
        <v>449</v>
      </c>
      <c r="B5046" t="s">
        <v>10181</v>
      </c>
      <c r="C5046" t="s">
        <v>6022</v>
      </c>
      <c r="D5046" t="s">
        <v>6110</v>
      </c>
      <c r="E5046">
        <v>273.45999999999998</v>
      </c>
      <c r="G5046" s="35"/>
      <c r="H5046" s="36">
        <f t="shared" si="236"/>
        <v>172.27979999999999</v>
      </c>
      <c r="I5046" s="37">
        <f t="shared" si="234"/>
        <v>172.27979999999999</v>
      </c>
      <c r="J5046" s="4"/>
      <c r="K5046" s="38">
        <f t="shared" si="235"/>
        <v>0</v>
      </c>
    </row>
    <row r="5047" spans="1:11">
      <c r="A5047" t="s">
        <v>450</v>
      </c>
      <c r="B5047" t="s">
        <v>10181</v>
      </c>
      <c r="C5047" t="s">
        <v>6022</v>
      </c>
      <c r="D5047" t="s">
        <v>6111</v>
      </c>
      <c r="E5047">
        <v>367.62</v>
      </c>
      <c r="G5047" s="35"/>
      <c r="H5047" s="36">
        <f t="shared" si="236"/>
        <v>231.60060000000001</v>
      </c>
      <c r="I5047" s="37">
        <f t="shared" si="234"/>
        <v>231.60060000000001</v>
      </c>
      <c r="J5047" s="4"/>
      <c r="K5047" s="38">
        <f t="shared" si="235"/>
        <v>0</v>
      </c>
    </row>
    <row r="5048" spans="1:11">
      <c r="A5048" t="s">
        <v>451</v>
      </c>
      <c r="B5048" t="s">
        <v>10181</v>
      </c>
      <c r="C5048" t="s">
        <v>6022</v>
      </c>
      <c r="D5048" t="s">
        <v>6112</v>
      </c>
      <c r="E5048">
        <v>690.17</v>
      </c>
      <c r="G5048" s="35"/>
      <c r="H5048" s="36">
        <f t="shared" si="236"/>
        <v>434.80709999999999</v>
      </c>
      <c r="I5048" s="37">
        <f t="shared" si="234"/>
        <v>434.80709999999999</v>
      </c>
      <c r="J5048" s="4"/>
      <c r="K5048" s="38">
        <f t="shared" si="235"/>
        <v>0</v>
      </c>
    </row>
    <row r="5049" spans="1:11">
      <c r="A5049" t="s">
        <v>452</v>
      </c>
      <c r="B5049" t="s">
        <v>10181</v>
      </c>
      <c r="C5049" t="s">
        <v>6022</v>
      </c>
      <c r="D5049" t="s">
        <v>6113</v>
      </c>
      <c r="E5049">
        <v>690.17</v>
      </c>
      <c r="G5049" s="35"/>
      <c r="H5049" s="36">
        <f t="shared" si="236"/>
        <v>434.80709999999999</v>
      </c>
      <c r="I5049" s="37">
        <f t="shared" si="234"/>
        <v>434.80709999999999</v>
      </c>
      <c r="J5049" s="4"/>
      <c r="K5049" s="38">
        <f t="shared" si="235"/>
        <v>0</v>
      </c>
    </row>
    <row r="5050" spans="1:11">
      <c r="A5050" t="s">
        <v>453</v>
      </c>
      <c r="B5050" t="s">
        <v>10181</v>
      </c>
      <c r="C5050" t="s">
        <v>6022</v>
      </c>
      <c r="D5050" t="s">
        <v>6114</v>
      </c>
      <c r="E5050">
        <v>439.99</v>
      </c>
      <c r="G5050" s="35"/>
      <c r="H5050" s="36">
        <f t="shared" si="236"/>
        <v>277.19370000000004</v>
      </c>
      <c r="I5050" s="37">
        <f t="shared" si="234"/>
        <v>277.19370000000004</v>
      </c>
      <c r="J5050" s="4"/>
      <c r="K5050" s="38">
        <f t="shared" si="235"/>
        <v>0</v>
      </c>
    </row>
    <row r="5051" spans="1:11">
      <c r="A5051" t="s">
        <v>454</v>
      </c>
      <c r="B5051" t="s">
        <v>10181</v>
      </c>
      <c r="C5051" t="s">
        <v>6022</v>
      </c>
      <c r="D5051" t="s">
        <v>6115</v>
      </c>
      <c r="E5051">
        <v>848.83</v>
      </c>
      <c r="G5051" s="35"/>
      <c r="H5051" s="36">
        <f t="shared" si="236"/>
        <v>534.76290000000006</v>
      </c>
      <c r="I5051" s="37">
        <f t="shared" si="234"/>
        <v>534.76290000000006</v>
      </c>
      <c r="J5051" s="4"/>
      <c r="K5051" s="38">
        <f t="shared" si="235"/>
        <v>0</v>
      </c>
    </row>
    <row r="5052" spans="1:11">
      <c r="A5052" t="s">
        <v>455</v>
      </c>
      <c r="B5052" t="s">
        <v>10181</v>
      </c>
      <c r="C5052" t="s">
        <v>6022</v>
      </c>
      <c r="D5052" t="s">
        <v>6116</v>
      </c>
      <c r="E5052">
        <v>786.09</v>
      </c>
      <c r="G5052" s="35"/>
      <c r="H5052" s="36">
        <f t="shared" si="236"/>
        <v>495.23670000000004</v>
      </c>
      <c r="I5052" s="37">
        <f t="shared" si="234"/>
        <v>495.23670000000004</v>
      </c>
      <c r="J5052" s="4"/>
      <c r="K5052" s="38">
        <f t="shared" si="235"/>
        <v>0</v>
      </c>
    </row>
    <row r="5053" spans="1:11">
      <c r="A5053" t="s">
        <v>456</v>
      </c>
      <c r="B5053" t="s">
        <v>10181</v>
      </c>
      <c r="C5053" t="s">
        <v>6022</v>
      </c>
      <c r="D5053" t="s">
        <v>6117</v>
      </c>
      <c r="E5053">
        <v>763.88</v>
      </c>
      <c r="G5053" s="35"/>
      <c r="H5053" s="36">
        <f t="shared" si="236"/>
        <v>481.24439999999998</v>
      </c>
      <c r="I5053" s="37">
        <f t="shared" si="234"/>
        <v>481.24439999999998</v>
      </c>
      <c r="J5053" s="4"/>
      <c r="K5053" s="38">
        <f t="shared" si="235"/>
        <v>0</v>
      </c>
    </row>
    <row r="5054" spans="1:11">
      <c r="A5054" t="s">
        <v>457</v>
      </c>
      <c r="B5054" t="s">
        <v>10181</v>
      </c>
      <c r="C5054" t="s">
        <v>6022</v>
      </c>
      <c r="D5054" t="s">
        <v>6118</v>
      </c>
      <c r="E5054">
        <v>538.58000000000004</v>
      </c>
      <c r="G5054" s="35"/>
      <c r="H5054" s="36">
        <f t="shared" si="236"/>
        <v>339.30540000000002</v>
      </c>
      <c r="I5054" s="37">
        <f t="shared" si="234"/>
        <v>339.30540000000002</v>
      </c>
      <c r="J5054" s="4"/>
      <c r="K5054" s="38">
        <f t="shared" si="235"/>
        <v>0</v>
      </c>
    </row>
    <row r="5055" spans="1:11">
      <c r="A5055" t="s">
        <v>458</v>
      </c>
      <c r="B5055" t="s">
        <v>10181</v>
      </c>
      <c r="C5055" t="s">
        <v>6022</v>
      </c>
      <c r="D5055" t="s">
        <v>6119</v>
      </c>
      <c r="E5055">
        <v>2291.9</v>
      </c>
      <c r="G5055" s="35"/>
      <c r="H5055" s="36">
        <f t="shared" si="236"/>
        <v>1443.8970000000002</v>
      </c>
      <c r="I5055" s="37">
        <f t="shared" si="234"/>
        <v>1443.8970000000002</v>
      </c>
      <c r="J5055" s="4"/>
      <c r="K5055" s="38">
        <f t="shared" si="235"/>
        <v>0</v>
      </c>
    </row>
    <row r="5056" spans="1:11">
      <c r="A5056" t="s">
        <v>459</v>
      </c>
      <c r="B5056" t="s">
        <v>10181</v>
      </c>
      <c r="C5056" t="s">
        <v>6022</v>
      </c>
      <c r="D5056" t="s">
        <v>6120</v>
      </c>
      <c r="E5056">
        <v>2234.19</v>
      </c>
      <c r="G5056" s="35"/>
      <c r="H5056" s="36">
        <f t="shared" si="236"/>
        <v>1407.5397</v>
      </c>
      <c r="I5056" s="37">
        <f t="shared" si="234"/>
        <v>1407.5397</v>
      </c>
      <c r="J5056" s="4"/>
      <c r="K5056" s="38">
        <f t="shared" si="235"/>
        <v>0</v>
      </c>
    </row>
    <row r="5057" spans="1:11">
      <c r="A5057" t="s">
        <v>460</v>
      </c>
      <c r="B5057" t="s">
        <v>10181</v>
      </c>
      <c r="C5057" t="s">
        <v>6022</v>
      </c>
      <c r="D5057" t="s">
        <v>6121</v>
      </c>
      <c r="E5057">
        <v>1920.7</v>
      </c>
      <c r="G5057" s="35"/>
      <c r="H5057" s="36">
        <f t="shared" si="236"/>
        <v>1210.0409999999999</v>
      </c>
      <c r="I5057" s="37">
        <f t="shared" si="234"/>
        <v>1210.0409999999999</v>
      </c>
      <c r="J5057" s="4"/>
      <c r="K5057" s="38">
        <f t="shared" si="235"/>
        <v>0</v>
      </c>
    </row>
    <row r="5058" spans="1:11">
      <c r="A5058" t="s">
        <v>461</v>
      </c>
      <c r="B5058" t="s">
        <v>10181</v>
      </c>
      <c r="C5058" t="s">
        <v>6022</v>
      </c>
      <c r="D5058" t="s">
        <v>6122</v>
      </c>
      <c r="E5058">
        <v>1740.85</v>
      </c>
      <c r="G5058" s="35"/>
      <c r="H5058" s="36">
        <f t="shared" si="236"/>
        <v>1096.7355</v>
      </c>
      <c r="I5058" s="37">
        <f t="shared" si="234"/>
        <v>1096.7355</v>
      </c>
      <c r="J5058" s="4"/>
      <c r="K5058" s="38">
        <f t="shared" si="235"/>
        <v>0</v>
      </c>
    </row>
    <row r="5059" spans="1:11">
      <c r="A5059" t="s">
        <v>462</v>
      </c>
      <c r="B5059" t="s">
        <v>10181</v>
      </c>
      <c r="C5059" t="s">
        <v>6022</v>
      </c>
      <c r="D5059" t="s">
        <v>6123</v>
      </c>
      <c r="E5059">
        <v>1740.85</v>
      </c>
      <c r="G5059" s="35"/>
      <c r="H5059" s="36">
        <f t="shared" si="236"/>
        <v>1096.7355</v>
      </c>
      <c r="I5059" s="37">
        <f t="shared" si="234"/>
        <v>1096.7355</v>
      </c>
      <c r="J5059" s="4"/>
      <c r="K5059" s="38">
        <f t="shared" si="235"/>
        <v>0</v>
      </c>
    </row>
    <row r="5060" spans="1:11">
      <c r="A5060" t="s">
        <v>463</v>
      </c>
      <c r="B5060" t="s">
        <v>10181</v>
      </c>
      <c r="C5060" t="s">
        <v>6022</v>
      </c>
      <c r="D5060" t="s">
        <v>6124</v>
      </c>
      <c r="E5060">
        <v>5600.54</v>
      </c>
      <c r="G5060" s="35"/>
      <c r="H5060" s="36">
        <f t="shared" si="236"/>
        <v>3528.3402000000001</v>
      </c>
      <c r="I5060" s="37">
        <f t="shared" si="234"/>
        <v>3528.3402000000001</v>
      </c>
      <c r="J5060" s="4"/>
      <c r="K5060" s="38">
        <f t="shared" si="235"/>
        <v>0</v>
      </c>
    </row>
    <row r="5061" spans="1:11">
      <c r="A5061" t="s">
        <v>464</v>
      </c>
      <c r="B5061" t="s">
        <v>10181</v>
      </c>
      <c r="C5061" t="s">
        <v>6022</v>
      </c>
      <c r="D5061" t="s">
        <v>6125</v>
      </c>
      <c r="E5061">
        <v>6861.9</v>
      </c>
      <c r="G5061" s="35"/>
      <c r="H5061" s="36">
        <f t="shared" si="236"/>
        <v>4322.9969999999994</v>
      </c>
      <c r="I5061" s="37">
        <f t="shared" si="234"/>
        <v>4322.9969999999994</v>
      </c>
      <c r="J5061" s="4"/>
      <c r="K5061" s="38">
        <f t="shared" si="235"/>
        <v>0</v>
      </c>
    </row>
    <row r="5062" spans="1:11">
      <c r="A5062" t="s">
        <v>465</v>
      </c>
      <c r="B5062" t="s">
        <v>10181</v>
      </c>
      <c r="C5062" t="s">
        <v>6022</v>
      </c>
      <c r="D5062" t="s">
        <v>6126</v>
      </c>
      <c r="E5062">
        <v>27936.03</v>
      </c>
      <c r="G5062" s="35"/>
      <c r="H5062" s="36">
        <f t="shared" si="236"/>
        <v>17599.698899999999</v>
      </c>
      <c r="I5062" s="37">
        <f t="shared" ref="I5062:I5125" si="237">H5062*$H$4</f>
        <v>17599.698899999999</v>
      </c>
      <c r="J5062" s="4"/>
      <c r="K5062" s="38">
        <f t="shared" ref="K5062:K5125" si="238">J5062*I5062</f>
        <v>0</v>
      </c>
    </row>
    <row r="5063" spans="1:11">
      <c r="A5063" t="s">
        <v>466</v>
      </c>
      <c r="B5063" t="s">
        <v>10181</v>
      </c>
      <c r="C5063" t="s">
        <v>6022</v>
      </c>
      <c r="D5063" t="s">
        <v>6127</v>
      </c>
      <c r="E5063">
        <v>699.74</v>
      </c>
      <c r="G5063" s="35"/>
      <c r="H5063" s="36">
        <f t="shared" ref="H5063:H5126" si="239">+E5063*$H$1*(1-G5063)</f>
        <v>440.83620000000002</v>
      </c>
      <c r="I5063" s="37">
        <f t="shared" si="237"/>
        <v>440.83620000000002</v>
      </c>
      <c r="J5063" s="4"/>
      <c r="K5063" s="38">
        <f t="shared" si="238"/>
        <v>0</v>
      </c>
    </row>
    <row r="5064" spans="1:11">
      <c r="A5064" t="s">
        <v>467</v>
      </c>
      <c r="B5064" t="s">
        <v>10181</v>
      </c>
      <c r="C5064" t="s">
        <v>6022</v>
      </c>
      <c r="D5064" t="s">
        <v>6128</v>
      </c>
      <c r="E5064">
        <v>921.77</v>
      </c>
      <c r="G5064" s="35"/>
      <c r="H5064" s="36">
        <f t="shared" si="239"/>
        <v>580.71510000000001</v>
      </c>
      <c r="I5064" s="37">
        <f t="shared" si="237"/>
        <v>580.71510000000001</v>
      </c>
      <c r="J5064" s="4"/>
      <c r="K5064" s="38">
        <f t="shared" si="238"/>
        <v>0</v>
      </c>
    </row>
    <row r="5065" spans="1:11">
      <c r="A5065" t="s">
        <v>468</v>
      </c>
      <c r="B5065" t="s">
        <v>10181</v>
      </c>
      <c r="C5065" t="s">
        <v>6022</v>
      </c>
      <c r="D5065" t="s">
        <v>6129</v>
      </c>
      <c r="E5065">
        <v>1671.23</v>
      </c>
      <c r="G5065" s="35"/>
      <c r="H5065" s="36">
        <f t="shared" si="239"/>
        <v>1052.8749</v>
      </c>
      <c r="I5065" s="37">
        <f t="shared" si="237"/>
        <v>1052.8749</v>
      </c>
      <c r="J5065" s="4"/>
      <c r="K5065" s="38">
        <f t="shared" si="238"/>
        <v>0</v>
      </c>
    </row>
    <row r="5066" spans="1:11">
      <c r="A5066" t="s">
        <v>469</v>
      </c>
      <c r="B5066" t="s">
        <v>10181</v>
      </c>
      <c r="C5066" t="s">
        <v>6022</v>
      </c>
      <c r="D5066" t="s">
        <v>6130</v>
      </c>
      <c r="E5066">
        <v>2966.16</v>
      </c>
      <c r="G5066" s="35"/>
      <c r="H5066" s="36">
        <f t="shared" si="239"/>
        <v>1868.6807999999999</v>
      </c>
      <c r="I5066" s="37">
        <f t="shared" si="237"/>
        <v>1868.6807999999999</v>
      </c>
      <c r="J5066" s="4"/>
      <c r="K5066" s="38">
        <f t="shared" si="238"/>
        <v>0</v>
      </c>
    </row>
    <row r="5067" spans="1:11">
      <c r="A5067" t="s">
        <v>470</v>
      </c>
      <c r="B5067" t="s">
        <v>10181</v>
      </c>
      <c r="C5067" t="s">
        <v>6022</v>
      </c>
      <c r="D5067" t="s">
        <v>6131</v>
      </c>
      <c r="E5067">
        <v>4791.71</v>
      </c>
      <c r="G5067" s="35"/>
      <c r="H5067" s="36">
        <f t="shared" si="239"/>
        <v>3018.7773000000002</v>
      </c>
      <c r="I5067" s="37">
        <f t="shared" si="237"/>
        <v>3018.7773000000002</v>
      </c>
      <c r="J5067" s="4"/>
      <c r="K5067" s="38">
        <f t="shared" si="238"/>
        <v>0</v>
      </c>
    </row>
    <row r="5068" spans="1:11">
      <c r="A5068" t="s">
        <v>471</v>
      </c>
      <c r="B5068" t="s">
        <v>10181</v>
      </c>
      <c r="C5068" t="s">
        <v>6022</v>
      </c>
      <c r="D5068" t="s">
        <v>6132</v>
      </c>
      <c r="E5068">
        <v>9572.92</v>
      </c>
      <c r="G5068" s="35"/>
      <c r="H5068" s="36">
        <f t="shared" si="239"/>
        <v>6030.9395999999997</v>
      </c>
      <c r="I5068" s="37">
        <f t="shared" si="237"/>
        <v>6030.9395999999997</v>
      </c>
      <c r="J5068" s="4"/>
      <c r="K5068" s="38">
        <f t="shared" si="238"/>
        <v>0</v>
      </c>
    </row>
    <row r="5069" spans="1:11">
      <c r="A5069" t="s">
        <v>472</v>
      </c>
      <c r="B5069" t="s">
        <v>10181</v>
      </c>
      <c r="C5069" t="s">
        <v>6022</v>
      </c>
      <c r="D5069" t="s">
        <v>6133</v>
      </c>
      <c r="E5069">
        <v>2077.3200000000002</v>
      </c>
      <c r="G5069" s="35"/>
      <c r="H5069" s="36">
        <f t="shared" si="239"/>
        <v>1308.7116000000001</v>
      </c>
      <c r="I5069" s="37">
        <f t="shared" si="237"/>
        <v>1308.7116000000001</v>
      </c>
      <c r="J5069" s="4"/>
      <c r="K5069" s="38">
        <f t="shared" si="238"/>
        <v>0</v>
      </c>
    </row>
    <row r="5070" spans="1:11">
      <c r="A5070" t="s">
        <v>473</v>
      </c>
      <c r="B5070" t="s">
        <v>10181</v>
      </c>
      <c r="C5070" t="s">
        <v>6022</v>
      </c>
      <c r="D5070" t="s">
        <v>6134</v>
      </c>
      <c r="E5070">
        <v>3557.26</v>
      </c>
      <c r="G5070" s="35"/>
      <c r="H5070" s="36">
        <f t="shared" si="239"/>
        <v>2241.0738000000001</v>
      </c>
      <c r="I5070" s="37">
        <f t="shared" si="237"/>
        <v>2241.0738000000001</v>
      </c>
      <c r="J5070" s="4"/>
      <c r="K5070" s="38">
        <f t="shared" si="238"/>
        <v>0</v>
      </c>
    </row>
    <row r="5071" spans="1:11">
      <c r="A5071" t="s">
        <v>474</v>
      </c>
      <c r="B5071" t="s">
        <v>10181</v>
      </c>
      <c r="C5071" t="s">
        <v>6022</v>
      </c>
      <c r="D5071" t="s">
        <v>6135</v>
      </c>
      <c r="E5071">
        <v>7092.5</v>
      </c>
      <c r="G5071" s="35"/>
      <c r="H5071" s="36">
        <f t="shared" si="239"/>
        <v>4468.2749999999996</v>
      </c>
      <c r="I5071" s="37">
        <f t="shared" si="237"/>
        <v>4468.2749999999996</v>
      </c>
      <c r="J5071" s="4"/>
      <c r="K5071" s="38">
        <f t="shared" si="238"/>
        <v>0</v>
      </c>
    </row>
    <row r="5072" spans="1:11">
      <c r="A5072" t="s">
        <v>475</v>
      </c>
      <c r="B5072" t="s">
        <v>10181</v>
      </c>
      <c r="C5072" t="s">
        <v>6022</v>
      </c>
      <c r="D5072" t="s">
        <v>6136</v>
      </c>
      <c r="E5072">
        <v>9396.4500000000007</v>
      </c>
      <c r="G5072" s="35"/>
      <c r="H5072" s="36">
        <f t="shared" si="239"/>
        <v>5919.7635000000009</v>
      </c>
      <c r="I5072" s="37">
        <f t="shared" si="237"/>
        <v>5919.7635000000009</v>
      </c>
      <c r="J5072" s="4"/>
      <c r="K5072" s="38">
        <f t="shared" si="238"/>
        <v>0</v>
      </c>
    </row>
    <row r="5073" spans="1:11">
      <c r="A5073" t="s">
        <v>476</v>
      </c>
      <c r="B5073" t="s">
        <v>10181</v>
      </c>
      <c r="C5073" t="s">
        <v>6022</v>
      </c>
      <c r="D5073" t="s">
        <v>6137</v>
      </c>
      <c r="E5073">
        <v>11099.14</v>
      </c>
      <c r="G5073" s="35"/>
      <c r="H5073" s="36">
        <f t="shared" si="239"/>
        <v>6992.4582</v>
      </c>
      <c r="I5073" s="37">
        <f t="shared" si="237"/>
        <v>6992.4582</v>
      </c>
      <c r="J5073" s="4"/>
      <c r="K5073" s="38">
        <f t="shared" si="238"/>
        <v>0</v>
      </c>
    </row>
    <row r="5074" spans="1:11">
      <c r="A5074" t="s">
        <v>477</v>
      </c>
      <c r="B5074" t="s">
        <v>10181</v>
      </c>
      <c r="C5074" t="s">
        <v>6022</v>
      </c>
      <c r="D5074" t="s">
        <v>6138</v>
      </c>
      <c r="E5074">
        <v>19083.080000000002</v>
      </c>
      <c r="G5074" s="35"/>
      <c r="H5074" s="36">
        <f t="shared" si="239"/>
        <v>12022.340400000001</v>
      </c>
      <c r="I5074" s="37">
        <f t="shared" si="237"/>
        <v>12022.340400000001</v>
      </c>
      <c r="J5074" s="4"/>
      <c r="K5074" s="38">
        <f t="shared" si="238"/>
        <v>0</v>
      </c>
    </row>
    <row r="5075" spans="1:11">
      <c r="A5075" t="s">
        <v>478</v>
      </c>
      <c r="B5075" t="s">
        <v>10181</v>
      </c>
      <c r="C5075" t="s">
        <v>6022</v>
      </c>
      <c r="D5075" t="s">
        <v>6139</v>
      </c>
      <c r="E5075">
        <v>9499.73</v>
      </c>
      <c r="G5075" s="35"/>
      <c r="H5075" s="36">
        <f t="shared" si="239"/>
        <v>5984.8298999999997</v>
      </c>
      <c r="I5075" s="37">
        <f t="shared" si="237"/>
        <v>5984.8298999999997</v>
      </c>
      <c r="J5075" s="4"/>
      <c r="K5075" s="38">
        <f t="shared" si="238"/>
        <v>0</v>
      </c>
    </row>
    <row r="5076" spans="1:11">
      <c r="A5076" t="s">
        <v>479</v>
      </c>
      <c r="B5076" t="s">
        <v>10181</v>
      </c>
      <c r="C5076" t="s">
        <v>6022</v>
      </c>
      <c r="D5076" t="s">
        <v>6140</v>
      </c>
      <c r="E5076">
        <v>313.51</v>
      </c>
      <c r="G5076" s="35"/>
      <c r="H5076" s="36">
        <f t="shared" si="239"/>
        <v>197.51130000000001</v>
      </c>
      <c r="I5076" s="37">
        <f t="shared" si="237"/>
        <v>197.51130000000001</v>
      </c>
      <c r="J5076" s="4"/>
      <c r="K5076" s="38">
        <f t="shared" si="238"/>
        <v>0</v>
      </c>
    </row>
    <row r="5077" spans="1:11">
      <c r="A5077" t="s">
        <v>480</v>
      </c>
      <c r="B5077" t="s">
        <v>10181</v>
      </c>
      <c r="C5077" t="s">
        <v>6022</v>
      </c>
      <c r="D5077" t="s">
        <v>6141</v>
      </c>
      <c r="E5077">
        <v>313.51</v>
      </c>
      <c r="G5077" s="35"/>
      <c r="H5077" s="36">
        <f t="shared" si="239"/>
        <v>197.51130000000001</v>
      </c>
      <c r="I5077" s="37">
        <f t="shared" si="237"/>
        <v>197.51130000000001</v>
      </c>
      <c r="J5077" s="4"/>
      <c r="K5077" s="38">
        <f t="shared" si="238"/>
        <v>0</v>
      </c>
    </row>
    <row r="5078" spans="1:11">
      <c r="A5078" t="s">
        <v>481</v>
      </c>
      <c r="B5078" t="s">
        <v>10181</v>
      </c>
      <c r="C5078" t="s">
        <v>6022</v>
      </c>
      <c r="D5078" t="s">
        <v>6142</v>
      </c>
      <c r="E5078">
        <v>383.53</v>
      </c>
      <c r="G5078" s="35"/>
      <c r="H5078" s="36">
        <f t="shared" si="239"/>
        <v>241.62389999999999</v>
      </c>
      <c r="I5078" s="37">
        <f t="shared" si="237"/>
        <v>241.62389999999999</v>
      </c>
      <c r="J5078" s="4"/>
      <c r="K5078" s="38">
        <f t="shared" si="238"/>
        <v>0</v>
      </c>
    </row>
    <row r="5079" spans="1:11">
      <c r="A5079" t="s">
        <v>482</v>
      </c>
      <c r="B5079" t="s">
        <v>10181</v>
      </c>
      <c r="C5079" t="s">
        <v>6022</v>
      </c>
      <c r="D5079" t="s">
        <v>6143</v>
      </c>
      <c r="E5079">
        <v>590.33000000000004</v>
      </c>
      <c r="G5079" s="35"/>
      <c r="H5079" s="36">
        <f t="shared" si="239"/>
        <v>371.90790000000004</v>
      </c>
      <c r="I5079" s="37">
        <f t="shared" si="237"/>
        <v>371.90790000000004</v>
      </c>
      <c r="J5079" s="4"/>
      <c r="K5079" s="38">
        <f t="shared" si="238"/>
        <v>0</v>
      </c>
    </row>
    <row r="5080" spans="1:11">
      <c r="A5080" t="s">
        <v>483</v>
      </c>
      <c r="B5080" t="s">
        <v>10181</v>
      </c>
      <c r="C5080" t="s">
        <v>6022</v>
      </c>
      <c r="D5080" t="s">
        <v>6144</v>
      </c>
      <c r="E5080">
        <v>590.33000000000004</v>
      </c>
      <c r="G5080" s="35"/>
      <c r="H5080" s="36">
        <f t="shared" si="239"/>
        <v>371.90790000000004</v>
      </c>
      <c r="I5080" s="37">
        <f t="shared" si="237"/>
        <v>371.90790000000004</v>
      </c>
      <c r="J5080" s="4"/>
      <c r="K5080" s="38">
        <f t="shared" si="238"/>
        <v>0</v>
      </c>
    </row>
    <row r="5081" spans="1:11">
      <c r="A5081" t="s">
        <v>484</v>
      </c>
      <c r="B5081" t="s">
        <v>10181</v>
      </c>
      <c r="C5081" t="s">
        <v>6022</v>
      </c>
      <c r="D5081" t="s">
        <v>6145</v>
      </c>
      <c r="E5081">
        <v>590.33000000000004</v>
      </c>
      <c r="G5081" s="35"/>
      <c r="H5081" s="36">
        <f t="shared" si="239"/>
        <v>371.90790000000004</v>
      </c>
      <c r="I5081" s="37">
        <f t="shared" si="237"/>
        <v>371.90790000000004</v>
      </c>
      <c r="J5081" s="4"/>
      <c r="K5081" s="38">
        <f t="shared" si="238"/>
        <v>0</v>
      </c>
    </row>
    <row r="5082" spans="1:11">
      <c r="A5082" t="s">
        <v>485</v>
      </c>
      <c r="B5082" t="s">
        <v>10181</v>
      </c>
      <c r="C5082" t="s">
        <v>6022</v>
      </c>
      <c r="D5082" t="s">
        <v>6146</v>
      </c>
      <c r="E5082">
        <v>1065.28</v>
      </c>
      <c r="G5082" s="35"/>
      <c r="H5082" s="36">
        <f t="shared" si="239"/>
        <v>671.12639999999999</v>
      </c>
      <c r="I5082" s="37">
        <f t="shared" si="237"/>
        <v>671.12639999999999</v>
      </c>
      <c r="J5082" s="4"/>
      <c r="K5082" s="38">
        <f t="shared" si="238"/>
        <v>0</v>
      </c>
    </row>
    <row r="5083" spans="1:11">
      <c r="A5083" t="s">
        <v>486</v>
      </c>
      <c r="B5083" t="s">
        <v>10181</v>
      </c>
      <c r="C5083" t="s">
        <v>6022</v>
      </c>
      <c r="D5083" t="s">
        <v>6147</v>
      </c>
      <c r="E5083">
        <v>950.54</v>
      </c>
      <c r="G5083" s="35"/>
      <c r="H5083" s="36">
        <f t="shared" si="239"/>
        <v>598.84019999999998</v>
      </c>
      <c r="I5083" s="37">
        <f t="shared" si="237"/>
        <v>598.84019999999998</v>
      </c>
      <c r="J5083" s="4"/>
      <c r="K5083" s="38">
        <f t="shared" si="238"/>
        <v>0</v>
      </c>
    </row>
    <row r="5084" spans="1:11">
      <c r="A5084" t="s">
        <v>487</v>
      </c>
      <c r="B5084" t="s">
        <v>10181</v>
      </c>
      <c r="C5084" t="s">
        <v>6022</v>
      </c>
      <c r="D5084" t="s">
        <v>6148</v>
      </c>
      <c r="E5084">
        <v>1262.71</v>
      </c>
      <c r="G5084" s="35"/>
      <c r="H5084" s="36">
        <f t="shared" si="239"/>
        <v>795.50729999999999</v>
      </c>
      <c r="I5084" s="37">
        <f t="shared" si="237"/>
        <v>795.50729999999999</v>
      </c>
      <c r="J5084" s="4"/>
      <c r="K5084" s="38">
        <f t="shared" si="238"/>
        <v>0</v>
      </c>
    </row>
    <row r="5085" spans="1:11">
      <c r="A5085" t="s">
        <v>488</v>
      </c>
      <c r="B5085" t="s">
        <v>10181</v>
      </c>
      <c r="C5085" t="s">
        <v>6022</v>
      </c>
      <c r="D5085" t="s">
        <v>6149</v>
      </c>
      <c r="E5085">
        <v>1531.93</v>
      </c>
      <c r="G5085" s="35"/>
      <c r="H5085" s="36">
        <f t="shared" si="239"/>
        <v>965.11590000000001</v>
      </c>
      <c r="I5085" s="37">
        <f t="shared" si="237"/>
        <v>965.11590000000001</v>
      </c>
      <c r="J5085" s="4"/>
      <c r="K5085" s="38">
        <f t="shared" si="238"/>
        <v>0</v>
      </c>
    </row>
    <row r="5086" spans="1:11">
      <c r="A5086" t="s">
        <v>489</v>
      </c>
      <c r="B5086" t="s">
        <v>10181</v>
      </c>
      <c r="C5086" t="s">
        <v>6022</v>
      </c>
      <c r="D5086" t="s">
        <v>6150</v>
      </c>
      <c r="E5086">
        <v>3189.42</v>
      </c>
      <c r="G5086" s="35"/>
      <c r="H5086" s="36">
        <f t="shared" si="239"/>
        <v>2009.3346000000001</v>
      </c>
      <c r="I5086" s="37">
        <f t="shared" si="237"/>
        <v>2009.3346000000001</v>
      </c>
      <c r="J5086" s="4"/>
      <c r="K5086" s="38">
        <f t="shared" si="238"/>
        <v>0</v>
      </c>
    </row>
    <row r="5087" spans="1:11">
      <c r="A5087" t="s">
        <v>490</v>
      </c>
      <c r="B5087" t="s">
        <v>10181</v>
      </c>
      <c r="C5087" t="s">
        <v>6022</v>
      </c>
      <c r="D5087" t="s">
        <v>6151</v>
      </c>
      <c r="E5087">
        <v>4713.9399999999996</v>
      </c>
      <c r="G5087" s="35"/>
      <c r="H5087" s="36">
        <f t="shared" si="239"/>
        <v>2969.7821999999996</v>
      </c>
      <c r="I5087" s="37">
        <f t="shared" si="237"/>
        <v>2969.7821999999996</v>
      </c>
      <c r="J5087" s="4"/>
      <c r="K5087" s="38">
        <f t="shared" si="238"/>
        <v>0</v>
      </c>
    </row>
    <row r="5088" spans="1:11">
      <c r="A5088" t="s">
        <v>491</v>
      </c>
      <c r="B5088" t="s">
        <v>10181</v>
      </c>
      <c r="C5088" t="s">
        <v>6022</v>
      </c>
      <c r="D5088" t="s">
        <v>6152</v>
      </c>
      <c r="E5088">
        <v>3321.77</v>
      </c>
      <c r="G5088" s="35"/>
      <c r="H5088" s="36">
        <f t="shared" si="239"/>
        <v>2092.7150999999999</v>
      </c>
      <c r="I5088" s="37">
        <f t="shared" si="237"/>
        <v>2092.7150999999999</v>
      </c>
      <c r="J5088" s="4"/>
      <c r="K5088" s="38">
        <f t="shared" si="238"/>
        <v>0</v>
      </c>
    </row>
    <row r="5089" spans="1:11">
      <c r="A5089" t="s">
        <v>492</v>
      </c>
      <c r="B5089" t="s">
        <v>10181</v>
      </c>
      <c r="C5089" t="s">
        <v>6022</v>
      </c>
      <c r="D5089" t="s">
        <v>6153</v>
      </c>
      <c r="E5089">
        <v>9777.73</v>
      </c>
      <c r="G5089" s="35"/>
      <c r="H5089" s="36">
        <f t="shared" si="239"/>
        <v>6159.9699000000001</v>
      </c>
      <c r="I5089" s="37">
        <f t="shared" si="237"/>
        <v>6159.9699000000001</v>
      </c>
      <c r="J5089" s="4"/>
      <c r="K5089" s="38">
        <f t="shared" si="238"/>
        <v>0</v>
      </c>
    </row>
    <row r="5090" spans="1:11">
      <c r="A5090" t="s">
        <v>493</v>
      </c>
      <c r="B5090" t="s">
        <v>10181</v>
      </c>
      <c r="C5090" t="s">
        <v>6022</v>
      </c>
      <c r="D5090" t="s">
        <v>6154</v>
      </c>
      <c r="E5090">
        <v>3835.27</v>
      </c>
      <c r="G5090" s="35"/>
      <c r="H5090" s="36">
        <f t="shared" si="239"/>
        <v>2416.2201</v>
      </c>
      <c r="I5090" s="37">
        <f t="shared" si="237"/>
        <v>2416.2201</v>
      </c>
      <c r="J5090" s="4"/>
      <c r="K5090" s="38">
        <f t="shared" si="238"/>
        <v>0</v>
      </c>
    </row>
    <row r="5091" spans="1:11">
      <c r="A5091" t="s">
        <v>494</v>
      </c>
      <c r="B5091" t="s">
        <v>10181</v>
      </c>
      <c r="C5091" t="s">
        <v>6022</v>
      </c>
      <c r="D5091" t="s">
        <v>6155</v>
      </c>
      <c r="E5091">
        <v>1812.72</v>
      </c>
      <c r="G5091" s="35"/>
      <c r="H5091" s="36">
        <f t="shared" si="239"/>
        <v>1142.0136</v>
      </c>
      <c r="I5091" s="37">
        <f t="shared" si="237"/>
        <v>1142.0136</v>
      </c>
      <c r="J5091" s="4"/>
      <c r="K5091" s="38">
        <f t="shared" si="238"/>
        <v>0</v>
      </c>
    </row>
    <row r="5092" spans="1:11">
      <c r="A5092" t="s">
        <v>495</v>
      </c>
      <c r="B5092" t="s">
        <v>10181</v>
      </c>
      <c r="C5092" t="s">
        <v>6022</v>
      </c>
      <c r="D5092" t="s">
        <v>6156</v>
      </c>
      <c r="E5092">
        <v>1519.96</v>
      </c>
      <c r="G5092" s="35"/>
      <c r="H5092" s="36">
        <f t="shared" si="239"/>
        <v>957.57479999999998</v>
      </c>
      <c r="I5092" s="37">
        <f t="shared" si="237"/>
        <v>957.57479999999998</v>
      </c>
      <c r="J5092" s="4"/>
      <c r="K5092" s="38">
        <f t="shared" si="238"/>
        <v>0</v>
      </c>
    </row>
    <row r="5093" spans="1:11">
      <c r="A5093" t="s">
        <v>496</v>
      </c>
      <c r="B5093" t="s">
        <v>10181</v>
      </c>
      <c r="C5093" t="s">
        <v>6022</v>
      </c>
      <c r="D5093" t="s">
        <v>6157</v>
      </c>
      <c r="E5093">
        <v>1693.27</v>
      </c>
      <c r="G5093" s="35"/>
      <c r="H5093" s="36">
        <f t="shared" si="239"/>
        <v>1066.7601</v>
      </c>
      <c r="I5093" s="37">
        <f t="shared" si="237"/>
        <v>1066.7601</v>
      </c>
      <c r="J5093" s="4"/>
      <c r="K5093" s="38">
        <f t="shared" si="238"/>
        <v>0</v>
      </c>
    </row>
    <row r="5094" spans="1:11">
      <c r="A5094" t="s">
        <v>497</v>
      </c>
      <c r="B5094" t="s">
        <v>10181</v>
      </c>
      <c r="C5094" t="s">
        <v>6022</v>
      </c>
      <c r="D5094" t="s">
        <v>6158</v>
      </c>
      <c r="E5094">
        <v>1693.27</v>
      </c>
      <c r="G5094" s="35"/>
      <c r="H5094" s="36">
        <f t="shared" si="239"/>
        <v>1066.7601</v>
      </c>
      <c r="I5094" s="37">
        <f t="shared" si="237"/>
        <v>1066.7601</v>
      </c>
      <c r="J5094" s="4"/>
      <c r="K5094" s="38">
        <f t="shared" si="238"/>
        <v>0</v>
      </c>
    </row>
    <row r="5095" spans="1:11">
      <c r="A5095" t="s">
        <v>498</v>
      </c>
      <c r="B5095" t="s">
        <v>10181</v>
      </c>
      <c r="C5095" t="s">
        <v>6022</v>
      </c>
      <c r="D5095" t="s">
        <v>6159</v>
      </c>
      <c r="E5095">
        <v>2300.88</v>
      </c>
      <c r="G5095" s="35"/>
      <c r="H5095" s="36">
        <f t="shared" si="239"/>
        <v>1449.5544</v>
      </c>
      <c r="I5095" s="37">
        <f t="shared" si="237"/>
        <v>1449.5544</v>
      </c>
      <c r="J5095" s="4"/>
      <c r="K5095" s="38">
        <f t="shared" si="238"/>
        <v>0</v>
      </c>
    </row>
    <row r="5096" spans="1:11">
      <c r="A5096" t="s">
        <v>499</v>
      </c>
      <c r="B5096" t="s">
        <v>10181</v>
      </c>
      <c r="C5096" t="s">
        <v>6022</v>
      </c>
      <c r="D5096" t="s">
        <v>6160</v>
      </c>
      <c r="E5096">
        <v>3571.12</v>
      </c>
      <c r="G5096" s="35"/>
      <c r="H5096" s="36">
        <f t="shared" si="239"/>
        <v>2249.8056000000001</v>
      </c>
      <c r="I5096" s="37">
        <f t="shared" si="237"/>
        <v>2249.8056000000001</v>
      </c>
      <c r="J5096" s="4"/>
      <c r="K5096" s="38">
        <f t="shared" si="238"/>
        <v>0</v>
      </c>
    </row>
    <row r="5097" spans="1:11">
      <c r="A5097" t="s">
        <v>500</v>
      </c>
      <c r="B5097" t="s">
        <v>10181</v>
      </c>
      <c r="C5097" t="s">
        <v>6022</v>
      </c>
      <c r="D5097" t="s">
        <v>6161</v>
      </c>
      <c r="E5097">
        <v>4458.18</v>
      </c>
      <c r="G5097" s="35"/>
      <c r="H5097" s="36">
        <f t="shared" si="239"/>
        <v>2808.6534000000001</v>
      </c>
      <c r="I5097" s="37">
        <f t="shared" si="237"/>
        <v>2808.6534000000001</v>
      </c>
      <c r="J5097" s="4"/>
      <c r="K5097" s="38">
        <f t="shared" si="238"/>
        <v>0</v>
      </c>
    </row>
    <row r="5098" spans="1:11">
      <c r="A5098" t="s">
        <v>501</v>
      </c>
      <c r="B5098" t="s">
        <v>10181</v>
      </c>
      <c r="C5098" t="s">
        <v>6022</v>
      </c>
      <c r="D5098" t="s">
        <v>6162</v>
      </c>
      <c r="E5098">
        <v>4021.79</v>
      </c>
      <c r="G5098" s="35"/>
      <c r="H5098" s="36">
        <f t="shared" si="239"/>
        <v>2533.7276999999999</v>
      </c>
      <c r="I5098" s="37">
        <f t="shared" si="237"/>
        <v>2533.7276999999999</v>
      </c>
      <c r="J5098" s="4"/>
      <c r="K5098" s="38">
        <f t="shared" si="238"/>
        <v>0</v>
      </c>
    </row>
    <row r="5099" spans="1:11">
      <c r="A5099" t="s">
        <v>502</v>
      </c>
      <c r="B5099" t="s">
        <v>10181</v>
      </c>
      <c r="C5099" t="s">
        <v>6022</v>
      </c>
      <c r="D5099" t="s">
        <v>6163</v>
      </c>
      <c r="E5099">
        <v>10092.75</v>
      </c>
      <c r="G5099" s="35"/>
      <c r="H5099" s="36">
        <f t="shared" si="239"/>
        <v>6358.4324999999999</v>
      </c>
      <c r="I5099" s="37">
        <f t="shared" si="237"/>
        <v>6358.4324999999999</v>
      </c>
      <c r="J5099" s="4"/>
      <c r="K5099" s="38">
        <f t="shared" si="238"/>
        <v>0</v>
      </c>
    </row>
    <row r="5100" spans="1:11">
      <c r="A5100" t="s">
        <v>503</v>
      </c>
      <c r="B5100" t="s">
        <v>10181</v>
      </c>
      <c r="C5100" t="s">
        <v>6022</v>
      </c>
      <c r="D5100" t="s">
        <v>6164</v>
      </c>
      <c r="E5100">
        <v>408.86</v>
      </c>
      <c r="G5100" s="35"/>
      <c r="H5100" s="36">
        <f t="shared" si="239"/>
        <v>257.58179999999999</v>
      </c>
      <c r="I5100" s="37">
        <f t="shared" si="237"/>
        <v>257.58179999999999</v>
      </c>
      <c r="J5100" s="4"/>
      <c r="K5100" s="38">
        <f t="shared" si="238"/>
        <v>0</v>
      </c>
    </row>
    <row r="5101" spans="1:11">
      <c r="A5101" t="s">
        <v>504</v>
      </c>
      <c r="B5101" t="s">
        <v>10181</v>
      </c>
      <c r="C5101" t="s">
        <v>6022</v>
      </c>
      <c r="D5101" t="s">
        <v>6165</v>
      </c>
      <c r="E5101">
        <v>408.86</v>
      </c>
      <c r="G5101" s="35"/>
      <c r="H5101" s="36">
        <f t="shared" si="239"/>
        <v>257.58179999999999</v>
      </c>
      <c r="I5101" s="37">
        <f t="shared" si="237"/>
        <v>257.58179999999999</v>
      </c>
      <c r="J5101" s="4"/>
      <c r="K5101" s="38">
        <f t="shared" si="238"/>
        <v>0</v>
      </c>
    </row>
    <row r="5102" spans="1:11">
      <c r="A5102" t="s">
        <v>505</v>
      </c>
      <c r="B5102" t="s">
        <v>10181</v>
      </c>
      <c r="C5102" t="s">
        <v>6022</v>
      </c>
      <c r="D5102" t="s">
        <v>6166</v>
      </c>
      <c r="E5102">
        <v>1262.71</v>
      </c>
      <c r="G5102" s="35"/>
      <c r="H5102" s="36">
        <f t="shared" si="239"/>
        <v>795.50729999999999</v>
      </c>
      <c r="I5102" s="37">
        <f t="shared" si="237"/>
        <v>795.50729999999999</v>
      </c>
      <c r="J5102" s="4"/>
      <c r="K5102" s="38">
        <f t="shared" si="238"/>
        <v>0</v>
      </c>
    </row>
    <row r="5103" spans="1:11">
      <c r="A5103" t="s">
        <v>506</v>
      </c>
      <c r="B5103" t="s">
        <v>10181</v>
      </c>
      <c r="C5103" t="s">
        <v>6022</v>
      </c>
      <c r="D5103" t="s">
        <v>6167</v>
      </c>
      <c r="E5103">
        <v>849.39</v>
      </c>
      <c r="G5103" s="35"/>
      <c r="H5103" s="36">
        <f t="shared" si="239"/>
        <v>535.11569999999995</v>
      </c>
      <c r="I5103" s="37">
        <f t="shared" si="237"/>
        <v>535.11569999999995</v>
      </c>
      <c r="J5103" s="4"/>
      <c r="K5103" s="38">
        <f t="shared" si="238"/>
        <v>0</v>
      </c>
    </row>
    <row r="5104" spans="1:11">
      <c r="A5104" t="s">
        <v>507</v>
      </c>
      <c r="B5104" t="s">
        <v>10181</v>
      </c>
      <c r="C5104" t="s">
        <v>6022</v>
      </c>
      <c r="D5104" t="s">
        <v>6168</v>
      </c>
      <c r="E5104">
        <v>726.79</v>
      </c>
      <c r="G5104" s="35"/>
      <c r="H5104" s="36">
        <f t="shared" si="239"/>
        <v>457.8777</v>
      </c>
      <c r="I5104" s="37">
        <f t="shared" si="237"/>
        <v>457.8777</v>
      </c>
      <c r="J5104" s="4"/>
      <c r="K5104" s="38">
        <f t="shared" si="238"/>
        <v>0</v>
      </c>
    </row>
    <row r="5105" spans="1:11">
      <c r="A5105" t="s">
        <v>508</v>
      </c>
      <c r="B5105" t="s">
        <v>10181</v>
      </c>
      <c r="C5105" t="s">
        <v>6022</v>
      </c>
      <c r="D5105" t="s">
        <v>6169</v>
      </c>
      <c r="E5105">
        <v>2807.23</v>
      </c>
      <c r="G5105" s="35"/>
      <c r="H5105" s="36">
        <f t="shared" si="239"/>
        <v>1768.5549000000001</v>
      </c>
      <c r="I5105" s="37">
        <f t="shared" si="237"/>
        <v>1768.5549000000001</v>
      </c>
      <c r="J5105" s="4"/>
      <c r="K5105" s="38">
        <f t="shared" si="238"/>
        <v>0</v>
      </c>
    </row>
    <row r="5106" spans="1:11">
      <c r="A5106" t="s">
        <v>509</v>
      </c>
      <c r="B5106" t="s">
        <v>10181</v>
      </c>
      <c r="C5106" t="s">
        <v>6022</v>
      </c>
      <c r="D5106" t="s">
        <v>6170</v>
      </c>
      <c r="E5106">
        <v>2798.58</v>
      </c>
      <c r="G5106" s="35"/>
      <c r="H5106" s="36">
        <f t="shared" si="239"/>
        <v>1763.1053999999999</v>
      </c>
      <c r="I5106" s="37">
        <f t="shared" si="237"/>
        <v>1763.1053999999999</v>
      </c>
      <c r="J5106" s="4"/>
      <c r="K5106" s="38">
        <f t="shared" si="238"/>
        <v>0</v>
      </c>
    </row>
    <row r="5107" spans="1:11">
      <c r="A5107" t="s">
        <v>510</v>
      </c>
      <c r="B5107" t="s">
        <v>10181</v>
      </c>
      <c r="C5107" t="s">
        <v>6022</v>
      </c>
      <c r="D5107" t="s">
        <v>6171</v>
      </c>
      <c r="E5107">
        <v>4874.01</v>
      </c>
      <c r="G5107" s="35"/>
      <c r="H5107" s="36">
        <f t="shared" si="239"/>
        <v>3070.6263000000004</v>
      </c>
      <c r="I5107" s="37">
        <f t="shared" si="237"/>
        <v>3070.6263000000004</v>
      </c>
      <c r="J5107" s="4"/>
      <c r="K5107" s="38">
        <f t="shared" si="238"/>
        <v>0</v>
      </c>
    </row>
    <row r="5108" spans="1:11">
      <c r="A5108" t="s">
        <v>511</v>
      </c>
      <c r="B5108" t="s">
        <v>10181</v>
      </c>
      <c r="C5108" t="s">
        <v>6022</v>
      </c>
      <c r="D5108" t="s">
        <v>6172</v>
      </c>
      <c r="E5108">
        <v>6059.11</v>
      </c>
      <c r="G5108" s="35"/>
      <c r="H5108" s="36">
        <f t="shared" si="239"/>
        <v>3817.2392999999997</v>
      </c>
      <c r="I5108" s="37">
        <f t="shared" si="237"/>
        <v>3817.2392999999997</v>
      </c>
      <c r="J5108" s="4"/>
      <c r="K5108" s="38">
        <f t="shared" si="238"/>
        <v>0</v>
      </c>
    </row>
    <row r="5109" spans="1:11">
      <c r="A5109" t="s">
        <v>512</v>
      </c>
      <c r="B5109" t="s">
        <v>10181</v>
      </c>
      <c r="C5109" t="s">
        <v>6022</v>
      </c>
      <c r="D5109" t="s">
        <v>6173</v>
      </c>
      <c r="E5109">
        <v>11101.42</v>
      </c>
      <c r="G5109" s="35"/>
      <c r="H5109" s="36">
        <f t="shared" si="239"/>
        <v>6993.8946000000005</v>
      </c>
      <c r="I5109" s="37">
        <f t="shared" si="237"/>
        <v>6993.8946000000005</v>
      </c>
      <c r="J5109" s="4"/>
      <c r="K5109" s="38">
        <f t="shared" si="238"/>
        <v>0</v>
      </c>
    </row>
    <row r="5110" spans="1:11">
      <c r="A5110" t="s">
        <v>513</v>
      </c>
      <c r="B5110" t="s">
        <v>10181</v>
      </c>
      <c r="C5110" t="s">
        <v>6022</v>
      </c>
      <c r="D5110" t="s">
        <v>6174</v>
      </c>
      <c r="E5110">
        <v>6089.45</v>
      </c>
      <c r="G5110" s="35"/>
      <c r="H5110" s="36">
        <f t="shared" si="239"/>
        <v>3836.3534999999997</v>
      </c>
      <c r="I5110" s="37">
        <f t="shared" si="237"/>
        <v>3836.3534999999997</v>
      </c>
      <c r="J5110" s="4"/>
      <c r="K5110" s="38">
        <f t="shared" si="238"/>
        <v>0</v>
      </c>
    </row>
    <row r="5111" spans="1:11">
      <c r="A5111" t="s">
        <v>514</v>
      </c>
      <c r="B5111" t="s">
        <v>10181</v>
      </c>
      <c r="C5111" t="s">
        <v>6022</v>
      </c>
      <c r="D5111" t="s">
        <v>6175</v>
      </c>
      <c r="E5111">
        <v>9494.49</v>
      </c>
      <c r="G5111" s="35"/>
      <c r="H5111" s="36">
        <f t="shared" si="239"/>
        <v>5981.5286999999998</v>
      </c>
      <c r="I5111" s="37">
        <f t="shared" si="237"/>
        <v>5981.5286999999998</v>
      </c>
      <c r="J5111" s="4"/>
      <c r="K5111" s="38">
        <f t="shared" si="238"/>
        <v>0</v>
      </c>
    </row>
    <row r="5112" spans="1:11">
      <c r="A5112" t="s">
        <v>515</v>
      </c>
      <c r="B5112" t="s">
        <v>10181</v>
      </c>
      <c r="C5112" t="s">
        <v>6022</v>
      </c>
      <c r="D5112" t="s">
        <v>6176</v>
      </c>
      <c r="E5112">
        <v>559.4</v>
      </c>
      <c r="G5112" s="35"/>
      <c r="H5112" s="36">
        <f t="shared" si="239"/>
        <v>352.42199999999997</v>
      </c>
      <c r="I5112" s="37">
        <f t="shared" si="237"/>
        <v>352.42199999999997</v>
      </c>
      <c r="J5112" s="4"/>
      <c r="K5112" s="38">
        <f t="shared" si="238"/>
        <v>0</v>
      </c>
    </row>
    <row r="5113" spans="1:11">
      <c r="A5113" t="s">
        <v>516</v>
      </c>
      <c r="B5113" t="s">
        <v>10181</v>
      </c>
      <c r="C5113" t="s">
        <v>6022</v>
      </c>
      <c r="D5113" t="s">
        <v>6177</v>
      </c>
      <c r="E5113">
        <v>722.33</v>
      </c>
      <c r="G5113" s="35"/>
      <c r="H5113" s="36">
        <f t="shared" si="239"/>
        <v>455.06790000000001</v>
      </c>
      <c r="I5113" s="37">
        <f t="shared" si="237"/>
        <v>455.06790000000001</v>
      </c>
      <c r="J5113" s="4"/>
      <c r="K5113" s="38">
        <f t="shared" si="238"/>
        <v>0</v>
      </c>
    </row>
    <row r="5114" spans="1:11">
      <c r="A5114" t="s">
        <v>517</v>
      </c>
      <c r="B5114" t="s">
        <v>10181</v>
      </c>
      <c r="C5114" t="s">
        <v>6022</v>
      </c>
      <c r="D5114" t="s">
        <v>6178</v>
      </c>
      <c r="E5114">
        <v>849.39</v>
      </c>
      <c r="G5114" s="35"/>
      <c r="H5114" s="36">
        <f t="shared" si="239"/>
        <v>535.11569999999995</v>
      </c>
      <c r="I5114" s="37">
        <f t="shared" si="237"/>
        <v>535.11569999999995</v>
      </c>
      <c r="J5114" s="4"/>
      <c r="K5114" s="38">
        <f t="shared" si="238"/>
        <v>0</v>
      </c>
    </row>
    <row r="5115" spans="1:11">
      <c r="A5115" t="s">
        <v>518</v>
      </c>
      <c r="B5115" t="s">
        <v>10181</v>
      </c>
      <c r="C5115" t="s">
        <v>6022</v>
      </c>
      <c r="D5115" t="s">
        <v>6179</v>
      </c>
      <c r="E5115">
        <v>1571.91</v>
      </c>
      <c r="G5115" s="35"/>
      <c r="H5115" s="36">
        <f t="shared" si="239"/>
        <v>990.30330000000004</v>
      </c>
      <c r="I5115" s="37">
        <f t="shared" si="237"/>
        <v>990.30330000000004</v>
      </c>
      <c r="J5115" s="4"/>
      <c r="K5115" s="38">
        <f t="shared" si="238"/>
        <v>0</v>
      </c>
    </row>
    <row r="5116" spans="1:11">
      <c r="A5116" t="s">
        <v>519</v>
      </c>
      <c r="B5116" t="s">
        <v>10181</v>
      </c>
      <c r="C5116" t="s">
        <v>6022</v>
      </c>
      <c r="D5116" t="s">
        <v>6180</v>
      </c>
      <c r="E5116">
        <v>2405.17</v>
      </c>
      <c r="G5116" s="35"/>
      <c r="H5116" s="36">
        <f t="shared" si="239"/>
        <v>1515.2571</v>
      </c>
      <c r="I5116" s="37">
        <f t="shared" si="237"/>
        <v>1515.2571</v>
      </c>
      <c r="J5116" s="4"/>
      <c r="K5116" s="38">
        <f t="shared" si="238"/>
        <v>0</v>
      </c>
    </row>
    <row r="5117" spans="1:11">
      <c r="A5117" t="s">
        <v>520</v>
      </c>
      <c r="B5117" t="s">
        <v>10181</v>
      </c>
      <c r="C5117" t="s">
        <v>6022</v>
      </c>
      <c r="D5117" t="s">
        <v>12243</v>
      </c>
      <c r="E5117">
        <v>4000.61</v>
      </c>
      <c r="G5117" s="35"/>
      <c r="H5117" s="36">
        <f t="shared" si="239"/>
        <v>2520.3843000000002</v>
      </c>
      <c r="I5117" s="37">
        <f t="shared" si="237"/>
        <v>2520.3843000000002</v>
      </c>
      <c r="J5117" s="4"/>
      <c r="K5117" s="38">
        <f t="shared" si="238"/>
        <v>0</v>
      </c>
    </row>
    <row r="5118" spans="1:11">
      <c r="A5118" t="s">
        <v>521</v>
      </c>
      <c r="B5118" t="s">
        <v>10181</v>
      </c>
      <c r="C5118" t="s">
        <v>6022</v>
      </c>
      <c r="D5118" t="s">
        <v>6181</v>
      </c>
      <c r="E5118">
        <v>375.67</v>
      </c>
      <c r="G5118" s="35"/>
      <c r="H5118" s="36">
        <f t="shared" si="239"/>
        <v>236.6721</v>
      </c>
      <c r="I5118" s="37">
        <f t="shared" si="237"/>
        <v>236.6721</v>
      </c>
      <c r="J5118" s="4"/>
      <c r="K5118" s="38">
        <f t="shared" si="238"/>
        <v>0</v>
      </c>
    </row>
    <row r="5119" spans="1:11">
      <c r="A5119" t="s">
        <v>522</v>
      </c>
      <c r="B5119" t="s">
        <v>10181</v>
      </c>
      <c r="C5119" t="s">
        <v>6022</v>
      </c>
      <c r="D5119" t="s">
        <v>6182</v>
      </c>
      <c r="E5119">
        <v>638.66999999999996</v>
      </c>
      <c r="G5119" s="35"/>
      <c r="H5119" s="36">
        <f t="shared" si="239"/>
        <v>402.3621</v>
      </c>
      <c r="I5119" s="37">
        <f t="shared" si="237"/>
        <v>402.3621</v>
      </c>
      <c r="J5119" s="4"/>
      <c r="K5119" s="38">
        <f t="shared" si="238"/>
        <v>0</v>
      </c>
    </row>
    <row r="5120" spans="1:11">
      <c r="A5120" t="s">
        <v>523</v>
      </c>
      <c r="B5120" t="s">
        <v>10181</v>
      </c>
      <c r="C5120" t="s">
        <v>6022</v>
      </c>
      <c r="D5120" t="s">
        <v>6183</v>
      </c>
      <c r="E5120">
        <v>590.57000000000005</v>
      </c>
      <c r="G5120" s="35"/>
      <c r="H5120" s="36">
        <f t="shared" si="239"/>
        <v>372.05910000000006</v>
      </c>
      <c r="I5120" s="37">
        <f t="shared" si="237"/>
        <v>372.05910000000006</v>
      </c>
      <c r="J5120" s="4"/>
      <c r="K5120" s="38">
        <f t="shared" si="238"/>
        <v>0</v>
      </c>
    </row>
    <row r="5121" spans="1:11">
      <c r="A5121" t="s">
        <v>524</v>
      </c>
      <c r="B5121" t="s">
        <v>10181</v>
      </c>
      <c r="C5121" t="s">
        <v>6022</v>
      </c>
      <c r="D5121" t="s">
        <v>6184</v>
      </c>
      <c r="E5121">
        <v>262.72000000000003</v>
      </c>
      <c r="G5121" s="35"/>
      <c r="H5121" s="36">
        <f t="shared" si="239"/>
        <v>165.51360000000003</v>
      </c>
      <c r="I5121" s="37">
        <f t="shared" si="237"/>
        <v>165.51360000000003</v>
      </c>
      <c r="J5121" s="4"/>
      <c r="K5121" s="38">
        <f t="shared" si="238"/>
        <v>0</v>
      </c>
    </row>
    <row r="5122" spans="1:11">
      <c r="A5122" t="s">
        <v>525</v>
      </c>
      <c r="B5122" t="s">
        <v>10181</v>
      </c>
      <c r="C5122" t="s">
        <v>6022</v>
      </c>
      <c r="D5122" t="s">
        <v>6185</v>
      </c>
      <c r="E5122">
        <v>329.36</v>
      </c>
      <c r="G5122" s="35"/>
      <c r="H5122" s="36">
        <f t="shared" si="239"/>
        <v>207.49680000000001</v>
      </c>
      <c r="I5122" s="37">
        <f t="shared" si="237"/>
        <v>207.49680000000001</v>
      </c>
      <c r="J5122" s="4"/>
      <c r="K5122" s="38">
        <f t="shared" si="238"/>
        <v>0</v>
      </c>
    </row>
    <row r="5123" spans="1:11">
      <c r="A5123" t="s">
        <v>526</v>
      </c>
      <c r="B5123" t="s">
        <v>10181</v>
      </c>
      <c r="C5123" t="s">
        <v>6022</v>
      </c>
      <c r="D5123" t="s">
        <v>6186</v>
      </c>
      <c r="E5123">
        <v>660.15</v>
      </c>
      <c r="G5123" s="35"/>
      <c r="H5123" s="36">
        <f t="shared" si="239"/>
        <v>415.89449999999999</v>
      </c>
      <c r="I5123" s="37">
        <f t="shared" si="237"/>
        <v>415.89449999999999</v>
      </c>
      <c r="J5123" s="4"/>
      <c r="K5123" s="38">
        <f t="shared" si="238"/>
        <v>0</v>
      </c>
    </row>
    <row r="5124" spans="1:11">
      <c r="A5124" t="s">
        <v>527</v>
      </c>
      <c r="B5124" t="s">
        <v>10181</v>
      </c>
      <c r="C5124" t="s">
        <v>6022</v>
      </c>
      <c r="D5124" t="s">
        <v>6187</v>
      </c>
      <c r="E5124">
        <v>342.28</v>
      </c>
      <c r="G5124" s="35"/>
      <c r="H5124" s="36">
        <f t="shared" si="239"/>
        <v>215.63639999999998</v>
      </c>
      <c r="I5124" s="37">
        <f t="shared" si="237"/>
        <v>215.63639999999998</v>
      </c>
      <c r="J5124" s="4"/>
      <c r="K5124" s="38">
        <f t="shared" si="238"/>
        <v>0</v>
      </c>
    </row>
    <row r="5125" spans="1:11">
      <c r="A5125" t="s">
        <v>528</v>
      </c>
      <c r="B5125" t="s">
        <v>10181</v>
      </c>
      <c r="C5125" t="s">
        <v>6022</v>
      </c>
      <c r="D5125" t="s">
        <v>6188</v>
      </c>
      <c r="E5125">
        <v>488.84</v>
      </c>
      <c r="G5125" s="35"/>
      <c r="H5125" s="36">
        <f t="shared" si="239"/>
        <v>307.9692</v>
      </c>
      <c r="I5125" s="37">
        <f t="shared" si="237"/>
        <v>307.9692</v>
      </c>
      <c r="J5125" s="4"/>
      <c r="K5125" s="38">
        <f t="shared" si="238"/>
        <v>0</v>
      </c>
    </row>
    <row r="5126" spans="1:11">
      <c r="A5126" t="s">
        <v>529</v>
      </c>
      <c r="B5126" t="s">
        <v>10181</v>
      </c>
      <c r="C5126" t="s">
        <v>6022</v>
      </c>
      <c r="D5126" t="s">
        <v>6189</v>
      </c>
      <c r="E5126">
        <v>869.23</v>
      </c>
      <c r="G5126" s="35"/>
      <c r="H5126" s="36">
        <f t="shared" si="239"/>
        <v>547.61490000000003</v>
      </c>
      <c r="I5126" s="37">
        <f t="shared" ref="I5126:I5189" si="240">H5126*$H$4</f>
        <v>547.61490000000003</v>
      </c>
      <c r="J5126" s="4"/>
      <c r="K5126" s="38">
        <f t="shared" ref="K5126:K5189" si="241">J5126*I5126</f>
        <v>0</v>
      </c>
    </row>
    <row r="5127" spans="1:11">
      <c r="A5127" t="s">
        <v>530</v>
      </c>
      <c r="B5127" t="s">
        <v>10181</v>
      </c>
      <c r="C5127" t="s">
        <v>6022</v>
      </c>
      <c r="D5127" t="s">
        <v>6190</v>
      </c>
      <c r="E5127">
        <v>356.4</v>
      </c>
      <c r="G5127" s="35"/>
      <c r="H5127" s="36">
        <f t="shared" ref="H5127:H5190" si="242">+E5127*$H$1*(1-G5127)</f>
        <v>224.53199999999998</v>
      </c>
      <c r="I5127" s="37">
        <f t="shared" si="240"/>
        <v>224.53199999999998</v>
      </c>
      <c r="J5127" s="4"/>
      <c r="K5127" s="38">
        <f t="shared" si="241"/>
        <v>0</v>
      </c>
    </row>
    <row r="5128" spans="1:11">
      <c r="A5128" t="s">
        <v>531</v>
      </c>
      <c r="B5128" t="s">
        <v>10181</v>
      </c>
      <c r="C5128" t="s">
        <v>6022</v>
      </c>
      <c r="D5128" t="s">
        <v>6191</v>
      </c>
      <c r="E5128">
        <v>518.6</v>
      </c>
      <c r="G5128" s="35"/>
      <c r="H5128" s="36">
        <f t="shared" si="242"/>
        <v>326.71800000000002</v>
      </c>
      <c r="I5128" s="37">
        <f t="shared" si="240"/>
        <v>326.71800000000002</v>
      </c>
      <c r="J5128" s="4"/>
      <c r="K5128" s="38">
        <f t="shared" si="241"/>
        <v>0</v>
      </c>
    </row>
    <row r="5129" spans="1:11">
      <c r="A5129" t="s">
        <v>532</v>
      </c>
      <c r="B5129" t="s">
        <v>10181</v>
      </c>
      <c r="C5129" t="s">
        <v>6022</v>
      </c>
      <c r="D5129" t="s">
        <v>6192</v>
      </c>
      <c r="E5129">
        <v>891.95</v>
      </c>
      <c r="G5129" s="35"/>
      <c r="H5129" s="36">
        <f t="shared" si="242"/>
        <v>561.92849999999999</v>
      </c>
      <c r="I5129" s="37">
        <f t="shared" si="240"/>
        <v>561.92849999999999</v>
      </c>
      <c r="J5129" s="4"/>
      <c r="K5129" s="38">
        <f t="shared" si="241"/>
        <v>0</v>
      </c>
    </row>
    <row r="5130" spans="1:11">
      <c r="A5130" t="s">
        <v>533</v>
      </c>
      <c r="B5130" t="s">
        <v>10181</v>
      </c>
      <c r="C5130" t="s">
        <v>6022</v>
      </c>
      <c r="D5130" t="s">
        <v>6193</v>
      </c>
      <c r="E5130">
        <v>1072.9100000000001</v>
      </c>
      <c r="G5130" s="35"/>
      <c r="H5130" s="36">
        <f t="shared" si="242"/>
        <v>675.93330000000003</v>
      </c>
      <c r="I5130" s="37">
        <f t="shared" si="240"/>
        <v>675.93330000000003</v>
      </c>
      <c r="J5130" s="4"/>
      <c r="K5130" s="38">
        <f t="shared" si="241"/>
        <v>0</v>
      </c>
    </row>
    <row r="5131" spans="1:11">
      <c r="A5131" t="s">
        <v>534</v>
      </c>
      <c r="B5131" t="s">
        <v>10181</v>
      </c>
      <c r="C5131" t="s">
        <v>6022</v>
      </c>
      <c r="D5131" t="s">
        <v>6194</v>
      </c>
      <c r="E5131">
        <v>1556.79</v>
      </c>
      <c r="G5131" s="35"/>
      <c r="H5131" s="36">
        <f t="shared" si="242"/>
        <v>980.77769999999998</v>
      </c>
      <c r="I5131" s="37">
        <f t="shared" si="240"/>
        <v>980.77769999999998</v>
      </c>
      <c r="J5131" s="4"/>
      <c r="K5131" s="38">
        <f t="shared" si="241"/>
        <v>0</v>
      </c>
    </row>
    <row r="5132" spans="1:11">
      <c r="A5132" t="s">
        <v>535</v>
      </c>
      <c r="B5132" t="s">
        <v>10181</v>
      </c>
      <c r="C5132" t="s">
        <v>6022</v>
      </c>
      <c r="D5132" t="s">
        <v>6195</v>
      </c>
      <c r="E5132">
        <v>2240.6799999999998</v>
      </c>
      <c r="G5132" s="35"/>
      <c r="H5132" s="36">
        <f t="shared" si="242"/>
        <v>1411.6283999999998</v>
      </c>
      <c r="I5132" s="37">
        <f t="shared" si="240"/>
        <v>1411.6283999999998</v>
      </c>
      <c r="J5132" s="4"/>
      <c r="K5132" s="38">
        <f t="shared" si="241"/>
        <v>0</v>
      </c>
    </row>
    <row r="5133" spans="1:11">
      <c r="A5133" t="s">
        <v>536</v>
      </c>
      <c r="B5133" t="s">
        <v>10181</v>
      </c>
      <c r="C5133" t="s">
        <v>6022</v>
      </c>
      <c r="D5133" t="s">
        <v>6196</v>
      </c>
      <c r="E5133">
        <v>538.58000000000004</v>
      </c>
      <c r="G5133" s="35"/>
      <c r="H5133" s="36">
        <f t="shared" si="242"/>
        <v>339.30540000000002</v>
      </c>
      <c r="I5133" s="37">
        <f t="shared" si="240"/>
        <v>339.30540000000002</v>
      </c>
      <c r="J5133" s="4"/>
      <c r="K5133" s="38">
        <f t="shared" si="241"/>
        <v>0</v>
      </c>
    </row>
    <row r="5134" spans="1:11">
      <c r="A5134" t="s">
        <v>537</v>
      </c>
      <c r="B5134" t="s">
        <v>10181</v>
      </c>
      <c r="C5134" t="s">
        <v>6022</v>
      </c>
      <c r="D5134" t="s">
        <v>6197</v>
      </c>
      <c r="E5134">
        <v>689.37</v>
      </c>
      <c r="G5134" s="35"/>
      <c r="H5134" s="36">
        <f t="shared" si="242"/>
        <v>434.30310000000003</v>
      </c>
      <c r="I5134" s="37">
        <f t="shared" si="240"/>
        <v>434.30310000000003</v>
      </c>
      <c r="J5134" s="4"/>
      <c r="K5134" s="38">
        <f t="shared" si="241"/>
        <v>0</v>
      </c>
    </row>
    <row r="5135" spans="1:11">
      <c r="A5135" t="s">
        <v>538</v>
      </c>
      <c r="B5135" t="s">
        <v>10181</v>
      </c>
      <c r="C5135" t="s">
        <v>6022</v>
      </c>
      <c r="D5135" t="s">
        <v>6198</v>
      </c>
      <c r="E5135">
        <v>613.66</v>
      </c>
      <c r="G5135" s="35"/>
      <c r="H5135" s="36">
        <f t="shared" si="242"/>
        <v>386.60579999999999</v>
      </c>
      <c r="I5135" s="37">
        <f t="shared" si="240"/>
        <v>386.60579999999999</v>
      </c>
      <c r="J5135" s="4"/>
      <c r="K5135" s="38">
        <f t="shared" si="241"/>
        <v>0</v>
      </c>
    </row>
    <row r="5136" spans="1:11">
      <c r="A5136" t="s">
        <v>539</v>
      </c>
      <c r="B5136" t="s">
        <v>10181</v>
      </c>
      <c r="C5136" t="s">
        <v>6022</v>
      </c>
      <c r="D5136" t="s">
        <v>6199</v>
      </c>
      <c r="E5136">
        <v>848.83</v>
      </c>
      <c r="G5136" s="35"/>
      <c r="H5136" s="36">
        <f t="shared" si="242"/>
        <v>534.76290000000006</v>
      </c>
      <c r="I5136" s="37">
        <f t="shared" si="240"/>
        <v>534.76290000000006</v>
      </c>
      <c r="J5136" s="4"/>
      <c r="K5136" s="38">
        <f t="shared" si="241"/>
        <v>0</v>
      </c>
    </row>
    <row r="5137" spans="1:11">
      <c r="A5137" t="s">
        <v>540</v>
      </c>
      <c r="B5137" t="s">
        <v>10181</v>
      </c>
      <c r="C5137" t="s">
        <v>6022</v>
      </c>
      <c r="D5137" t="s">
        <v>6200</v>
      </c>
      <c r="E5137">
        <v>1100.1099999999999</v>
      </c>
      <c r="G5137" s="35"/>
      <c r="H5137" s="36">
        <f t="shared" si="242"/>
        <v>693.0693</v>
      </c>
      <c r="I5137" s="37">
        <f t="shared" si="240"/>
        <v>693.0693</v>
      </c>
      <c r="J5137" s="4"/>
      <c r="K5137" s="38">
        <f t="shared" si="241"/>
        <v>0</v>
      </c>
    </row>
    <row r="5138" spans="1:11">
      <c r="A5138" t="s">
        <v>541</v>
      </c>
      <c r="B5138" t="s">
        <v>10181</v>
      </c>
      <c r="C5138" t="s">
        <v>6022</v>
      </c>
      <c r="D5138" t="s">
        <v>6201</v>
      </c>
      <c r="E5138">
        <v>1499.54</v>
      </c>
      <c r="G5138" s="35"/>
      <c r="H5138" s="36">
        <f t="shared" si="242"/>
        <v>944.71019999999999</v>
      </c>
      <c r="I5138" s="37">
        <f t="shared" si="240"/>
        <v>944.71019999999999</v>
      </c>
      <c r="J5138" s="4"/>
      <c r="K5138" s="38">
        <f t="shared" si="241"/>
        <v>0</v>
      </c>
    </row>
    <row r="5139" spans="1:11">
      <c r="A5139" t="s">
        <v>542</v>
      </c>
      <c r="B5139" t="s">
        <v>10181</v>
      </c>
      <c r="C5139" t="s">
        <v>6022</v>
      </c>
      <c r="D5139" t="s">
        <v>6202</v>
      </c>
      <c r="E5139">
        <v>2502.63</v>
      </c>
      <c r="G5139" s="35"/>
      <c r="H5139" s="36">
        <f t="shared" si="242"/>
        <v>1576.6569000000002</v>
      </c>
      <c r="I5139" s="37">
        <f t="shared" si="240"/>
        <v>1576.6569000000002</v>
      </c>
      <c r="J5139" s="4"/>
      <c r="K5139" s="38">
        <f t="shared" si="241"/>
        <v>0</v>
      </c>
    </row>
    <row r="5140" spans="1:11">
      <c r="A5140" t="s">
        <v>543</v>
      </c>
      <c r="B5140" t="s">
        <v>10181</v>
      </c>
      <c r="C5140" t="s">
        <v>6022</v>
      </c>
      <c r="D5140" t="s">
        <v>6203</v>
      </c>
      <c r="E5140">
        <v>3292.6</v>
      </c>
      <c r="G5140" s="35"/>
      <c r="H5140" s="36">
        <f t="shared" si="242"/>
        <v>2074.3379999999997</v>
      </c>
      <c r="I5140" s="37">
        <f t="shared" si="240"/>
        <v>2074.3379999999997</v>
      </c>
      <c r="J5140" s="4"/>
      <c r="K5140" s="38">
        <f t="shared" si="241"/>
        <v>0</v>
      </c>
    </row>
    <row r="5141" spans="1:11">
      <c r="A5141" t="s">
        <v>544</v>
      </c>
      <c r="B5141" t="s">
        <v>10181</v>
      </c>
      <c r="C5141" t="s">
        <v>6022</v>
      </c>
      <c r="D5141" t="s">
        <v>6204</v>
      </c>
      <c r="E5141">
        <v>9618.11</v>
      </c>
      <c r="G5141" s="35"/>
      <c r="H5141" s="36">
        <f t="shared" si="242"/>
        <v>6059.4093000000003</v>
      </c>
      <c r="I5141" s="37">
        <f t="shared" si="240"/>
        <v>6059.4093000000003</v>
      </c>
      <c r="J5141" s="4"/>
      <c r="K5141" s="38">
        <f t="shared" si="241"/>
        <v>0</v>
      </c>
    </row>
    <row r="5142" spans="1:11">
      <c r="A5142" t="s">
        <v>545</v>
      </c>
      <c r="B5142" t="s">
        <v>10181</v>
      </c>
      <c r="C5142" t="s">
        <v>6022</v>
      </c>
      <c r="D5142" t="s">
        <v>6205</v>
      </c>
      <c r="E5142">
        <v>14797.31</v>
      </c>
      <c r="G5142" s="35"/>
      <c r="H5142" s="36">
        <f t="shared" si="242"/>
        <v>9322.3053</v>
      </c>
      <c r="I5142" s="37">
        <f t="shared" si="240"/>
        <v>9322.3053</v>
      </c>
      <c r="J5142" s="4"/>
      <c r="K5142" s="38">
        <f t="shared" si="241"/>
        <v>0</v>
      </c>
    </row>
    <row r="5143" spans="1:11">
      <c r="A5143" t="s">
        <v>546</v>
      </c>
      <c r="B5143" t="s">
        <v>10181</v>
      </c>
      <c r="C5143" t="s">
        <v>6022</v>
      </c>
      <c r="D5143" t="s">
        <v>6206</v>
      </c>
      <c r="E5143">
        <v>23675.09</v>
      </c>
      <c r="G5143" s="35"/>
      <c r="H5143" s="36">
        <f t="shared" si="242"/>
        <v>14915.306700000001</v>
      </c>
      <c r="I5143" s="37">
        <f t="shared" si="240"/>
        <v>14915.306700000001</v>
      </c>
      <c r="J5143" s="4"/>
      <c r="K5143" s="38">
        <f t="shared" si="241"/>
        <v>0</v>
      </c>
    </row>
    <row r="5144" spans="1:11">
      <c r="A5144" t="s">
        <v>547</v>
      </c>
      <c r="B5144" t="s">
        <v>10181</v>
      </c>
      <c r="C5144" t="s">
        <v>6022</v>
      </c>
      <c r="D5144" t="s">
        <v>6207</v>
      </c>
      <c r="E5144">
        <v>31074.27</v>
      </c>
      <c r="G5144" s="35"/>
      <c r="H5144" s="36">
        <f t="shared" si="242"/>
        <v>19576.790100000002</v>
      </c>
      <c r="I5144" s="37">
        <f t="shared" si="240"/>
        <v>19576.790100000002</v>
      </c>
      <c r="J5144" s="4"/>
      <c r="K5144" s="38">
        <f t="shared" si="241"/>
        <v>0</v>
      </c>
    </row>
    <row r="5145" spans="1:11">
      <c r="A5145" t="s">
        <v>548</v>
      </c>
      <c r="B5145" t="s">
        <v>10181</v>
      </c>
      <c r="C5145" t="s">
        <v>6022</v>
      </c>
      <c r="D5145" t="s">
        <v>6208</v>
      </c>
      <c r="E5145">
        <v>48830.43</v>
      </c>
      <c r="G5145" s="35"/>
      <c r="H5145" s="36">
        <f t="shared" si="242"/>
        <v>30763.170900000001</v>
      </c>
      <c r="I5145" s="37">
        <f t="shared" si="240"/>
        <v>30763.170900000001</v>
      </c>
      <c r="J5145" s="4"/>
      <c r="K5145" s="38">
        <f t="shared" si="241"/>
        <v>0</v>
      </c>
    </row>
    <row r="5146" spans="1:11">
      <c r="A5146" t="s">
        <v>549</v>
      </c>
      <c r="B5146" t="s">
        <v>10181</v>
      </c>
      <c r="C5146" t="s">
        <v>6022</v>
      </c>
      <c r="D5146" t="s">
        <v>6209</v>
      </c>
      <c r="E5146">
        <v>71765.039999999994</v>
      </c>
      <c r="G5146" s="35"/>
      <c r="H5146" s="36">
        <f t="shared" si="242"/>
        <v>45211.975199999993</v>
      </c>
      <c r="I5146" s="37">
        <f t="shared" si="240"/>
        <v>45211.975199999993</v>
      </c>
      <c r="J5146" s="4"/>
      <c r="K5146" s="38">
        <f t="shared" si="241"/>
        <v>0</v>
      </c>
    </row>
    <row r="5147" spans="1:11">
      <c r="A5147" t="s">
        <v>550</v>
      </c>
      <c r="B5147" t="s">
        <v>10181</v>
      </c>
      <c r="C5147" t="s">
        <v>6022</v>
      </c>
      <c r="D5147" t="s">
        <v>6210</v>
      </c>
      <c r="E5147">
        <v>5113.26</v>
      </c>
      <c r="G5147" s="35"/>
      <c r="H5147" s="36">
        <f t="shared" si="242"/>
        <v>3221.3538000000003</v>
      </c>
      <c r="I5147" s="37">
        <f t="shared" si="240"/>
        <v>3221.3538000000003</v>
      </c>
      <c r="J5147" s="4"/>
      <c r="K5147" s="38">
        <f t="shared" si="241"/>
        <v>0</v>
      </c>
    </row>
    <row r="5148" spans="1:11">
      <c r="A5148" t="s">
        <v>551</v>
      </c>
      <c r="B5148" t="s">
        <v>10181</v>
      </c>
      <c r="C5148" t="s">
        <v>6022</v>
      </c>
      <c r="D5148" t="s">
        <v>6211</v>
      </c>
      <c r="E5148">
        <v>6869.92</v>
      </c>
      <c r="G5148" s="35"/>
      <c r="H5148" s="36">
        <f t="shared" si="242"/>
        <v>4328.0496000000003</v>
      </c>
      <c r="I5148" s="37">
        <f t="shared" si="240"/>
        <v>4328.0496000000003</v>
      </c>
      <c r="J5148" s="4"/>
      <c r="K5148" s="38">
        <f t="shared" si="241"/>
        <v>0</v>
      </c>
    </row>
    <row r="5149" spans="1:11">
      <c r="A5149" t="s">
        <v>552</v>
      </c>
      <c r="B5149" t="s">
        <v>10181</v>
      </c>
      <c r="C5149" t="s">
        <v>6022</v>
      </c>
      <c r="D5149" t="s">
        <v>6212</v>
      </c>
      <c r="E5149">
        <v>8642.94</v>
      </c>
      <c r="G5149" s="35"/>
      <c r="H5149" s="36">
        <f t="shared" si="242"/>
        <v>5445.0522000000001</v>
      </c>
      <c r="I5149" s="37">
        <f t="shared" si="240"/>
        <v>5445.0522000000001</v>
      </c>
      <c r="J5149" s="4"/>
      <c r="K5149" s="38">
        <f t="shared" si="241"/>
        <v>0</v>
      </c>
    </row>
    <row r="5150" spans="1:11">
      <c r="A5150" t="s">
        <v>553</v>
      </c>
      <c r="B5150" t="s">
        <v>10181</v>
      </c>
      <c r="C5150" t="s">
        <v>6022</v>
      </c>
      <c r="D5150" t="s">
        <v>6213</v>
      </c>
      <c r="E5150">
        <v>6869.92</v>
      </c>
      <c r="G5150" s="35"/>
      <c r="H5150" s="36">
        <f t="shared" si="242"/>
        <v>4328.0496000000003</v>
      </c>
      <c r="I5150" s="37">
        <f t="shared" si="240"/>
        <v>4328.0496000000003</v>
      </c>
      <c r="J5150" s="4"/>
      <c r="K5150" s="38">
        <f t="shared" si="241"/>
        <v>0</v>
      </c>
    </row>
    <row r="5151" spans="1:11">
      <c r="A5151" t="s">
        <v>554</v>
      </c>
      <c r="B5151" t="s">
        <v>10181</v>
      </c>
      <c r="C5151" t="s">
        <v>6022</v>
      </c>
      <c r="D5151" t="s">
        <v>6214</v>
      </c>
      <c r="E5151">
        <v>7710.44</v>
      </c>
      <c r="G5151" s="35"/>
      <c r="H5151" s="36">
        <f t="shared" si="242"/>
        <v>4857.5771999999997</v>
      </c>
      <c r="I5151" s="37">
        <f t="shared" si="240"/>
        <v>4857.5771999999997</v>
      </c>
      <c r="J5151" s="4"/>
      <c r="K5151" s="38">
        <f t="shared" si="241"/>
        <v>0</v>
      </c>
    </row>
    <row r="5152" spans="1:11">
      <c r="A5152" t="s">
        <v>1366</v>
      </c>
      <c r="B5152" t="s">
        <v>10181</v>
      </c>
      <c r="C5152" t="s">
        <v>6947</v>
      </c>
      <c r="D5152" t="s">
        <v>6948</v>
      </c>
      <c r="E5152">
        <v>301.95999999999998</v>
      </c>
      <c r="G5152" s="35"/>
      <c r="H5152" s="36">
        <f t="shared" si="242"/>
        <v>190.23479999999998</v>
      </c>
      <c r="I5152" s="37">
        <f t="shared" si="240"/>
        <v>190.23479999999998</v>
      </c>
      <c r="J5152" s="4"/>
      <c r="K5152" s="38">
        <f t="shared" si="241"/>
        <v>0</v>
      </c>
    </row>
    <row r="5153" spans="1:11">
      <c r="A5153" t="s">
        <v>1367</v>
      </c>
      <c r="B5153" t="s">
        <v>10181</v>
      </c>
      <c r="C5153" t="s">
        <v>6947</v>
      </c>
      <c r="D5153" t="s">
        <v>6949</v>
      </c>
      <c r="E5153">
        <v>396.58</v>
      </c>
      <c r="G5153" s="35"/>
      <c r="H5153" s="36">
        <f t="shared" si="242"/>
        <v>249.84539999999998</v>
      </c>
      <c r="I5153" s="37">
        <f t="shared" si="240"/>
        <v>249.84539999999998</v>
      </c>
      <c r="J5153" s="4"/>
      <c r="K5153" s="38">
        <f t="shared" si="241"/>
        <v>0</v>
      </c>
    </row>
    <row r="5154" spans="1:11">
      <c r="A5154" t="s">
        <v>1368</v>
      </c>
      <c r="B5154" t="s">
        <v>10181</v>
      </c>
      <c r="C5154" t="s">
        <v>6947</v>
      </c>
      <c r="D5154" t="s">
        <v>6950</v>
      </c>
      <c r="E5154">
        <v>1059.95</v>
      </c>
      <c r="G5154" s="35"/>
      <c r="H5154" s="36">
        <f t="shared" si="242"/>
        <v>667.76850000000002</v>
      </c>
      <c r="I5154" s="37">
        <f t="shared" si="240"/>
        <v>667.76850000000002</v>
      </c>
      <c r="J5154" s="4"/>
      <c r="K5154" s="38">
        <f t="shared" si="241"/>
        <v>0</v>
      </c>
    </row>
    <row r="5155" spans="1:11">
      <c r="A5155" t="s">
        <v>1369</v>
      </c>
      <c r="B5155" t="s">
        <v>10181</v>
      </c>
      <c r="C5155" t="s">
        <v>6947</v>
      </c>
      <c r="D5155" t="s">
        <v>6951</v>
      </c>
      <c r="E5155">
        <v>1961.69</v>
      </c>
      <c r="G5155" s="35"/>
      <c r="H5155" s="36">
        <f t="shared" si="242"/>
        <v>1235.8647000000001</v>
      </c>
      <c r="I5155" s="37">
        <f t="shared" si="240"/>
        <v>1235.8647000000001</v>
      </c>
      <c r="J5155" s="4"/>
      <c r="K5155" s="38">
        <f t="shared" si="241"/>
        <v>0</v>
      </c>
    </row>
    <row r="5156" spans="1:11">
      <c r="A5156" t="s">
        <v>1370</v>
      </c>
      <c r="B5156" t="s">
        <v>10181</v>
      </c>
      <c r="C5156" t="s">
        <v>6947</v>
      </c>
      <c r="D5156" t="s">
        <v>6952</v>
      </c>
      <c r="E5156">
        <v>3226.63</v>
      </c>
      <c r="G5156" s="35"/>
      <c r="H5156" s="36">
        <f t="shared" si="242"/>
        <v>2032.7769000000001</v>
      </c>
      <c r="I5156" s="37">
        <f t="shared" si="240"/>
        <v>2032.7769000000001</v>
      </c>
      <c r="J5156" s="4"/>
      <c r="K5156" s="38">
        <f t="shared" si="241"/>
        <v>0</v>
      </c>
    </row>
    <row r="5157" spans="1:11">
      <c r="A5157" t="s">
        <v>1371</v>
      </c>
      <c r="B5157" t="s">
        <v>10181</v>
      </c>
      <c r="C5157" t="s">
        <v>6947</v>
      </c>
      <c r="D5157" t="s">
        <v>6953</v>
      </c>
      <c r="E5157">
        <v>4444.2700000000004</v>
      </c>
      <c r="G5157" s="35"/>
      <c r="H5157" s="36">
        <f t="shared" si="242"/>
        <v>2799.8901000000001</v>
      </c>
      <c r="I5157" s="37">
        <f t="shared" si="240"/>
        <v>2799.8901000000001</v>
      </c>
      <c r="J5157" s="4"/>
      <c r="K5157" s="38">
        <f t="shared" si="241"/>
        <v>0</v>
      </c>
    </row>
    <row r="5158" spans="1:11">
      <c r="A5158" t="s">
        <v>11586</v>
      </c>
      <c r="B5158" t="s">
        <v>10181</v>
      </c>
      <c r="C5158" t="s">
        <v>6947</v>
      </c>
      <c r="D5158" t="s">
        <v>11587</v>
      </c>
      <c r="E5158">
        <v>1447.65</v>
      </c>
      <c r="G5158" s="35"/>
      <c r="H5158" s="36">
        <f t="shared" si="242"/>
        <v>912.01950000000011</v>
      </c>
      <c r="I5158" s="37">
        <f t="shared" si="240"/>
        <v>912.01950000000011</v>
      </c>
      <c r="J5158" s="4"/>
      <c r="K5158" s="38">
        <f t="shared" si="241"/>
        <v>0</v>
      </c>
    </row>
    <row r="5159" spans="1:11">
      <c r="A5159" t="s">
        <v>11588</v>
      </c>
      <c r="B5159" t="s">
        <v>10181</v>
      </c>
      <c r="C5159" t="s">
        <v>6947</v>
      </c>
      <c r="D5159" t="s">
        <v>11589</v>
      </c>
      <c r="E5159">
        <v>1316.52</v>
      </c>
      <c r="G5159" s="35"/>
      <c r="H5159" s="36">
        <f t="shared" si="242"/>
        <v>829.4076</v>
      </c>
      <c r="I5159" s="37">
        <f t="shared" si="240"/>
        <v>829.4076</v>
      </c>
      <c r="J5159" s="4"/>
      <c r="K5159" s="38">
        <f t="shared" si="241"/>
        <v>0</v>
      </c>
    </row>
    <row r="5160" spans="1:11">
      <c r="A5160" t="s">
        <v>1372</v>
      </c>
      <c r="B5160" t="s">
        <v>10181</v>
      </c>
      <c r="C5160" t="s">
        <v>6954</v>
      </c>
      <c r="D5160" t="s">
        <v>6955</v>
      </c>
      <c r="E5160">
        <v>288.19</v>
      </c>
      <c r="G5160" s="35"/>
      <c r="H5160" s="36">
        <f t="shared" si="242"/>
        <v>181.55969999999999</v>
      </c>
      <c r="I5160" s="37">
        <f t="shared" si="240"/>
        <v>181.55969999999999</v>
      </c>
      <c r="J5160" s="4"/>
      <c r="K5160" s="38">
        <f t="shared" si="241"/>
        <v>0</v>
      </c>
    </row>
    <row r="5161" spans="1:11">
      <c r="A5161" t="s">
        <v>1373</v>
      </c>
      <c r="B5161" t="s">
        <v>10181</v>
      </c>
      <c r="C5161" t="s">
        <v>6954</v>
      </c>
      <c r="D5161" t="s">
        <v>6956</v>
      </c>
      <c r="E5161">
        <v>306.91000000000003</v>
      </c>
      <c r="G5161" s="35"/>
      <c r="H5161" s="36">
        <f t="shared" si="242"/>
        <v>193.35330000000002</v>
      </c>
      <c r="I5161" s="37">
        <f t="shared" si="240"/>
        <v>193.35330000000002</v>
      </c>
      <c r="J5161" s="4"/>
      <c r="K5161" s="38">
        <f t="shared" si="241"/>
        <v>0</v>
      </c>
    </row>
    <row r="5162" spans="1:11">
      <c r="A5162" t="s">
        <v>1374</v>
      </c>
      <c r="B5162" t="s">
        <v>10181</v>
      </c>
      <c r="C5162" t="s">
        <v>6954</v>
      </c>
      <c r="D5162" t="s">
        <v>6957</v>
      </c>
      <c r="E5162">
        <v>560.88</v>
      </c>
      <c r="G5162" s="35"/>
      <c r="H5162" s="36">
        <f t="shared" si="242"/>
        <v>353.3544</v>
      </c>
      <c r="I5162" s="37">
        <f t="shared" si="240"/>
        <v>353.3544</v>
      </c>
      <c r="J5162" s="4"/>
      <c r="K5162" s="38">
        <f t="shared" si="241"/>
        <v>0</v>
      </c>
    </row>
    <row r="5163" spans="1:11">
      <c r="A5163" t="s">
        <v>1375</v>
      </c>
      <c r="B5163" t="s">
        <v>10181</v>
      </c>
      <c r="C5163" t="s">
        <v>6954</v>
      </c>
      <c r="D5163" t="s">
        <v>6958</v>
      </c>
      <c r="E5163">
        <v>1213.56</v>
      </c>
      <c r="G5163" s="35"/>
      <c r="H5163" s="36">
        <f t="shared" si="242"/>
        <v>764.54279999999994</v>
      </c>
      <c r="I5163" s="37">
        <f t="shared" si="240"/>
        <v>764.54279999999994</v>
      </c>
      <c r="J5163" s="4"/>
      <c r="K5163" s="38">
        <f t="shared" si="241"/>
        <v>0</v>
      </c>
    </row>
    <row r="5164" spans="1:11">
      <c r="A5164" t="s">
        <v>1376</v>
      </c>
      <c r="B5164" t="s">
        <v>10181</v>
      </c>
      <c r="C5164" t="s">
        <v>6954</v>
      </c>
      <c r="D5164" t="s">
        <v>6959</v>
      </c>
      <c r="E5164">
        <v>1513.08</v>
      </c>
      <c r="G5164" s="35"/>
      <c r="H5164" s="36">
        <f t="shared" si="242"/>
        <v>953.24039999999991</v>
      </c>
      <c r="I5164" s="37">
        <f t="shared" si="240"/>
        <v>953.24039999999991</v>
      </c>
      <c r="J5164" s="4"/>
      <c r="K5164" s="38">
        <f t="shared" si="241"/>
        <v>0</v>
      </c>
    </row>
    <row r="5165" spans="1:11">
      <c r="A5165" t="s">
        <v>1377</v>
      </c>
      <c r="B5165" t="s">
        <v>10181</v>
      </c>
      <c r="C5165" t="s">
        <v>6954</v>
      </c>
      <c r="D5165" t="s">
        <v>6960</v>
      </c>
      <c r="E5165">
        <v>2061.5700000000002</v>
      </c>
      <c r="G5165" s="35"/>
      <c r="H5165" s="36">
        <f t="shared" si="242"/>
        <v>1298.7891000000002</v>
      </c>
      <c r="I5165" s="37">
        <f t="shared" si="240"/>
        <v>1298.7891000000002</v>
      </c>
      <c r="J5165" s="4"/>
      <c r="K5165" s="38">
        <f t="shared" si="241"/>
        <v>0</v>
      </c>
    </row>
    <row r="5166" spans="1:11">
      <c r="A5166" t="s">
        <v>1378</v>
      </c>
      <c r="B5166" t="s">
        <v>10181</v>
      </c>
      <c r="C5166" t="s">
        <v>6961</v>
      </c>
      <c r="D5166" t="s">
        <v>6962</v>
      </c>
      <c r="E5166">
        <v>187.04</v>
      </c>
      <c r="G5166" s="35"/>
      <c r="H5166" s="36">
        <f t="shared" si="242"/>
        <v>117.8352</v>
      </c>
      <c r="I5166" s="37">
        <f t="shared" si="240"/>
        <v>117.8352</v>
      </c>
      <c r="J5166" s="4"/>
      <c r="K5166" s="38">
        <f t="shared" si="241"/>
        <v>0</v>
      </c>
    </row>
    <row r="5167" spans="1:11">
      <c r="A5167" t="s">
        <v>1379</v>
      </c>
      <c r="B5167" t="s">
        <v>10181</v>
      </c>
      <c r="C5167" t="s">
        <v>6961</v>
      </c>
      <c r="D5167" t="s">
        <v>6963</v>
      </c>
      <c r="E5167">
        <v>517.54</v>
      </c>
      <c r="G5167" s="35"/>
      <c r="H5167" s="36">
        <f t="shared" si="242"/>
        <v>326.05019999999996</v>
      </c>
      <c r="I5167" s="37">
        <f t="shared" si="240"/>
        <v>326.05019999999996</v>
      </c>
      <c r="J5167" s="4"/>
      <c r="K5167" s="38">
        <f t="shared" si="241"/>
        <v>0</v>
      </c>
    </row>
    <row r="5168" spans="1:11">
      <c r="A5168" t="s">
        <v>1380</v>
      </c>
      <c r="B5168" t="s">
        <v>10181</v>
      </c>
      <c r="C5168" t="s">
        <v>6964</v>
      </c>
      <c r="D5168" t="s">
        <v>6955</v>
      </c>
      <c r="E5168">
        <v>167.98</v>
      </c>
      <c r="G5168" s="35"/>
      <c r="H5168" s="36">
        <f t="shared" si="242"/>
        <v>105.8274</v>
      </c>
      <c r="I5168" s="37">
        <f t="shared" si="240"/>
        <v>105.8274</v>
      </c>
      <c r="J5168" s="4"/>
      <c r="K5168" s="38">
        <f t="shared" si="241"/>
        <v>0</v>
      </c>
    </row>
    <row r="5169" spans="1:11">
      <c r="A5169" t="s">
        <v>1381</v>
      </c>
      <c r="B5169" t="s">
        <v>10181</v>
      </c>
      <c r="C5169" t="s">
        <v>6964</v>
      </c>
      <c r="D5169" t="s">
        <v>6956</v>
      </c>
      <c r="E5169">
        <v>204.52</v>
      </c>
      <c r="G5169" s="35"/>
      <c r="H5169" s="36">
        <f t="shared" si="242"/>
        <v>128.8476</v>
      </c>
      <c r="I5169" s="37">
        <f t="shared" si="240"/>
        <v>128.8476</v>
      </c>
      <c r="J5169" s="4"/>
      <c r="K5169" s="38">
        <f t="shared" si="241"/>
        <v>0</v>
      </c>
    </row>
    <row r="5170" spans="1:11">
      <c r="A5170" t="s">
        <v>1382</v>
      </c>
      <c r="B5170" t="s">
        <v>10181</v>
      </c>
      <c r="C5170" t="s">
        <v>6964</v>
      </c>
      <c r="D5170" t="s">
        <v>6957</v>
      </c>
      <c r="E5170">
        <v>341.87</v>
      </c>
      <c r="G5170" s="35"/>
      <c r="H5170" s="36">
        <f t="shared" si="242"/>
        <v>215.37810000000002</v>
      </c>
      <c r="I5170" s="37">
        <f t="shared" si="240"/>
        <v>215.37810000000002</v>
      </c>
      <c r="J5170" s="4"/>
      <c r="K5170" s="38">
        <f t="shared" si="241"/>
        <v>0</v>
      </c>
    </row>
    <row r="5171" spans="1:11">
      <c r="A5171" t="s">
        <v>1383</v>
      </c>
      <c r="B5171" t="s">
        <v>10181</v>
      </c>
      <c r="C5171" t="s">
        <v>6964</v>
      </c>
      <c r="D5171" t="s">
        <v>6958</v>
      </c>
      <c r="E5171">
        <v>577.51</v>
      </c>
      <c r="G5171" s="35"/>
      <c r="H5171" s="36">
        <f t="shared" si="242"/>
        <v>363.8313</v>
      </c>
      <c r="I5171" s="37">
        <f t="shared" si="240"/>
        <v>363.8313</v>
      </c>
      <c r="J5171" s="4"/>
      <c r="K5171" s="38">
        <f t="shared" si="241"/>
        <v>0</v>
      </c>
    </row>
    <row r="5172" spans="1:11">
      <c r="A5172" t="s">
        <v>1384</v>
      </c>
      <c r="B5172" t="s">
        <v>10181</v>
      </c>
      <c r="C5172" t="s">
        <v>6964</v>
      </c>
      <c r="D5172" t="s">
        <v>6959</v>
      </c>
      <c r="E5172">
        <v>716.39</v>
      </c>
      <c r="G5172" s="35"/>
      <c r="H5172" s="36">
        <f t="shared" si="242"/>
        <v>451.32569999999998</v>
      </c>
      <c r="I5172" s="37">
        <f t="shared" si="240"/>
        <v>451.32569999999998</v>
      </c>
      <c r="J5172" s="4"/>
      <c r="K5172" s="38">
        <f t="shared" si="241"/>
        <v>0</v>
      </c>
    </row>
    <row r="5173" spans="1:11">
      <c r="A5173" t="s">
        <v>1385</v>
      </c>
      <c r="B5173" t="s">
        <v>10181</v>
      </c>
      <c r="C5173" t="s">
        <v>6964</v>
      </c>
      <c r="D5173" t="s">
        <v>6960</v>
      </c>
      <c r="E5173">
        <v>1213.56</v>
      </c>
      <c r="G5173" s="35"/>
      <c r="H5173" s="36">
        <f t="shared" si="242"/>
        <v>764.54279999999994</v>
      </c>
      <c r="I5173" s="37">
        <f t="shared" si="240"/>
        <v>764.54279999999994</v>
      </c>
      <c r="J5173" s="4"/>
      <c r="K5173" s="38">
        <f t="shared" si="241"/>
        <v>0</v>
      </c>
    </row>
    <row r="5174" spans="1:11">
      <c r="A5174" t="s">
        <v>1386</v>
      </c>
      <c r="B5174" t="s">
        <v>10181</v>
      </c>
      <c r="C5174" t="s">
        <v>6964</v>
      </c>
      <c r="D5174" t="s">
        <v>6965</v>
      </c>
      <c r="E5174">
        <v>2946.24</v>
      </c>
      <c r="G5174" s="35"/>
      <c r="H5174" s="36">
        <f t="shared" si="242"/>
        <v>1856.1311999999998</v>
      </c>
      <c r="I5174" s="37">
        <f t="shared" si="240"/>
        <v>1856.1311999999998</v>
      </c>
      <c r="J5174" s="4"/>
      <c r="K5174" s="38">
        <f t="shared" si="241"/>
        <v>0</v>
      </c>
    </row>
    <row r="5175" spans="1:11">
      <c r="A5175" t="s">
        <v>11590</v>
      </c>
      <c r="B5175" t="s">
        <v>10181</v>
      </c>
      <c r="C5175" t="s">
        <v>6964</v>
      </c>
      <c r="D5175" t="s">
        <v>11591</v>
      </c>
      <c r="E5175">
        <v>236.39</v>
      </c>
      <c r="G5175" s="35"/>
      <c r="H5175" s="36">
        <f t="shared" si="242"/>
        <v>148.92570000000001</v>
      </c>
      <c r="I5175" s="37">
        <f t="shared" si="240"/>
        <v>148.92570000000001</v>
      </c>
      <c r="J5175" s="4"/>
      <c r="K5175" s="38">
        <f t="shared" si="241"/>
        <v>0</v>
      </c>
    </row>
    <row r="5176" spans="1:11">
      <c r="A5176" t="s">
        <v>11592</v>
      </c>
      <c r="B5176" t="s">
        <v>10181</v>
      </c>
      <c r="C5176" t="s">
        <v>6964</v>
      </c>
      <c r="D5176" t="s">
        <v>11593</v>
      </c>
      <c r="E5176">
        <v>306.95</v>
      </c>
      <c r="G5176" s="35"/>
      <c r="H5176" s="36">
        <f t="shared" si="242"/>
        <v>193.3785</v>
      </c>
      <c r="I5176" s="37">
        <f t="shared" si="240"/>
        <v>193.3785</v>
      </c>
      <c r="J5176" s="4"/>
      <c r="K5176" s="38">
        <f t="shared" si="241"/>
        <v>0</v>
      </c>
    </row>
    <row r="5177" spans="1:11">
      <c r="A5177" t="s">
        <v>11594</v>
      </c>
      <c r="B5177" t="s">
        <v>10181</v>
      </c>
      <c r="C5177" t="s">
        <v>6964</v>
      </c>
      <c r="D5177" t="s">
        <v>11595</v>
      </c>
      <c r="E5177">
        <v>306.95</v>
      </c>
      <c r="G5177" s="35"/>
      <c r="H5177" s="36">
        <f t="shared" si="242"/>
        <v>193.3785</v>
      </c>
      <c r="I5177" s="37">
        <f t="shared" si="240"/>
        <v>193.3785</v>
      </c>
      <c r="J5177" s="4"/>
      <c r="K5177" s="38">
        <f t="shared" si="241"/>
        <v>0</v>
      </c>
    </row>
    <row r="5178" spans="1:11">
      <c r="A5178" t="s">
        <v>1353</v>
      </c>
      <c r="B5178" t="s">
        <v>10181</v>
      </c>
      <c r="C5178" t="s">
        <v>6933</v>
      </c>
      <c r="D5178" t="s">
        <v>6934</v>
      </c>
      <c r="E5178">
        <v>253.42</v>
      </c>
      <c r="G5178" s="35"/>
      <c r="H5178" s="36">
        <f t="shared" si="242"/>
        <v>159.65459999999999</v>
      </c>
      <c r="I5178" s="37">
        <f t="shared" si="240"/>
        <v>159.65459999999999</v>
      </c>
      <c r="J5178" s="4"/>
      <c r="K5178" s="38">
        <f t="shared" si="241"/>
        <v>0</v>
      </c>
    </row>
    <row r="5179" spans="1:11">
      <c r="A5179" t="s">
        <v>1354</v>
      </c>
      <c r="B5179" t="s">
        <v>10181</v>
      </c>
      <c r="C5179" t="s">
        <v>6933</v>
      </c>
      <c r="D5179" t="s">
        <v>6935</v>
      </c>
      <c r="E5179">
        <v>288.19</v>
      </c>
      <c r="G5179" s="35"/>
      <c r="H5179" s="36">
        <f t="shared" si="242"/>
        <v>181.55969999999999</v>
      </c>
      <c r="I5179" s="37">
        <f t="shared" si="240"/>
        <v>181.55969999999999</v>
      </c>
      <c r="J5179" s="4"/>
      <c r="K5179" s="38">
        <f t="shared" si="241"/>
        <v>0</v>
      </c>
    </row>
    <row r="5180" spans="1:11">
      <c r="A5180" t="s">
        <v>1355</v>
      </c>
      <c r="B5180" t="s">
        <v>10181</v>
      </c>
      <c r="C5180" t="s">
        <v>6933</v>
      </c>
      <c r="D5180" t="s">
        <v>6936</v>
      </c>
      <c r="E5180">
        <v>427.04</v>
      </c>
      <c r="G5180" s="35"/>
      <c r="H5180" s="36">
        <f t="shared" si="242"/>
        <v>269.03520000000003</v>
      </c>
      <c r="I5180" s="37">
        <f t="shared" si="240"/>
        <v>269.03520000000003</v>
      </c>
      <c r="J5180" s="4"/>
      <c r="K5180" s="38">
        <f t="shared" si="241"/>
        <v>0</v>
      </c>
    </row>
    <row r="5181" spans="1:11">
      <c r="A5181" t="s">
        <v>1356</v>
      </c>
      <c r="B5181" t="s">
        <v>10181</v>
      </c>
      <c r="C5181" t="s">
        <v>6933</v>
      </c>
      <c r="D5181" t="s">
        <v>6937</v>
      </c>
      <c r="E5181">
        <v>1549.68</v>
      </c>
      <c r="G5181" s="35"/>
      <c r="H5181" s="36">
        <f t="shared" si="242"/>
        <v>976.29840000000002</v>
      </c>
      <c r="I5181" s="37">
        <f t="shared" si="240"/>
        <v>976.29840000000002</v>
      </c>
      <c r="J5181" s="4"/>
      <c r="K5181" s="38">
        <f t="shared" si="241"/>
        <v>0</v>
      </c>
    </row>
    <row r="5182" spans="1:11">
      <c r="A5182" t="s">
        <v>1357</v>
      </c>
      <c r="B5182" t="s">
        <v>10181</v>
      </c>
      <c r="C5182" t="s">
        <v>6933</v>
      </c>
      <c r="D5182" t="s">
        <v>6938</v>
      </c>
      <c r="E5182">
        <v>1762.08</v>
      </c>
      <c r="G5182" s="35"/>
      <c r="H5182" s="36">
        <f t="shared" si="242"/>
        <v>1110.1104</v>
      </c>
      <c r="I5182" s="37">
        <f t="shared" si="240"/>
        <v>1110.1104</v>
      </c>
      <c r="J5182" s="4"/>
      <c r="K5182" s="38">
        <f t="shared" si="241"/>
        <v>0</v>
      </c>
    </row>
    <row r="5183" spans="1:11">
      <c r="A5183" t="s">
        <v>1358</v>
      </c>
      <c r="B5183" t="s">
        <v>10181</v>
      </c>
      <c r="C5183" t="s">
        <v>6933</v>
      </c>
      <c r="D5183" t="s">
        <v>6939</v>
      </c>
      <c r="E5183">
        <v>2659.59</v>
      </c>
      <c r="G5183" s="35"/>
      <c r="H5183" s="36">
        <f t="shared" si="242"/>
        <v>1675.5417</v>
      </c>
      <c r="I5183" s="37">
        <f t="shared" si="240"/>
        <v>1675.5417</v>
      </c>
      <c r="J5183" s="4"/>
      <c r="K5183" s="38">
        <f t="shared" si="241"/>
        <v>0</v>
      </c>
    </row>
    <row r="5184" spans="1:11">
      <c r="A5184" t="s">
        <v>11578</v>
      </c>
      <c r="B5184" t="s">
        <v>10181</v>
      </c>
      <c r="C5184" t="s">
        <v>6933</v>
      </c>
      <c r="D5184" t="s">
        <v>11579</v>
      </c>
      <c r="E5184">
        <v>341.86</v>
      </c>
      <c r="G5184" s="35"/>
      <c r="H5184" s="36">
        <f t="shared" si="242"/>
        <v>215.37180000000001</v>
      </c>
      <c r="I5184" s="37">
        <f t="shared" si="240"/>
        <v>215.37180000000001</v>
      </c>
      <c r="J5184" s="4"/>
      <c r="K5184" s="38">
        <f t="shared" si="241"/>
        <v>0</v>
      </c>
    </row>
    <row r="5185" spans="1:11">
      <c r="A5185" t="s">
        <v>11580</v>
      </c>
      <c r="B5185" t="s">
        <v>10181</v>
      </c>
      <c r="C5185" t="s">
        <v>6933</v>
      </c>
      <c r="D5185" t="s">
        <v>11581</v>
      </c>
      <c r="E5185">
        <v>341.86</v>
      </c>
      <c r="G5185" s="35"/>
      <c r="H5185" s="36">
        <f t="shared" si="242"/>
        <v>215.37180000000001</v>
      </c>
      <c r="I5185" s="37">
        <f t="shared" si="240"/>
        <v>215.37180000000001</v>
      </c>
      <c r="J5185" s="4"/>
      <c r="K5185" s="38">
        <f t="shared" si="241"/>
        <v>0</v>
      </c>
    </row>
    <row r="5186" spans="1:11">
      <c r="A5186" t="s">
        <v>1359</v>
      </c>
      <c r="B5186" t="s">
        <v>10181</v>
      </c>
      <c r="C5186" t="s">
        <v>6933</v>
      </c>
      <c r="D5186" t="s">
        <v>6940</v>
      </c>
      <c r="E5186">
        <v>167.98</v>
      </c>
      <c r="G5186" s="35"/>
      <c r="H5186" s="36">
        <f t="shared" si="242"/>
        <v>105.8274</v>
      </c>
      <c r="I5186" s="37">
        <f t="shared" si="240"/>
        <v>105.8274</v>
      </c>
      <c r="J5186" s="4"/>
      <c r="K5186" s="38">
        <f t="shared" si="241"/>
        <v>0</v>
      </c>
    </row>
    <row r="5187" spans="1:11">
      <c r="A5187" t="s">
        <v>1360</v>
      </c>
      <c r="B5187" t="s">
        <v>10181</v>
      </c>
      <c r="C5187" t="s">
        <v>6933</v>
      </c>
      <c r="D5187" t="s">
        <v>6941</v>
      </c>
      <c r="E5187">
        <v>253.42</v>
      </c>
      <c r="G5187" s="35"/>
      <c r="H5187" s="36">
        <f t="shared" si="242"/>
        <v>159.65459999999999</v>
      </c>
      <c r="I5187" s="37">
        <f t="shared" si="240"/>
        <v>159.65459999999999</v>
      </c>
      <c r="J5187" s="4"/>
      <c r="K5187" s="38">
        <f t="shared" si="241"/>
        <v>0</v>
      </c>
    </row>
    <row r="5188" spans="1:11">
      <c r="A5188" t="s">
        <v>1361</v>
      </c>
      <c r="B5188" t="s">
        <v>10181</v>
      </c>
      <c r="C5188" t="s">
        <v>6933</v>
      </c>
      <c r="D5188" t="s">
        <v>6942</v>
      </c>
      <c r="E5188">
        <v>355.98</v>
      </c>
      <c r="G5188" s="35"/>
      <c r="H5188" s="36">
        <f t="shared" si="242"/>
        <v>224.26740000000001</v>
      </c>
      <c r="I5188" s="37">
        <f t="shared" si="240"/>
        <v>224.26740000000001</v>
      </c>
      <c r="J5188" s="4"/>
      <c r="K5188" s="38">
        <f t="shared" si="241"/>
        <v>0</v>
      </c>
    </row>
    <row r="5189" spans="1:11">
      <c r="A5189" t="s">
        <v>1362</v>
      </c>
      <c r="B5189" t="s">
        <v>10181</v>
      </c>
      <c r="C5189" t="s">
        <v>6933</v>
      </c>
      <c r="D5189" t="s">
        <v>6943</v>
      </c>
      <c r="E5189">
        <v>664.21</v>
      </c>
      <c r="G5189" s="35"/>
      <c r="H5189" s="36">
        <f t="shared" si="242"/>
        <v>418.45230000000004</v>
      </c>
      <c r="I5189" s="37">
        <f t="shared" si="240"/>
        <v>418.45230000000004</v>
      </c>
      <c r="J5189" s="4"/>
      <c r="K5189" s="38">
        <f t="shared" si="241"/>
        <v>0</v>
      </c>
    </row>
    <row r="5190" spans="1:11">
      <c r="A5190" t="s">
        <v>1363</v>
      </c>
      <c r="B5190" t="s">
        <v>10181</v>
      </c>
      <c r="C5190" t="s">
        <v>6933</v>
      </c>
      <c r="D5190" t="s">
        <v>6944</v>
      </c>
      <c r="E5190">
        <v>800.98</v>
      </c>
      <c r="G5190" s="35"/>
      <c r="H5190" s="36">
        <f t="shared" si="242"/>
        <v>504.61740000000003</v>
      </c>
      <c r="I5190" s="37">
        <f t="shared" ref="I5190:I5253" si="243">H5190*$H$4</f>
        <v>504.61740000000003</v>
      </c>
      <c r="J5190" s="4"/>
      <c r="K5190" s="38">
        <f t="shared" ref="K5190:K5253" si="244">J5190*I5190</f>
        <v>0</v>
      </c>
    </row>
    <row r="5191" spans="1:11">
      <c r="A5191" t="s">
        <v>1364</v>
      </c>
      <c r="B5191" t="s">
        <v>10181</v>
      </c>
      <c r="C5191" t="s">
        <v>6933</v>
      </c>
      <c r="D5191" t="s">
        <v>6945</v>
      </c>
      <c r="E5191">
        <v>1330.14</v>
      </c>
      <c r="G5191" s="35"/>
      <c r="H5191" s="36">
        <f t="shared" ref="H5191:H5254" si="245">+E5191*$H$1*(1-G5191)</f>
        <v>837.98820000000012</v>
      </c>
      <c r="I5191" s="37">
        <f t="shared" si="243"/>
        <v>837.98820000000012</v>
      </c>
      <c r="J5191" s="4"/>
      <c r="K5191" s="38">
        <f t="shared" si="244"/>
        <v>0</v>
      </c>
    </row>
    <row r="5192" spans="1:11">
      <c r="A5192" t="s">
        <v>1365</v>
      </c>
      <c r="B5192" t="s">
        <v>10181</v>
      </c>
      <c r="C5192" t="s">
        <v>6933</v>
      </c>
      <c r="D5192" t="s">
        <v>6946</v>
      </c>
      <c r="E5192">
        <v>2145.37</v>
      </c>
      <c r="G5192" s="35"/>
      <c r="H5192" s="36">
        <f t="shared" si="245"/>
        <v>1351.5830999999998</v>
      </c>
      <c r="I5192" s="37">
        <f t="shared" si="243"/>
        <v>1351.5830999999998</v>
      </c>
      <c r="J5192" s="4"/>
      <c r="K5192" s="38">
        <f t="shared" si="244"/>
        <v>0</v>
      </c>
    </row>
    <row r="5193" spans="1:11">
      <c r="A5193" t="s">
        <v>11582</v>
      </c>
      <c r="B5193" t="s">
        <v>10181</v>
      </c>
      <c r="C5193" t="s">
        <v>6933</v>
      </c>
      <c r="D5193" t="s">
        <v>11583</v>
      </c>
      <c r="E5193">
        <v>236.39</v>
      </c>
      <c r="G5193" s="35"/>
      <c r="H5193" s="36">
        <f t="shared" si="245"/>
        <v>148.92570000000001</v>
      </c>
      <c r="I5193" s="37">
        <f t="shared" si="243"/>
        <v>148.92570000000001</v>
      </c>
      <c r="J5193" s="4"/>
      <c r="K5193" s="38">
        <f t="shared" si="244"/>
        <v>0</v>
      </c>
    </row>
    <row r="5194" spans="1:11">
      <c r="A5194" t="s">
        <v>11584</v>
      </c>
      <c r="B5194" t="s">
        <v>10181</v>
      </c>
      <c r="C5194" t="s">
        <v>6933</v>
      </c>
      <c r="D5194" t="s">
        <v>11585</v>
      </c>
      <c r="E5194">
        <v>396.67</v>
      </c>
      <c r="G5194" s="35"/>
      <c r="H5194" s="36">
        <f t="shared" si="245"/>
        <v>249.90210000000002</v>
      </c>
      <c r="I5194" s="37">
        <f t="shared" si="243"/>
        <v>249.90210000000002</v>
      </c>
      <c r="J5194" s="4"/>
      <c r="K5194" s="38">
        <f t="shared" si="244"/>
        <v>0</v>
      </c>
    </row>
    <row r="5195" spans="1:11">
      <c r="A5195" t="s">
        <v>1387</v>
      </c>
      <c r="B5195" t="s">
        <v>10181</v>
      </c>
      <c r="C5195" t="s">
        <v>6966</v>
      </c>
      <c r="D5195" t="s">
        <v>6967</v>
      </c>
      <c r="E5195">
        <v>445.71</v>
      </c>
      <c r="G5195" s="35"/>
      <c r="H5195" s="36">
        <f t="shared" si="245"/>
        <v>280.79730000000001</v>
      </c>
      <c r="I5195" s="37">
        <f t="shared" si="243"/>
        <v>280.79730000000001</v>
      </c>
      <c r="J5195" s="4"/>
      <c r="K5195" s="38">
        <f t="shared" si="244"/>
        <v>0</v>
      </c>
    </row>
    <row r="5196" spans="1:11">
      <c r="A5196" t="s">
        <v>1388</v>
      </c>
      <c r="B5196" t="s">
        <v>10181</v>
      </c>
      <c r="C5196" t="s">
        <v>6966</v>
      </c>
      <c r="D5196" t="s">
        <v>6968</v>
      </c>
      <c r="E5196">
        <v>517.54</v>
      </c>
      <c r="G5196" s="35"/>
      <c r="H5196" s="36">
        <f t="shared" si="245"/>
        <v>326.05019999999996</v>
      </c>
      <c r="I5196" s="37">
        <f t="shared" si="243"/>
        <v>326.05019999999996</v>
      </c>
      <c r="J5196" s="4"/>
      <c r="K5196" s="38">
        <f t="shared" si="244"/>
        <v>0</v>
      </c>
    </row>
    <row r="5197" spans="1:11">
      <c r="A5197" t="s">
        <v>1389</v>
      </c>
      <c r="B5197" t="s">
        <v>10181</v>
      </c>
      <c r="C5197" t="s">
        <v>6966</v>
      </c>
      <c r="D5197" t="s">
        <v>6969</v>
      </c>
      <c r="E5197">
        <v>954.79</v>
      </c>
      <c r="G5197" s="35"/>
      <c r="H5197" s="36">
        <f t="shared" si="245"/>
        <v>601.51769999999999</v>
      </c>
      <c r="I5197" s="37">
        <f t="shared" si="243"/>
        <v>601.51769999999999</v>
      </c>
      <c r="J5197" s="4"/>
      <c r="K5197" s="38">
        <f t="shared" si="244"/>
        <v>0</v>
      </c>
    </row>
    <row r="5198" spans="1:11">
      <c r="A5198" t="s">
        <v>1390</v>
      </c>
      <c r="B5198" t="s">
        <v>10181</v>
      </c>
      <c r="C5198" t="s">
        <v>6966</v>
      </c>
      <c r="D5198" t="s">
        <v>6970</v>
      </c>
      <c r="E5198">
        <v>1478.2</v>
      </c>
      <c r="G5198" s="35"/>
      <c r="H5198" s="36">
        <f t="shared" si="245"/>
        <v>931.26600000000008</v>
      </c>
      <c r="I5198" s="37">
        <f t="shared" si="243"/>
        <v>931.26600000000008</v>
      </c>
      <c r="J5198" s="4"/>
      <c r="K5198" s="38">
        <f t="shared" si="244"/>
        <v>0</v>
      </c>
    </row>
    <row r="5199" spans="1:11">
      <c r="A5199" t="s">
        <v>1391</v>
      </c>
      <c r="B5199" t="s">
        <v>10181</v>
      </c>
      <c r="C5199" t="s">
        <v>6966</v>
      </c>
      <c r="D5199" t="s">
        <v>6971</v>
      </c>
      <c r="E5199">
        <v>1961.69</v>
      </c>
      <c r="G5199" s="35"/>
      <c r="H5199" s="36">
        <f t="shared" si="245"/>
        <v>1235.8647000000001</v>
      </c>
      <c r="I5199" s="37">
        <f t="shared" si="243"/>
        <v>1235.8647000000001</v>
      </c>
      <c r="J5199" s="4"/>
      <c r="K5199" s="38">
        <f t="shared" si="244"/>
        <v>0</v>
      </c>
    </row>
    <row r="5200" spans="1:11">
      <c r="A5200" t="s">
        <v>1392</v>
      </c>
      <c r="B5200" t="s">
        <v>10181</v>
      </c>
      <c r="C5200" t="s">
        <v>6966</v>
      </c>
      <c r="D5200" t="s">
        <v>6972</v>
      </c>
      <c r="E5200">
        <v>3127.13</v>
      </c>
      <c r="G5200" s="35"/>
      <c r="H5200" s="36">
        <f t="shared" si="245"/>
        <v>1970.0919000000001</v>
      </c>
      <c r="I5200" s="37">
        <f t="shared" si="243"/>
        <v>1970.0919000000001</v>
      </c>
      <c r="J5200" s="4"/>
      <c r="K5200" s="38">
        <f t="shared" si="244"/>
        <v>0</v>
      </c>
    </row>
    <row r="5201" spans="1:11">
      <c r="A5201" t="s">
        <v>11596</v>
      </c>
      <c r="B5201" t="s">
        <v>10181</v>
      </c>
      <c r="C5201" t="s">
        <v>6966</v>
      </c>
      <c r="D5201" t="s">
        <v>11924</v>
      </c>
      <c r="E5201">
        <v>1845.5</v>
      </c>
      <c r="G5201" s="35"/>
      <c r="H5201" s="36">
        <f t="shared" si="245"/>
        <v>1162.665</v>
      </c>
      <c r="I5201" s="37">
        <f t="shared" si="243"/>
        <v>1162.665</v>
      </c>
      <c r="J5201" s="4"/>
      <c r="K5201" s="38">
        <f t="shared" si="244"/>
        <v>0</v>
      </c>
    </row>
    <row r="5202" spans="1:11">
      <c r="A5202" t="s">
        <v>11597</v>
      </c>
      <c r="B5202" t="s">
        <v>10181</v>
      </c>
      <c r="C5202" t="s">
        <v>6966</v>
      </c>
      <c r="D5202" t="s">
        <v>11598</v>
      </c>
      <c r="E5202">
        <v>1845.5</v>
      </c>
      <c r="G5202" s="35"/>
      <c r="H5202" s="36">
        <f t="shared" si="245"/>
        <v>1162.665</v>
      </c>
      <c r="I5202" s="37">
        <f t="shared" si="243"/>
        <v>1162.665</v>
      </c>
      <c r="J5202" s="4"/>
      <c r="K5202" s="38">
        <f t="shared" si="244"/>
        <v>0</v>
      </c>
    </row>
    <row r="5203" spans="1:11">
      <c r="A5203" t="s">
        <v>1393</v>
      </c>
      <c r="B5203" t="s">
        <v>10181</v>
      </c>
      <c r="C5203" t="s">
        <v>6973</v>
      </c>
      <c r="D5203" t="s">
        <v>6955</v>
      </c>
      <c r="E5203">
        <v>301.95999999999998</v>
      </c>
      <c r="G5203" s="35"/>
      <c r="H5203" s="36">
        <f t="shared" si="245"/>
        <v>190.23479999999998</v>
      </c>
      <c r="I5203" s="37">
        <f t="shared" si="243"/>
        <v>190.23479999999998</v>
      </c>
      <c r="J5203" s="4"/>
      <c r="K5203" s="38">
        <f t="shared" si="244"/>
        <v>0</v>
      </c>
    </row>
    <row r="5204" spans="1:11">
      <c r="A5204" t="s">
        <v>1394</v>
      </c>
      <c r="B5204" t="s">
        <v>10181</v>
      </c>
      <c r="C5204" t="s">
        <v>6973</v>
      </c>
      <c r="D5204" t="s">
        <v>6956</v>
      </c>
      <c r="E5204">
        <v>379.08</v>
      </c>
      <c r="G5204" s="35"/>
      <c r="H5204" s="36">
        <f t="shared" si="245"/>
        <v>238.82039999999998</v>
      </c>
      <c r="I5204" s="37">
        <f t="shared" si="243"/>
        <v>238.82039999999998</v>
      </c>
      <c r="J5204" s="4"/>
      <c r="K5204" s="38">
        <f t="shared" si="244"/>
        <v>0</v>
      </c>
    </row>
    <row r="5205" spans="1:11">
      <c r="A5205" t="s">
        <v>1395</v>
      </c>
      <c r="B5205" t="s">
        <v>10181</v>
      </c>
      <c r="C5205" t="s">
        <v>6973</v>
      </c>
      <c r="D5205" t="s">
        <v>6957</v>
      </c>
      <c r="E5205">
        <v>867.99</v>
      </c>
      <c r="G5205" s="35"/>
      <c r="H5205" s="36">
        <f t="shared" si="245"/>
        <v>546.83370000000002</v>
      </c>
      <c r="I5205" s="37">
        <f t="shared" si="243"/>
        <v>546.83370000000002</v>
      </c>
      <c r="J5205" s="4"/>
      <c r="K5205" s="38">
        <f t="shared" si="244"/>
        <v>0</v>
      </c>
    </row>
    <row r="5206" spans="1:11">
      <c r="A5206" t="s">
        <v>1396</v>
      </c>
      <c r="B5206" t="s">
        <v>10181</v>
      </c>
      <c r="C5206" t="s">
        <v>6973</v>
      </c>
      <c r="D5206" t="s">
        <v>6958</v>
      </c>
      <c r="E5206">
        <v>1278.53</v>
      </c>
      <c r="G5206" s="35"/>
      <c r="H5206" s="36">
        <f t="shared" si="245"/>
        <v>805.47389999999996</v>
      </c>
      <c r="I5206" s="37">
        <f t="shared" si="243"/>
        <v>805.47389999999996</v>
      </c>
      <c r="J5206" s="4"/>
      <c r="K5206" s="38">
        <f t="shared" si="244"/>
        <v>0</v>
      </c>
    </row>
    <row r="5207" spans="1:11">
      <c r="A5207" t="s">
        <v>1397</v>
      </c>
      <c r="B5207" t="s">
        <v>10181</v>
      </c>
      <c r="C5207" t="s">
        <v>6973</v>
      </c>
      <c r="D5207" t="s">
        <v>6959</v>
      </c>
      <c r="E5207">
        <v>1783.85</v>
      </c>
      <c r="G5207" s="35"/>
      <c r="H5207" s="36">
        <f t="shared" si="245"/>
        <v>1123.8254999999999</v>
      </c>
      <c r="I5207" s="37">
        <f t="shared" si="243"/>
        <v>1123.8254999999999</v>
      </c>
      <c r="J5207" s="4"/>
      <c r="K5207" s="38">
        <f t="shared" si="244"/>
        <v>0</v>
      </c>
    </row>
    <row r="5208" spans="1:11">
      <c r="A5208" t="s">
        <v>1398</v>
      </c>
      <c r="B5208" t="s">
        <v>10181</v>
      </c>
      <c r="C5208" t="s">
        <v>6973</v>
      </c>
      <c r="D5208" t="s">
        <v>6960</v>
      </c>
      <c r="E5208">
        <v>2946.24</v>
      </c>
      <c r="G5208" s="35"/>
      <c r="H5208" s="36">
        <f t="shared" si="245"/>
        <v>1856.1311999999998</v>
      </c>
      <c r="I5208" s="37">
        <f t="shared" si="243"/>
        <v>1856.1311999999998</v>
      </c>
      <c r="J5208" s="4"/>
      <c r="K5208" s="38">
        <f t="shared" si="244"/>
        <v>0</v>
      </c>
    </row>
    <row r="5209" spans="1:11">
      <c r="A5209" t="s">
        <v>11599</v>
      </c>
      <c r="B5209" t="s">
        <v>10181</v>
      </c>
      <c r="C5209" t="s">
        <v>6973</v>
      </c>
      <c r="D5209" t="s">
        <v>11600</v>
      </c>
      <c r="E5209">
        <v>716.44</v>
      </c>
      <c r="G5209" s="35"/>
      <c r="H5209" s="36">
        <f t="shared" si="245"/>
        <v>451.35720000000003</v>
      </c>
      <c r="I5209" s="37">
        <f t="shared" si="243"/>
        <v>451.35720000000003</v>
      </c>
      <c r="J5209" s="4"/>
      <c r="K5209" s="38">
        <f t="shared" si="244"/>
        <v>0</v>
      </c>
    </row>
    <row r="5210" spans="1:11">
      <c r="A5210" t="s">
        <v>1555</v>
      </c>
      <c r="B5210" t="s">
        <v>10181</v>
      </c>
      <c r="C5210" t="s">
        <v>7139</v>
      </c>
      <c r="D5210" t="s">
        <v>7140</v>
      </c>
      <c r="E5210">
        <v>12549.97</v>
      </c>
      <c r="G5210" s="35"/>
      <c r="H5210" s="36">
        <f t="shared" si="245"/>
        <v>7906.4811</v>
      </c>
      <c r="I5210" s="37">
        <f t="shared" si="243"/>
        <v>7906.4811</v>
      </c>
      <c r="J5210" s="4"/>
      <c r="K5210" s="38">
        <f t="shared" si="244"/>
        <v>0</v>
      </c>
    </row>
    <row r="5211" spans="1:11">
      <c r="A5211" t="s">
        <v>1556</v>
      </c>
      <c r="B5211" t="s">
        <v>10181</v>
      </c>
      <c r="C5211" t="s">
        <v>7139</v>
      </c>
      <c r="D5211" t="s">
        <v>7141</v>
      </c>
      <c r="E5211">
        <v>14618.65</v>
      </c>
      <c r="G5211" s="35"/>
      <c r="H5211" s="36">
        <f t="shared" si="245"/>
        <v>9209.7494999999999</v>
      </c>
      <c r="I5211" s="37">
        <f t="shared" si="243"/>
        <v>9209.7494999999999</v>
      </c>
      <c r="J5211" s="4"/>
      <c r="K5211" s="38">
        <f t="shared" si="244"/>
        <v>0</v>
      </c>
    </row>
    <row r="5212" spans="1:11">
      <c r="A5212" t="s">
        <v>1557</v>
      </c>
      <c r="B5212" t="s">
        <v>10181</v>
      </c>
      <c r="C5212" t="s">
        <v>7139</v>
      </c>
      <c r="D5212" t="s">
        <v>7142</v>
      </c>
      <c r="E5212">
        <v>21376.3</v>
      </c>
      <c r="G5212" s="35"/>
      <c r="H5212" s="36">
        <f t="shared" si="245"/>
        <v>13467.069</v>
      </c>
      <c r="I5212" s="37">
        <f t="shared" si="243"/>
        <v>13467.069</v>
      </c>
      <c r="J5212" s="4"/>
      <c r="K5212" s="38">
        <f t="shared" si="244"/>
        <v>0</v>
      </c>
    </row>
    <row r="5213" spans="1:11">
      <c r="A5213" t="s">
        <v>1558</v>
      </c>
      <c r="B5213" t="s">
        <v>10181</v>
      </c>
      <c r="C5213" t="s">
        <v>7139</v>
      </c>
      <c r="D5213" t="s">
        <v>7143</v>
      </c>
      <c r="E5213">
        <v>603.54999999999995</v>
      </c>
      <c r="G5213" s="35"/>
      <c r="H5213" s="36">
        <f t="shared" si="245"/>
        <v>380.23649999999998</v>
      </c>
      <c r="I5213" s="37">
        <f t="shared" si="243"/>
        <v>380.23649999999998</v>
      </c>
      <c r="J5213" s="4"/>
      <c r="K5213" s="38">
        <f t="shared" si="244"/>
        <v>0</v>
      </c>
    </row>
    <row r="5214" spans="1:11">
      <c r="A5214" t="s">
        <v>1559</v>
      </c>
      <c r="B5214" t="s">
        <v>10181</v>
      </c>
      <c r="C5214" t="s">
        <v>7139</v>
      </c>
      <c r="D5214" t="s">
        <v>7144</v>
      </c>
      <c r="E5214">
        <v>835.47</v>
      </c>
      <c r="G5214" s="35"/>
      <c r="H5214" s="36">
        <f t="shared" si="245"/>
        <v>526.34609999999998</v>
      </c>
      <c r="I5214" s="37">
        <f t="shared" si="243"/>
        <v>526.34609999999998</v>
      </c>
      <c r="J5214" s="4"/>
      <c r="K5214" s="38">
        <f t="shared" si="244"/>
        <v>0</v>
      </c>
    </row>
    <row r="5215" spans="1:11">
      <c r="A5215" t="s">
        <v>1560</v>
      </c>
      <c r="B5215" t="s">
        <v>10181</v>
      </c>
      <c r="C5215" t="s">
        <v>7139</v>
      </c>
      <c r="D5215" t="s">
        <v>7145</v>
      </c>
      <c r="E5215">
        <v>1244.8399999999999</v>
      </c>
      <c r="G5215" s="35"/>
      <c r="H5215" s="36">
        <f t="shared" si="245"/>
        <v>784.24919999999997</v>
      </c>
      <c r="I5215" s="37">
        <f t="shared" si="243"/>
        <v>784.24919999999997</v>
      </c>
      <c r="J5215" s="4"/>
      <c r="K5215" s="38">
        <f t="shared" si="244"/>
        <v>0</v>
      </c>
    </row>
    <row r="5216" spans="1:11">
      <c r="A5216" t="s">
        <v>1561</v>
      </c>
      <c r="B5216" t="s">
        <v>10181</v>
      </c>
      <c r="C5216" t="s">
        <v>7139</v>
      </c>
      <c r="D5216" t="s">
        <v>7146</v>
      </c>
      <c r="E5216">
        <v>2025.82</v>
      </c>
      <c r="G5216" s="35"/>
      <c r="H5216" s="36">
        <f t="shared" si="245"/>
        <v>1276.2665999999999</v>
      </c>
      <c r="I5216" s="37">
        <f t="shared" si="243"/>
        <v>1276.2665999999999</v>
      </c>
      <c r="J5216" s="4"/>
      <c r="K5216" s="38">
        <f t="shared" si="244"/>
        <v>0</v>
      </c>
    </row>
    <row r="5217" spans="1:11">
      <c r="A5217" t="s">
        <v>1562</v>
      </c>
      <c r="B5217" t="s">
        <v>10181</v>
      </c>
      <c r="C5217" t="s">
        <v>7139</v>
      </c>
      <c r="D5217" t="s">
        <v>7147</v>
      </c>
      <c r="E5217">
        <v>2637.77</v>
      </c>
      <c r="G5217" s="35"/>
      <c r="H5217" s="36">
        <f t="shared" si="245"/>
        <v>1661.7951</v>
      </c>
      <c r="I5217" s="37">
        <f t="shared" si="243"/>
        <v>1661.7951</v>
      </c>
      <c r="J5217" s="4"/>
      <c r="K5217" s="38">
        <f t="shared" si="244"/>
        <v>0</v>
      </c>
    </row>
    <row r="5218" spans="1:11">
      <c r="A5218" t="s">
        <v>1563</v>
      </c>
      <c r="B5218" t="s">
        <v>10181</v>
      </c>
      <c r="C5218" t="s">
        <v>7139</v>
      </c>
      <c r="D5218" t="s">
        <v>7148</v>
      </c>
      <c r="E5218">
        <v>3800.17</v>
      </c>
      <c r="G5218" s="35"/>
      <c r="H5218" s="36">
        <f t="shared" si="245"/>
        <v>2394.1071000000002</v>
      </c>
      <c r="I5218" s="37">
        <f t="shared" si="243"/>
        <v>2394.1071000000002</v>
      </c>
      <c r="J5218" s="4"/>
      <c r="K5218" s="38">
        <f t="shared" si="244"/>
        <v>0</v>
      </c>
    </row>
    <row r="5219" spans="1:11">
      <c r="A5219" t="s">
        <v>1564</v>
      </c>
      <c r="B5219" t="s">
        <v>10181</v>
      </c>
      <c r="C5219" t="s">
        <v>7139</v>
      </c>
      <c r="D5219" t="s">
        <v>7149</v>
      </c>
      <c r="E5219">
        <v>15059.95</v>
      </c>
      <c r="G5219" s="35"/>
      <c r="H5219" s="36">
        <f t="shared" si="245"/>
        <v>9487.7685000000001</v>
      </c>
      <c r="I5219" s="37">
        <f t="shared" si="243"/>
        <v>9487.7685000000001</v>
      </c>
      <c r="J5219" s="4"/>
      <c r="K5219" s="38">
        <f t="shared" si="244"/>
        <v>0</v>
      </c>
    </row>
    <row r="5220" spans="1:11">
      <c r="A5220" t="s">
        <v>1565</v>
      </c>
      <c r="B5220" t="s">
        <v>10181</v>
      </c>
      <c r="C5220" t="s">
        <v>7139</v>
      </c>
      <c r="D5220" t="s">
        <v>7150</v>
      </c>
      <c r="E5220">
        <v>17542.37</v>
      </c>
      <c r="G5220" s="35"/>
      <c r="H5220" s="36">
        <f t="shared" si="245"/>
        <v>11051.693099999999</v>
      </c>
      <c r="I5220" s="37">
        <f t="shared" si="243"/>
        <v>11051.693099999999</v>
      </c>
      <c r="J5220" s="4"/>
      <c r="K5220" s="38">
        <f t="shared" si="244"/>
        <v>0</v>
      </c>
    </row>
    <row r="5221" spans="1:11">
      <c r="A5221" t="s">
        <v>1566</v>
      </c>
      <c r="B5221" t="s">
        <v>10181</v>
      </c>
      <c r="C5221" t="s">
        <v>7139</v>
      </c>
      <c r="D5221" t="s">
        <v>7151</v>
      </c>
      <c r="E5221">
        <v>25651.58</v>
      </c>
      <c r="G5221" s="35"/>
      <c r="H5221" s="36">
        <f t="shared" si="245"/>
        <v>16160.495400000002</v>
      </c>
      <c r="I5221" s="37">
        <f t="shared" si="243"/>
        <v>16160.495400000002</v>
      </c>
      <c r="J5221" s="4"/>
      <c r="K5221" s="38">
        <f t="shared" si="244"/>
        <v>0</v>
      </c>
    </row>
    <row r="5222" spans="1:11">
      <c r="A5222" t="s">
        <v>1567</v>
      </c>
      <c r="B5222" t="s">
        <v>10181</v>
      </c>
      <c r="C5222" t="s">
        <v>7139</v>
      </c>
      <c r="D5222" t="s">
        <v>7152</v>
      </c>
      <c r="E5222">
        <v>18824.96</v>
      </c>
      <c r="G5222" s="35"/>
      <c r="H5222" s="36">
        <f t="shared" si="245"/>
        <v>11859.7248</v>
      </c>
      <c r="I5222" s="37">
        <f t="shared" si="243"/>
        <v>11859.7248</v>
      </c>
      <c r="J5222" s="4"/>
      <c r="K5222" s="38">
        <f t="shared" si="244"/>
        <v>0</v>
      </c>
    </row>
    <row r="5223" spans="1:11">
      <c r="A5223" t="s">
        <v>1568</v>
      </c>
      <c r="B5223" t="s">
        <v>10181</v>
      </c>
      <c r="C5223" t="s">
        <v>7139</v>
      </c>
      <c r="D5223" t="s">
        <v>7153</v>
      </c>
      <c r="E5223">
        <v>21927.96</v>
      </c>
      <c r="G5223" s="35"/>
      <c r="H5223" s="36">
        <f t="shared" si="245"/>
        <v>13814.614799999999</v>
      </c>
      <c r="I5223" s="37">
        <f t="shared" si="243"/>
        <v>13814.614799999999</v>
      </c>
      <c r="J5223" s="4"/>
      <c r="K5223" s="38">
        <f t="shared" si="244"/>
        <v>0</v>
      </c>
    </row>
    <row r="5224" spans="1:11">
      <c r="A5224" t="s">
        <v>1569</v>
      </c>
      <c r="B5224" t="s">
        <v>10181</v>
      </c>
      <c r="C5224" t="s">
        <v>7139</v>
      </c>
      <c r="D5224" t="s">
        <v>7154</v>
      </c>
      <c r="E5224">
        <v>32064.46</v>
      </c>
      <c r="G5224" s="35"/>
      <c r="H5224" s="36">
        <f t="shared" si="245"/>
        <v>20200.609799999998</v>
      </c>
      <c r="I5224" s="37">
        <f t="shared" si="243"/>
        <v>20200.609799999998</v>
      </c>
      <c r="J5224" s="4"/>
      <c r="K5224" s="38">
        <f t="shared" si="244"/>
        <v>0</v>
      </c>
    </row>
    <row r="5225" spans="1:11">
      <c r="A5225" t="s">
        <v>1570</v>
      </c>
      <c r="B5225" t="s">
        <v>10181</v>
      </c>
      <c r="C5225" t="s">
        <v>7139</v>
      </c>
      <c r="D5225" t="s">
        <v>7155</v>
      </c>
      <c r="E5225">
        <v>1005.92</v>
      </c>
      <c r="G5225" s="35"/>
      <c r="H5225" s="36">
        <f t="shared" si="245"/>
        <v>633.7296</v>
      </c>
      <c r="I5225" s="37">
        <f t="shared" si="243"/>
        <v>633.7296</v>
      </c>
      <c r="J5225" s="4"/>
      <c r="K5225" s="38">
        <f t="shared" si="244"/>
        <v>0</v>
      </c>
    </row>
    <row r="5226" spans="1:11">
      <c r="A5226" t="s">
        <v>1571</v>
      </c>
      <c r="B5226" t="s">
        <v>10181</v>
      </c>
      <c r="C5226" t="s">
        <v>7139</v>
      </c>
      <c r="D5226" t="s">
        <v>7156</v>
      </c>
      <c r="E5226">
        <v>1392.45</v>
      </c>
      <c r="G5226" s="35"/>
      <c r="H5226" s="36">
        <f t="shared" si="245"/>
        <v>877.24350000000004</v>
      </c>
      <c r="I5226" s="37">
        <f t="shared" si="243"/>
        <v>877.24350000000004</v>
      </c>
      <c r="J5226" s="4"/>
      <c r="K5226" s="38">
        <f t="shared" si="244"/>
        <v>0</v>
      </c>
    </row>
    <row r="5227" spans="1:11">
      <c r="A5227" t="s">
        <v>1572</v>
      </c>
      <c r="B5227" t="s">
        <v>10181</v>
      </c>
      <c r="C5227" t="s">
        <v>7139</v>
      </c>
      <c r="D5227" t="s">
        <v>7157</v>
      </c>
      <c r="E5227">
        <v>2074.73</v>
      </c>
      <c r="G5227" s="35"/>
      <c r="H5227" s="36">
        <f t="shared" si="245"/>
        <v>1307.0799</v>
      </c>
      <c r="I5227" s="37">
        <f t="shared" si="243"/>
        <v>1307.0799</v>
      </c>
      <c r="J5227" s="4"/>
      <c r="K5227" s="38">
        <f t="shared" si="244"/>
        <v>0</v>
      </c>
    </row>
    <row r="5228" spans="1:11">
      <c r="A5228" t="s">
        <v>1573</v>
      </c>
      <c r="B5228" t="s">
        <v>10181</v>
      </c>
      <c r="C5228" t="s">
        <v>7139</v>
      </c>
      <c r="D5228" t="s">
        <v>7158</v>
      </c>
      <c r="E5228">
        <v>3376.36</v>
      </c>
      <c r="G5228" s="35"/>
      <c r="H5228" s="36">
        <f t="shared" si="245"/>
        <v>2127.1068</v>
      </c>
      <c r="I5228" s="37">
        <f t="shared" si="243"/>
        <v>2127.1068</v>
      </c>
      <c r="J5228" s="4"/>
      <c r="K5228" s="38">
        <f t="shared" si="244"/>
        <v>0</v>
      </c>
    </row>
    <row r="5229" spans="1:11">
      <c r="A5229" t="s">
        <v>1574</v>
      </c>
      <c r="B5229" t="s">
        <v>10181</v>
      </c>
      <c r="C5229" t="s">
        <v>7139</v>
      </c>
      <c r="D5229" t="s">
        <v>7159</v>
      </c>
      <c r="E5229">
        <v>4396.28</v>
      </c>
      <c r="G5229" s="35"/>
      <c r="H5229" s="36">
        <f t="shared" si="245"/>
        <v>2769.6563999999998</v>
      </c>
      <c r="I5229" s="37">
        <f t="shared" si="243"/>
        <v>2769.6563999999998</v>
      </c>
      <c r="J5229" s="4"/>
      <c r="K5229" s="38">
        <f t="shared" si="244"/>
        <v>0</v>
      </c>
    </row>
    <row r="5230" spans="1:11">
      <c r="A5230" t="s">
        <v>1575</v>
      </c>
      <c r="B5230" t="s">
        <v>10181</v>
      </c>
      <c r="C5230" t="s">
        <v>7139</v>
      </c>
      <c r="D5230" t="s">
        <v>7160</v>
      </c>
      <c r="E5230">
        <v>6333.61</v>
      </c>
      <c r="G5230" s="35"/>
      <c r="H5230" s="36">
        <f t="shared" si="245"/>
        <v>3990.1742999999997</v>
      </c>
      <c r="I5230" s="37">
        <f t="shared" si="243"/>
        <v>3990.1742999999997</v>
      </c>
      <c r="J5230" s="4"/>
      <c r="K5230" s="38">
        <f t="shared" si="244"/>
        <v>0</v>
      </c>
    </row>
    <row r="5231" spans="1:11">
      <c r="A5231" t="s">
        <v>1576</v>
      </c>
      <c r="B5231" t="s">
        <v>10181</v>
      </c>
      <c r="C5231" t="s">
        <v>7139</v>
      </c>
      <c r="D5231" t="s">
        <v>7161</v>
      </c>
      <c r="E5231">
        <v>25099.94</v>
      </c>
      <c r="G5231" s="35"/>
      <c r="H5231" s="36">
        <f t="shared" si="245"/>
        <v>15812.9622</v>
      </c>
      <c r="I5231" s="37">
        <f t="shared" si="243"/>
        <v>15812.9622</v>
      </c>
      <c r="J5231" s="4"/>
      <c r="K5231" s="38">
        <f t="shared" si="244"/>
        <v>0</v>
      </c>
    </row>
    <row r="5232" spans="1:11">
      <c r="A5232" t="s">
        <v>1577</v>
      </c>
      <c r="B5232" t="s">
        <v>10181</v>
      </c>
      <c r="C5232" t="s">
        <v>7139</v>
      </c>
      <c r="D5232" t="s">
        <v>7162</v>
      </c>
      <c r="E5232">
        <v>29237.3</v>
      </c>
      <c r="G5232" s="35"/>
      <c r="H5232" s="36">
        <f t="shared" si="245"/>
        <v>18419.499</v>
      </c>
      <c r="I5232" s="37">
        <f t="shared" si="243"/>
        <v>18419.499</v>
      </c>
      <c r="J5232" s="4"/>
      <c r="K5232" s="38">
        <f t="shared" si="244"/>
        <v>0</v>
      </c>
    </row>
    <row r="5233" spans="1:11">
      <c r="A5233" t="s">
        <v>1578</v>
      </c>
      <c r="B5233" t="s">
        <v>10181</v>
      </c>
      <c r="C5233" t="s">
        <v>7139</v>
      </c>
      <c r="D5233" t="s">
        <v>7163</v>
      </c>
      <c r="E5233">
        <v>42752.63</v>
      </c>
      <c r="G5233" s="35"/>
      <c r="H5233" s="36">
        <f t="shared" si="245"/>
        <v>26934.156899999998</v>
      </c>
      <c r="I5233" s="37">
        <f t="shared" si="243"/>
        <v>26934.156899999998</v>
      </c>
      <c r="J5233" s="4"/>
      <c r="K5233" s="38">
        <f t="shared" si="244"/>
        <v>0</v>
      </c>
    </row>
    <row r="5234" spans="1:11">
      <c r="A5234" t="s">
        <v>1579</v>
      </c>
      <c r="B5234" t="s">
        <v>10181</v>
      </c>
      <c r="C5234" t="s">
        <v>7139</v>
      </c>
      <c r="D5234" t="s">
        <v>7164</v>
      </c>
      <c r="E5234">
        <v>1257.42</v>
      </c>
      <c r="G5234" s="35"/>
      <c r="H5234" s="36">
        <f t="shared" si="245"/>
        <v>792.17460000000005</v>
      </c>
      <c r="I5234" s="37">
        <f t="shared" si="243"/>
        <v>792.17460000000005</v>
      </c>
      <c r="J5234" s="4"/>
      <c r="K5234" s="38">
        <f t="shared" si="244"/>
        <v>0</v>
      </c>
    </row>
    <row r="5235" spans="1:11">
      <c r="A5235" t="s">
        <v>1580</v>
      </c>
      <c r="B5235" t="s">
        <v>10181</v>
      </c>
      <c r="C5235" t="s">
        <v>7139</v>
      </c>
      <c r="D5235" t="s">
        <v>7165</v>
      </c>
      <c r="E5235">
        <v>1740.57</v>
      </c>
      <c r="G5235" s="35"/>
      <c r="H5235" s="36">
        <f t="shared" si="245"/>
        <v>1096.5590999999999</v>
      </c>
      <c r="I5235" s="37">
        <f t="shared" si="243"/>
        <v>1096.5590999999999</v>
      </c>
      <c r="J5235" s="4"/>
      <c r="K5235" s="38">
        <f t="shared" si="244"/>
        <v>0</v>
      </c>
    </row>
    <row r="5236" spans="1:11">
      <c r="A5236" t="s">
        <v>1581</v>
      </c>
      <c r="B5236" t="s">
        <v>10181</v>
      </c>
      <c r="C5236" t="s">
        <v>7139</v>
      </c>
      <c r="D5236" t="s">
        <v>7166</v>
      </c>
      <c r="E5236">
        <v>2593.4</v>
      </c>
      <c r="G5236" s="35"/>
      <c r="H5236" s="36">
        <f t="shared" si="245"/>
        <v>1633.8420000000001</v>
      </c>
      <c r="I5236" s="37">
        <f t="shared" si="243"/>
        <v>1633.8420000000001</v>
      </c>
      <c r="J5236" s="4"/>
      <c r="K5236" s="38">
        <f t="shared" si="244"/>
        <v>0</v>
      </c>
    </row>
    <row r="5237" spans="1:11">
      <c r="A5237" t="s">
        <v>1582</v>
      </c>
      <c r="B5237" t="s">
        <v>10181</v>
      </c>
      <c r="C5237" t="s">
        <v>7139</v>
      </c>
      <c r="D5237" t="s">
        <v>7167</v>
      </c>
      <c r="E5237">
        <v>4220.46</v>
      </c>
      <c r="G5237" s="35"/>
      <c r="H5237" s="36">
        <f t="shared" si="245"/>
        <v>2658.8897999999999</v>
      </c>
      <c r="I5237" s="37">
        <f t="shared" si="243"/>
        <v>2658.8897999999999</v>
      </c>
      <c r="J5237" s="4"/>
      <c r="K5237" s="38">
        <f t="shared" si="244"/>
        <v>0</v>
      </c>
    </row>
    <row r="5238" spans="1:11">
      <c r="A5238" t="s">
        <v>1583</v>
      </c>
      <c r="B5238" t="s">
        <v>10181</v>
      </c>
      <c r="C5238" t="s">
        <v>7139</v>
      </c>
      <c r="D5238" t="s">
        <v>7168</v>
      </c>
      <c r="E5238">
        <v>5495.35</v>
      </c>
      <c r="G5238" s="35"/>
      <c r="H5238" s="36">
        <f t="shared" si="245"/>
        <v>3462.0705000000003</v>
      </c>
      <c r="I5238" s="37">
        <f t="shared" si="243"/>
        <v>3462.0705000000003</v>
      </c>
      <c r="J5238" s="4"/>
      <c r="K5238" s="38">
        <f t="shared" si="244"/>
        <v>0</v>
      </c>
    </row>
    <row r="5239" spans="1:11">
      <c r="A5239" t="s">
        <v>1584</v>
      </c>
      <c r="B5239" t="s">
        <v>10181</v>
      </c>
      <c r="C5239" t="s">
        <v>7139</v>
      </c>
      <c r="D5239" t="s">
        <v>7169</v>
      </c>
      <c r="E5239">
        <v>7917.01</v>
      </c>
      <c r="G5239" s="35"/>
      <c r="H5239" s="36">
        <f t="shared" si="245"/>
        <v>4987.7163</v>
      </c>
      <c r="I5239" s="37">
        <f t="shared" si="243"/>
        <v>4987.7163</v>
      </c>
      <c r="J5239" s="4"/>
      <c r="K5239" s="38">
        <f t="shared" si="244"/>
        <v>0</v>
      </c>
    </row>
    <row r="5240" spans="1:11">
      <c r="A5240" t="s">
        <v>1585</v>
      </c>
      <c r="B5240" t="s">
        <v>10181</v>
      </c>
      <c r="C5240" t="s">
        <v>7139</v>
      </c>
      <c r="D5240" t="s">
        <v>7170</v>
      </c>
      <c r="E5240">
        <v>31374.91</v>
      </c>
      <c r="G5240" s="35"/>
      <c r="H5240" s="36">
        <f t="shared" si="245"/>
        <v>19766.193299999999</v>
      </c>
      <c r="I5240" s="37">
        <f t="shared" si="243"/>
        <v>19766.193299999999</v>
      </c>
      <c r="J5240" s="4"/>
      <c r="K5240" s="38">
        <f t="shared" si="244"/>
        <v>0</v>
      </c>
    </row>
    <row r="5241" spans="1:11">
      <c r="A5241" t="s">
        <v>1586</v>
      </c>
      <c r="B5241" t="s">
        <v>10181</v>
      </c>
      <c r="C5241" t="s">
        <v>7139</v>
      </c>
      <c r="D5241" t="s">
        <v>7171</v>
      </c>
      <c r="E5241">
        <v>36546.589999999997</v>
      </c>
      <c r="G5241" s="35"/>
      <c r="H5241" s="36">
        <f t="shared" si="245"/>
        <v>23024.351699999999</v>
      </c>
      <c r="I5241" s="37">
        <f t="shared" si="243"/>
        <v>23024.351699999999</v>
      </c>
      <c r="J5241" s="4"/>
      <c r="K5241" s="38">
        <f t="shared" si="244"/>
        <v>0</v>
      </c>
    </row>
    <row r="5242" spans="1:11">
      <c r="A5242" t="s">
        <v>1587</v>
      </c>
      <c r="B5242" t="s">
        <v>10181</v>
      </c>
      <c r="C5242" t="s">
        <v>7139</v>
      </c>
      <c r="D5242" t="s">
        <v>7172</v>
      </c>
      <c r="E5242">
        <v>53440.79</v>
      </c>
      <c r="G5242" s="35"/>
      <c r="H5242" s="36">
        <f t="shared" si="245"/>
        <v>33667.697700000004</v>
      </c>
      <c r="I5242" s="37">
        <f t="shared" si="243"/>
        <v>33667.697700000004</v>
      </c>
      <c r="J5242" s="4"/>
      <c r="K5242" s="38">
        <f t="shared" si="244"/>
        <v>0</v>
      </c>
    </row>
    <row r="5243" spans="1:11">
      <c r="A5243" t="s">
        <v>1588</v>
      </c>
      <c r="B5243" t="s">
        <v>10181</v>
      </c>
      <c r="C5243" t="s">
        <v>7139</v>
      </c>
      <c r="D5243" t="s">
        <v>7173</v>
      </c>
      <c r="E5243">
        <v>1508.89</v>
      </c>
      <c r="G5243" s="35"/>
      <c r="H5243" s="36">
        <f t="shared" si="245"/>
        <v>950.60070000000007</v>
      </c>
      <c r="I5243" s="37">
        <f t="shared" si="243"/>
        <v>950.60070000000007</v>
      </c>
      <c r="J5243" s="4"/>
      <c r="K5243" s="38">
        <f t="shared" si="244"/>
        <v>0</v>
      </c>
    </row>
    <row r="5244" spans="1:11">
      <c r="A5244" t="s">
        <v>1589</v>
      </c>
      <c r="B5244" t="s">
        <v>10181</v>
      </c>
      <c r="C5244" t="s">
        <v>7139</v>
      </c>
      <c r="D5244" t="s">
        <v>7174</v>
      </c>
      <c r="E5244">
        <v>2088.6999999999998</v>
      </c>
      <c r="G5244" s="35"/>
      <c r="H5244" s="36">
        <f t="shared" si="245"/>
        <v>1315.8809999999999</v>
      </c>
      <c r="I5244" s="37">
        <f t="shared" si="243"/>
        <v>1315.8809999999999</v>
      </c>
      <c r="J5244" s="4"/>
      <c r="K5244" s="38">
        <f t="shared" si="244"/>
        <v>0</v>
      </c>
    </row>
    <row r="5245" spans="1:11">
      <c r="A5245" t="s">
        <v>1590</v>
      </c>
      <c r="B5245" t="s">
        <v>10181</v>
      </c>
      <c r="C5245" t="s">
        <v>7139</v>
      </c>
      <c r="D5245" t="s">
        <v>7175</v>
      </c>
      <c r="E5245">
        <v>2996.82</v>
      </c>
      <c r="G5245" s="35"/>
      <c r="H5245" s="36">
        <f t="shared" si="245"/>
        <v>1887.9966000000002</v>
      </c>
      <c r="I5245" s="37">
        <f t="shared" si="243"/>
        <v>1887.9966000000002</v>
      </c>
      <c r="J5245" s="4"/>
      <c r="K5245" s="38">
        <f t="shared" si="244"/>
        <v>0</v>
      </c>
    </row>
    <row r="5246" spans="1:11">
      <c r="A5246" t="s">
        <v>1591</v>
      </c>
      <c r="B5246" t="s">
        <v>10181</v>
      </c>
      <c r="C5246" t="s">
        <v>7139</v>
      </c>
      <c r="D5246" t="s">
        <v>7176</v>
      </c>
      <c r="E5246">
        <v>5064.5600000000004</v>
      </c>
      <c r="G5246" s="35"/>
      <c r="H5246" s="36">
        <f t="shared" si="245"/>
        <v>3190.6728000000003</v>
      </c>
      <c r="I5246" s="37">
        <f t="shared" si="243"/>
        <v>3190.6728000000003</v>
      </c>
      <c r="J5246" s="4"/>
      <c r="K5246" s="38">
        <f t="shared" si="244"/>
        <v>0</v>
      </c>
    </row>
    <row r="5247" spans="1:11">
      <c r="A5247" t="s">
        <v>1592</v>
      </c>
      <c r="B5247" t="s">
        <v>10181</v>
      </c>
      <c r="C5247" t="s">
        <v>7139</v>
      </c>
      <c r="D5247" t="s">
        <v>7177</v>
      </c>
      <c r="E5247">
        <v>6594.41</v>
      </c>
      <c r="G5247" s="35"/>
      <c r="H5247" s="36">
        <f t="shared" si="245"/>
        <v>4154.4782999999998</v>
      </c>
      <c r="I5247" s="37">
        <f t="shared" si="243"/>
        <v>4154.4782999999998</v>
      </c>
      <c r="J5247" s="4"/>
      <c r="K5247" s="38">
        <f t="shared" si="244"/>
        <v>0</v>
      </c>
    </row>
    <row r="5248" spans="1:11">
      <c r="A5248" t="s">
        <v>1593</v>
      </c>
      <c r="B5248" t="s">
        <v>10181</v>
      </c>
      <c r="C5248" t="s">
        <v>7139</v>
      </c>
      <c r="D5248" t="s">
        <v>7178</v>
      </c>
      <c r="E5248">
        <v>9500.41</v>
      </c>
      <c r="G5248" s="35"/>
      <c r="H5248" s="36">
        <f t="shared" si="245"/>
        <v>5985.2582999999995</v>
      </c>
      <c r="I5248" s="37">
        <f t="shared" si="243"/>
        <v>5985.2582999999995</v>
      </c>
      <c r="J5248" s="4"/>
      <c r="K5248" s="38">
        <f t="shared" si="244"/>
        <v>0</v>
      </c>
    </row>
    <row r="5249" spans="1:11">
      <c r="A5249" t="s">
        <v>1594</v>
      </c>
      <c r="B5249" t="s">
        <v>10181</v>
      </c>
      <c r="C5249" t="s">
        <v>7139</v>
      </c>
      <c r="D5249" t="s">
        <v>7179</v>
      </c>
      <c r="E5249">
        <v>37649.89</v>
      </c>
      <c r="G5249" s="35"/>
      <c r="H5249" s="36">
        <f t="shared" si="245"/>
        <v>23719.430700000001</v>
      </c>
      <c r="I5249" s="37">
        <f t="shared" si="243"/>
        <v>23719.430700000001</v>
      </c>
      <c r="J5249" s="4"/>
      <c r="K5249" s="38">
        <f t="shared" si="244"/>
        <v>0</v>
      </c>
    </row>
    <row r="5250" spans="1:11">
      <c r="A5250" t="s">
        <v>1595</v>
      </c>
      <c r="B5250" t="s">
        <v>10181</v>
      </c>
      <c r="C5250" t="s">
        <v>7139</v>
      </c>
      <c r="D5250" t="s">
        <v>7180</v>
      </c>
      <c r="E5250">
        <v>43855.92</v>
      </c>
      <c r="G5250" s="35"/>
      <c r="H5250" s="36">
        <f t="shared" si="245"/>
        <v>27629.229599999999</v>
      </c>
      <c r="I5250" s="37">
        <f t="shared" si="243"/>
        <v>27629.229599999999</v>
      </c>
      <c r="J5250" s="4"/>
      <c r="K5250" s="38">
        <f t="shared" si="244"/>
        <v>0</v>
      </c>
    </row>
    <row r="5251" spans="1:11">
      <c r="A5251" t="s">
        <v>1596</v>
      </c>
      <c r="B5251" t="s">
        <v>10181</v>
      </c>
      <c r="C5251" t="s">
        <v>7139</v>
      </c>
      <c r="D5251" t="s">
        <v>7181</v>
      </c>
      <c r="E5251">
        <v>64128.93</v>
      </c>
      <c r="G5251" s="35"/>
      <c r="H5251" s="36">
        <f t="shared" si="245"/>
        <v>40401.225899999998</v>
      </c>
      <c r="I5251" s="37">
        <f t="shared" si="243"/>
        <v>40401.225899999998</v>
      </c>
      <c r="J5251" s="4"/>
      <c r="K5251" s="38">
        <f t="shared" si="244"/>
        <v>0</v>
      </c>
    </row>
    <row r="5252" spans="1:11">
      <c r="A5252" t="s">
        <v>1597</v>
      </c>
      <c r="B5252" t="s">
        <v>10181</v>
      </c>
      <c r="C5252" t="s">
        <v>7139</v>
      </c>
      <c r="D5252" t="s">
        <v>7182</v>
      </c>
      <c r="E5252">
        <v>2011.68</v>
      </c>
      <c r="G5252" s="35"/>
      <c r="H5252" s="36">
        <f t="shared" si="245"/>
        <v>1267.3584000000001</v>
      </c>
      <c r="I5252" s="37">
        <f t="shared" si="243"/>
        <v>1267.3584000000001</v>
      </c>
      <c r="J5252" s="4"/>
      <c r="K5252" s="38">
        <f t="shared" si="244"/>
        <v>0</v>
      </c>
    </row>
    <row r="5253" spans="1:11">
      <c r="A5253" t="s">
        <v>1598</v>
      </c>
      <c r="B5253" t="s">
        <v>10181</v>
      </c>
      <c r="C5253" t="s">
        <v>7139</v>
      </c>
      <c r="D5253" t="s">
        <v>7183</v>
      </c>
      <c r="E5253">
        <v>2784.93</v>
      </c>
      <c r="G5253" s="35"/>
      <c r="H5253" s="36">
        <f t="shared" si="245"/>
        <v>1754.5058999999999</v>
      </c>
      <c r="I5253" s="37">
        <f t="shared" si="243"/>
        <v>1754.5058999999999</v>
      </c>
      <c r="J5253" s="4"/>
      <c r="K5253" s="38">
        <f t="shared" si="244"/>
        <v>0</v>
      </c>
    </row>
    <row r="5254" spans="1:11">
      <c r="A5254" t="s">
        <v>1599</v>
      </c>
      <c r="B5254" t="s">
        <v>10181</v>
      </c>
      <c r="C5254" t="s">
        <v>7139</v>
      </c>
      <c r="D5254" t="s">
        <v>7184</v>
      </c>
      <c r="E5254">
        <v>3995.75</v>
      </c>
      <c r="G5254" s="35"/>
      <c r="H5254" s="36">
        <f t="shared" si="245"/>
        <v>2517.3225000000002</v>
      </c>
      <c r="I5254" s="37">
        <f t="shared" ref="I5254:I5317" si="246">H5254*$H$4</f>
        <v>2517.3225000000002</v>
      </c>
      <c r="J5254" s="4"/>
      <c r="K5254" s="38">
        <f t="shared" ref="K5254:K5317" si="247">J5254*I5254</f>
        <v>0</v>
      </c>
    </row>
    <row r="5255" spans="1:11">
      <c r="A5255" t="s">
        <v>1600</v>
      </c>
      <c r="B5255" t="s">
        <v>10181</v>
      </c>
      <c r="C5255" t="s">
        <v>7139</v>
      </c>
      <c r="D5255" t="s">
        <v>7185</v>
      </c>
      <c r="E5255">
        <v>6752.74</v>
      </c>
      <c r="G5255" s="35"/>
      <c r="H5255" s="36">
        <f t="shared" ref="H5255:H5318" si="248">+E5255*$H$1*(1-G5255)</f>
        <v>4254.2262000000001</v>
      </c>
      <c r="I5255" s="37">
        <f t="shared" si="246"/>
        <v>4254.2262000000001</v>
      </c>
      <c r="J5255" s="4"/>
      <c r="K5255" s="38">
        <f t="shared" si="247"/>
        <v>0</v>
      </c>
    </row>
    <row r="5256" spans="1:11">
      <c r="A5256" t="s">
        <v>1601</v>
      </c>
      <c r="B5256" t="s">
        <v>10181</v>
      </c>
      <c r="C5256" t="s">
        <v>7139</v>
      </c>
      <c r="D5256" t="s">
        <v>7186</v>
      </c>
      <c r="E5256">
        <v>8792.5300000000007</v>
      </c>
      <c r="G5256" s="35"/>
      <c r="H5256" s="36">
        <f t="shared" si="248"/>
        <v>5539.2939000000006</v>
      </c>
      <c r="I5256" s="37">
        <f t="shared" si="246"/>
        <v>5539.2939000000006</v>
      </c>
      <c r="J5256" s="4"/>
      <c r="K5256" s="38">
        <f t="shared" si="247"/>
        <v>0</v>
      </c>
    </row>
    <row r="5257" spans="1:11">
      <c r="A5257" t="s">
        <v>1602</v>
      </c>
      <c r="B5257" t="s">
        <v>10181</v>
      </c>
      <c r="C5257" t="s">
        <v>7139</v>
      </c>
      <c r="D5257" t="s">
        <v>7187</v>
      </c>
      <c r="E5257">
        <v>12667.22</v>
      </c>
      <c r="G5257" s="35"/>
      <c r="H5257" s="36">
        <f t="shared" si="248"/>
        <v>7980.3485999999994</v>
      </c>
      <c r="I5257" s="37">
        <f t="shared" si="246"/>
        <v>7980.3485999999994</v>
      </c>
      <c r="J5257" s="4"/>
      <c r="K5257" s="38">
        <f t="shared" si="247"/>
        <v>0</v>
      </c>
    </row>
    <row r="5258" spans="1:11">
      <c r="A5258" t="s">
        <v>1603</v>
      </c>
      <c r="B5258" t="s">
        <v>10181</v>
      </c>
      <c r="C5258" t="s">
        <v>7139</v>
      </c>
      <c r="D5258" t="s">
        <v>7188</v>
      </c>
      <c r="E5258">
        <v>50199.85</v>
      </c>
      <c r="G5258" s="35"/>
      <c r="H5258" s="36">
        <f t="shared" si="248"/>
        <v>31625.905500000001</v>
      </c>
      <c r="I5258" s="37">
        <f t="shared" si="246"/>
        <v>31625.905500000001</v>
      </c>
      <c r="J5258" s="4"/>
      <c r="K5258" s="38">
        <f t="shared" si="247"/>
        <v>0</v>
      </c>
    </row>
    <row r="5259" spans="1:11">
      <c r="A5259" t="s">
        <v>1604</v>
      </c>
      <c r="B5259" t="s">
        <v>10181</v>
      </c>
      <c r="C5259" t="s">
        <v>7139</v>
      </c>
      <c r="D5259" t="s">
        <v>7189</v>
      </c>
      <c r="E5259">
        <v>58474.55</v>
      </c>
      <c r="G5259" s="35"/>
      <c r="H5259" s="36">
        <f t="shared" si="248"/>
        <v>36838.966500000002</v>
      </c>
      <c r="I5259" s="37">
        <f t="shared" si="246"/>
        <v>36838.966500000002</v>
      </c>
      <c r="J5259" s="4"/>
      <c r="K5259" s="38">
        <f t="shared" si="247"/>
        <v>0</v>
      </c>
    </row>
    <row r="5260" spans="1:11">
      <c r="A5260" t="s">
        <v>1605</v>
      </c>
      <c r="B5260" t="s">
        <v>10181</v>
      </c>
      <c r="C5260" t="s">
        <v>7139</v>
      </c>
      <c r="D5260" t="s">
        <v>7190</v>
      </c>
      <c r="E5260">
        <v>85505.25</v>
      </c>
      <c r="G5260" s="35"/>
      <c r="H5260" s="36">
        <f t="shared" si="248"/>
        <v>53868.307500000003</v>
      </c>
      <c r="I5260" s="37">
        <f t="shared" si="246"/>
        <v>53868.307500000003</v>
      </c>
      <c r="J5260" s="4"/>
      <c r="K5260" s="38">
        <f t="shared" si="247"/>
        <v>0</v>
      </c>
    </row>
    <row r="5261" spans="1:11">
      <c r="A5261" t="s">
        <v>1606</v>
      </c>
      <c r="B5261" t="s">
        <v>10181</v>
      </c>
      <c r="C5261" t="s">
        <v>7139</v>
      </c>
      <c r="D5261" t="s">
        <v>7191</v>
      </c>
      <c r="E5261">
        <v>2514.81</v>
      </c>
      <c r="G5261" s="35"/>
      <c r="H5261" s="36">
        <f t="shared" si="248"/>
        <v>1584.3303000000001</v>
      </c>
      <c r="I5261" s="37">
        <f t="shared" si="246"/>
        <v>1584.3303000000001</v>
      </c>
      <c r="J5261" s="4"/>
      <c r="K5261" s="38">
        <f t="shared" si="247"/>
        <v>0</v>
      </c>
    </row>
    <row r="5262" spans="1:11">
      <c r="A5262" t="s">
        <v>1607</v>
      </c>
      <c r="B5262" t="s">
        <v>10181</v>
      </c>
      <c r="C5262" t="s">
        <v>7139</v>
      </c>
      <c r="D5262" t="s">
        <v>7192</v>
      </c>
      <c r="E5262">
        <v>3481.16</v>
      </c>
      <c r="G5262" s="35"/>
      <c r="H5262" s="36">
        <f t="shared" si="248"/>
        <v>2193.1307999999999</v>
      </c>
      <c r="I5262" s="37">
        <f t="shared" si="246"/>
        <v>2193.1307999999999</v>
      </c>
      <c r="J5262" s="4"/>
      <c r="K5262" s="38">
        <f t="shared" si="247"/>
        <v>0</v>
      </c>
    </row>
    <row r="5263" spans="1:11">
      <c r="A5263" t="s">
        <v>1608</v>
      </c>
      <c r="B5263" t="s">
        <v>10181</v>
      </c>
      <c r="C5263" t="s">
        <v>7139</v>
      </c>
      <c r="D5263" t="s">
        <v>7193</v>
      </c>
      <c r="E5263">
        <v>4994.7</v>
      </c>
      <c r="G5263" s="35"/>
      <c r="H5263" s="36">
        <f t="shared" si="248"/>
        <v>3146.6610000000001</v>
      </c>
      <c r="I5263" s="37">
        <f t="shared" si="246"/>
        <v>3146.6610000000001</v>
      </c>
      <c r="J5263" s="4"/>
      <c r="K5263" s="38">
        <f t="shared" si="247"/>
        <v>0</v>
      </c>
    </row>
    <row r="5264" spans="1:11">
      <c r="A5264" t="s">
        <v>1609</v>
      </c>
      <c r="B5264" t="s">
        <v>10181</v>
      </c>
      <c r="C5264" t="s">
        <v>7139</v>
      </c>
      <c r="D5264" t="s">
        <v>7194</v>
      </c>
      <c r="E5264">
        <v>8440.94</v>
      </c>
      <c r="G5264" s="35"/>
      <c r="H5264" s="36">
        <f t="shared" si="248"/>
        <v>5317.7922000000008</v>
      </c>
      <c r="I5264" s="37">
        <f t="shared" si="246"/>
        <v>5317.7922000000008</v>
      </c>
      <c r="J5264" s="4"/>
      <c r="K5264" s="38">
        <f t="shared" si="247"/>
        <v>0</v>
      </c>
    </row>
    <row r="5265" spans="1:11">
      <c r="A5265" t="s">
        <v>1610</v>
      </c>
      <c r="B5265" t="s">
        <v>10181</v>
      </c>
      <c r="C5265" t="s">
        <v>7139</v>
      </c>
      <c r="D5265" t="s">
        <v>7195</v>
      </c>
      <c r="E5265">
        <v>10990.67</v>
      </c>
      <c r="G5265" s="35"/>
      <c r="H5265" s="36">
        <f t="shared" si="248"/>
        <v>6924.1221000000005</v>
      </c>
      <c r="I5265" s="37">
        <f t="shared" si="246"/>
        <v>6924.1221000000005</v>
      </c>
      <c r="J5265" s="4"/>
      <c r="K5265" s="38">
        <f t="shared" si="247"/>
        <v>0</v>
      </c>
    </row>
    <row r="5266" spans="1:11">
      <c r="A5266" t="s">
        <v>1611</v>
      </c>
      <c r="B5266" t="s">
        <v>10181</v>
      </c>
      <c r="C5266" t="s">
        <v>7139</v>
      </c>
      <c r="D5266" t="s">
        <v>7196</v>
      </c>
      <c r="E5266">
        <v>15834.02</v>
      </c>
      <c r="G5266" s="35"/>
      <c r="H5266" s="36">
        <f t="shared" si="248"/>
        <v>9975.4326000000001</v>
      </c>
      <c r="I5266" s="37">
        <f t="shared" si="246"/>
        <v>9975.4326000000001</v>
      </c>
      <c r="J5266" s="4"/>
      <c r="K5266" s="38">
        <f t="shared" si="247"/>
        <v>0</v>
      </c>
    </row>
    <row r="5267" spans="1:11">
      <c r="A5267" t="s">
        <v>1612</v>
      </c>
      <c r="B5267" t="s">
        <v>10181</v>
      </c>
      <c r="C5267" t="s">
        <v>7139</v>
      </c>
      <c r="D5267" t="s">
        <v>7197</v>
      </c>
      <c r="E5267">
        <v>62749.82</v>
      </c>
      <c r="G5267" s="35"/>
      <c r="H5267" s="36">
        <f t="shared" si="248"/>
        <v>39532.386599999998</v>
      </c>
      <c r="I5267" s="37">
        <f t="shared" si="246"/>
        <v>39532.386599999998</v>
      </c>
      <c r="J5267" s="4"/>
      <c r="K5267" s="38">
        <f t="shared" si="247"/>
        <v>0</v>
      </c>
    </row>
    <row r="5268" spans="1:11">
      <c r="A5268" t="s">
        <v>1613</v>
      </c>
      <c r="B5268" t="s">
        <v>10181</v>
      </c>
      <c r="C5268" t="s">
        <v>7139</v>
      </c>
      <c r="D5268" t="s">
        <v>7198</v>
      </c>
      <c r="E5268">
        <v>73093.2</v>
      </c>
      <c r="G5268" s="35"/>
      <c r="H5268" s="36">
        <f t="shared" si="248"/>
        <v>46048.716</v>
      </c>
      <c r="I5268" s="37">
        <f t="shared" si="246"/>
        <v>46048.716</v>
      </c>
      <c r="J5268" s="4"/>
      <c r="K5268" s="38">
        <f t="shared" si="247"/>
        <v>0</v>
      </c>
    </row>
    <row r="5269" spans="1:11">
      <c r="A5269" t="s">
        <v>1614</v>
      </c>
      <c r="B5269" t="s">
        <v>10181</v>
      </c>
      <c r="C5269" t="s">
        <v>7139</v>
      </c>
      <c r="D5269" t="s">
        <v>7199</v>
      </c>
      <c r="E5269">
        <v>106881.58</v>
      </c>
      <c r="G5269" s="35"/>
      <c r="H5269" s="36">
        <f t="shared" si="248"/>
        <v>67335.395400000009</v>
      </c>
      <c r="I5269" s="37">
        <f t="shared" si="246"/>
        <v>67335.395400000009</v>
      </c>
      <c r="J5269" s="4"/>
      <c r="K5269" s="38">
        <f t="shared" si="247"/>
        <v>0</v>
      </c>
    </row>
    <row r="5270" spans="1:11">
      <c r="A5270" t="s">
        <v>10079</v>
      </c>
      <c r="B5270" t="s">
        <v>10181</v>
      </c>
      <c r="C5270" t="s">
        <v>8014</v>
      </c>
      <c r="D5270" t="s">
        <v>12413</v>
      </c>
      <c r="E5270">
        <v>60091.58</v>
      </c>
      <c r="G5270" s="35"/>
      <c r="H5270" s="36">
        <f t="shared" si="248"/>
        <v>37857.695400000004</v>
      </c>
      <c r="I5270" s="37">
        <f t="shared" si="246"/>
        <v>37857.695400000004</v>
      </c>
      <c r="J5270" s="4"/>
      <c r="K5270" s="38">
        <f t="shared" si="247"/>
        <v>0</v>
      </c>
    </row>
    <row r="5271" spans="1:11">
      <c r="A5271" t="s">
        <v>2486</v>
      </c>
      <c r="B5271" t="s">
        <v>10181</v>
      </c>
      <c r="C5271" t="s">
        <v>8014</v>
      </c>
      <c r="D5271" t="s">
        <v>12414</v>
      </c>
      <c r="E5271">
        <v>80020.55</v>
      </c>
      <c r="G5271" s="35"/>
      <c r="H5271" s="36">
        <f t="shared" si="248"/>
        <v>50412.946500000005</v>
      </c>
      <c r="I5271" s="37">
        <f t="shared" si="246"/>
        <v>50412.946500000005</v>
      </c>
      <c r="J5271" s="4"/>
      <c r="K5271" s="38">
        <f t="shared" si="247"/>
        <v>0</v>
      </c>
    </row>
    <row r="5272" spans="1:11">
      <c r="A5272" t="s">
        <v>2487</v>
      </c>
      <c r="B5272" t="s">
        <v>10181</v>
      </c>
      <c r="C5272" t="s">
        <v>8014</v>
      </c>
      <c r="D5272" t="s">
        <v>12415</v>
      </c>
      <c r="E5272">
        <v>94215.97</v>
      </c>
      <c r="G5272" s="35"/>
      <c r="H5272" s="36">
        <f t="shared" si="248"/>
        <v>59356.061099999999</v>
      </c>
      <c r="I5272" s="37">
        <f t="shared" si="246"/>
        <v>59356.061099999999</v>
      </c>
      <c r="J5272" s="4"/>
      <c r="K5272" s="38">
        <f t="shared" si="247"/>
        <v>0</v>
      </c>
    </row>
    <row r="5273" spans="1:11">
      <c r="A5273" t="s">
        <v>2488</v>
      </c>
      <c r="B5273" t="s">
        <v>10181</v>
      </c>
      <c r="C5273" t="s">
        <v>8014</v>
      </c>
      <c r="D5273" t="s">
        <v>12416</v>
      </c>
      <c r="E5273">
        <v>178858.91</v>
      </c>
      <c r="G5273" s="35"/>
      <c r="H5273" s="36">
        <f t="shared" si="248"/>
        <v>112681.1133</v>
      </c>
      <c r="I5273" s="37">
        <f t="shared" si="246"/>
        <v>112681.1133</v>
      </c>
      <c r="J5273" s="4"/>
      <c r="K5273" s="38">
        <f t="shared" si="247"/>
        <v>0</v>
      </c>
    </row>
    <row r="5274" spans="1:11">
      <c r="A5274" t="s">
        <v>10080</v>
      </c>
      <c r="B5274" t="s">
        <v>10181</v>
      </c>
      <c r="C5274" t="s">
        <v>8014</v>
      </c>
      <c r="D5274" t="s">
        <v>10081</v>
      </c>
      <c r="E5274">
        <v>189754.46</v>
      </c>
      <c r="G5274" s="35"/>
      <c r="H5274" s="36">
        <f t="shared" si="248"/>
        <v>119545.3098</v>
      </c>
      <c r="I5274" s="37">
        <f t="shared" si="246"/>
        <v>119545.3098</v>
      </c>
      <c r="J5274" s="4"/>
      <c r="K5274" s="38">
        <f t="shared" si="247"/>
        <v>0</v>
      </c>
    </row>
    <row r="5275" spans="1:11">
      <c r="A5275" t="s">
        <v>10082</v>
      </c>
      <c r="B5275" t="s">
        <v>10181</v>
      </c>
      <c r="C5275" t="s">
        <v>8014</v>
      </c>
      <c r="D5275" t="s">
        <v>10083</v>
      </c>
      <c r="E5275">
        <v>30453.72</v>
      </c>
      <c r="G5275" s="35"/>
      <c r="H5275" s="36">
        <f t="shared" si="248"/>
        <v>19185.8436</v>
      </c>
      <c r="I5275" s="37">
        <f t="shared" si="246"/>
        <v>19185.8436</v>
      </c>
      <c r="J5275" s="4"/>
      <c r="K5275" s="38">
        <f t="shared" si="247"/>
        <v>0</v>
      </c>
    </row>
    <row r="5276" spans="1:11">
      <c r="A5276" t="s">
        <v>2489</v>
      </c>
      <c r="B5276" t="s">
        <v>10181</v>
      </c>
      <c r="C5276" t="s">
        <v>8014</v>
      </c>
      <c r="D5276" t="s">
        <v>8015</v>
      </c>
      <c r="E5276">
        <v>49430.95</v>
      </c>
      <c r="G5276" s="35"/>
      <c r="H5276" s="36">
        <f t="shared" si="248"/>
        <v>31141.498499999998</v>
      </c>
      <c r="I5276" s="37">
        <f t="shared" si="246"/>
        <v>31141.498499999998</v>
      </c>
      <c r="J5276" s="4"/>
      <c r="K5276" s="38">
        <f t="shared" si="247"/>
        <v>0</v>
      </c>
    </row>
    <row r="5277" spans="1:11">
      <c r="A5277" t="s">
        <v>2490</v>
      </c>
      <c r="B5277" t="s">
        <v>10181</v>
      </c>
      <c r="C5277" t="s">
        <v>8014</v>
      </c>
      <c r="D5277" t="s">
        <v>8016</v>
      </c>
      <c r="E5277">
        <v>75374.66</v>
      </c>
      <c r="G5277" s="35"/>
      <c r="H5277" s="36">
        <f t="shared" si="248"/>
        <v>47486.035800000005</v>
      </c>
      <c r="I5277" s="37">
        <f t="shared" si="246"/>
        <v>47486.035800000005</v>
      </c>
      <c r="J5277" s="4"/>
      <c r="K5277" s="38">
        <f t="shared" si="247"/>
        <v>0</v>
      </c>
    </row>
    <row r="5278" spans="1:11">
      <c r="A5278" t="s">
        <v>2491</v>
      </c>
      <c r="B5278" t="s">
        <v>10181</v>
      </c>
      <c r="C5278" t="s">
        <v>8014</v>
      </c>
      <c r="D5278" t="s">
        <v>8017</v>
      </c>
      <c r="E5278">
        <v>108655.2</v>
      </c>
      <c r="G5278" s="35"/>
      <c r="H5278" s="36">
        <f t="shared" si="248"/>
        <v>68452.775999999998</v>
      </c>
      <c r="I5278" s="37">
        <f t="shared" si="246"/>
        <v>68452.775999999998</v>
      </c>
      <c r="J5278" s="4"/>
      <c r="K5278" s="38">
        <f t="shared" si="247"/>
        <v>0</v>
      </c>
    </row>
    <row r="5279" spans="1:11">
      <c r="A5279" t="s">
        <v>2492</v>
      </c>
      <c r="B5279" t="s">
        <v>10181</v>
      </c>
      <c r="C5279" t="s">
        <v>8014</v>
      </c>
      <c r="D5279" t="s">
        <v>8018</v>
      </c>
      <c r="E5279">
        <v>156131.15</v>
      </c>
      <c r="G5279" s="35"/>
      <c r="H5279" s="36">
        <f t="shared" si="248"/>
        <v>98362.624499999991</v>
      </c>
      <c r="I5279" s="37">
        <f t="shared" si="246"/>
        <v>98362.624499999991</v>
      </c>
      <c r="J5279" s="4"/>
      <c r="K5279" s="38">
        <f t="shared" si="247"/>
        <v>0</v>
      </c>
    </row>
    <row r="5280" spans="1:11">
      <c r="A5280" t="s">
        <v>2493</v>
      </c>
      <c r="B5280" t="s">
        <v>10181</v>
      </c>
      <c r="C5280" t="s">
        <v>8014</v>
      </c>
      <c r="D5280" t="s">
        <v>8019</v>
      </c>
      <c r="E5280">
        <v>282783.8</v>
      </c>
      <c r="G5280" s="35"/>
      <c r="H5280" s="36">
        <f t="shared" si="248"/>
        <v>178153.79399999999</v>
      </c>
      <c r="I5280" s="37">
        <f t="shared" si="246"/>
        <v>178153.79399999999</v>
      </c>
      <c r="J5280" s="4"/>
      <c r="K5280" s="38">
        <f t="shared" si="247"/>
        <v>0</v>
      </c>
    </row>
    <row r="5281" spans="1:11">
      <c r="A5281" t="s">
        <v>10084</v>
      </c>
      <c r="B5281" t="s">
        <v>10181</v>
      </c>
      <c r="C5281" t="s">
        <v>8014</v>
      </c>
      <c r="D5281" t="s">
        <v>10085</v>
      </c>
      <c r="E5281">
        <v>234395.09</v>
      </c>
      <c r="G5281" s="35"/>
      <c r="H5281" s="36">
        <f t="shared" si="248"/>
        <v>147668.90669999999</v>
      </c>
      <c r="I5281" s="37">
        <f t="shared" si="246"/>
        <v>147668.90669999999</v>
      </c>
      <c r="J5281" s="4"/>
      <c r="K5281" s="38">
        <f t="shared" si="247"/>
        <v>0</v>
      </c>
    </row>
    <row r="5282" spans="1:11">
      <c r="A5282" t="s">
        <v>2494</v>
      </c>
      <c r="B5282" t="s">
        <v>10181</v>
      </c>
      <c r="C5282" t="s">
        <v>8014</v>
      </c>
      <c r="D5282" t="s">
        <v>8020</v>
      </c>
      <c r="E5282">
        <v>34747.93</v>
      </c>
      <c r="G5282" s="35"/>
      <c r="H5282" s="36">
        <f t="shared" si="248"/>
        <v>21891.195899999999</v>
      </c>
      <c r="I5282" s="37">
        <f t="shared" si="246"/>
        <v>21891.195899999999</v>
      </c>
      <c r="J5282" s="4"/>
      <c r="K5282" s="38">
        <f t="shared" si="247"/>
        <v>0</v>
      </c>
    </row>
    <row r="5283" spans="1:11">
      <c r="A5283" t="s">
        <v>2495</v>
      </c>
      <c r="B5283" t="s">
        <v>10181</v>
      </c>
      <c r="C5283" t="s">
        <v>8014</v>
      </c>
      <c r="D5283" t="s">
        <v>7998</v>
      </c>
      <c r="E5283">
        <v>61615.19</v>
      </c>
      <c r="G5283" s="35"/>
      <c r="H5283" s="36">
        <f t="shared" si="248"/>
        <v>38817.5697</v>
      </c>
      <c r="I5283" s="37">
        <f t="shared" si="246"/>
        <v>38817.5697</v>
      </c>
      <c r="J5283" s="4"/>
      <c r="K5283" s="38">
        <f t="shared" si="247"/>
        <v>0</v>
      </c>
    </row>
    <row r="5284" spans="1:11">
      <c r="A5284" t="s">
        <v>2496</v>
      </c>
      <c r="B5284" t="s">
        <v>10181</v>
      </c>
      <c r="C5284" t="s">
        <v>8014</v>
      </c>
      <c r="D5284" t="s">
        <v>7999</v>
      </c>
      <c r="E5284">
        <v>111346.16</v>
      </c>
      <c r="G5284" s="35"/>
      <c r="H5284" s="36">
        <f t="shared" si="248"/>
        <v>70148.080799999996</v>
      </c>
      <c r="I5284" s="37">
        <f t="shared" si="246"/>
        <v>70148.080799999996</v>
      </c>
      <c r="J5284" s="4"/>
      <c r="K5284" s="38">
        <f t="shared" si="247"/>
        <v>0</v>
      </c>
    </row>
    <row r="5285" spans="1:11">
      <c r="A5285" t="s">
        <v>2497</v>
      </c>
      <c r="B5285" t="s">
        <v>10181</v>
      </c>
      <c r="C5285" t="s">
        <v>8014</v>
      </c>
      <c r="D5285" t="s">
        <v>8000</v>
      </c>
      <c r="E5285">
        <v>189791.42</v>
      </c>
      <c r="G5285" s="35"/>
      <c r="H5285" s="36">
        <f t="shared" si="248"/>
        <v>119568.59460000001</v>
      </c>
      <c r="I5285" s="37">
        <f t="shared" si="246"/>
        <v>119568.59460000001</v>
      </c>
      <c r="J5285" s="4"/>
      <c r="K5285" s="38">
        <f t="shared" si="247"/>
        <v>0</v>
      </c>
    </row>
    <row r="5286" spans="1:11">
      <c r="A5286" t="s">
        <v>2498</v>
      </c>
      <c r="B5286" t="s">
        <v>10181</v>
      </c>
      <c r="C5286" t="s">
        <v>8014</v>
      </c>
      <c r="D5286" t="s">
        <v>8001</v>
      </c>
      <c r="E5286">
        <v>252058.23999999999</v>
      </c>
      <c r="G5286" s="35"/>
      <c r="H5286" s="36">
        <f t="shared" si="248"/>
        <v>158796.6912</v>
      </c>
      <c r="I5286" s="37">
        <f t="shared" si="246"/>
        <v>158796.6912</v>
      </c>
      <c r="J5286" s="4"/>
      <c r="K5286" s="38">
        <f t="shared" si="247"/>
        <v>0</v>
      </c>
    </row>
    <row r="5287" spans="1:11">
      <c r="A5287" t="s">
        <v>2499</v>
      </c>
      <c r="B5287" t="s">
        <v>10181</v>
      </c>
      <c r="C5287" t="s">
        <v>8014</v>
      </c>
      <c r="D5287" t="s">
        <v>8002</v>
      </c>
      <c r="E5287">
        <v>228430.34</v>
      </c>
      <c r="G5287" s="35"/>
      <c r="H5287" s="36">
        <f t="shared" si="248"/>
        <v>143911.11420000001</v>
      </c>
      <c r="I5287" s="37">
        <f t="shared" si="246"/>
        <v>143911.11420000001</v>
      </c>
      <c r="J5287" s="4"/>
      <c r="K5287" s="38">
        <f t="shared" si="247"/>
        <v>0</v>
      </c>
    </row>
    <row r="5288" spans="1:11">
      <c r="A5288" t="s">
        <v>2500</v>
      </c>
      <c r="B5288" t="s">
        <v>10181</v>
      </c>
      <c r="C5288" t="s">
        <v>8014</v>
      </c>
      <c r="D5288" t="s">
        <v>8004</v>
      </c>
      <c r="E5288">
        <v>62810.68</v>
      </c>
      <c r="G5288" s="35"/>
      <c r="H5288" s="36">
        <f t="shared" si="248"/>
        <v>39570.7284</v>
      </c>
      <c r="I5288" s="37">
        <f t="shared" si="246"/>
        <v>39570.7284</v>
      </c>
      <c r="J5288" s="4"/>
      <c r="K5288" s="38">
        <f t="shared" si="247"/>
        <v>0</v>
      </c>
    </row>
    <row r="5289" spans="1:11">
      <c r="A5289" t="s">
        <v>2501</v>
      </c>
      <c r="B5289" t="s">
        <v>10181</v>
      </c>
      <c r="C5289" t="s">
        <v>8014</v>
      </c>
      <c r="D5289" t="s">
        <v>8005</v>
      </c>
      <c r="E5289">
        <v>104210.93</v>
      </c>
      <c r="G5289" s="35"/>
      <c r="H5289" s="36">
        <f t="shared" si="248"/>
        <v>65652.885899999994</v>
      </c>
      <c r="I5289" s="37">
        <f t="shared" si="246"/>
        <v>65652.885899999994</v>
      </c>
      <c r="J5289" s="4"/>
      <c r="K5289" s="38">
        <f t="shared" si="247"/>
        <v>0</v>
      </c>
    </row>
    <row r="5290" spans="1:11">
      <c r="A5290" t="s">
        <v>2502</v>
      </c>
      <c r="B5290" t="s">
        <v>10181</v>
      </c>
      <c r="C5290" t="s">
        <v>8014</v>
      </c>
      <c r="D5290" t="s">
        <v>8021</v>
      </c>
      <c r="E5290">
        <v>162736.66</v>
      </c>
      <c r="G5290" s="35"/>
      <c r="H5290" s="36">
        <f t="shared" si="248"/>
        <v>102524.09580000001</v>
      </c>
      <c r="I5290" s="37">
        <f t="shared" si="246"/>
        <v>102524.09580000001</v>
      </c>
      <c r="J5290" s="4"/>
      <c r="K5290" s="38">
        <f t="shared" si="247"/>
        <v>0</v>
      </c>
    </row>
    <row r="5291" spans="1:11">
      <c r="A5291" t="s">
        <v>3143</v>
      </c>
      <c r="B5291" t="s">
        <v>10181</v>
      </c>
      <c r="C5291" t="s">
        <v>8655</v>
      </c>
      <c r="D5291" t="s">
        <v>11290</v>
      </c>
      <c r="E5291">
        <v>7251.58</v>
      </c>
      <c r="G5291" s="35"/>
      <c r="H5291" s="36">
        <f t="shared" si="248"/>
        <v>4568.4953999999998</v>
      </c>
      <c r="I5291" s="37">
        <f t="shared" si="246"/>
        <v>4568.4953999999998</v>
      </c>
      <c r="J5291" s="4"/>
      <c r="K5291" s="38">
        <f t="shared" si="247"/>
        <v>0</v>
      </c>
    </row>
    <row r="5292" spans="1:11">
      <c r="A5292" t="s">
        <v>3144</v>
      </c>
      <c r="B5292" t="s">
        <v>10181</v>
      </c>
      <c r="C5292" t="s">
        <v>8655</v>
      </c>
      <c r="D5292" t="s">
        <v>11291</v>
      </c>
      <c r="E5292">
        <v>10228.6</v>
      </c>
      <c r="G5292" s="35"/>
      <c r="H5292" s="36">
        <f t="shared" si="248"/>
        <v>6444.018</v>
      </c>
      <c r="I5292" s="37">
        <f t="shared" si="246"/>
        <v>6444.018</v>
      </c>
      <c r="J5292" s="4"/>
      <c r="K5292" s="38">
        <f t="shared" si="247"/>
        <v>0</v>
      </c>
    </row>
    <row r="5293" spans="1:11">
      <c r="A5293" t="s">
        <v>3145</v>
      </c>
      <c r="B5293" t="s">
        <v>10181</v>
      </c>
      <c r="C5293" t="s">
        <v>8655</v>
      </c>
      <c r="D5293" t="s">
        <v>11292</v>
      </c>
      <c r="E5293">
        <v>15181.71</v>
      </c>
      <c r="G5293" s="35"/>
      <c r="H5293" s="36">
        <f t="shared" si="248"/>
        <v>9564.4772999999986</v>
      </c>
      <c r="I5293" s="37">
        <f t="shared" si="246"/>
        <v>9564.4772999999986</v>
      </c>
      <c r="J5293" s="4"/>
      <c r="K5293" s="38">
        <f t="shared" si="247"/>
        <v>0</v>
      </c>
    </row>
    <row r="5294" spans="1:11">
      <c r="A5294" t="s">
        <v>3146</v>
      </c>
      <c r="B5294" t="s">
        <v>10181</v>
      </c>
      <c r="C5294" t="s">
        <v>8655</v>
      </c>
      <c r="D5294" t="s">
        <v>8660</v>
      </c>
      <c r="E5294">
        <v>20474.21</v>
      </c>
      <c r="G5294" s="35"/>
      <c r="H5294" s="36">
        <f t="shared" si="248"/>
        <v>12898.7523</v>
      </c>
      <c r="I5294" s="37">
        <f t="shared" si="246"/>
        <v>12898.7523</v>
      </c>
      <c r="J5294" s="4"/>
      <c r="K5294" s="38">
        <f t="shared" si="247"/>
        <v>0</v>
      </c>
    </row>
    <row r="5295" spans="1:11">
      <c r="A5295" t="s">
        <v>3147</v>
      </c>
      <c r="B5295" t="s">
        <v>10181</v>
      </c>
      <c r="C5295" t="s">
        <v>8655</v>
      </c>
      <c r="D5295" t="s">
        <v>8661</v>
      </c>
      <c r="E5295">
        <v>31765</v>
      </c>
      <c r="G5295" s="35"/>
      <c r="H5295" s="36">
        <f t="shared" si="248"/>
        <v>20011.95</v>
      </c>
      <c r="I5295" s="37">
        <f t="shared" si="246"/>
        <v>20011.95</v>
      </c>
      <c r="J5295" s="4"/>
      <c r="K5295" s="38">
        <f t="shared" si="247"/>
        <v>0</v>
      </c>
    </row>
    <row r="5296" spans="1:11">
      <c r="A5296" t="s">
        <v>3148</v>
      </c>
      <c r="B5296" t="s">
        <v>10181</v>
      </c>
      <c r="C5296" t="s">
        <v>8655</v>
      </c>
      <c r="D5296" t="s">
        <v>8662</v>
      </c>
      <c r="E5296">
        <v>49683.17</v>
      </c>
      <c r="G5296" s="35"/>
      <c r="H5296" s="36">
        <f t="shared" si="248"/>
        <v>31300.397099999998</v>
      </c>
      <c r="I5296" s="37">
        <f t="shared" si="246"/>
        <v>31300.397099999998</v>
      </c>
      <c r="J5296" s="4"/>
      <c r="K5296" s="38">
        <f t="shared" si="247"/>
        <v>0</v>
      </c>
    </row>
    <row r="5297" spans="1:11">
      <c r="A5297" t="s">
        <v>3101</v>
      </c>
      <c r="B5297" t="s">
        <v>10181</v>
      </c>
      <c r="C5297" t="s">
        <v>8607</v>
      </c>
      <c r="D5297" t="s">
        <v>8608</v>
      </c>
      <c r="E5297">
        <v>12292.39</v>
      </c>
      <c r="G5297" s="35"/>
      <c r="H5297" s="36">
        <f t="shared" si="248"/>
        <v>7744.2056999999995</v>
      </c>
      <c r="I5297" s="37">
        <f t="shared" si="246"/>
        <v>7744.2056999999995</v>
      </c>
      <c r="J5297" s="4"/>
      <c r="K5297" s="38">
        <f t="shared" si="247"/>
        <v>0</v>
      </c>
    </row>
    <row r="5298" spans="1:11">
      <c r="A5298" t="s">
        <v>3102</v>
      </c>
      <c r="B5298" t="s">
        <v>10181</v>
      </c>
      <c r="C5298" t="s">
        <v>8607</v>
      </c>
      <c r="D5298" t="s">
        <v>8609</v>
      </c>
      <c r="E5298">
        <v>19211.259999999998</v>
      </c>
      <c r="G5298" s="35"/>
      <c r="H5298" s="36">
        <f t="shared" si="248"/>
        <v>12103.093799999999</v>
      </c>
      <c r="I5298" s="37">
        <f t="shared" si="246"/>
        <v>12103.093799999999</v>
      </c>
      <c r="J5298" s="4"/>
      <c r="K5298" s="38">
        <f t="shared" si="247"/>
        <v>0</v>
      </c>
    </row>
    <row r="5299" spans="1:11">
      <c r="A5299" t="s">
        <v>3103</v>
      </c>
      <c r="B5299" t="s">
        <v>10181</v>
      </c>
      <c r="C5299" t="s">
        <v>8607</v>
      </c>
      <c r="D5299" t="s">
        <v>8610</v>
      </c>
      <c r="E5299">
        <v>30657.09</v>
      </c>
      <c r="G5299" s="35"/>
      <c r="H5299" s="36">
        <f t="shared" si="248"/>
        <v>19313.966700000001</v>
      </c>
      <c r="I5299" s="37">
        <f t="shared" si="246"/>
        <v>19313.966700000001</v>
      </c>
      <c r="J5299" s="4"/>
      <c r="K5299" s="38">
        <f t="shared" si="247"/>
        <v>0</v>
      </c>
    </row>
    <row r="5300" spans="1:11">
      <c r="A5300" t="s">
        <v>3104</v>
      </c>
      <c r="B5300" t="s">
        <v>10181</v>
      </c>
      <c r="C5300" t="s">
        <v>8607</v>
      </c>
      <c r="D5300" t="s">
        <v>8611</v>
      </c>
      <c r="E5300">
        <v>46367.03</v>
      </c>
      <c r="G5300" s="35"/>
      <c r="H5300" s="36">
        <f t="shared" si="248"/>
        <v>29211.228899999998</v>
      </c>
      <c r="I5300" s="37">
        <f t="shared" si="246"/>
        <v>29211.228899999998</v>
      </c>
      <c r="J5300" s="4"/>
      <c r="K5300" s="38">
        <f t="shared" si="247"/>
        <v>0</v>
      </c>
    </row>
    <row r="5301" spans="1:11">
      <c r="A5301" t="s">
        <v>3105</v>
      </c>
      <c r="B5301" t="s">
        <v>10181</v>
      </c>
      <c r="C5301" t="s">
        <v>8607</v>
      </c>
      <c r="D5301" t="s">
        <v>8612</v>
      </c>
      <c r="E5301">
        <v>58661.42</v>
      </c>
      <c r="G5301" s="35"/>
      <c r="H5301" s="36">
        <f t="shared" si="248"/>
        <v>36956.694600000003</v>
      </c>
      <c r="I5301" s="37">
        <f t="shared" si="246"/>
        <v>36956.694600000003</v>
      </c>
      <c r="J5301" s="4"/>
      <c r="K5301" s="38">
        <f t="shared" si="247"/>
        <v>0</v>
      </c>
    </row>
    <row r="5302" spans="1:11">
      <c r="A5302" t="s">
        <v>3106</v>
      </c>
      <c r="B5302" t="s">
        <v>10181</v>
      </c>
      <c r="C5302" t="s">
        <v>8607</v>
      </c>
      <c r="D5302" t="s">
        <v>8613</v>
      </c>
      <c r="E5302">
        <v>81373.009999999995</v>
      </c>
      <c r="G5302" s="35"/>
      <c r="H5302" s="36">
        <f t="shared" si="248"/>
        <v>51264.996299999999</v>
      </c>
      <c r="I5302" s="37">
        <f t="shared" si="246"/>
        <v>51264.996299999999</v>
      </c>
      <c r="J5302" s="4"/>
      <c r="K5302" s="38">
        <f t="shared" si="247"/>
        <v>0</v>
      </c>
    </row>
    <row r="5303" spans="1:11">
      <c r="A5303" t="s">
        <v>4131</v>
      </c>
      <c r="B5303" t="s">
        <v>10178</v>
      </c>
      <c r="C5303" t="s">
        <v>5699</v>
      </c>
      <c r="D5303" t="s">
        <v>9587</v>
      </c>
      <c r="E5303">
        <v>2230.1</v>
      </c>
      <c r="G5303" s="35"/>
      <c r="H5303" s="36">
        <f t="shared" si="248"/>
        <v>1404.963</v>
      </c>
      <c r="I5303" s="37">
        <f t="shared" si="246"/>
        <v>1404.963</v>
      </c>
      <c r="J5303" s="4"/>
      <c r="K5303" s="38">
        <f t="shared" si="247"/>
        <v>0</v>
      </c>
    </row>
    <row r="5304" spans="1:11">
      <c r="A5304" t="s">
        <v>143</v>
      </c>
      <c r="B5304" t="s">
        <v>10178</v>
      </c>
      <c r="C5304" t="s">
        <v>5699</v>
      </c>
      <c r="D5304" t="s">
        <v>5700</v>
      </c>
      <c r="E5304">
        <v>2230.1</v>
      </c>
      <c r="G5304" s="35"/>
      <c r="H5304" s="36">
        <f t="shared" si="248"/>
        <v>1404.963</v>
      </c>
      <c r="I5304" s="37">
        <f t="shared" si="246"/>
        <v>1404.963</v>
      </c>
      <c r="J5304" s="4"/>
      <c r="K5304" s="38">
        <f t="shared" si="247"/>
        <v>0</v>
      </c>
    </row>
    <row r="5305" spans="1:11">
      <c r="A5305" t="s">
        <v>4132</v>
      </c>
      <c r="B5305" t="s">
        <v>10178</v>
      </c>
      <c r="C5305" t="s">
        <v>7056</v>
      </c>
      <c r="D5305" t="s">
        <v>9588</v>
      </c>
      <c r="E5305">
        <v>2027.17</v>
      </c>
      <c r="G5305" s="35"/>
      <c r="H5305" s="36">
        <f t="shared" si="248"/>
        <v>1277.1171000000002</v>
      </c>
      <c r="I5305" s="37">
        <f t="shared" si="246"/>
        <v>1277.1171000000002</v>
      </c>
      <c r="J5305" s="4"/>
      <c r="K5305" s="38">
        <f t="shared" si="247"/>
        <v>0</v>
      </c>
    </row>
    <row r="5306" spans="1:11">
      <c r="A5306" t="s">
        <v>4133</v>
      </c>
      <c r="B5306" t="s">
        <v>10178</v>
      </c>
      <c r="C5306" t="s">
        <v>7056</v>
      </c>
      <c r="D5306" t="s">
        <v>9589</v>
      </c>
      <c r="E5306">
        <v>2297.64</v>
      </c>
      <c r="G5306" s="35"/>
      <c r="H5306" s="36">
        <f t="shared" si="248"/>
        <v>1447.5131999999999</v>
      </c>
      <c r="I5306" s="37">
        <f t="shared" si="246"/>
        <v>1447.5131999999999</v>
      </c>
      <c r="J5306" s="4"/>
      <c r="K5306" s="38">
        <f t="shared" si="247"/>
        <v>0</v>
      </c>
    </row>
    <row r="5307" spans="1:11">
      <c r="A5307" t="s">
        <v>328</v>
      </c>
      <c r="B5307" t="s">
        <v>10178</v>
      </c>
      <c r="C5307" t="s">
        <v>5903</v>
      </c>
      <c r="D5307" t="s">
        <v>5904</v>
      </c>
      <c r="E5307">
        <v>32017.4</v>
      </c>
      <c r="G5307" s="35"/>
      <c r="H5307" s="36">
        <f t="shared" si="248"/>
        <v>20170.962</v>
      </c>
      <c r="I5307" s="37">
        <f t="shared" si="246"/>
        <v>20170.962</v>
      </c>
      <c r="J5307" s="4"/>
      <c r="K5307" s="38">
        <f t="shared" si="247"/>
        <v>0</v>
      </c>
    </row>
    <row r="5308" spans="1:11">
      <c r="A5308" t="s">
        <v>3995</v>
      </c>
      <c r="B5308" t="s">
        <v>10178</v>
      </c>
      <c r="C5308" t="s">
        <v>5903</v>
      </c>
      <c r="D5308" t="s">
        <v>8830</v>
      </c>
      <c r="E5308">
        <v>42711.41</v>
      </c>
      <c r="G5308" s="35"/>
      <c r="H5308" s="36">
        <f t="shared" si="248"/>
        <v>26908.188300000002</v>
      </c>
      <c r="I5308" s="37">
        <f t="shared" si="246"/>
        <v>26908.188300000002</v>
      </c>
      <c r="J5308" s="4"/>
      <c r="K5308" s="38">
        <f t="shared" si="247"/>
        <v>0</v>
      </c>
    </row>
    <row r="5309" spans="1:11">
      <c r="A5309" t="s">
        <v>1553</v>
      </c>
      <c r="B5309" t="s">
        <v>10178</v>
      </c>
      <c r="C5309" t="s">
        <v>5903</v>
      </c>
      <c r="D5309" t="s">
        <v>7137</v>
      </c>
      <c r="E5309">
        <v>13613.64</v>
      </c>
      <c r="G5309" s="35"/>
      <c r="H5309" s="36">
        <f t="shared" si="248"/>
        <v>8576.5931999999993</v>
      </c>
      <c r="I5309" s="37">
        <f t="shared" si="246"/>
        <v>8576.5931999999993</v>
      </c>
      <c r="J5309" s="4"/>
      <c r="K5309" s="38">
        <f t="shared" si="247"/>
        <v>0</v>
      </c>
    </row>
    <row r="5310" spans="1:11">
      <c r="A5310" t="s">
        <v>1554</v>
      </c>
      <c r="B5310" t="s">
        <v>10178</v>
      </c>
      <c r="C5310" t="s">
        <v>5903</v>
      </c>
      <c r="D5310" t="s">
        <v>7138</v>
      </c>
      <c r="E5310">
        <v>4364.1099999999997</v>
      </c>
      <c r="G5310" s="35"/>
      <c r="H5310" s="36">
        <f t="shared" si="248"/>
        <v>2749.3892999999998</v>
      </c>
      <c r="I5310" s="37">
        <f t="shared" si="246"/>
        <v>2749.3892999999998</v>
      </c>
      <c r="J5310" s="4"/>
      <c r="K5310" s="38">
        <f t="shared" si="247"/>
        <v>0</v>
      </c>
    </row>
    <row r="5311" spans="1:11">
      <c r="A5311" t="s">
        <v>3946</v>
      </c>
      <c r="B5311" t="s">
        <v>10178</v>
      </c>
      <c r="C5311" t="s">
        <v>9420</v>
      </c>
      <c r="D5311" t="s">
        <v>9421</v>
      </c>
      <c r="E5311">
        <v>2905.79</v>
      </c>
      <c r="G5311" s="35"/>
      <c r="H5311" s="36">
        <f t="shared" si="248"/>
        <v>1830.6477</v>
      </c>
      <c r="I5311" s="37">
        <f t="shared" si="246"/>
        <v>1830.6477</v>
      </c>
      <c r="J5311" s="4"/>
      <c r="K5311" s="38">
        <f t="shared" si="247"/>
        <v>0</v>
      </c>
    </row>
    <row r="5312" spans="1:11">
      <c r="A5312" t="s">
        <v>3947</v>
      </c>
      <c r="B5312" t="s">
        <v>10178</v>
      </c>
      <c r="C5312" t="s">
        <v>9420</v>
      </c>
      <c r="D5312" t="s">
        <v>9422</v>
      </c>
      <c r="E5312">
        <v>3306.6</v>
      </c>
      <c r="G5312" s="35"/>
      <c r="H5312" s="36">
        <f t="shared" si="248"/>
        <v>2083.1579999999999</v>
      </c>
      <c r="I5312" s="37">
        <f t="shared" si="246"/>
        <v>2083.1579999999999</v>
      </c>
      <c r="J5312" s="4"/>
      <c r="K5312" s="38">
        <f t="shared" si="247"/>
        <v>0</v>
      </c>
    </row>
    <row r="5313" spans="1:11">
      <c r="A5313" t="s">
        <v>3948</v>
      </c>
      <c r="B5313" t="s">
        <v>10178</v>
      </c>
      <c r="C5313" t="s">
        <v>9420</v>
      </c>
      <c r="D5313" t="s">
        <v>9423</v>
      </c>
      <c r="E5313">
        <v>7937.2</v>
      </c>
      <c r="G5313" s="35"/>
      <c r="H5313" s="36">
        <f t="shared" si="248"/>
        <v>5000.4359999999997</v>
      </c>
      <c r="I5313" s="37">
        <f t="shared" si="246"/>
        <v>5000.4359999999997</v>
      </c>
      <c r="J5313" s="4"/>
      <c r="K5313" s="38">
        <f t="shared" si="247"/>
        <v>0</v>
      </c>
    </row>
    <row r="5314" spans="1:11">
      <c r="A5314" t="s">
        <v>736</v>
      </c>
      <c r="B5314" t="s">
        <v>10178</v>
      </c>
      <c r="C5314" t="s">
        <v>6388</v>
      </c>
      <c r="D5314" t="s">
        <v>6389</v>
      </c>
      <c r="E5314">
        <v>3243.49</v>
      </c>
      <c r="G5314" s="35"/>
      <c r="H5314" s="36">
        <f t="shared" si="248"/>
        <v>2043.3987</v>
      </c>
      <c r="I5314" s="37">
        <f t="shared" si="246"/>
        <v>2043.3987</v>
      </c>
      <c r="J5314" s="4"/>
      <c r="K5314" s="38">
        <f t="shared" si="247"/>
        <v>0</v>
      </c>
    </row>
    <row r="5315" spans="1:11">
      <c r="A5315" t="s">
        <v>737</v>
      </c>
      <c r="B5315" t="s">
        <v>10178</v>
      </c>
      <c r="C5315" t="s">
        <v>6388</v>
      </c>
      <c r="D5315" t="s">
        <v>6390</v>
      </c>
      <c r="E5315">
        <v>4460.05</v>
      </c>
      <c r="G5315" s="35"/>
      <c r="H5315" s="36">
        <f t="shared" si="248"/>
        <v>2809.8315000000002</v>
      </c>
      <c r="I5315" s="37">
        <f t="shared" si="246"/>
        <v>2809.8315000000002</v>
      </c>
      <c r="J5315" s="4"/>
      <c r="K5315" s="38">
        <f t="shared" si="247"/>
        <v>0</v>
      </c>
    </row>
    <row r="5316" spans="1:11">
      <c r="A5316" t="s">
        <v>1348</v>
      </c>
      <c r="B5316" t="s">
        <v>10178</v>
      </c>
      <c r="C5316" t="s">
        <v>6912</v>
      </c>
      <c r="D5316" t="s">
        <v>6927</v>
      </c>
      <c r="E5316">
        <v>7145.2</v>
      </c>
      <c r="G5316" s="35"/>
      <c r="H5316" s="36">
        <f t="shared" si="248"/>
        <v>4501.4759999999997</v>
      </c>
      <c r="I5316" s="37">
        <f t="shared" si="246"/>
        <v>4501.4759999999997</v>
      </c>
      <c r="J5316" s="4"/>
      <c r="K5316" s="38">
        <f t="shared" si="247"/>
        <v>0</v>
      </c>
    </row>
    <row r="5317" spans="1:11">
      <c r="A5317" t="s">
        <v>1349</v>
      </c>
      <c r="B5317" t="s">
        <v>10178</v>
      </c>
      <c r="C5317" t="s">
        <v>6912</v>
      </c>
      <c r="D5317" t="s">
        <v>6928</v>
      </c>
      <c r="E5317">
        <v>1013.13</v>
      </c>
      <c r="G5317" s="35"/>
      <c r="H5317" s="36">
        <f t="shared" si="248"/>
        <v>638.27189999999996</v>
      </c>
      <c r="I5317" s="37">
        <f t="shared" si="246"/>
        <v>638.27189999999996</v>
      </c>
      <c r="J5317" s="4"/>
      <c r="K5317" s="38">
        <f t="shared" si="247"/>
        <v>0</v>
      </c>
    </row>
    <row r="5318" spans="1:11">
      <c r="A5318" t="s">
        <v>1350</v>
      </c>
      <c r="B5318" t="s">
        <v>10178</v>
      </c>
      <c r="C5318" t="s">
        <v>6912</v>
      </c>
      <c r="D5318" t="s">
        <v>6929</v>
      </c>
      <c r="E5318">
        <v>236.41</v>
      </c>
      <c r="G5318" s="35"/>
      <c r="H5318" s="36">
        <f t="shared" si="248"/>
        <v>148.9383</v>
      </c>
      <c r="I5318" s="37">
        <f t="shared" ref="I5318:I5381" si="249">H5318*$H$4</f>
        <v>148.9383</v>
      </c>
      <c r="J5318" s="4"/>
      <c r="K5318" s="38">
        <f t="shared" ref="K5318:K5381" si="250">J5318*I5318</f>
        <v>0</v>
      </c>
    </row>
    <row r="5319" spans="1:11">
      <c r="A5319" t="s">
        <v>1351</v>
      </c>
      <c r="B5319" t="s">
        <v>10178</v>
      </c>
      <c r="C5319" t="s">
        <v>6912</v>
      </c>
      <c r="D5319" t="s">
        <v>6930</v>
      </c>
      <c r="E5319">
        <v>236.41</v>
      </c>
      <c r="G5319" s="35"/>
      <c r="H5319" s="36">
        <f t="shared" ref="H5319:H5382" si="251">+E5319*$H$1*(1-G5319)</f>
        <v>148.9383</v>
      </c>
      <c r="I5319" s="37">
        <f t="shared" si="249"/>
        <v>148.9383</v>
      </c>
      <c r="J5319" s="4"/>
      <c r="K5319" s="38">
        <f t="shared" si="250"/>
        <v>0</v>
      </c>
    </row>
    <row r="5320" spans="1:11">
      <c r="A5320" t="s">
        <v>4128</v>
      </c>
      <c r="B5320" t="s">
        <v>10178</v>
      </c>
      <c r="C5320" t="s">
        <v>6919</v>
      </c>
      <c r="D5320" t="s">
        <v>9584</v>
      </c>
      <c r="E5320">
        <v>7433.31</v>
      </c>
      <c r="G5320" s="35"/>
      <c r="H5320" s="36">
        <f t="shared" si="251"/>
        <v>4682.9853000000003</v>
      </c>
      <c r="I5320" s="37">
        <f t="shared" si="249"/>
        <v>4682.9853000000003</v>
      </c>
      <c r="J5320" s="4"/>
      <c r="K5320" s="38">
        <f t="shared" si="250"/>
        <v>0</v>
      </c>
    </row>
    <row r="5321" spans="1:11">
      <c r="A5321" t="s">
        <v>4129</v>
      </c>
      <c r="B5321" t="s">
        <v>10178</v>
      </c>
      <c r="C5321" t="s">
        <v>6919</v>
      </c>
      <c r="D5321" t="s">
        <v>9585</v>
      </c>
      <c r="E5321">
        <v>9766.9599999999991</v>
      </c>
      <c r="G5321" s="35"/>
      <c r="H5321" s="36">
        <f t="shared" si="251"/>
        <v>6153.1847999999991</v>
      </c>
      <c r="I5321" s="37">
        <f t="shared" si="249"/>
        <v>6153.1847999999991</v>
      </c>
      <c r="J5321" s="4"/>
      <c r="K5321" s="38">
        <f t="shared" si="250"/>
        <v>0</v>
      </c>
    </row>
    <row r="5322" spans="1:11">
      <c r="A5322" t="s">
        <v>4130</v>
      </c>
      <c r="B5322" t="s">
        <v>10178</v>
      </c>
      <c r="C5322" t="s">
        <v>6919</v>
      </c>
      <c r="D5322" t="s">
        <v>9586</v>
      </c>
      <c r="E5322">
        <v>9792.31</v>
      </c>
      <c r="G5322" s="35"/>
      <c r="H5322" s="36">
        <f t="shared" si="251"/>
        <v>6169.1552999999994</v>
      </c>
      <c r="I5322" s="37">
        <f t="shared" si="249"/>
        <v>6169.1552999999994</v>
      </c>
      <c r="J5322" s="4"/>
      <c r="K5322" s="38">
        <f t="shared" si="250"/>
        <v>0</v>
      </c>
    </row>
    <row r="5323" spans="1:11">
      <c r="A5323" t="s">
        <v>1341</v>
      </c>
      <c r="B5323" t="s">
        <v>10178</v>
      </c>
      <c r="C5323" t="s">
        <v>6919</v>
      </c>
      <c r="D5323" t="s">
        <v>5700</v>
      </c>
      <c r="E5323">
        <v>10541.83</v>
      </c>
      <c r="G5323" s="35"/>
      <c r="H5323" s="36">
        <f t="shared" si="251"/>
        <v>6641.3528999999999</v>
      </c>
      <c r="I5323" s="37">
        <f t="shared" si="249"/>
        <v>6641.3528999999999</v>
      </c>
      <c r="J5323" s="4"/>
      <c r="K5323" s="38">
        <f t="shared" si="250"/>
        <v>0</v>
      </c>
    </row>
    <row r="5324" spans="1:11">
      <c r="A5324" t="s">
        <v>1342</v>
      </c>
      <c r="B5324" t="s">
        <v>10178</v>
      </c>
      <c r="C5324" t="s">
        <v>6919</v>
      </c>
      <c r="D5324" t="s">
        <v>6920</v>
      </c>
      <c r="E5324">
        <v>8109.24</v>
      </c>
      <c r="G5324" s="35"/>
      <c r="H5324" s="36">
        <f t="shared" si="251"/>
        <v>5108.8212000000003</v>
      </c>
      <c r="I5324" s="37">
        <f t="shared" si="249"/>
        <v>5108.8212000000003</v>
      </c>
      <c r="J5324" s="4"/>
      <c r="K5324" s="38">
        <f t="shared" si="250"/>
        <v>0</v>
      </c>
    </row>
    <row r="5325" spans="1:11">
      <c r="A5325" t="s">
        <v>1343</v>
      </c>
      <c r="B5325" t="s">
        <v>10178</v>
      </c>
      <c r="C5325" t="s">
        <v>6919</v>
      </c>
      <c r="D5325" t="s">
        <v>6921</v>
      </c>
      <c r="E5325">
        <v>8041.43</v>
      </c>
      <c r="G5325" s="35"/>
      <c r="H5325" s="36">
        <f t="shared" si="251"/>
        <v>5066.1009000000004</v>
      </c>
      <c r="I5325" s="37">
        <f t="shared" si="249"/>
        <v>5066.1009000000004</v>
      </c>
      <c r="J5325" s="4"/>
      <c r="K5325" s="38">
        <f t="shared" si="250"/>
        <v>0</v>
      </c>
    </row>
    <row r="5326" spans="1:11">
      <c r="A5326" t="s">
        <v>1399</v>
      </c>
      <c r="B5326" t="s">
        <v>10178</v>
      </c>
      <c r="C5326" t="s">
        <v>6974</v>
      </c>
      <c r="D5326" t="s">
        <v>6975</v>
      </c>
      <c r="E5326">
        <v>11217.74</v>
      </c>
      <c r="G5326" s="35"/>
      <c r="H5326" s="36">
        <f t="shared" si="251"/>
        <v>7067.1761999999999</v>
      </c>
      <c r="I5326" s="37">
        <f t="shared" si="249"/>
        <v>7067.1761999999999</v>
      </c>
      <c r="J5326" s="4"/>
      <c r="K5326" s="38">
        <f t="shared" si="250"/>
        <v>0</v>
      </c>
    </row>
    <row r="5327" spans="1:11">
      <c r="A5327" t="s">
        <v>1400</v>
      </c>
      <c r="B5327" t="s">
        <v>10178</v>
      </c>
      <c r="C5327" t="s">
        <v>6974</v>
      </c>
      <c r="D5327" t="s">
        <v>6976</v>
      </c>
      <c r="E5327">
        <v>8482.0400000000009</v>
      </c>
      <c r="G5327" s="35"/>
      <c r="H5327" s="36">
        <f t="shared" si="251"/>
        <v>5343.6852000000008</v>
      </c>
      <c r="I5327" s="37">
        <f t="shared" si="249"/>
        <v>5343.6852000000008</v>
      </c>
      <c r="J5327" s="4"/>
      <c r="K5327" s="38">
        <f t="shared" si="250"/>
        <v>0</v>
      </c>
    </row>
    <row r="5328" spans="1:11">
      <c r="A5328" t="s">
        <v>1401</v>
      </c>
      <c r="B5328" t="s">
        <v>10178</v>
      </c>
      <c r="C5328" t="s">
        <v>6974</v>
      </c>
      <c r="D5328" t="s">
        <v>6977</v>
      </c>
      <c r="E5328">
        <v>13515.14</v>
      </c>
      <c r="G5328" s="35"/>
      <c r="H5328" s="36">
        <f t="shared" si="251"/>
        <v>8514.5381999999991</v>
      </c>
      <c r="I5328" s="37">
        <f t="shared" si="249"/>
        <v>8514.5381999999991</v>
      </c>
      <c r="J5328" s="4"/>
      <c r="K5328" s="38">
        <f t="shared" si="250"/>
        <v>0</v>
      </c>
    </row>
    <row r="5329" spans="1:11">
      <c r="A5329" t="s">
        <v>1402</v>
      </c>
      <c r="B5329" t="s">
        <v>10178</v>
      </c>
      <c r="C5329" t="s">
        <v>6974</v>
      </c>
      <c r="D5329" t="s">
        <v>6978</v>
      </c>
      <c r="E5329">
        <v>10000.98</v>
      </c>
      <c r="G5329" s="35"/>
      <c r="H5329" s="36">
        <f t="shared" si="251"/>
        <v>6300.6174000000001</v>
      </c>
      <c r="I5329" s="37">
        <f t="shared" si="249"/>
        <v>6300.6174000000001</v>
      </c>
      <c r="J5329" s="4"/>
      <c r="K5329" s="38">
        <f t="shared" si="250"/>
        <v>0</v>
      </c>
    </row>
    <row r="5330" spans="1:11">
      <c r="A5330" t="s">
        <v>4109</v>
      </c>
      <c r="B5330" t="s">
        <v>10178</v>
      </c>
      <c r="C5330" t="s">
        <v>6974</v>
      </c>
      <c r="D5330" t="s">
        <v>9568</v>
      </c>
      <c r="E5330">
        <v>1112.6400000000001</v>
      </c>
      <c r="G5330" s="35"/>
      <c r="H5330" s="36">
        <f t="shared" si="251"/>
        <v>700.96320000000003</v>
      </c>
      <c r="I5330" s="37">
        <f t="shared" si="249"/>
        <v>700.96320000000003</v>
      </c>
      <c r="J5330" s="4"/>
      <c r="K5330" s="38">
        <f t="shared" si="250"/>
        <v>0</v>
      </c>
    </row>
    <row r="5331" spans="1:11">
      <c r="A5331" t="s">
        <v>4110</v>
      </c>
      <c r="B5331" t="s">
        <v>10178</v>
      </c>
      <c r="C5331" t="s">
        <v>6974</v>
      </c>
      <c r="D5331" t="s">
        <v>9569</v>
      </c>
      <c r="E5331">
        <v>1129.08</v>
      </c>
      <c r="G5331" s="35"/>
      <c r="H5331" s="36">
        <f t="shared" si="251"/>
        <v>711.32039999999995</v>
      </c>
      <c r="I5331" s="37">
        <f t="shared" si="249"/>
        <v>711.32039999999995</v>
      </c>
      <c r="J5331" s="4"/>
      <c r="K5331" s="38">
        <f t="shared" si="250"/>
        <v>0</v>
      </c>
    </row>
    <row r="5332" spans="1:11">
      <c r="A5332" t="s">
        <v>4111</v>
      </c>
      <c r="B5332" t="s">
        <v>10178</v>
      </c>
      <c r="C5332" t="s">
        <v>6974</v>
      </c>
      <c r="D5332" t="s">
        <v>9570</v>
      </c>
      <c r="E5332">
        <v>806.25</v>
      </c>
      <c r="G5332" s="35"/>
      <c r="H5332" s="36">
        <f t="shared" si="251"/>
        <v>507.9375</v>
      </c>
      <c r="I5332" s="37">
        <f t="shared" si="249"/>
        <v>507.9375</v>
      </c>
      <c r="J5332" s="4"/>
      <c r="K5332" s="38">
        <f t="shared" si="250"/>
        <v>0</v>
      </c>
    </row>
    <row r="5333" spans="1:11">
      <c r="A5333" t="s">
        <v>4112</v>
      </c>
      <c r="B5333" t="s">
        <v>10178</v>
      </c>
      <c r="C5333" t="s">
        <v>6974</v>
      </c>
      <c r="D5333" t="s">
        <v>9571</v>
      </c>
      <c r="E5333">
        <v>227.97</v>
      </c>
      <c r="G5333" s="35"/>
      <c r="H5333" s="36">
        <f t="shared" si="251"/>
        <v>143.62110000000001</v>
      </c>
      <c r="I5333" s="37">
        <f t="shared" si="249"/>
        <v>143.62110000000001</v>
      </c>
      <c r="J5333" s="4"/>
      <c r="K5333" s="38">
        <f t="shared" si="250"/>
        <v>0</v>
      </c>
    </row>
    <row r="5334" spans="1:11">
      <c r="A5334" t="s">
        <v>4113</v>
      </c>
      <c r="B5334" t="s">
        <v>10178</v>
      </c>
      <c r="C5334" t="s">
        <v>6974</v>
      </c>
      <c r="D5334" t="s">
        <v>9572</v>
      </c>
      <c r="E5334">
        <v>806.25</v>
      </c>
      <c r="G5334" s="35"/>
      <c r="H5334" s="36">
        <f t="shared" si="251"/>
        <v>507.9375</v>
      </c>
      <c r="I5334" s="37">
        <f t="shared" si="249"/>
        <v>507.9375</v>
      </c>
      <c r="J5334" s="4"/>
      <c r="K5334" s="38">
        <f t="shared" si="250"/>
        <v>0</v>
      </c>
    </row>
    <row r="5335" spans="1:11">
      <c r="A5335" t="s">
        <v>4114</v>
      </c>
      <c r="B5335" t="s">
        <v>10178</v>
      </c>
      <c r="C5335" t="s">
        <v>6974</v>
      </c>
      <c r="D5335" t="s">
        <v>9573</v>
      </c>
      <c r="E5335">
        <v>280.12</v>
      </c>
      <c r="G5335" s="35"/>
      <c r="H5335" s="36">
        <f t="shared" si="251"/>
        <v>176.47560000000001</v>
      </c>
      <c r="I5335" s="37">
        <f t="shared" si="249"/>
        <v>176.47560000000001</v>
      </c>
      <c r="J5335" s="4"/>
      <c r="K5335" s="38">
        <f t="shared" si="250"/>
        <v>0</v>
      </c>
    </row>
    <row r="5336" spans="1:11">
      <c r="A5336" t="s">
        <v>1550</v>
      </c>
      <c r="B5336" t="s">
        <v>10178</v>
      </c>
      <c r="C5336" t="s">
        <v>7133</v>
      </c>
      <c r="D5336" t="s">
        <v>7134</v>
      </c>
      <c r="E5336">
        <v>93800.89</v>
      </c>
      <c r="G5336" s="35"/>
      <c r="H5336" s="36">
        <f t="shared" si="251"/>
        <v>59094.560700000002</v>
      </c>
      <c r="I5336" s="37">
        <f t="shared" si="249"/>
        <v>59094.560700000002</v>
      </c>
      <c r="J5336" s="4"/>
      <c r="K5336" s="38">
        <f t="shared" si="250"/>
        <v>0</v>
      </c>
    </row>
    <row r="5337" spans="1:11">
      <c r="A5337" t="s">
        <v>1551</v>
      </c>
      <c r="B5337" t="s">
        <v>10178</v>
      </c>
      <c r="C5337" t="s">
        <v>7133</v>
      </c>
      <c r="D5337" t="s">
        <v>7135</v>
      </c>
      <c r="E5337">
        <v>30731.22</v>
      </c>
      <c r="G5337" s="35"/>
      <c r="H5337" s="36">
        <f t="shared" si="251"/>
        <v>19360.668600000001</v>
      </c>
      <c r="I5337" s="37">
        <f t="shared" si="249"/>
        <v>19360.668600000001</v>
      </c>
      <c r="J5337" s="4"/>
      <c r="K5337" s="38">
        <f t="shared" si="250"/>
        <v>0</v>
      </c>
    </row>
    <row r="5338" spans="1:11">
      <c r="A5338" t="s">
        <v>1552</v>
      </c>
      <c r="B5338" t="s">
        <v>10178</v>
      </c>
      <c r="C5338" t="s">
        <v>7133</v>
      </c>
      <c r="D5338" t="s">
        <v>7136</v>
      </c>
      <c r="E5338">
        <v>45582.52</v>
      </c>
      <c r="G5338" s="35"/>
      <c r="H5338" s="36">
        <f t="shared" si="251"/>
        <v>28716.987599999997</v>
      </c>
      <c r="I5338" s="37">
        <f t="shared" si="249"/>
        <v>28716.987599999997</v>
      </c>
      <c r="J5338" s="4"/>
      <c r="K5338" s="38">
        <f t="shared" si="250"/>
        <v>0</v>
      </c>
    </row>
    <row r="5339" spans="1:11">
      <c r="A5339" t="s">
        <v>1485</v>
      </c>
      <c r="B5339" t="s">
        <v>10178</v>
      </c>
      <c r="C5339" t="s">
        <v>7076</v>
      </c>
      <c r="D5339" t="s">
        <v>7077</v>
      </c>
      <c r="E5339">
        <v>27408.560000000001</v>
      </c>
      <c r="G5339" s="35"/>
      <c r="H5339" s="36">
        <f t="shared" si="251"/>
        <v>17267.392800000001</v>
      </c>
      <c r="I5339" s="37">
        <f t="shared" si="249"/>
        <v>17267.392800000001</v>
      </c>
      <c r="J5339" s="4"/>
      <c r="K5339" s="38">
        <f t="shared" si="250"/>
        <v>0</v>
      </c>
    </row>
    <row r="5340" spans="1:11">
      <c r="A5340" t="s">
        <v>1486</v>
      </c>
      <c r="B5340" t="s">
        <v>10178</v>
      </c>
      <c r="C5340" t="s">
        <v>7076</v>
      </c>
      <c r="D5340" t="s">
        <v>7078</v>
      </c>
      <c r="E5340">
        <v>35301.74</v>
      </c>
      <c r="G5340" s="35"/>
      <c r="H5340" s="36">
        <f t="shared" si="251"/>
        <v>22240.0962</v>
      </c>
      <c r="I5340" s="37">
        <f t="shared" si="249"/>
        <v>22240.0962</v>
      </c>
      <c r="J5340" s="4"/>
      <c r="K5340" s="38">
        <f t="shared" si="250"/>
        <v>0</v>
      </c>
    </row>
    <row r="5341" spans="1:11">
      <c r="A5341" t="s">
        <v>1487</v>
      </c>
      <c r="B5341" t="s">
        <v>10178</v>
      </c>
      <c r="C5341" t="s">
        <v>7076</v>
      </c>
      <c r="D5341" t="s">
        <v>7079</v>
      </c>
      <c r="E5341">
        <v>46264.9</v>
      </c>
      <c r="G5341" s="35"/>
      <c r="H5341" s="36">
        <f t="shared" si="251"/>
        <v>29146.887000000002</v>
      </c>
      <c r="I5341" s="37">
        <f t="shared" si="249"/>
        <v>29146.887000000002</v>
      </c>
      <c r="J5341" s="4"/>
      <c r="K5341" s="38">
        <f t="shared" si="250"/>
        <v>0</v>
      </c>
    </row>
    <row r="5342" spans="1:11">
      <c r="A5342" t="s">
        <v>1488</v>
      </c>
      <c r="B5342" t="s">
        <v>10178</v>
      </c>
      <c r="C5342" t="s">
        <v>7076</v>
      </c>
      <c r="D5342" t="s">
        <v>7080</v>
      </c>
      <c r="E5342">
        <v>26311.73</v>
      </c>
      <c r="G5342" s="35"/>
      <c r="H5342" s="36">
        <f t="shared" si="251"/>
        <v>16576.389899999998</v>
      </c>
      <c r="I5342" s="37">
        <f t="shared" si="249"/>
        <v>16576.389899999998</v>
      </c>
      <c r="J5342" s="4"/>
      <c r="K5342" s="38">
        <f t="shared" si="250"/>
        <v>0</v>
      </c>
    </row>
    <row r="5343" spans="1:11">
      <c r="A5343" t="s">
        <v>1489</v>
      </c>
      <c r="B5343" t="s">
        <v>10178</v>
      </c>
      <c r="C5343" t="s">
        <v>7076</v>
      </c>
      <c r="D5343" t="s">
        <v>7081</v>
      </c>
      <c r="E5343">
        <v>33986.370000000003</v>
      </c>
      <c r="G5343" s="35"/>
      <c r="H5343" s="36">
        <f t="shared" si="251"/>
        <v>21411.413100000002</v>
      </c>
      <c r="I5343" s="37">
        <f t="shared" si="249"/>
        <v>21411.413100000002</v>
      </c>
      <c r="J5343" s="4"/>
      <c r="K5343" s="38">
        <f t="shared" si="250"/>
        <v>0</v>
      </c>
    </row>
    <row r="5344" spans="1:11">
      <c r="A5344" t="s">
        <v>1490</v>
      </c>
      <c r="B5344" t="s">
        <v>10178</v>
      </c>
      <c r="C5344" t="s">
        <v>7076</v>
      </c>
      <c r="D5344" t="s">
        <v>7082</v>
      </c>
      <c r="E5344">
        <v>39029.449999999997</v>
      </c>
      <c r="G5344" s="35"/>
      <c r="H5344" s="36">
        <f t="shared" si="251"/>
        <v>24588.553499999998</v>
      </c>
      <c r="I5344" s="37">
        <f t="shared" si="249"/>
        <v>24588.553499999998</v>
      </c>
      <c r="J5344" s="4"/>
      <c r="K5344" s="38">
        <f t="shared" si="250"/>
        <v>0</v>
      </c>
    </row>
    <row r="5345" spans="1:11">
      <c r="A5345" t="s">
        <v>1627</v>
      </c>
      <c r="B5345" t="s">
        <v>10178</v>
      </c>
      <c r="C5345" t="s">
        <v>7214</v>
      </c>
      <c r="D5345" t="s">
        <v>7215</v>
      </c>
      <c r="E5345">
        <v>12922.53</v>
      </c>
      <c r="G5345" s="35"/>
      <c r="H5345" s="36">
        <f t="shared" si="251"/>
        <v>8141.1939000000002</v>
      </c>
      <c r="I5345" s="37">
        <f t="shared" si="249"/>
        <v>8141.1939000000002</v>
      </c>
      <c r="J5345" s="4"/>
      <c r="K5345" s="38">
        <f t="shared" si="250"/>
        <v>0</v>
      </c>
    </row>
    <row r="5346" spans="1:11">
      <c r="A5346" t="s">
        <v>4069</v>
      </c>
      <c r="B5346" t="s">
        <v>10178</v>
      </c>
      <c r="C5346" t="s">
        <v>9527</v>
      </c>
      <c r="D5346" t="s">
        <v>9528</v>
      </c>
      <c r="E5346">
        <v>15050.85</v>
      </c>
      <c r="G5346" s="35"/>
      <c r="H5346" s="36">
        <f t="shared" si="251"/>
        <v>9482.0355</v>
      </c>
      <c r="I5346" s="37">
        <f t="shared" si="249"/>
        <v>9482.0355</v>
      </c>
      <c r="J5346" s="4"/>
      <c r="K5346" s="38">
        <f t="shared" si="250"/>
        <v>0</v>
      </c>
    </row>
    <row r="5347" spans="1:11">
      <c r="A5347" t="s">
        <v>4070</v>
      </c>
      <c r="B5347" t="s">
        <v>10178</v>
      </c>
      <c r="C5347" t="s">
        <v>9527</v>
      </c>
      <c r="D5347" t="s">
        <v>9529</v>
      </c>
      <c r="E5347">
        <v>2819.88</v>
      </c>
      <c r="G5347" s="35"/>
      <c r="H5347" s="36">
        <f t="shared" si="251"/>
        <v>1776.5244</v>
      </c>
      <c r="I5347" s="37">
        <f t="shared" si="249"/>
        <v>1776.5244</v>
      </c>
      <c r="J5347" s="4"/>
      <c r="K5347" s="38">
        <f t="shared" si="250"/>
        <v>0</v>
      </c>
    </row>
    <row r="5348" spans="1:11">
      <c r="A5348" t="s">
        <v>4071</v>
      </c>
      <c r="B5348" t="s">
        <v>10178</v>
      </c>
      <c r="C5348" t="s">
        <v>9527</v>
      </c>
      <c r="D5348" t="s">
        <v>9530</v>
      </c>
      <c r="E5348">
        <v>15344.84</v>
      </c>
      <c r="G5348" s="35"/>
      <c r="H5348" s="36">
        <f t="shared" si="251"/>
        <v>9667.2492000000002</v>
      </c>
      <c r="I5348" s="37">
        <f t="shared" si="249"/>
        <v>9667.2492000000002</v>
      </c>
      <c r="J5348" s="4"/>
      <c r="K5348" s="38">
        <f t="shared" si="250"/>
        <v>0</v>
      </c>
    </row>
    <row r="5349" spans="1:11">
      <c r="A5349" t="s">
        <v>4072</v>
      </c>
      <c r="B5349" t="s">
        <v>10178</v>
      </c>
      <c r="C5349" t="s">
        <v>9527</v>
      </c>
      <c r="D5349" t="s">
        <v>9531</v>
      </c>
      <c r="E5349">
        <v>18818.88</v>
      </c>
      <c r="G5349" s="35"/>
      <c r="H5349" s="36">
        <f t="shared" si="251"/>
        <v>11855.894400000001</v>
      </c>
      <c r="I5349" s="37">
        <f t="shared" si="249"/>
        <v>11855.894400000001</v>
      </c>
      <c r="J5349" s="4"/>
      <c r="K5349" s="38">
        <f t="shared" si="250"/>
        <v>0</v>
      </c>
    </row>
    <row r="5350" spans="1:11">
      <c r="A5350" t="s">
        <v>4073</v>
      </c>
      <c r="B5350" t="s">
        <v>10178</v>
      </c>
      <c r="C5350" t="s">
        <v>9527</v>
      </c>
      <c r="D5350" t="s">
        <v>9532</v>
      </c>
      <c r="E5350">
        <v>32389.52</v>
      </c>
      <c r="G5350" s="35"/>
      <c r="H5350" s="36">
        <f t="shared" si="251"/>
        <v>20405.3976</v>
      </c>
      <c r="I5350" s="37">
        <f t="shared" si="249"/>
        <v>20405.3976</v>
      </c>
      <c r="J5350" s="4"/>
      <c r="K5350" s="38">
        <f t="shared" si="250"/>
        <v>0</v>
      </c>
    </row>
    <row r="5351" spans="1:11">
      <c r="A5351" t="s">
        <v>4074</v>
      </c>
      <c r="B5351" t="s">
        <v>10178</v>
      </c>
      <c r="C5351" t="s">
        <v>9527</v>
      </c>
      <c r="D5351" t="s">
        <v>9533</v>
      </c>
      <c r="E5351">
        <v>15050.85</v>
      </c>
      <c r="G5351" s="35"/>
      <c r="H5351" s="36">
        <f t="shared" si="251"/>
        <v>9482.0355</v>
      </c>
      <c r="I5351" s="37">
        <f t="shared" si="249"/>
        <v>9482.0355</v>
      </c>
      <c r="J5351" s="4"/>
      <c r="K5351" s="38">
        <f t="shared" si="250"/>
        <v>0</v>
      </c>
    </row>
    <row r="5352" spans="1:11">
      <c r="A5352" t="s">
        <v>4075</v>
      </c>
      <c r="B5352" t="s">
        <v>10178</v>
      </c>
      <c r="C5352" t="s">
        <v>9527</v>
      </c>
      <c r="D5352" t="s">
        <v>9534</v>
      </c>
      <c r="E5352">
        <v>2819.88</v>
      </c>
      <c r="G5352" s="35"/>
      <c r="H5352" s="36">
        <f t="shared" si="251"/>
        <v>1776.5244</v>
      </c>
      <c r="I5352" s="37">
        <f t="shared" si="249"/>
        <v>1776.5244</v>
      </c>
      <c r="J5352" s="4"/>
      <c r="K5352" s="38">
        <f t="shared" si="250"/>
        <v>0</v>
      </c>
    </row>
    <row r="5353" spans="1:11">
      <c r="A5353" t="s">
        <v>4076</v>
      </c>
      <c r="B5353" t="s">
        <v>10178</v>
      </c>
      <c r="C5353" t="s">
        <v>9527</v>
      </c>
      <c r="D5353" t="s">
        <v>9535</v>
      </c>
      <c r="E5353">
        <v>24866.54</v>
      </c>
      <c r="G5353" s="35"/>
      <c r="H5353" s="36">
        <f t="shared" si="251"/>
        <v>15665.9202</v>
      </c>
      <c r="I5353" s="37">
        <f t="shared" si="249"/>
        <v>15665.9202</v>
      </c>
      <c r="J5353" s="4"/>
      <c r="K5353" s="38">
        <f t="shared" si="250"/>
        <v>0</v>
      </c>
    </row>
    <row r="5354" spans="1:11">
      <c r="A5354" t="s">
        <v>4077</v>
      </c>
      <c r="B5354" t="s">
        <v>10178</v>
      </c>
      <c r="C5354" t="s">
        <v>9527</v>
      </c>
      <c r="D5354" t="s">
        <v>9536</v>
      </c>
      <c r="E5354">
        <v>43424.79</v>
      </c>
      <c r="G5354" s="35"/>
      <c r="H5354" s="36">
        <f t="shared" si="251"/>
        <v>27357.617700000003</v>
      </c>
      <c r="I5354" s="37">
        <f t="shared" si="249"/>
        <v>27357.617700000003</v>
      </c>
      <c r="J5354" s="4"/>
      <c r="K5354" s="38">
        <f t="shared" si="250"/>
        <v>0</v>
      </c>
    </row>
    <row r="5355" spans="1:11">
      <c r="A5355" t="s">
        <v>4078</v>
      </c>
      <c r="B5355" t="s">
        <v>10178</v>
      </c>
      <c r="C5355" t="s">
        <v>9527</v>
      </c>
      <c r="D5355" t="s">
        <v>9537</v>
      </c>
      <c r="E5355">
        <v>48715.41</v>
      </c>
      <c r="G5355" s="35"/>
      <c r="H5355" s="36">
        <f t="shared" si="251"/>
        <v>30690.708300000002</v>
      </c>
      <c r="I5355" s="37">
        <f t="shared" si="249"/>
        <v>30690.708300000002</v>
      </c>
      <c r="J5355" s="4"/>
      <c r="K5355" s="38">
        <f t="shared" si="250"/>
        <v>0</v>
      </c>
    </row>
    <row r="5356" spans="1:11">
      <c r="A5356" t="s">
        <v>4079</v>
      </c>
      <c r="B5356" t="s">
        <v>10178</v>
      </c>
      <c r="C5356" t="s">
        <v>9527</v>
      </c>
      <c r="D5356" t="s">
        <v>9538</v>
      </c>
      <c r="E5356">
        <v>37374.35</v>
      </c>
      <c r="G5356" s="35"/>
      <c r="H5356" s="36">
        <f t="shared" si="251"/>
        <v>23545.840499999998</v>
      </c>
      <c r="I5356" s="37">
        <f t="shared" si="249"/>
        <v>23545.840499999998</v>
      </c>
      <c r="J5356" s="4"/>
      <c r="K5356" s="38">
        <f t="shared" si="250"/>
        <v>0</v>
      </c>
    </row>
    <row r="5357" spans="1:11">
      <c r="A5357" t="s">
        <v>4080</v>
      </c>
      <c r="B5357" t="s">
        <v>10178</v>
      </c>
      <c r="C5357" t="s">
        <v>9527</v>
      </c>
      <c r="D5357" t="s">
        <v>9539</v>
      </c>
      <c r="E5357">
        <v>47412.46</v>
      </c>
      <c r="G5357" s="35"/>
      <c r="H5357" s="36">
        <f t="shared" si="251"/>
        <v>29869.8498</v>
      </c>
      <c r="I5357" s="37">
        <f t="shared" si="249"/>
        <v>29869.8498</v>
      </c>
      <c r="J5357" s="4"/>
      <c r="K5357" s="38">
        <f t="shared" si="250"/>
        <v>0</v>
      </c>
    </row>
    <row r="5358" spans="1:11">
      <c r="A5358" t="s">
        <v>4081</v>
      </c>
      <c r="B5358" t="s">
        <v>10178</v>
      </c>
      <c r="C5358" t="s">
        <v>9527</v>
      </c>
      <c r="D5358" t="s">
        <v>9540</v>
      </c>
      <c r="E5358">
        <v>56026.1</v>
      </c>
      <c r="G5358" s="35"/>
      <c r="H5358" s="36">
        <f t="shared" si="251"/>
        <v>35296.442999999999</v>
      </c>
      <c r="I5358" s="37">
        <f t="shared" si="249"/>
        <v>35296.442999999999</v>
      </c>
      <c r="J5358" s="4"/>
      <c r="K5358" s="38">
        <f t="shared" si="250"/>
        <v>0</v>
      </c>
    </row>
    <row r="5359" spans="1:11">
      <c r="A5359" t="s">
        <v>4082</v>
      </c>
      <c r="B5359" t="s">
        <v>10178</v>
      </c>
      <c r="C5359" t="s">
        <v>9527</v>
      </c>
      <c r="D5359" t="s">
        <v>11977</v>
      </c>
      <c r="E5359">
        <v>23664.11</v>
      </c>
      <c r="G5359" s="35"/>
      <c r="H5359" s="36">
        <f t="shared" si="251"/>
        <v>14908.389300000001</v>
      </c>
      <c r="I5359" s="37">
        <f t="shared" si="249"/>
        <v>14908.389300000001</v>
      </c>
      <c r="J5359" s="4"/>
      <c r="K5359" s="38">
        <f t="shared" si="250"/>
        <v>0</v>
      </c>
    </row>
    <row r="5360" spans="1:11">
      <c r="A5360" t="s">
        <v>11978</v>
      </c>
      <c r="B5360" t="s">
        <v>10178</v>
      </c>
      <c r="C5360" t="s">
        <v>9527</v>
      </c>
      <c r="D5360" t="s">
        <v>11979</v>
      </c>
      <c r="E5360">
        <v>5525.04</v>
      </c>
      <c r="G5360" s="35"/>
      <c r="H5360" s="36">
        <f t="shared" si="251"/>
        <v>3480.7752</v>
      </c>
      <c r="I5360" s="37">
        <f t="shared" si="249"/>
        <v>3480.7752</v>
      </c>
      <c r="J5360" s="4"/>
      <c r="K5360" s="38">
        <f t="shared" si="250"/>
        <v>0</v>
      </c>
    </row>
    <row r="5361" spans="1:11">
      <c r="A5361" t="s">
        <v>4083</v>
      </c>
      <c r="B5361" t="s">
        <v>10178</v>
      </c>
      <c r="C5361" t="s">
        <v>9527</v>
      </c>
      <c r="D5361" t="s">
        <v>9541</v>
      </c>
      <c r="E5361">
        <v>3939.57</v>
      </c>
      <c r="G5361" s="35"/>
      <c r="H5361" s="36">
        <f t="shared" si="251"/>
        <v>2481.9291000000003</v>
      </c>
      <c r="I5361" s="37">
        <f t="shared" si="249"/>
        <v>2481.9291000000003</v>
      </c>
      <c r="J5361" s="4"/>
      <c r="K5361" s="38">
        <f t="shared" si="250"/>
        <v>0</v>
      </c>
    </row>
    <row r="5362" spans="1:11">
      <c r="A5362" t="s">
        <v>4084</v>
      </c>
      <c r="B5362" t="s">
        <v>10178</v>
      </c>
      <c r="C5362" t="s">
        <v>9527</v>
      </c>
      <c r="D5362" t="s">
        <v>9542</v>
      </c>
      <c r="E5362">
        <v>1702.83</v>
      </c>
      <c r="G5362" s="35"/>
      <c r="H5362" s="36">
        <f t="shared" si="251"/>
        <v>1072.7828999999999</v>
      </c>
      <c r="I5362" s="37">
        <f t="shared" si="249"/>
        <v>1072.7828999999999</v>
      </c>
      <c r="J5362" s="4"/>
      <c r="K5362" s="38">
        <f t="shared" si="250"/>
        <v>0</v>
      </c>
    </row>
    <row r="5363" spans="1:11">
      <c r="A5363" t="s">
        <v>4085</v>
      </c>
      <c r="B5363" t="s">
        <v>10178</v>
      </c>
      <c r="C5363" t="s">
        <v>9527</v>
      </c>
      <c r="D5363" t="s">
        <v>9543</v>
      </c>
      <c r="E5363">
        <v>2501.94</v>
      </c>
      <c r="G5363" s="35"/>
      <c r="H5363" s="36">
        <f t="shared" si="251"/>
        <v>1576.2222000000002</v>
      </c>
      <c r="I5363" s="37">
        <f t="shared" si="249"/>
        <v>1576.2222000000002</v>
      </c>
      <c r="J5363" s="4"/>
      <c r="K5363" s="38">
        <f t="shared" si="250"/>
        <v>0</v>
      </c>
    </row>
    <row r="5364" spans="1:11">
      <c r="A5364" t="s">
        <v>4086</v>
      </c>
      <c r="B5364" t="s">
        <v>10178</v>
      </c>
      <c r="C5364" t="s">
        <v>9527</v>
      </c>
      <c r="D5364" t="s">
        <v>9544</v>
      </c>
      <c r="E5364">
        <v>5003.5200000000004</v>
      </c>
      <c r="G5364" s="35"/>
      <c r="H5364" s="36">
        <f t="shared" si="251"/>
        <v>3152.2176000000004</v>
      </c>
      <c r="I5364" s="37">
        <f t="shared" si="249"/>
        <v>3152.2176000000004</v>
      </c>
      <c r="J5364" s="4"/>
      <c r="K5364" s="38">
        <f t="shared" si="250"/>
        <v>0</v>
      </c>
    </row>
    <row r="5365" spans="1:11">
      <c r="A5365" t="s">
        <v>4087</v>
      </c>
      <c r="B5365" t="s">
        <v>10178</v>
      </c>
      <c r="C5365" t="s">
        <v>9527</v>
      </c>
      <c r="D5365" t="s">
        <v>9545</v>
      </c>
      <c r="E5365">
        <v>3939.57</v>
      </c>
      <c r="G5365" s="35"/>
      <c r="H5365" s="36">
        <f t="shared" si="251"/>
        <v>2481.9291000000003</v>
      </c>
      <c r="I5365" s="37">
        <f t="shared" si="249"/>
        <v>2481.9291000000003</v>
      </c>
      <c r="J5365" s="4"/>
      <c r="K5365" s="38">
        <f t="shared" si="250"/>
        <v>0</v>
      </c>
    </row>
    <row r="5366" spans="1:11">
      <c r="A5366" t="s">
        <v>4088</v>
      </c>
      <c r="B5366" t="s">
        <v>10178</v>
      </c>
      <c r="C5366" t="s">
        <v>9527</v>
      </c>
      <c r="D5366" t="s">
        <v>9546</v>
      </c>
      <c r="E5366">
        <v>6201.55</v>
      </c>
      <c r="G5366" s="35"/>
      <c r="H5366" s="36">
        <f t="shared" si="251"/>
        <v>3906.9765000000002</v>
      </c>
      <c r="I5366" s="37">
        <f t="shared" si="249"/>
        <v>3906.9765000000002</v>
      </c>
      <c r="J5366" s="4"/>
      <c r="K5366" s="38">
        <f t="shared" si="250"/>
        <v>0</v>
      </c>
    </row>
    <row r="5367" spans="1:11">
      <c r="A5367" t="s">
        <v>1479</v>
      </c>
      <c r="B5367" t="s">
        <v>10178</v>
      </c>
      <c r="C5367" t="s">
        <v>7069</v>
      </c>
      <c r="D5367" t="s">
        <v>7070</v>
      </c>
      <c r="E5367">
        <v>5920.37</v>
      </c>
      <c r="G5367" s="35"/>
      <c r="H5367" s="36">
        <f t="shared" si="251"/>
        <v>3729.8330999999998</v>
      </c>
      <c r="I5367" s="37">
        <f t="shared" si="249"/>
        <v>3729.8330999999998</v>
      </c>
      <c r="J5367" s="4"/>
      <c r="K5367" s="38">
        <f t="shared" si="250"/>
        <v>0</v>
      </c>
    </row>
    <row r="5368" spans="1:11">
      <c r="A5368" t="s">
        <v>1480</v>
      </c>
      <c r="B5368" t="s">
        <v>10178</v>
      </c>
      <c r="C5368" t="s">
        <v>7069</v>
      </c>
      <c r="D5368" t="s">
        <v>7071</v>
      </c>
      <c r="E5368">
        <v>6138.98</v>
      </c>
      <c r="G5368" s="35"/>
      <c r="H5368" s="36">
        <f t="shared" si="251"/>
        <v>3867.5573999999997</v>
      </c>
      <c r="I5368" s="37">
        <f t="shared" si="249"/>
        <v>3867.5573999999997</v>
      </c>
      <c r="J5368" s="4"/>
      <c r="K5368" s="38">
        <f t="shared" si="250"/>
        <v>0</v>
      </c>
    </row>
    <row r="5369" spans="1:11">
      <c r="A5369" t="s">
        <v>1481</v>
      </c>
      <c r="B5369" t="s">
        <v>10178</v>
      </c>
      <c r="C5369" t="s">
        <v>7069</v>
      </c>
      <c r="D5369" t="s">
        <v>7072</v>
      </c>
      <c r="E5369">
        <v>10086.65</v>
      </c>
      <c r="G5369" s="35"/>
      <c r="H5369" s="36">
        <f t="shared" si="251"/>
        <v>6354.5895</v>
      </c>
      <c r="I5369" s="37">
        <f t="shared" si="249"/>
        <v>6354.5895</v>
      </c>
      <c r="J5369" s="4"/>
      <c r="K5369" s="38">
        <f t="shared" si="250"/>
        <v>0</v>
      </c>
    </row>
    <row r="5370" spans="1:11">
      <c r="A5370" t="s">
        <v>1482</v>
      </c>
      <c r="B5370" t="s">
        <v>10178</v>
      </c>
      <c r="C5370" t="s">
        <v>7069</v>
      </c>
      <c r="D5370" t="s">
        <v>7073</v>
      </c>
      <c r="E5370">
        <v>73234.94</v>
      </c>
      <c r="G5370" s="35"/>
      <c r="H5370" s="36">
        <f t="shared" si="251"/>
        <v>46138.012200000005</v>
      </c>
      <c r="I5370" s="37">
        <f t="shared" si="249"/>
        <v>46138.012200000005</v>
      </c>
      <c r="J5370" s="4"/>
      <c r="K5370" s="38">
        <f t="shared" si="250"/>
        <v>0</v>
      </c>
    </row>
    <row r="5371" spans="1:11">
      <c r="A5371" t="s">
        <v>1483</v>
      </c>
      <c r="B5371" t="s">
        <v>10178</v>
      </c>
      <c r="C5371" t="s">
        <v>7069</v>
      </c>
      <c r="D5371" t="s">
        <v>7074</v>
      </c>
      <c r="E5371">
        <v>85645.05</v>
      </c>
      <c r="G5371" s="35"/>
      <c r="H5371" s="36">
        <f t="shared" si="251"/>
        <v>53956.381500000003</v>
      </c>
      <c r="I5371" s="37">
        <f t="shared" si="249"/>
        <v>53956.381500000003</v>
      </c>
      <c r="J5371" s="4"/>
      <c r="K5371" s="38">
        <f t="shared" si="250"/>
        <v>0</v>
      </c>
    </row>
    <row r="5372" spans="1:11">
      <c r="A5372" t="s">
        <v>1484</v>
      </c>
      <c r="B5372" t="s">
        <v>10178</v>
      </c>
      <c r="C5372" t="s">
        <v>7069</v>
      </c>
      <c r="D5372" t="s">
        <v>7075</v>
      </c>
      <c r="E5372">
        <v>100686.33</v>
      </c>
      <c r="G5372" s="35"/>
      <c r="H5372" s="36">
        <f t="shared" si="251"/>
        <v>63432.387900000002</v>
      </c>
      <c r="I5372" s="37">
        <f t="shared" si="249"/>
        <v>63432.387900000002</v>
      </c>
      <c r="J5372" s="4"/>
      <c r="K5372" s="38">
        <f t="shared" si="250"/>
        <v>0</v>
      </c>
    </row>
    <row r="5373" spans="1:11">
      <c r="A5373" t="s">
        <v>2503</v>
      </c>
      <c r="B5373" t="s">
        <v>10178</v>
      </c>
      <c r="C5373" t="s">
        <v>8022</v>
      </c>
      <c r="D5373" t="s">
        <v>8023</v>
      </c>
      <c r="E5373">
        <v>331.36</v>
      </c>
      <c r="G5373" s="35"/>
      <c r="H5373" s="36">
        <f t="shared" si="251"/>
        <v>208.7568</v>
      </c>
      <c r="I5373" s="37">
        <f t="shared" si="249"/>
        <v>208.7568</v>
      </c>
      <c r="J5373" s="4"/>
      <c r="K5373" s="38">
        <f t="shared" si="250"/>
        <v>0</v>
      </c>
    </row>
    <row r="5374" spans="1:11">
      <c r="A5374" t="s">
        <v>2504</v>
      </c>
      <c r="B5374" t="s">
        <v>10178</v>
      </c>
      <c r="C5374" t="s">
        <v>8022</v>
      </c>
      <c r="D5374" t="s">
        <v>8024</v>
      </c>
      <c r="E5374">
        <v>1190.25</v>
      </c>
      <c r="G5374" s="35"/>
      <c r="H5374" s="36">
        <f t="shared" si="251"/>
        <v>749.85749999999996</v>
      </c>
      <c r="I5374" s="37">
        <f t="shared" si="249"/>
        <v>749.85749999999996</v>
      </c>
      <c r="J5374" s="4"/>
      <c r="K5374" s="38">
        <f t="shared" si="250"/>
        <v>0</v>
      </c>
    </row>
    <row r="5375" spans="1:11">
      <c r="A5375" t="s">
        <v>4150</v>
      </c>
      <c r="B5375" t="s">
        <v>10178</v>
      </c>
      <c r="C5375" t="s">
        <v>9604</v>
      </c>
      <c r="D5375" t="s">
        <v>9607</v>
      </c>
      <c r="E5375">
        <v>1934.12</v>
      </c>
      <c r="G5375" s="35"/>
      <c r="H5375" s="36">
        <f t="shared" si="251"/>
        <v>1218.4956</v>
      </c>
      <c r="I5375" s="37">
        <f t="shared" si="249"/>
        <v>1218.4956</v>
      </c>
      <c r="J5375" s="4"/>
      <c r="K5375" s="38">
        <f t="shared" si="250"/>
        <v>0</v>
      </c>
    </row>
    <row r="5376" spans="1:11">
      <c r="A5376" t="s">
        <v>4151</v>
      </c>
      <c r="B5376" t="s">
        <v>10178</v>
      </c>
      <c r="C5376" t="s">
        <v>9604</v>
      </c>
      <c r="D5376" t="s">
        <v>9608</v>
      </c>
      <c r="E5376">
        <v>9391.18</v>
      </c>
      <c r="G5376" s="35"/>
      <c r="H5376" s="36">
        <f t="shared" si="251"/>
        <v>5916.4434000000001</v>
      </c>
      <c r="I5376" s="37">
        <f t="shared" si="249"/>
        <v>5916.4434000000001</v>
      </c>
      <c r="J5376" s="4"/>
      <c r="K5376" s="38">
        <f t="shared" si="250"/>
        <v>0</v>
      </c>
    </row>
    <row r="5377" spans="1:11">
      <c r="A5377" t="s">
        <v>4152</v>
      </c>
      <c r="B5377" t="s">
        <v>10178</v>
      </c>
      <c r="C5377" t="s">
        <v>9604</v>
      </c>
      <c r="D5377" t="s">
        <v>9609</v>
      </c>
      <c r="E5377">
        <v>9942.4500000000007</v>
      </c>
      <c r="G5377" s="35"/>
      <c r="H5377" s="36">
        <f t="shared" si="251"/>
        <v>6263.7435000000005</v>
      </c>
      <c r="I5377" s="37">
        <f t="shared" si="249"/>
        <v>6263.7435000000005</v>
      </c>
      <c r="J5377" s="4"/>
      <c r="K5377" s="38">
        <f t="shared" si="250"/>
        <v>0</v>
      </c>
    </row>
    <row r="5378" spans="1:11">
      <c r="A5378" t="s">
        <v>4148</v>
      </c>
      <c r="B5378" t="s">
        <v>10178</v>
      </c>
      <c r="C5378" t="s">
        <v>9604</v>
      </c>
      <c r="D5378" t="s">
        <v>9605</v>
      </c>
      <c r="E5378">
        <v>10474.09</v>
      </c>
      <c r="G5378" s="35"/>
      <c r="H5378" s="36">
        <f t="shared" si="251"/>
        <v>6598.6767</v>
      </c>
      <c r="I5378" s="37">
        <f t="shared" si="249"/>
        <v>6598.6767</v>
      </c>
      <c r="J5378" s="4"/>
      <c r="K5378" s="38">
        <f t="shared" si="250"/>
        <v>0</v>
      </c>
    </row>
    <row r="5379" spans="1:11">
      <c r="A5379" t="s">
        <v>4149</v>
      </c>
      <c r="B5379" t="s">
        <v>10178</v>
      </c>
      <c r="C5379" t="s">
        <v>9604</v>
      </c>
      <c r="D5379" t="s">
        <v>9606</v>
      </c>
      <c r="E5379">
        <v>1824.67</v>
      </c>
      <c r="G5379" s="35"/>
      <c r="H5379" s="36">
        <f t="shared" si="251"/>
        <v>1149.5421000000001</v>
      </c>
      <c r="I5379" s="37">
        <f t="shared" si="249"/>
        <v>1149.5421000000001</v>
      </c>
      <c r="J5379" s="4"/>
      <c r="K5379" s="38">
        <f t="shared" si="250"/>
        <v>0</v>
      </c>
    </row>
    <row r="5380" spans="1:11">
      <c r="A5380" t="s">
        <v>2633</v>
      </c>
      <c r="B5380" t="s">
        <v>10178</v>
      </c>
      <c r="C5380" t="s">
        <v>8155</v>
      </c>
      <c r="D5380" t="s">
        <v>8156</v>
      </c>
      <c r="E5380">
        <v>2162.38</v>
      </c>
      <c r="G5380" s="35"/>
      <c r="H5380" s="36">
        <f t="shared" si="251"/>
        <v>1362.2994000000001</v>
      </c>
      <c r="I5380" s="37">
        <f t="shared" si="249"/>
        <v>1362.2994000000001</v>
      </c>
      <c r="J5380" s="4"/>
      <c r="K5380" s="38">
        <f t="shared" si="250"/>
        <v>0</v>
      </c>
    </row>
    <row r="5381" spans="1:11">
      <c r="A5381" t="s">
        <v>2634</v>
      </c>
      <c r="B5381" t="s">
        <v>10178</v>
      </c>
      <c r="C5381" t="s">
        <v>8155</v>
      </c>
      <c r="D5381" t="s">
        <v>8157</v>
      </c>
      <c r="E5381">
        <v>2230.1</v>
      </c>
      <c r="G5381" s="35"/>
      <c r="H5381" s="36">
        <f t="shared" si="251"/>
        <v>1404.963</v>
      </c>
      <c r="I5381" s="37">
        <f t="shared" si="249"/>
        <v>1404.963</v>
      </c>
      <c r="J5381" s="4"/>
      <c r="K5381" s="38">
        <f t="shared" si="250"/>
        <v>0</v>
      </c>
    </row>
    <row r="5382" spans="1:11">
      <c r="A5382" t="s">
        <v>2635</v>
      </c>
      <c r="B5382" t="s">
        <v>10178</v>
      </c>
      <c r="C5382" t="s">
        <v>8158</v>
      </c>
      <c r="D5382" t="s">
        <v>8159</v>
      </c>
      <c r="E5382">
        <v>1039.23</v>
      </c>
      <c r="G5382" s="35"/>
      <c r="H5382" s="36">
        <f t="shared" si="251"/>
        <v>654.71490000000006</v>
      </c>
      <c r="I5382" s="37">
        <f t="shared" ref="I5382:I5445" si="252">H5382*$H$4</f>
        <v>654.71490000000006</v>
      </c>
      <c r="J5382" s="4"/>
      <c r="K5382" s="38">
        <f t="shared" ref="K5382:K5445" si="253">J5382*I5382</f>
        <v>0</v>
      </c>
    </row>
    <row r="5383" spans="1:11">
      <c r="A5383" t="s">
        <v>2636</v>
      </c>
      <c r="B5383" t="s">
        <v>10178</v>
      </c>
      <c r="C5383" t="s">
        <v>8158</v>
      </c>
      <c r="D5383" t="s">
        <v>8160</v>
      </c>
      <c r="E5383">
        <v>568.25</v>
      </c>
      <c r="G5383" s="35"/>
      <c r="H5383" s="36">
        <f t="shared" ref="H5383:H5446" si="254">+E5383*$H$1*(1-G5383)</f>
        <v>357.9975</v>
      </c>
      <c r="I5383" s="37">
        <f t="shared" si="252"/>
        <v>357.9975</v>
      </c>
      <c r="J5383" s="4"/>
      <c r="K5383" s="38">
        <f t="shared" si="253"/>
        <v>0</v>
      </c>
    </row>
    <row r="5384" spans="1:11">
      <c r="A5384" t="s">
        <v>2637</v>
      </c>
      <c r="B5384" t="s">
        <v>10178</v>
      </c>
      <c r="C5384" t="s">
        <v>8158</v>
      </c>
      <c r="D5384" t="s">
        <v>8161</v>
      </c>
      <c r="E5384">
        <v>1039.23</v>
      </c>
      <c r="G5384" s="35"/>
      <c r="H5384" s="36">
        <f t="shared" si="254"/>
        <v>654.71490000000006</v>
      </c>
      <c r="I5384" s="37">
        <f t="shared" si="252"/>
        <v>654.71490000000006</v>
      </c>
      <c r="J5384" s="4"/>
      <c r="K5384" s="38">
        <f t="shared" si="253"/>
        <v>0</v>
      </c>
    </row>
    <row r="5385" spans="1:11">
      <c r="A5385" t="s">
        <v>2638</v>
      </c>
      <c r="B5385" t="s">
        <v>10178</v>
      </c>
      <c r="C5385" t="s">
        <v>8158</v>
      </c>
      <c r="D5385" t="s">
        <v>8162</v>
      </c>
      <c r="E5385">
        <v>568.25</v>
      </c>
      <c r="G5385" s="35"/>
      <c r="H5385" s="36">
        <f t="shared" si="254"/>
        <v>357.9975</v>
      </c>
      <c r="I5385" s="37">
        <f t="shared" si="252"/>
        <v>357.9975</v>
      </c>
      <c r="J5385" s="4"/>
      <c r="K5385" s="38">
        <f t="shared" si="253"/>
        <v>0</v>
      </c>
    </row>
    <row r="5386" spans="1:11">
      <c r="A5386" t="s">
        <v>2639</v>
      </c>
      <c r="B5386" t="s">
        <v>10178</v>
      </c>
      <c r="C5386" t="s">
        <v>8158</v>
      </c>
      <c r="D5386" t="s">
        <v>8163</v>
      </c>
      <c r="E5386">
        <v>1039.23</v>
      </c>
      <c r="G5386" s="35"/>
      <c r="H5386" s="36">
        <f t="shared" si="254"/>
        <v>654.71490000000006</v>
      </c>
      <c r="I5386" s="37">
        <f t="shared" si="252"/>
        <v>654.71490000000006</v>
      </c>
      <c r="J5386" s="4"/>
      <c r="K5386" s="38">
        <f t="shared" si="253"/>
        <v>0</v>
      </c>
    </row>
    <row r="5387" spans="1:11">
      <c r="A5387" t="s">
        <v>2640</v>
      </c>
      <c r="B5387" t="s">
        <v>10178</v>
      </c>
      <c r="C5387" t="s">
        <v>8158</v>
      </c>
      <c r="D5387" t="s">
        <v>8164</v>
      </c>
      <c r="E5387">
        <v>2877.01</v>
      </c>
      <c r="G5387" s="35"/>
      <c r="H5387" s="36">
        <f t="shared" si="254"/>
        <v>1812.5163000000002</v>
      </c>
      <c r="I5387" s="37">
        <f t="shared" si="252"/>
        <v>1812.5163000000002</v>
      </c>
      <c r="J5387" s="4"/>
      <c r="K5387" s="38">
        <f t="shared" si="253"/>
        <v>0</v>
      </c>
    </row>
    <row r="5388" spans="1:11">
      <c r="A5388" t="s">
        <v>2641</v>
      </c>
      <c r="B5388" t="s">
        <v>10178</v>
      </c>
      <c r="C5388" t="s">
        <v>8158</v>
      </c>
      <c r="D5388" t="s">
        <v>8165</v>
      </c>
      <c r="E5388">
        <v>2443.13</v>
      </c>
      <c r="G5388" s="35"/>
      <c r="H5388" s="36">
        <f t="shared" si="254"/>
        <v>1539.1719000000001</v>
      </c>
      <c r="I5388" s="37">
        <f t="shared" si="252"/>
        <v>1539.1719000000001</v>
      </c>
      <c r="J5388" s="4"/>
      <c r="K5388" s="38">
        <f t="shared" si="253"/>
        <v>0</v>
      </c>
    </row>
    <row r="5389" spans="1:11">
      <c r="A5389" t="s">
        <v>2642</v>
      </c>
      <c r="B5389" t="s">
        <v>10178</v>
      </c>
      <c r="C5389" t="s">
        <v>8158</v>
      </c>
      <c r="D5389" t="s">
        <v>8166</v>
      </c>
      <c r="E5389">
        <v>416.46</v>
      </c>
      <c r="G5389" s="35"/>
      <c r="H5389" s="36">
        <f t="shared" si="254"/>
        <v>262.3698</v>
      </c>
      <c r="I5389" s="37">
        <f t="shared" si="252"/>
        <v>262.3698</v>
      </c>
      <c r="J5389" s="4"/>
      <c r="K5389" s="38">
        <f t="shared" si="253"/>
        <v>0</v>
      </c>
    </row>
    <row r="5390" spans="1:11">
      <c r="A5390" t="s">
        <v>2643</v>
      </c>
      <c r="B5390" t="s">
        <v>10178</v>
      </c>
      <c r="C5390" t="s">
        <v>8158</v>
      </c>
      <c r="D5390" t="s">
        <v>6930</v>
      </c>
      <c r="E5390">
        <v>575.79</v>
      </c>
      <c r="G5390" s="35"/>
      <c r="H5390" s="36">
        <f t="shared" si="254"/>
        <v>362.74769999999995</v>
      </c>
      <c r="I5390" s="37">
        <f t="shared" si="252"/>
        <v>362.74769999999995</v>
      </c>
      <c r="J5390" s="4"/>
      <c r="K5390" s="38">
        <f t="shared" si="253"/>
        <v>0</v>
      </c>
    </row>
    <row r="5391" spans="1:11">
      <c r="A5391" t="s">
        <v>2647</v>
      </c>
      <c r="B5391" t="s">
        <v>10178</v>
      </c>
      <c r="C5391" t="s">
        <v>8169</v>
      </c>
      <c r="D5391" t="s">
        <v>5700</v>
      </c>
      <c r="E5391">
        <v>4054.62</v>
      </c>
      <c r="G5391" s="35"/>
      <c r="H5391" s="36">
        <f t="shared" si="254"/>
        <v>2554.4106000000002</v>
      </c>
      <c r="I5391" s="37">
        <f t="shared" si="252"/>
        <v>2554.4106000000002</v>
      </c>
      <c r="J5391" s="4"/>
      <c r="K5391" s="38">
        <f t="shared" si="253"/>
        <v>0</v>
      </c>
    </row>
    <row r="5392" spans="1:11">
      <c r="A5392" t="s">
        <v>2682</v>
      </c>
      <c r="B5392" t="s">
        <v>10178</v>
      </c>
      <c r="C5392" t="s">
        <v>8205</v>
      </c>
      <c r="D5392" t="s">
        <v>5700</v>
      </c>
      <c r="E5392">
        <v>4054.62</v>
      </c>
      <c r="G5392" s="35"/>
      <c r="H5392" s="36">
        <f t="shared" si="254"/>
        <v>2554.4106000000002</v>
      </c>
      <c r="I5392" s="37">
        <f t="shared" si="252"/>
        <v>2554.4106000000002</v>
      </c>
      <c r="J5392" s="4"/>
      <c r="K5392" s="38">
        <f t="shared" si="253"/>
        <v>0</v>
      </c>
    </row>
    <row r="5393" spans="1:11">
      <c r="A5393" t="s">
        <v>2774</v>
      </c>
      <c r="B5393" t="s">
        <v>10178</v>
      </c>
      <c r="C5393" t="s">
        <v>8274</v>
      </c>
      <c r="D5393" t="s">
        <v>8275</v>
      </c>
      <c r="E5393">
        <v>1065.3499999999999</v>
      </c>
      <c r="G5393" s="35"/>
      <c r="H5393" s="36">
        <f t="shared" si="254"/>
        <v>671.17049999999995</v>
      </c>
      <c r="I5393" s="37">
        <f t="shared" si="252"/>
        <v>671.17049999999995</v>
      </c>
      <c r="J5393" s="4"/>
      <c r="K5393" s="38">
        <f t="shared" si="253"/>
        <v>0</v>
      </c>
    </row>
    <row r="5394" spans="1:11">
      <c r="A5394" t="s">
        <v>2775</v>
      </c>
      <c r="B5394" t="s">
        <v>10178</v>
      </c>
      <c r="C5394" t="s">
        <v>8274</v>
      </c>
      <c r="D5394" t="s">
        <v>8276</v>
      </c>
      <c r="E5394">
        <v>361.72</v>
      </c>
      <c r="G5394" s="35"/>
      <c r="H5394" s="36">
        <f t="shared" si="254"/>
        <v>227.88360000000003</v>
      </c>
      <c r="I5394" s="37">
        <f t="shared" si="252"/>
        <v>227.88360000000003</v>
      </c>
      <c r="J5394" s="4"/>
      <c r="K5394" s="38">
        <f t="shared" si="253"/>
        <v>0</v>
      </c>
    </row>
    <row r="5395" spans="1:11">
      <c r="A5395" t="s">
        <v>3211</v>
      </c>
      <c r="B5395" t="s">
        <v>10178</v>
      </c>
      <c r="C5395" t="s">
        <v>8720</v>
      </c>
      <c r="D5395" t="s">
        <v>8721</v>
      </c>
      <c r="E5395">
        <v>2500.33</v>
      </c>
      <c r="G5395" s="35"/>
      <c r="H5395" s="36">
        <f t="shared" si="254"/>
        <v>1575.2078999999999</v>
      </c>
      <c r="I5395" s="37">
        <f t="shared" si="252"/>
        <v>1575.2078999999999</v>
      </c>
      <c r="J5395" s="4"/>
      <c r="K5395" s="38">
        <f t="shared" si="253"/>
        <v>0</v>
      </c>
    </row>
    <row r="5396" spans="1:11">
      <c r="A5396" t="s">
        <v>350</v>
      </c>
      <c r="B5396" t="s">
        <v>10178</v>
      </c>
      <c r="C5396" t="s">
        <v>6015</v>
      </c>
      <c r="D5396" t="s">
        <v>6016</v>
      </c>
      <c r="E5396">
        <v>37504.480000000003</v>
      </c>
      <c r="G5396" s="35"/>
      <c r="H5396" s="36">
        <f t="shared" si="254"/>
        <v>23627.822400000001</v>
      </c>
      <c r="I5396" s="37">
        <f t="shared" si="252"/>
        <v>23627.822400000001</v>
      </c>
      <c r="J5396" s="4"/>
      <c r="K5396" s="38">
        <f t="shared" si="253"/>
        <v>0</v>
      </c>
    </row>
    <row r="5397" spans="1:11">
      <c r="A5397" t="s">
        <v>3337</v>
      </c>
      <c r="B5397" t="s">
        <v>10178</v>
      </c>
      <c r="C5397" t="s">
        <v>6015</v>
      </c>
      <c r="D5397" t="s">
        <v>8830</v>
      </c>
      <c r="E5397">
        <v>40679.870000000003</v>
      </c>
      <c r="G5397" s="35"/>
      <c r="H5397" s="36">
        <f t="shared" si="254"/>
        <v>25628.3181</v>
      </c>
      <c r="I5397" s="37">
        <f t="shared" si="252"/>
        <v>25628.3181</v>
      </c>
      <c r="J5397" s="4"/>
      <c r="K5397" s="38">
        <f t="shared" si="253"/>
        <v>0</v>
      </c>
    </row>
    <row r="5398" spans="1:11">
      <c r="A5398" t="s">
        <v>3528</v>
      </c>
      <c r="B5398" t="s">
        <v>10178</v>
      </c>
      <c r="C5398" t="s">
        <v>6931</v>
      </c>
      <c r="D5398" t="s">
        <v>9021</v>
      </c>
      <c r="E5398">
        <v>5068.2</v>
      </c>
      <c r="G5398" s="35"/>
      <c r="H5398" s="36">
        <f t="shared" si="254"/>
        <v>3192.9659999999999</v>
      </c>
      <c r="I5398" s="37">
        <f t="shared" si="252"/>
        <v>3192.9659999999999</v>
      </c>
      <c r="J5398" s="4"/>
      <c r="K5398" s="38">
        <f t="shared" si="253"/>
        <v>0</v>
      </c>
    </row>
    <row r="5399" spans="1:11">
      <c r="A5399" t="s">
        <v>1352</v>
      </c>
      <c r="B5399" t="s">
        <v>10178</v>
      </c>
      <c r="C5399" t="s">
        <v>6931</v>
      </c>
      <c r="D5399" t="s">
        <v>6932</v>
      </c>
      <c r="E5399">
        <v>6757.56</v>
      </c>
      <c r="G5399" s="35"/>
      <c r="H5399" s="36">
        <f t="shared" si="254"/>
        <v>4257.2628000000004</v>
      </c>
      <c r="I5399" s="37">
        <f t="shared" si="252"/>
        <v>4257.2628000000004</v>
      </c>
      <c r="J5399" s="4"/>
      <c r="K5399" s="38">
        <f t="shared" si="253"/>
        <v>0</v>
      </c>
    </row>
    <row r="5400" spans="1:11">
      <c r="A5400" t="s">
        <v>1083</v>
      </c>
      <c r="B5400" t="s">
        <v>10178</v>
      </c>
      <c r="C5400" t="s">
        <v>6682</v>
      </c>
      <c r="D5400" t="s">
        <v>6683</v>
      </c>
      <c r="E5400">
        <v>161.46</v>
      </c>
      <c r="G5400" s="35"/>
      <c r="H5400" s="36">
        <f t="shared" si="254"/>
        <v>101.71980000000001</v>
      </c>
      <c r="I5400" s="37">
        <f t="shared" si="252"/>
        <v>101.71980000000001</v>
      </c>
      <c r="J5400" s="4"/>
      <c r="K5400" s="38">
        <f t="shared" si="253"/>
        <v>0</v>
      </c>
    </row>
    <row r="5401" spans="1:11">
      <c r="A5401" t="s">
        <v>1084</v>
      </c>
      <c r="B5401" t="s">
        <v>10178</v>
      </c>
      <c r="C5401" t="s">
        <v>6682</v>
      </c>
      <c r="D5401" t="s">
        <v>6684</v>
      </c>
      <c r="E5401">
        <v>348.01</v>
      </c>
      <c r="G5401" s="35"/>
      <c r="H5401" s="36">
        <f t="shared" si="254"/>
        <v>219.24629999999999</v>
      </c>
      <c r="I5401" s="37">
        <f t="shared" si="252"/>
        <v>219.24629999999999</v>
      </c>
      <c r="J5401" s="4"/>
      <c r="K5401" s="38">
        <f t="shared" si="253"/>
        <v>0</v>
      </c>
    </row>
    <row r="5402" spans="1:11">
      <c r="A5402" t="s">
        <v>935</v>
      </c>
      <c r="B5402" t="s">
        <v>10180</v>
      </c>
      <c r="C5402" t="s">
        <v>5699</v>
      </c>
      <c r="D5402" t="s">
        <v>6587</v>
      </c>
      <c r="E5402">
        <v>738.86</v>
      </c>
      <c r="G5402" s="35"/>
      <c r="H5402" s="36">
        <f t="shared" si="254"/>
        <v>465.48180000000002</v>
      </c>
      <c r="I5402" s="37">
        <f t="shared" si="252"/>
        <v>465.48180000000002</v>
      </c>
      <c r="J5402" s="4"/>
      <c r="K5402" s="38">
        <f t="shared" si="253"/>
        <v>0</v>
      </c>
    </row>
    <row r="5403" spans="1:11">
      <c r="A5403" t="s">
        <v>936</v>
      </c>
      <c r="B5403" t="s">
        <v>10180</v>
      </c>
      <c r="C5403" t="s">
        <v>5699</v>
      </c>
      <c r="D5403" t="s">
        <v>6588</v>
      </c>
      <c r="E5403">
        <v>620.65</v>
      </c>
      <c r="G5403" s="35"/>
      <c r="H5403" s="36">
        <f t="shared" si="254"/>
        <v>391.0095</v>
      </c>
      <c r="I5403" s="37">
        <f t="shared" si="252"/>
        <v>391.0095</v>
      </c>
      <c r="J5403" s="4"/>
      <c r="K5403" s="38">
        <f t="shared" si="253"/>
        <v>0</v>
      </c>
    </row>
    <row r="5404" spans="1:11">
      <c r="A5404" t="s">
        <v>937</v>
      </c>
      <c r="B5404" t="s">
        <v>10180</v>
      </c>
      <c r="C5404" t="s">
        <v>5699</v>
      </c>
      <c r="D5404" t="s">
        <v>6589</v>
      </c>
      <c r="E5404">
        <v>556.15</v>
      </c>
      <c r="G5404" s="35"/>
      <c r="H5404" s="36">
        <f t="shared" si="254"/>
        <v>350.37450000000001</v>
      </c>
      <c r="I5404" s="37">
        <f t="shared" si="252"/>
        <v>350.37450000000001</v>
      </c>
      <c r="J5404" s="4"/>
      <c r="K5404" s="38">
        <f t="shared" si="253"/>
        <v>0</v>
      </c>
    </row>
    <row r="5405" spans="1:11">
      <c r="A5405" t="s">
        <v>938</v>
      </c>
      <c r="B5405" t="s">
        <v>10180</v>
      </c>
      <c r="C5405" t="s">
        <v>5699</v>
      </c>
      <c r="D5405" t="s">
        <v>6590</v>
      </c>
      <c r="E5405">
        <v>556.15</v>
      </c>
      <c r="G5405" s="35"/>
      <c r="H5405" s="36">
        <f t="shared" si="254"/>
        <v>350.37450000000001</v>
      </c>
      <c r="I5405" s="37">
        <f t="shared" si="252"/>
        <v>350.37450000000001</v>
      </c>
      <c r="J5405" s="4"/>
      <c r="K5405" s="38">
        <f t="shared" si="253"/>
        <v>0</v>
      </c>
    </row>
    <row r="5406" spans="1:11">
      <c r="A5406" t="s">
        <v>939</v>
      </c>
      <c r="B5406" t="s">
        <v>10180</v>
      </c>
      <c r="C5406" t="s">
        <v>5699</v>
      </c>
      <c r="D5406" t="s">
        <v>6591</v>
      </c>
      <c r="E5406">
        <v>556.15</v>
      </c>
      <c r="G5406" s="35"/>
      <c r="H5406" s="36">
        <f t="shared" si="254"/>
        <v>350.37450000000001</v>
      </c>
      <c r="I5406" s="37">
        <f t="shared" si="252"/>
        <v>350.37450000000001</v>
      </c>
      <c r="J5406" s="4"/>
      <c r="K5406" s="38">
        <f t="shared" si="253"/>
        <v>0</v>
      </c>
    </row>
    <row r="5407" spans="1:11">
      <c r="A5407" t="s">
        <v>940</v>
      </c>
      <c r="B5407" t="s">
        <v>10180</v>
      </c>
      <c r="C5407" t="s">
        <v>5699</v>
      </c>
      <c r="D5407" t="s">
        <v>6592</v>
      </c>
      <c r="E5407">
        <v>1816.62</v>
      </c>
      <c r="G5407" s="35"/>
      <c r="H5407" s="36">
        <f t="shared" si="254"/>
        <v>1144.4705999999999</v>
      </c>
      <c r="I5407" s="37">
        <f t="shared" si="252"/>
        <v>1144.4705999999999</v>
      </c>
      <c r="J5407" s="4"/>
      <c r="K5407" s="38">
        <f t="shared" si="253"/>
        <v>0</v>
      </c>
    </row>
    <row r="5408" spans="1:11">
      <c r="A5408" t="s">
        <v>3988</v>
      </c>
      <c r="B5408" t="s">
        <v>10180</v>
      </c>
      <c r="C5408" t="s">
        <v>5699</v>
      </c>
      <c r="D5408" t="s">
        <v>9453</v>
      </c>
      <c r="E5408">
        <v>4349.9799999999996</v>
      </c>
      <c r="G5408" s="35"/>
      <c r="H5408" s="36">
        <f t="shared" si="254"/>
        <v>2740.4873999999995</v>
      </c>
      <c r="I5408" s="37">
        <f t="shared" si="252"/>
        <v>2740.4873999999995</v>
      </c>
      <c r="J5408" s="4"/>
      <c r="K5408" s="38">
        <f t="shared" si="253"/>
        <v>0</v>
      </c>
    </row>
    <row r="5409" spans="1:11">
      <c r="A5409" t="s">
        <v>3989</v>
      </c>
      <c r="B5409" t="s">
        <v>10180</v>
      </c>
      <c r="C5409" t="s">
        <v>5699</v>
      </c>
      <c r="D5409" t="s">
        <v>9454</v>
      </c>
      <c r="E5409">
        <v>4857.96</v>
      </c>
      <c r="G5409" s="35"/>
      <c r="H5409" s="36">
        <f t="shared" si="254"/>
        <v>3060.5147999999999</v>
      </c>
      <c r="I5409" s="37">
        <f t="shared" si="252"/>
        <v>3060.5147999999999</v>
      </c>
      <c r="J5409" s="4"/>
      <c r="K5409" s="38">
        <f t="shared" si="253"/>
        <v>0</v>
      </c>
    </row>
    <row r="5410" spans="1:11">
      <c r="A5410" t="s">
        <v>941</v>
      </c>
      <c r="B5410" t="s">
        <v>10180</v>
      </c>
      <c r="C5410" t="s">
        <v>5699</v>
      </c>
      <c r="D5410" t="s">
        <v>6593</v>
      </c>
      <c r="E5410">
        <v>1262.3800000000001</v>
      </c>
      <c r="G5410" s="35"/>
      <c r="H5410" s="36">
        <f t="shared" si="254"/>
        <v>795.29940000000011</v>
      </c>
      <c r="I5410" s="37">
        <f t="shared" si="252"/>
        <v>795.29940000000011</v>
      </c>
      <c r="J5410" s="4"/>
      <c r="K5410" s="38">
        <f t="shared" si="253"/>
        <v>0</v>
      </c>
    </row>
    <row r="5411" spans="1:11">
      <c r="A5411" t="s">
        <v>3990</v>
      </c>
      <c r="B5411" t="s">
        <v>10180</v>
      </c>
      <c r="C5411" t="s">
        <v>5699</v>
      </c>
      <c r="D5411" t="s">
        <v>9455</v>
      </c>
      <c r="E5411">
        <v>6585</v>
      </c>
      <c r="G5411" s="35"/>
      <c r="H5411" s="36">
        <f t="shared" si="254"/>
        <v>4148.55</v>
      </c>
      <c r="I5411" s="37">
        <f t="shared" si="252"/>
        <v>4148.55</v>
      </c>
      <c r="J5411" s="4"/>
      <c r="K5411" s="38">
        <f t="shared" si="253"/>
        <v>0</v>
      </c>
    </row>
    <row r="5412" spans="1:11">
      <c r="A5412" t="s">
        <v>3991</v>
      </c>
      <c r="B5412" t="s">
        <v>10180</v>
      </c>
      <c r="C5412" t="s">
        <v>5699</v>
      </c>
      <c r="D5412" t="s">
        <v>9456</v>
      </c>
      <c r="E5412">
        <v>6585</v>
      </c>
      <c r="G5412" s="35"/>
      <c r="H5412" s="36">
        <f t="shared" si="254"/>
        <v>4148.55</v>
      </c>
      <c r="I5412" s="37">
        <f t="shared" si="252"/>
        <v>4148.55</v>
      </c>
      <c r="J5412" s="4"/>
      <c r="K5412" s="38">
        <f t="shared" si="253"/>
        <v>0</v>
      </c>
    </row>
    <row r="5413" spans="1:11">
      <c r="A5413" t="s">
        <v>942</v>
      </c>
      <c r="B5413" t="s">
        <v>10180</v>
      </c>
      <c r="C5413" t="s">
        <v>5699</v>
      </c>
      <c r="D5413" t="s">
        <v>6594</v>
      </c>
      <c r="E5413">
        <v>1947.01</v>
      </c>
      <c r="G5413" s="35"/>
      <c r="H5413" s="36">
        <f t="shared" si="254"/>
        <v>1226.6162999999999</v>
      </c>
      <c r="I5413" s="37">
        <f t="shared" si="252"/>
        <v>1226.6162999999999</v>
      </c>
      <c r="J5413" s="4"/>
      <c r="K5413" s="38">
        <f t="shared" si="253"/>
        <v>0</v>
      </c>
    </row>
    <row r="5414" spans="1:11">
      <c r="A5414" t="s">
        <v>3992</v>
      </c>
      <c r="B5414" t="s">
        <v>10180</v>
      </c>
      <c r="C5414" t="s">
        <v>5699</v>
      </c>
      <c r="D5414" t="s">
        <v>9457</v>
      </c>
      <c r="E5414">
        <v>11720</v>
      </c>
      <c r="G5414" s="35"/>
      <c r="H5414" s="36">
        <f t="shared" si="254"/>
        <v>7383.6</v>
      </c>
      <c r="I5414" s="37">
        <f t="shared" si="252"/>
        <v>7383.6</v>
      </c>
      <c r="J5414" s="4"/>
      <c r="K5414" s="38">
        <f t="shared" si="253"/>
        <v>0</v>
      </c>
    </row>
    <row r="5415" spans="1:11">
      <c r="A5415" t="s">
        <v>943</v>
      </c>
      <c r="B5415" t="s">
        <v>10180</v>
      </c>
      <c r="C5415" t="s">
        <v>5699</v>
      </c>
      <c r="D5415" t="s">
        <v>6595</v>
      </c>
      <c r="E5415">
        <v>556.15</v>
      </c>
      <c r="G5415" s="35"/>
      <c r="H5415" s="36">
        <f t="shared" si="254"/>
        <v>350.37450000000001</v>
      </c>
      <c r="I5415" s="37">
        <f t="shared" si="252"/>
        <v>350.37450000000001</v>
      </c>
      <c r="J5415" s="4"/>
      <c r="K5415" s="38">
        <f t="shared" si="253"/>
        <v>0</v>
      </c>
    </row>
    <row r="5416" spans="1:11">
      <c r="A5416" t="s">
        <v>3993</v>
      </c>
      <c r="B5416" t="s">
        <v>10180</v>
      </c>
      <c r="C5416" t="s">
        <v>5699</v>
      </c>
      <c r="D5416" t="s">
        <v>9458</v>
      </c>
      <c r="E5416">
        <v>9217.1299999999992</v>
      </c>
      <c r="G5416" s="35"/>
      <c r="H5416" s="36">
        <f t="shared" si="254"/>
        <v>5806.7918999999993</v>
      </c>
      <c r="I5416" s="37">
        <f t="shared" si="252"/>
        <v>5806.7918999999993</v>
      </c>
      <c r="J5416" s="4"/>
      <c r="K5416" s="38">
        <f t="shared" si="253"/>
        <v>0</v>
      </c>
    </row>
    <row r="5417" spans="1:11">
      <c r="A5417" t="s">
        <v>3994</v>
      </c>
      <c r="B5417" t="s">
        <v>10180</v>
      </c>
      <c r="C5417" t="s">
        <v>5699</v>
      </c>
      <c r="D5417" t="s">
        <v>9459</v>
      </c>
      <c r="E5417">
        <v>4479.2700000000004</v>
      </c>
      <c r="G5417" s="35"/>
      <c r="H5417" s="36">
        <f t="shared" si="254"/>
        <v>2821.9401000000003</v>
      </c>
      <c r="I5417" s="37">
        <f t="shared" si="252"/>
        <v>2821.9401000000003</v>
      </c>
      <c r="J5417" s="4"/>
      <c r="K5417" s="38">
        <f t="shared" si="253"/>
        <v>0</v>
      </c>
    </row>
    <row r="5418" spans="1:11">
      <c r="A5418" t="s">
        <v>729</v>
      </c>
      <c r="B5418" t="s">
        <v>10180</v>
      </c>
      <c r="C5418" t="s">
        <v>6379</v>
      </c>
      <c r="D5418" t="s">
        <v>6380</v>
      </c>
      <c r="E5418">
        <v>985.22</v>
      </c>
      <c r="G5418" s="35"/>
      <c r="H5418" s="36">
        <f t="shared" si="254"/>
        <v>620.68860000000006</v>
      </c>
      <c r="I5418" s="37">
        <f t="shared" si="252"/>
        <v>620.68860000000006</v>
      </c>
      <c r="J5418" s="4"/>
      <c r="K5418" s="38">
        <f t="shared" si="253"/>
        <v>0</v>
      </c>
    </row>
    <row r="5419" spans="1:11">
      <c r="A5419" t="s">
        <v>730</v>
      </c>
      <c r="B5419" t="s">
        <v>10180</v>
      </c>
      <c r="C5419" t="s">
        <v>6379</v>
      </c>
      <c r="D5419" t="s">
        <v>6381</v>
      </c>
      <c r="E5419">
        <v>1642.44</v>
      </c>
      <c r="G5419" s="35"/>
      <c r="H5419" s="36">
        <f t="shared" si="254"/>
        <v>1034.7372</v>
      </c>
      <c r="I5419" s="37">
        <f t="shared" si="252"/>
        <v>1034.7372</v>
      </c>
      <c r="J5419" s="4"/>
      <c r="K5419" s="38">
        <f t="shared" si="253"/>
        <v>0</v>
      </c>
    </row>
    <row r="5420" spans="1:11">
      <c r="A5420" t="s">
        <v>731</v>
      </c>
      <c r="B5420" t="s">
        <v>10180</v>
      </c>
      <c r="C5420" t="s">
        <v>6379</v>
      </c>
      <c r="D5420" t="s">
        <v>6382</v>
      </c>
      <c r="E5420">
        <v>1494.66</v>
      </c>
      <c r="G5420" s="35"/>
      <c r="H5420" s="36">
        <f t="shared" si="254"/>
        <v>941.63580000000002</v>
      </c>
      <c r="I5420" s="37">
        <f t="shared" si="252"/>
        <v>941.63580000000002</v>
      </c>
      <c r="J5420" s="4"/>
      <c r="K5420" s="38">
        <f t="shared" si="253"/>
        <v>0</v>
      </c>
    </row>
    <row r="5421" spans="1:11">
      <c r="A5421" t="s">
        <v>732</v>
      </c>
      <c r="B5421" t="s">
        <v>10180</v>
      </c>
      <c r="C5421" t="s">
        <v>6379</v>
      </c>
      <c r="D5421" t="s">
        <v>6383</v>
      </c>
      <c r="E5421">
        <v>779.12</v>
      </c>
      <c r="G5421" s="35"/>
      <c r="H5421" s="36">
        <f t="shared" si="254"/>
        <v>490.84559999999999</v>
      </c>
      <c r="I5421" s="37">
        <f t="shared" si="252"/>
        <v>490.84559999999999</v>
      </c>
      <c r="J5421" s="4"/>
      <c r="K5421" s="38">
        <f t="shared" si="253"/>
        <v>0</v>
      </c>
    </row>
    <row r="5422" spans="1:11">
      <c r="A5422" t="s">
        <v>733</v>
      </c>
      <c r="B5422" t="s">
        <v>10180</v>
      </c>
      <c r="C5422" t="s">
        <v>6379</v>
      </c>
      <c r="D5422" t="s">
        <v>6384</v>
      </c>
      <c r="E5422">
        <v>976.66</v>
      </c>
      <c r="G5422" s="35"/>
      <c r="H5422" s="36">
        <f t="shared" si="254"/>
        <v>615.29579999999999</v>
      </c>
      <c r="I5422" s="37">
        <f t="shared" si="252"/>
        <v>615.29579999999999</v>
      </c>
      <c r="J5422" s="4"/>
      <c r="K5422" s="38">
        <f t="shared" si="253"/>
        <v>0</v>
      </c>
    </row>
    <row r="5423" spans="1:11">
      <c r="A5423" t="s">
        <v>3481</v>
      </c>
      <c r="B5423" t="s">
        <v>10180</v>
      </c>
      <c r="C5423" t="s">
        <v>8974</v>
      </c>
      <c r="D5423" t="s">
        <v>6834</v>
      </c>
      <c r="E5423">
        <v>400.23</v>
      </c>
      <c r="G5423" s="35"/>
      <c r="H5423" s="36">
        <f t="shared" si="254"/>
        <v>252.14490000000001</v>
      </c>
      <c r="I5423" s="37">
        <f t="shared" si="252"/>
        <v>252.14490000000001</v>
      </c>
      <c r="J5423" s="4"/>
      <c r="K5423" s="38">
        <f t="shared" si="253"/>
        <v>0</v>
      </c>
    </row>
    <row r="5424" spans="1:11">
      <c r="A5424" t="s">
        <v>3482</v>
      </c>
      <c r="B5424" t="s">
        <v>10180</v>
      </c>
      <c r="C5424" t="s">
        <v>8974</v>
      </c>
      <c r="D5424" t="s">
        <v>8975</v>
      </c>
      <c r="E5424">
        <v>1241.75</v>
      </c>
      <c r="G5424" s="35"/>
      <c r="H5424" s="36">
        <f t="shared" si="254"/>
        <v>782.30250000000001</v>
      </c>
      <c r="I5424" s="37">
        <f t="shared" si="252"/>
        <v>782.30250000000001</v>
      </c>
      <c r="J5424" s="4"/>
      <c r="K5424" s="38">
        <f t="shared" si="253"/>
        <v>0</v>
      </c>
    </row>
    <row r="5425" spans="1:11">
      <c r="A5425" t="s">
        <v>12233</v>
      </c>
      <c r="B5425" t="s">
        <v>10180</v>
      </c>
      <c r="C5425" t="s">
        <v>12234</v>
      </c>
      <c r="D5425" t="s">
        <v>12180</v>
      </c>
      <c r="E5425">
        <v>23410.15</v>
      </c>
      <c r="G5425" s="35"/>
      <c r="H5425" s="36">
        <f t="shared" si="254"/>
        <v>14748.3945</v>
      </c>
      <c r="I5425" s="37">
        <f t="shared" si="252"/>
        <v>14748.3945</v>
      </c>
      <c r="J5425" s="4"/>
      <c r="K5425" s="38">
        <f t="shared" si="253"/>
        <v>0</v>
      </c>
    </row>
    <row r="5426" spans="1:11">
      <c r="A5426" t="s">
        <v>12235</v>
      </c>
      <c r="B5426" t="s">
        <v>10180</v>
      </c>
      <c r="C5426" t="s">
        <v>12234</v>
      </c>
      <c r="D5426" t="s">
        <v>12182</v>
      </c>
      <c r="E5426">
        <v>28337.22</v>
      </c>
      <c r="G5426" s="35"/>
      <c r="H5426" s="36">
        <f t="shared" si="254"/>
        <v>17852.4486</v>
      </c>
      <c r="I5426" s="37">
        <f t="shared" si="252"/>
        <v>17852.4486</v>
      </c>
      <c r="J5426" s="4"/>
      <c r="K5426" s="38">
        <f t="shared" si="253"/>
        <v>0</v>
      </c>
    </row>
    <row r="5427" spans="1:11">
      <c r="A5427" t="s">
        <v>12236</v>
      </c>
      <c r="B5427" t="s">
        <v>10180</v>
      </c>
      <c r="C5427" t="s">
        <v>12234</v>
      </c>
      <c r="D5427" t="s">
        <v>12184</v>
      </c>
      <c r="E5427">
        <v>36196.26</v>
      </c>
      <c r="G5427" s="35"/>
      <c r="H5427" s="36">
        <f t="shared" si="254"/>
        <v>22803.643800000002</v>
      </c>
      <c r="I5427" s="37">
        <f t="shared" si="252"/>
        <v>22803.643800000002</v>
      </c>
      <c r="J5427" s="4"/>
      <c r="K5427" s="38">
        <f t="shared" si="253"/>
        <v>0</v>
      </c>
    </row>
    <row r="5428" spans="1:11">
      <c r="A5428" t="s">
        <v>3797</v>
      </c>
      <c r="B5428" t="s">
        <v>10180</v>
      </c>
      <c r="C5428" t="s">
        <v>9282</v>
      </c>
      <c r="D5428" t="s">
        <v>9283</v>
      </c>
      <c r="E5428">
        <v>445.35</v>
      </c>
      <c r="G5428" s="35"/>
      <c r="H5428" s="36">
        <f t="shared" si="254"/>
        <v>280.57050000000004</v>
      </c>
      <c r="I5428" s="37">
        <f t="shared" si="252"/>
        <v>280.57050000000004</v>
      </c>
      <c r="J5428" s="4"/>
      <c r="K5428" s="38">
        <f t="shared" si="253"/>
        <v>0</v>
      </c>
    </row>
    <row r="5429" spans="1:11">
      <c r="A5429" t="s">
        <v>3798</v>
      </c>
      <c r="B5429" t="s">
        <v>10180</v>
      </c>
      <c r="C5429" t="s">
        <v>9282</v>
      </c>
      <c r="D5429" t="s">
        <v>9284</v>
      </c>
      <c r="E5429">
        <v>16461.57</v>
      </c>
      <c r="G5429" s="35"/>
      <c r="H5429" s="36">
        <f t="shared" si="254"/>
        <v>10370.7891</v>
      </c>
      <c r="I5429" s="37">
        <f t="shared" si="252"/>
        <v>10370.7891</v>
      </c>
      <c r="J5429" s="4"/>
      <c r="K5429" s="38">
        <f t="shared" si="253"/>
        <v>0</v>
      </c>
    </row>
    <row r="5430" spans="1:11">
      <c r="A5430" t="s">
        <v>3799</v>
      </c>
      <c r="B5430" t="s">
        <v>10180</v>
      </c>
      <c r="C5430" t="s">
        <v>9282</v>
      </c>
      <c r="D5430" t="s">
        <v>9285</v>
      </c>
      <c r="E5430">
        <v>17414.669999999998</v>
      </c>
      <c r="G5430" s="35"/>
      <c r="H5430" s="36">
        <f t="shared" si="254"/>
        <v>10971.242099999999</v>
      </c>
      <c r="I5430" s="37">
        <f t="shared" si="252"/>
        <v>10971.242099999999</v>
      </c>
      <c r="J5430" s="4"/>
      <c r="K5430" s="38">
        <f t="shared" si="253"/>
        <v>0</v>
      </c>
    </row>
    <row r="5431" spans="1:11">
      <c r="A5431" t="s">
        <v>3800</v>
      </c>
      <c r="B5431" t="s">
        <v>10180</v>
      </c>
      <c r="C5431" t="s">
        <v>9282</v>
      </c>
      <c r="D5431" t="s">
        <v>9286</v>
      </c>
      <c r="E5431">
        <v>10305.83</v>
      </c>
      <c r="G5431" s="35"/>
      <c r="H5431" s="36">
        <f t="shared" si="254"/>
        <v>6492.6728999999996</v>
      </c>
      <c r="I5431" s="37">
        <f t="shared" si="252"/>
        <v>6492.6728999999996</v>
      </c>
      <c r="J5431" s="4"/>
      <c r="K5431" s="38">
        <f t="shared" si="253"/>
        <v>0</v>
      </c>
    </row>
    <row r="5432" spans="1:11">
      <c r="A5432" t="s">
        <v>3801</v>
      </c>
      <c r="B5432" t="s">
        <v>10180</v>
      </c>
      <c r="C5432" t="s">
        <v>9282</v>
      </c>
      <c r="D5432" t="s">
        <v>9287</v>
      </c>
      <c r="E5432">
        <v>2460.37</v>
      </c>
      <c r="G5432" s="35"/>
      <c r="H5432" s="36">
        <f t="shared" si="254"/>
        <v>1550.0330999999999</v>
      </c>
      <c r="I5432" s="37">
        <f t="shared" si="252"/>
        <v>1550.0330999999999</v>
      </c>
      <c r="J5432" s="4"/>
      <c r="K5432" s="38">
        <f t="shared" si="253"/>
        <v>0</v>
      </c>
    </row>
    <row r="5433" spans="1:11">
      <c r="A5433" t="s">
        <v>3802</v>
      </c>
      <c r="B5433" t="s">
        <v>10180</v>
      </c>
      <c r="C5433" t="s">
        <v>9282</v>
      </c>
      <c r="D5433" t="s">
        <v>6735</v>
      </c>
      <c r="E5433">
        <v>1603.3</v>
      </c>
      <c r="G5433" s="35"/>
      <c r="H5433" s="36">
        <f t="shared" si="254"/>
        <v>1010.079</v>
      </c>
      <c r="I5433" s="37">
        <f t="shared" si="252"/>
        <v>1010.079</v>
      </c>
      <c r="J5433" s="4"/>
      <c r="K5433" s="38">
        <f t="shared" si="253"/>
        <v>0</v>
      </c>
    </row>
    <row r="5434" spans="1:11">
      <c r="A5434" t="s">
        <v>3803</v>
      </c>
      <c r="B5434" t="s">
        <v>10180</v>
      </c>
      <c r="C5434" t="s">
        <v>9282</v>
      </c>
      <c r="D5434" t="s">
        <v>6734</v>
      </c>
      <c r="E5434">
        <v>741.53</v>
      </c>
      <c r="G5434" s="35"/>
      <c r="H5434" s="36">
        <f t="shared" si="254"/>
        <v>467.16390000000001</v>
      </c>
      <c r="I5434" s="37">
        <f t="shared" si="252"/>
        <v>467.16390000000001</v>
      </c>
      <c r="J5434" s="4"/>
      <c r="K5434" s="38">
        <f t="shared" si="253"/>
        <v>0</v>
      </c>
    </row>
    <row r="5435" spans="1:11">
      <c r="A5435" t="s">
        <v>3804</v>
      </c>
      <c r="B5435" t="s">
        <v>10180</v>
      </c>
      <c r="C5435" t="s">
        <v>9282</v>
      </c>
      <c r="D5435" t="s">
        <v>9288</v>
      </c>
      <c r="E5435">
        <v>274.64</v>
      </c>
      <c r="G5435" s="35"/>
      <c r="H5435" s="36">
        <f t="shared" si="254"/>
        <v>173.0232</v>
      </c>
      <c r="I5435" s="37">
        <f t="shared" si="252"/>
        <v>173.0232</v>
      </c>
      <c r="J5435" s="4"/>
      <c r="K5435" s="38">
        <f t="shared" si="253"/>
        <v>0</v>
      </c>
    </row>
    <row r="5436" spans="1:11">
      <c r="A5436" t="s">
        <v>3805</v>
      </c>
      <c r="B5436" t="s">
        <v>10180</v>
      </c>
      <c r="C5436" t="s">
        <v>9282</v>
      </c>
      <c r="D5436" t="s">
        <v>9289</v>
      </c>
      <c r="E5436">
        <v>243.82</v>
      </c>
      <c r="G5436" s="35"/>
      <c r="H5436" s="36">
        <f t="shared" si="254"/>
        <v>153.60659999999999</v>
      </c>
      <c r="I5436" s="37">
        <f t="shared" si="252"/>
        <v>153.60659999999999</v>
      </c>
      <c r="J5436" s="4"/>
      <c r="K5436" s="38">
        <f t="shared" si="253"/>
        <v>0</v>
      </c>
    </row>
    <row r="5437" spans="1:11">
      <c r="A5437" t="s">
        <v>3806</v>
      </c>
      <c r="B5437" t="s">
        <v>10180</v>
      </c>
      <c r="C5437" t="s">
        <v>9282</v>
      </c>
      <c r="D5437" t="s">
        <v>9290</v>
      </c>
      <c r="E5437">
        <v>18264.36</v>
      </c>
      <c r="G5437" s="35"/>
      <c r="H5437" s="36">
        <f t="shared" si="254"/>
        <v>11506.5468</v>
      </c>
      <c r="I5437" s="37">
        <f t="shared" si="252"/>
        <v>11506.5468</v>
      </c>
      <c r="J5437" s="4"/>
      <c r="K5437" s="38">
        <f t="shared" si="253"/>
        <v>0</v>
      </c>
    </row>
    <row r="5438" spans="1:11">
      <c r="A5438" t="s">
        <v>3866</v>
      </c>
      <c r="B5438" t="s">
        <v>10180</v>
      </c>
      <c r="C5438" t="s">
        <v>9335</v>
      </c>
      <c r="D5438" t="s">
        <v>9336</v>
      </c>
      <c r="E5438">
        <v>2090.9499999999998</v>
      </c>
      <c r="G5438" s="35"/>
      <c r="H5438" s="36">
        <f t="shared" si="254"/>
        <v>1317.2984999999999</v>
      </c>
      <c r="I5438" s="37">
        <f t="shared" si="252"/>
        <v>1317.2984999999999</v>
      </c>
      <c r="J5438" s="4"/>
      <c r="K5438" s="38">
        <f t="shared" si="253"/>
        <v>0</v>
      </c>
    </row>
    <row r="5439" spans="1:11">
      <c r="A5439" t="s">
        <v>3867</v>
      </c>
      <c r="B5439" t="s">
        <v>10180</v>
      </c>
      <c r="C5439" t="s">
        <v>9335</v>
      </c>
      <c r="D5439" t="s">
        <v>9337</v>
      </c>
      <c r="E5439">
        <v>753.62</v>
      </c>
      <c r="G5439" s="35"/>
      <c r="H5439" s="36">
        <f t="shared" si="254"/>
        <v>474.78059999999999</v>
      </c>
      <c r="I5439" s="37">
        <f t="shared" si="252"/>
        <v>474.78059999999999</v>
      </c>
      <c r="J5439" s="4"/>
      <c r="K5439" s="38">
        <f t="shared" si="253"/>
        <v>0</v>
      </c>
    </row>
    <row r="5440" spans="1:11">
      <c r="A5440" t="s">
        <v>3868</v>
      </c>
      <c r="B5440" t="s">
        <v>10180</v>
      </c>
      <c r="C5440" t="s">
        <v>9335</v>
      </c>
      <c r="D5440" t="s">
        <v>9338</v>
      </c>
      <c r="E5440">
        <v>1278.2</v>
      </c>
      <c r="G5440" s="35"/>
      <c r="H5440" s="36">
        <f t="shared" si="254"/>
        <v>805.26600000000008</v>
      </c>
      <c r="I5440" s="37">
        <f t="shared" si="252"/>
        <v>805.26600000000008</v>
      </c>
      <c r="J5440" s="4"/>
      <c r="K5440" s="38">
        <f t="shared" si="253"/>
        <v>0</v>
      </c>
    </row>
    <row r="5441" spans="1:11">
      <c r="A5441" t="s">
        <v>3869</v>
      </c>
      <c r="B5441" t="s">
        <v>10180</v>
      </c>
      <c r="C5441" t="s">
        <v>9335</v>
      </c>
      <c r="D5441" t="s">
        <v>9339</v>
      </c>
      <c r="E5441">
        <v>2778.09</v>
      </c>
      <c r="G5441" s="35"/>
      <c r="H5441" s="36">
        <f t="shared" si="254"/>
        <v>1750.1967000000002</v>
      </c>
      <c r="I5441" s="37">
        <f t="shared" si="252"/>
        <v>1750.1967000000002</v>
      </c>
      <c r="J5441" s="4"/>
      <c r="K5441" s="38">
        <f t="shared" si="253"/>
        <v>0</v>
      </c>
    </row>
    <row r="5442" spans="1:11">
      <c r="A5442" t="s">
        <v>3870</v>
      </c>
      <c r="B5442" t="s">
        <v>10180</v>
      </c>
      <c r="C5442" t="s">
        <v>9335</v>
      </c>
      <c r="D5442" t="s">
        <v>9340</v>
      </c>
      <c r="E5442">
        <v>1071.3399999999999</v>
      </c>
      <c r="G5442" s="35"/>
      <c r="H5442" s="36">
        <f t="shared" si="254"/>
        <v>674.94419999999991</v>
      </c>
      <c r="I5442" s="37">
        <f t="shared" si="252"/>
        <v>674.94419999999991</v>
      </c>
      <c r="J5442" s="4"/>
      <c r="K5442" s="38">
        <f t="shared" si="253"/>
        <v>0</v>
      </c>
    </row>
    <row r="5443" spans="1:11">
      <c r="A5443" t="s">
        <v>3871</v>
      </c>
      <c r="B5443" t="s">
        <v>10180</v>
      </c>
      <c r="C5443" t="s">
        <v>9335</v>
      </c>
      <c r="D5443" t="s">
        <v>9341</v>
      </c>
      <c r="E5443">
        <v>1233.8699999999999</v>
      </c>
      <c r="G5443" s="35"/>
      <c r="H5443" s="36">
        <f t="shared" si="254"/>
        <v>777.33809999999994</v>
      </c>
      <c r="I5443" s="37">
        <f t="shared" si="252"/>
        <v>777.33809999999994</v>
      </c>
      <c r="J5443" s="4"/>
      <c r="K5443" s="38">
        <f t="shared" si="253"/>
        <v>0</v>
      </c>
    </row>
    <row r="5444" spans="1:11">
      <c r="A5444" t="s">
        <v>3872</v>
      </c>
      <c r="B5444" t="s">
        <v>10180</v>
      </c>
      <c r="C5444" t="s">
        <v>9335</v>
      </c>
      <c r="D5444" t="s">
        <v>9342</v>
      </c>
      <c r="E5444">
        <v>1270.83</v>
      </c>
      <c r="G5444" s="35"/>
      <c r="H5444" s="36">
        <f t="shared" si="254"/>
        <v>800.62289999999996</v>
      </c>
      <c r="I5444" s="37">
        <f t="shared" si="252"/>
        <v>800.62289999999996</v>
      </c>
      <c r="J5444" s="4"/>
      <c r="K5444" s="38">
        <f t="shared" si="253"/>
        <v>0</v>
      </c>
    </row>
    <row r="5445" spans="1:11">
      <c r="A5445" t="s">
        <v>3873</v>
      </c>
      <c r="B5445" t="s">
        <v>10180</v>
      </c>
      <c r="C5445" t="s">
        <v>9335</v>
      </c>
      <c r="D5445" t="s">
        <v>9343</v>
      </c>
      <c r="E5445">
        <v>2342.15</v>
      </c>
      <c r="G5445" s="35"/>
      <c r="H5445" s="36">
        <f t="shared" si="254"/>
        <v>1475.5545</v>
      </c>
      <c r="I5445" s="37">
        <f t="shared" si="252"/>
        <v>1475.5545</v>
      </c>
      <c r="J5445" s="4"/>
      <c r="K5445" s="38">
        <f t="shared" si="253"/>
        <v>0</v>
      </c>
    </row>
    <row r="5446" spans="1:11">
      <c r="A5446" t="s">
        <v>3874</v>
      </c>
      <c r="B5446" t="s">
        <v>10180</v>
      </c>
      <c r="C5446" t="s">
        <v>9335</v>
      </c>
      <c r="D5446" t="s">
        <v>9344</v>
      </c>
      <c r="E5446">
        <v>3075.83</v>
      </c>
      <c r="G5446" s="35"/>
      <c r="H5446" s="36">
        <f t="shared" si="254"/>
        <v>1937.7728999999999</v>
      </c>
      <c r="I5446" s="37">
        <f t="shared" ref="I5446:I5509" si="255">H5446*$H$4</f>
        <v>1937.7728999999999</v>
      </c>
      <c r="J5446" s="4"/>
      <c r="K5446" s="38">
        <f t="shared" ref="K5446:K5509" si="256">J5446*I5446</f>
        <v>0</v>
      </c>
    </row>
    <row r="5447" spans="1:11">
      <c r="A5447" t="s">
        <v>3875</v>
      </c>
      <c r="B5447" t="s">
        <v>10180</v>
      </c>
      <c r="C5447" t="s">
        <v>9335</v>
      </c>
      <c r="D5447" t="s">
        <v>9345</v>
      </c>
      <c r="E5447">
        <v>2967.41</v>
      </c>
      <c r="G5447" s="35"/>
      <c r="H5447" s="36">
        <f t="shared" ref="H5447:H5510" si="257">+E5447*$H$1*(1-G5447)</f>
        <v>1869.4683</v>
      </c>
      <c r="I5447" s="37">
        <f t="shared" si="255"/>
        <v>1869.4683</v>
      </c>
      <c r="J5447" s="4"/>
      <c r="K5447" s="38">
        <f t="shared" si="256"/>
        <v>0</v>
      </c>
    </row>
    <row r="5448" spans="1:11">
      <c r="A5448" t="s">
        <v>3876</v>
      </c>
      <c r="B5448" t="s">
        <v>10180</v>
      </c>
      <c r="C5448" t="s">
        <v>9335</v>
      </c>
      <c r="D5448" t="s">
        <v>9346</v>
      </c>
      <c r="E5448">
        <v>1152.6300000000001</v>
      </c>
      <c r="G5448" s="35"/>
      <c r="H5448" s="36">
        <f t="shared" si="257"/>
        <v>726.15690000000006</v>
      </c>
      <c r="I5448" s="37">
        <f t="shared" si="255"/>
        <v>726.15690000000006</v>
      </c>
      <c r="J5448" s="4"/>
      <c r="K5448" s="38">
        <f t="shared" si="256"/>
        <v>0</v>
      </c>
    </row>
    <row r="5449" spans="1:11">
      <c r="A5449" t="s">
        <v>12238</v>
      </c>
      <c r="B5449" t="s">
        <v>10180</v>
      </c>
      <c r="C5449" t="s">
        <v>12242</v>
      </c>
      <c r="D5449" t="s">
        <v>12246</v>
      </c>
      <c r="E5449">
        <v>5301.15</v>
      </c>
      <c r="G5449" s="35"/>
      <c r="H5449" s="36">
        <f t="shared" si="257"/>
        <v>3339.7244999999998</v>
      </c>
      <c r="I5449" s="37">
        <f t="shared" si="255"/>
        <v>3339.7244999999998</v>
      </c>
      <c r="J5449" s="4"/>
      <c r="K5449" s="38">
        <f t="shared" si="256"/>
        <v>0</v>
      </c>
    </row>
    <row r="5450" spans="1:11">
      <c r="A5450" t="s">
        <v>12239</v>
      </c>
      <c r="B5450" t="s">
        <v>10180</v>
      </c>
      <c r="C5450" t="s">
        <v>12242</v>
      </c>
      <c r="D5450" t="s">
        <v>12247</v>
      </c>
      <c r="E5450">
        <v>8216.1200000000008</v>
      </c>
      <c r="G5450" s="35"/>
      <c r="H5450" s="36">
        <f t="shared" si="257"/>
        <v>5176.155600000001</v>
      </c>
      <c r="I5450" s="37">
        <f t="shared" si="255"/>
        <v>5176.155600000001</v>
      </c>
      <c r="J5450" s="4"/>
      <c r="K5450" s="38">
        <f t="shared" si="256"/>
        <v>0</v>
      </c>
    </row>
    <row r="5451" spans="1:11">
      <c r="A5451" t="s">
        <v>12240</v>
      </c>
      <c r="B5451" t="s">
        <v>10180</v>
      </c>
      <c r="C5451" t="s">
        <v>12242</v>
      </c>
      <c r="D5451" t="s">
        <v>12248</v>
      </c>
      <c r="E5451">
        <v>12840.45</v>
      </c>
      <c r="G5451" s="35"/>
      <c r="H5451" s="36">
        <f t="shared" si="257"/>
        <v>8089.4835000000003</v>
      </c>
      <c r="I5451" s="37">
        <f t="shared" si="255"/>
        <v>8089.4835000000003</v>
      </c>
      <c r="J5451" s="4"/>
      <c r="K5451" s="38">
        <f t="shared" si="256"/>
        <v>0</v>
      </c>
    </row>
    <row r="5452" spans="1:11">
      <c r="A5452" t="s">
        <v>12241</v>
      </c>
      <c r="B5452" t="s">
        <v>10180</v>
      </c>
      <c r="C5452" t="s">
        <v>12242</v>
      </c>
      <c r="D5452" t="s">
        <v>12249</v>
      </c>
      <c r="E5452">
        <v>6062.12</v>
      </c>
      <c r="G5452" s="35"/>
      <c r="H5452" s="36">
        <f t="shared" si="257"/>
        <v>3819.1356000000001</v>
      </c>
      <c r="I5452" s="37">
        <f t="shared" si="255"/>
        <v>3819.1356000000001</v>
      </c>
      <c r="J5452" s="4"/>
      <c r="K5452" s="38">
        <f t="shared" si="256"/>
        <v>0</v>
      </c>
    </row>
    <row r="5453" spans="1:11">
      <c r="A5453" t="s">
        <v>712</v>
      </c>
      <c r="B5453" t="s">
        <v>10180</v>
      </c>
      <c r="C5453" t="s">
        <v>6367</v>
      </c>
      <c r="D5453" t="s">
        <v>6368</v>
      </c>
      <c r="E5453">
        <v>738.86</v>
      </c>
      <c r="G5453" s="35"/>
      <c r="H5453" s="36">
        <f t="shared" si="257"/>
        <v>465.48180000000002</v>
      </c>
      <c r="I5453" s="37">
        <f t="shared" si="255"/>
        <v>465.48180000000002</v>
      </c>
      <c r="J5453" s="4"/>
      <c r="K5453" s="38">
        <f t="shared" si="256"/>
        <v>0</v>
      </c>
    </row>
    <row r="5454" spans="1:11">
      <c r="A5454" t="s">
        <v>713</v>
      </c>
      <c r="B5454" t="s">
        <v>10180</v>
      </c>
      <c r="C5454" t="s">
        <v>6367</v>
      </c>
      <c r="D5454" t="s">
        <v>6369</v>
      </c>
      <c r="E5454">
        <v>761.02</v>
      </c>
      <c r="G5454" s="35"/>
      <c r="H5454" s="36">
        <f t="shared" si="257"/>
        <v>479.44259999999997</v>
      </c>
      <c r="I5454" s="37">
        <f t="shared" si="255"/>
        <v>479.44259999999997</v>
      </c>
      <c r="J5454" s="4"/>
      <c r="K5454" s="38">
        <f t="shared" si="256"/>
        <v>0</v>
      </c>
    </row>
    <row r="5455" spans="1:11">
      <c r="A5455" t="s">
        <v>714</v>
      </c>
      <c r="B5455" t="s">
        <v>10180</v>
      </c>
      <c r="C5455" t="s">
        <v>6367</v>
      </c>
      <c r="D5455" t="s">
        <v>6370</v>
      </c>
      <c r="E5455">
        <v>1059.79</v>
      </c>
      <c r="G5455" s="35"/>
      <c r="H5455" s="36">
        <f t="shared" si="257"/>
        <v>667.66769999999997</v>
      </c>
      <c r="I5455" s="37">
        <f t="shared" si="255"/>
        <v>667.66769999999997</v>
      </c>
      <c r="J5455" s="4"/>
      <c r="K5455" s="38">
        <f t="shared" si="256"/>
        <v>0</v>
      </c>
    </row>
    <row r="5456" spans="1:11">
      <c r="A5456" t="s">
        <v>715</v>
      </c>
      <c r="B5456" t="s">
        <v>10180</v>
      </c>
      <c r="C5456" t="s">
        <v>6367</v>
      </c>
      <c r="D5456" t="s">
        <v>6371</v>
      </c>
      <c r="E5456">
        <v>1596.73</v>
      </c>
      <c r="G5456" s="35"/>
      <c r="H5456" s="36">
        <f t="shared" si="257"/>
        <v>1005.9399</v>
      </c>
      <c r="I5456" s="37">
        <f t="shared" si="255"/>
        <v>1005.9399</v>
      </c>
      <c r="J5456" s="4"/>
      <c r="K5456" s="38">
        <f t="shared" si="256"/>
        <v>0</v>
      </c>
    </row>
    <row r="5457" spans="1:11">
      <c r="A5457" t="s">
        <v>716</v>
      </c>
      <c r="B5457" t="s">
        <v>10180</v>
      </c>
      <c r="C5457" t="s">
        <v>6367</v>
      </c>
      <c r="D5457" t="s">
        <v>6366</v>
      </c>
      <c r="E5457">
        <v>2313.46</v>
      </c>
      <c r="G5457" s="35"/>
      <c r="H5457" s="36">
        <f t="shared" si="257"/>
        <v>1457.4798000000001</v>
      </c>
      <c r="I5457" s="37">
        <f t="shared" si="255"/>
        <v>1457.4798000000001</v>
      </c>
      <c r="J5457" s="4"/>
      <c r="K5457" s="38">
        <f t="shared" si="256"/>
        <v>0</v>
      </c>
    </row>
    <row r="5458" spans="1:11">
      <c r="A5458" t="s">
        <v>717</v>
      </c>
      <c r="B5458" t="s">
        <v>10180</v>
      </c>
      <c r="C5458" t="s">
        <v>6367</v>
      </c>
      <c r="D5458" t="s">
        <v>6372</v>
      </c>
      <c r="E5458">
        <v>5548.76</v>
      </c>
      <c r="G5458" s="35"/>
      <c r="H5458" s="36">
        <f t="shared" si="257"/>
        <v>3495.7188000000001</v>
      </c>
      <c r="I5458" s="37">
        <f t="shared" si="255"/>
        <v>3495.7188000000001</v>
      </c>
      <c r="J5458" s="4"/>
      <c r="K5458" s="38">
        <f t="shared" si="256"/>
        <v>0</v>
      </c>
    </row>
    <row r="5459" spans="1:11">
      <c r="A5459" t="s">
        <v>718</v>
      </c>
      <c r="B5459" t="s">
        <v>10180</v>
      </c>
      <c r="C5459" t="s">
        <v>6367</v>
      </c>
      <c r="D5459" t="s">
        <v>6373</v>
      </c>
      <c r="E5459">
        <v>9124.7800000000007</v>
      </c>
      <c r="G5459" s="35"/>
      <c r="H5459" s="36">
        <f t="shared" si="257"/>
        <v>5748.6114000000007</v>
      </c>
      <c r="I5459" s="37">
        <f t="shared" si="255"/>
        <v>5748.6114000000007</v>
      </c>
      <c r="J5459" s="4"/>
      <c r="K5459" s="38">
        <f t="shared" si="256"/>
        <v>0</v>
      </c>
    </row>
    <row r="5460" spans="1:11">
      <c r="A5460" t="s">
        <v>719</v>
      </c>
      <c r="B5460" t="s">
        <v>10180</v>
      </c>
      <c r="C5460" t="s">
        <v>6367</v>
      </c>
      <c r="D5460" t="s">
        <v>6374</v>
      </c>
      <c r="E5460">
        <v>16823.599999999999</v>
      </c>
      <c r="G5460" s="35"/>
      <c r="H5460" s="36">
        <f t="shared" si="257"/>
        <v>10598.867999999999</v>
      </c>
      <c r="I5460" s="37">
        <f t="shared" si="255"/>
        <v>10598.867999999999</v>
      </c>
      <c r="J5460" s="4"/>
      <c r="K5460" s="38">
        <f t="shared" si="256"/>
        <v>0</v>
      </c>
    </row>
    <row r="5461" spans="1:11">
      <c r="A5461" t="s">
        <v>12165</v>
      </c>
      <c r="B5461" t="s">
        <v>10180</v>
      </c>
      <c r="C5461" t="s">
        <v>6367</v>
      </c>
      <c r="D5461" t="s">
        <v>12166</v>
      </c>
      <c r="E5461">
        <v>12640.64</v>
      </c>
      <c r="G5461" s="35"/>
      <c r="H5461" s="36">
        <f t="shared" si="257"/>
        <v>7963.6031999999996</v>
      </c>
      <c r="I5461" s="37">
        <f t="shared" si="255"/>
        <v>7963.6031999999996</v>
      </c>
      <c r="J5461" s="4"/>
      <c r="K5461" s="38">
        <f t="shared" si="256"/>
        <v>0</v>
      </c>
    </row>
    <row r="5462" spans="1:11">
      <c r="A5462" t="s">
        <v>720</v>
      </c>
      <c r="B5462" t="s">
        <v>10180</v>
      </c>
      <c r="C5462" t="s">
        <v>6375</v>
      </c>
      <c r="D5462" t="s">
        <v>6376</v>
      </c>
      <c r="E5462">
        <v>345.26</v>
      </c>
      <c r="G5462" s="35"/>
      <c r="H5462" s="36">
        <f t="shared" si="257"/>
        <v>217.5138</v>
      </c>
      <c r="I5462" s="37">
        <f t="shared" si="255"/>
        <v>217.5138</v>
      </c>
      <c r="J5462" s="4"/>
      <c r="K5462" s="38">
        <f t="shared" si="256"/>
        <v>0</v>
      </c>
    </row>
    <row r="5463" spans="1:11">
      <c r="A5463" t="s">
        <v>721</v>
      </c>
      <c r="B5463" t="s">
        <v>10180</v>
      </c>
      <c r="C5463" t="s">
        <v>6375</v>
      </c>
      <c r="D5463" t="s">
        <v>6369</v>
      </c>
      <c r="E5463">
        <v>610.32000000000005</v>
      </c>
      <c r="G5463" s="35"/>
      <c r="H5463" s="36">
        <f t="shared" si="257"/>
        <v>384.50160000000005</v>
      </c>
      <c r="I5463" s="37">
        <f t="shared" si="255"/>
        <v>384.50160000000005</v>
      </c>
      <c r="J5463" s="4"/>
      <c r="K5463" s="38">
        <f t="shared" si="256"/>
        <v>0</v>
      </c>
    </row>
    <row r="5464" spans="1:11">
      <c r="A5464" t="s">
        <v>722</v>
      </c>
      <c r="B5464" t="s">
        <v>10180</v>
      </c>
      <c r="C5464" t="s">
        <v>6375</v>
      </c>
      <c r="D5464" t="s">
        <v>6370</v>
      </c>
      <c r="E5464">
        <v>870.79</v>
      </c>
      <c r="G5464" s="35"/>
      <c r="H5464" s="36">
        <f t="shared" si="257"/>
        <v>548.59770000000003</v>
      </c>
      <c r="I5464" s="37">
        <f t="shared" si="255"/>
        <v>548.59770000000003</v>
      </c>
      <c r="J5464" s="4"/>
      <c r="K5464" s="38">
        <f t="shared" si="256"/>
        <v>0</v>
      </c>
    </row>
    <row r="5465" spans="1:11">
      <c r="A5465" t="s">
        <v>723</v>
      </c>
      <c r="B5465" t="s">
        <v>10180</v>
      </c>
      <c r="C5465" t="s">
        <v>6375</v>
      </c>
      <c r="D5465" t="s">
        <v>6371</v>
      </c>
      <c r="E5465">
        <v>1441.84</v>
      </c>
      <c r="G5465" s="35"/>
      <c r="H5465" s="36">
        <f t="shared" si="257"/>
        <v>908.35919999999999</v>
      </c>
      <c r="I5465" s="37">
        <f t="shared" si="255"/>
        <v>908.35919999999999</v>
      </c>
      <c r="J5465" s="4"/>
      <c r="K5465" s="38">
        <f t="shared" si="256"/>
        <v>0</v>
      </c>
    </row>
    <row r="5466" spans="1:11">
      <c r="A5466" t="s">
        <v>724</v>
      </c>
      <c r="B5466" t="s">
        <v>10180</v>
      </c>
      <c r="C5466" t="s">
        <v>6375</v>
      </c>
      <c r="D5466" t="s">
        <v>6366</v>
      </c>
      <c r="E5466">
        <v>2330.27</v>
      </c>
      <c r="G5466" s="35"/>
      <c r="H5466" s="36">
        <f t="shared" si="257"/>
        <v>1468.0700999999999</v>
      </c>
      <c r="I5466" s="37">
        <f t="shared" si="255"/>
        <v>1468.0700999999999</v>
      </c>
      <c r="J5466" s="4"/>
      <c r="K5466" s="38">
        <f t="shared" si="256"/>
        <v>0</v>
      </c>
    </row>
    <row r="5467" spans="1:11">
      <c r="A5467" t="s">
        <v>725</v>
      </c>
      <c r="B5467" t="s">
        <v>10180</v>
      </c>
      <c r="C5467" t="s">
        <v>6375</v>
      </c>
      <c r="D5467" t="s">
        <v>6372</v>
      </c>
      <c r="E5467">
        <v>6184.16</v>
      </c>
      <c r="G5467" s="35"/>
      <c r="H5467" s="36">
        <f t="shared" si="257"/>
        <v>3896.0207999999998</v>
      </c>
      <c r="I5467" s="37">
        <f t="shared" si="255"/>
        <v>3896.0207999999998</v>
      </c>
      <c r="J5467" s="4"/>
      <c r="K5467" s="38">
        <f t="shared" si="256"/>
        <v>0</v>
      </c>
    </row>
    <row r="5468" spans="1:11">
      <c r="A5468" t="s">
        <v>726</v>
      </c>
      <c r="B5468" t="s">
        <v>10180</v>
      </c>
      <c r="C5468" t="s">
        <v>6375</v>
      </c>
      <c r="D5468" t="s">
        <v>6373</v>
      </c>
      <c r="E5468">
        <v>10329.120000000001</v>
      </c>
      <c r="G5468" s="35"/>
      <c r="H5468" s="36">
        <f t="shared" si="257"/>
        <v>6507.3456000000006</v>
      </c>
      <c r="I5468" s="37">
        <f t="shared" si="255"/>
        <v>6507.3456000000006</v>
      </c>
      <c r="J5468" s="4"/>
      <c r="K5468" s="38">
        <f t="shared" si="256"/>
        <v>0</v>
      </c>
    </row>
    <row r="5469" spans="1:11">
      <c r="A5469" t="s">
        <v>727</v>
      </c>
      <c r="B5469" t="s">
        <v>10180</v>
      </c>
      <c r="C5469" t="s">
        <v>6375</v>
      </c>
      <c r="D5469" t="s">
        <v>6377</v>
      </c>
      <c r="E5469">
        <v>14444.52</v>
      </c>
      <c r="G5469" s="35"/>
      <c r="H5469" s="36">
        <f t="shared" si="257"/>
        <v>9100.0475999999999</v>
      </c>
      <c r="I5469" s="37">
        <f t="shared" si="255"/>
        <v>9100.0475999999999</v>
      </c>
      <c r="J5469" s="4"/>
      <c r="K5469" s="38">
        <f t="shared" si="256"/>
        <v>0</v>
      </c>
    </row>
    <row r="5470" spans="1:11">
      <c r="A5470" t="s">
        <v>728</v>
      </c>
      <c r="B5470" t="s">
        <v>10180</v>
      </c>
      <c r="C5470" t="s">
        <v>6375</v>
      </c>
      <c r="D5470" t="s">
        <v>6378</v>
      </c>
      <c r="E5470">
        <v>23153.7</v>
      </c>
      <c r="G5470" s="35"/>
      <c r="H5470" s="36">
        <f t="shared" si="257"/>
        <v>14586.831</v>
      </c>
      <c r="I5470" s="37">
        <f t="shared" si="255"/>
        <v>14586.831</v>
      </c>
      <c r="J5470" s="4"/>
      <c r="K5470" s="38">
        <f t="shared" si="256"/>
        <v>0</v>
      </c>
    </row>
    <row r="5471" spans="1:11">
      <c r="A5471" t="s">
        <v>12167</v>
      </c>
      <c r="B5471" t="s">
        <v>10180</v>
      </c>
      <c r="C5471" t="s">
        <v>12168</v>
      </c>
      <c r="D5471" t="s">
        <v>12169</v>
      </c>
      <c r="E5471">
        <v>14162.18</v>
      </c>
      <c r="G5471" s="35"/>
      <c r="H5471" s="36">
        <f t="shared" si="257"/>
        <v>8922.1733999999997</v>
      </c>
      <c r="I5471" s="37">
        <f t="shared" si="255"/>
        <v>8922.1733999999997</v>
      </c>
      <c r="J5471" s="4"/>
      <c r="K5471" s="38">
        <f t="shared" si="256"/>
        <v>0</v>
      </c>
    </row>
    <row r="5472" spans="1:11">
      <c r="A5472" t="s">
        <v>12170</v>
      </c>
      <c r="B5472" t="s">
        <v>10180</v>
      </c>
      <c r="C5472" t="s">
        <v>12168</v>
      </c>
      <c r="D5472" t="s">
        <v>12171</v>
      </c>
      <c r="E5472">
        <v>19295.63</v>
      </c>
      <c r="G5472" s="35"/>
      <c r="H5472" s="36">
        <f t="shared" si="257"/>
        <v>12156.2469</v>
      </c>
      <c r="I5472" s="37">
        <f t="shared" si="255"/>
        <v>12156.2469</v>
      </c>
      <c r="J5472" s="4"/>
      <c r="K5472" s="38">
        <f t="shared" si="256"/>
        <v>0</v>
      </c>
    </row>
    <row r="5473" spans="1:11">
      <c r="A5473" t="s">
        <v>12172</v>
      </c>
      <c r="B5473" t="s">
        <v>10180</v>
      </c>
      <c r="C5473" t="s">
        <v>12168</v>
      </c>
      <c r="D5473" t="s">
        <v>12173</v>
      </c>
      <c r="E5473">
        <v>39746.639999999999</v>
      </c>
      <c r="G5473" s="35"/>
      <c r="H5473" s="36">
        <f t="shared" si="257"/>
        <v>25040.3832</v>
      </c>
      <c r="I5473" s="37">
        <f t="shared" si="255"/>
        <v>25040.3832</v>
      </c>
      <c r="J5473" s="4"/>
      <c r="K5473" s="38">
        <f t="shared" si="256"/>
        <v>0</v>
      </c>
    </row>
    <row r="5474" spans="1:11">
      <c r="A5474" t="s">
        <v>12174</v>
      </c>
      <c r="B5474" t="s">
        <v>10180</v>
      </c>
      <c r="C5474" t="s">
        <v>12168</v>
      </c>
      <c r="D5474" t="s">
        <v>12175</v>
      </c>
      <c r="E5474">
        <v>11335.36</v>
      </c>
      <c r="G5474" s="35"/>
      <c r="H5474" s="36">
        <f t="shared" si="257"/>
        <v>7141.2768000000005</v>
      </c>
      <c r="I5474" s="37">
        <f t="shared" si="255"/>
        <v>7141.2768000000005</v>
      </c>
      <c r="J5474" s="4"/>
      <c r="K5474" s="38">
        <f t="shared" si="256"/>
        <v>0</v>
      </c>
    </row>
    <row r="5475" spans="1:11">
      <c r="A5475" t="s">
        <v>12176</v>
      </c>
      <c r="B5475" t="s">
        <v>10180</v>
      </c>
      <c r="C5475" t="s">
        <v>12168</v>
      </c>
      <c r="D5475" t="s">
        <v>12177</v>
      </c>
      <c r="E5475">
        <v>13676.21</v>
      </c>
      <c r="G5475" s="35"/>
      <c r="H5475" s="36">
        <f t="shared" si="257"/>
        <v>8616.0123000000003</v>
      </c>
      <c r="I5475" s="37">
        <f t="shared" si="255"/>
        <v>8616.0123000000003</v>
      </c>
      <c r="J5475" s="4"/>
      <c r="K5475" s="38">
        <f t="shared" si="256"/>
        <v>0</v>
      </c>
    </row>
    <row r="5476" spans="1:11">
      <c r="A5476" t="s">
        <v>11963</v>
      </c>
      <c r="B5476" t="s">
        <v>10180</v>
      </c>
      <c r="C5476" t="s">
        <v>11964</v>
      </c>
      <c r="D5476" t="s">
        <v>11965</v>
      </c>
      <c r="E5476">
        <v>8068.23</v>
      </c>
      <c r="G5476" s="35"/>
      <c r="H5476" s="36">
        <f t="shared" si="257"/>
        <v>5082.9848999999995</v>
      </c>
      <c r="I5476" s="37">
        <f t="shared" si="255"/>
        <v>5082.9848999999995</v>
      </c>
      <c r="J5476" s="4"/>
      <c r="K5476" s="38">
        <f t="shared" si="256"/>
        <v>0</v>
      </c>
    </row>
    <row r="5477" spans="1:11">
      <c r="A5477" t="s">
        <v>11966</v>
      </c>
      <c r="B5477" t="s">
        <v>10180</v>
      </c>
      <c r="C5477" t="s">
        <v>11964</v>
      </c>
      <c r="D5477" t="s">
        <v>11967</v>
      </c>
      <c r="E5477">
        <v>9146.9500000000007</v>
      </c>
      <c r="G5477" s="35"/>
      <c r="H5477" s="36">
        <f t="shared" si="257"/>
        <v>5762.5785000000005</v>
      </c>
      <c r="I5477" s="37">
        <f t="shared" si="255"/>
        <v>5762.5785000000005</v>
      </c>
      <c r="J5477" s="4"/>
      <c r="K5477" s="38">
        <f t="shared" si="256"/>
        <v>0</v>
      </c>
    </row>
    <row r="5478" spans="1:11">
      <c r="A5478" t="s">
        <v>11968</v>
      </c>
      <c r="B5478" t="s">
        <v>10180</v>
      </c>
      <c r="C5478" t="s">
        <v>11964</v>
      </c>
      <c r="D5478" t="s">
        <v>11969</v>
      </c>
      <c r="E5478">
        <v>13003.74</v>
      </c>
      <c r="G5478" s="35"/>
      <c r="H5478" s="36">
        <f t="shared" si="257"/>
        <v>8192.3562000000002</v>
      </c>
      <c r="I5478" s="37">
        <f t="shared" si="255"/>
        <v>8192.3562000000002</v>
      </c>
      <c r="J5478" s="4"/>
      <c r="K5478" s="38">
        <f t="shared" si="256"/>
        <v>0</v>
      </c>
    </row>
    <row r="5479" spans="1:11">
      <c r="A5479" t="s">
        <v>11970</v>
      </c>
      <c r="B5479" t="s">
        <v>10180</v>
      </c>
      <c r="C5479" t="s">
        <v>11964</v>
      </c>
      <c r="D5479" t="s">
        <v>11971</v>
      </c>
      <c r="E5479">
        <v>13424.91</v>
      </c>
      <c r="G5479" s="35"/>
      <c r="H5479" s="36">
        <f t="shared" si="257"/>
        <v>8457.6933000000008</v>
      </c>
      <c r="I5479" s="37">
        <f t="shared" si="255"/>
        <v>8457.6933000000008</v>
      </c>
      <c r="J5479" s="4"/>
      <c r="K5479" s="38">
        <f t="shared" si="256"/>
        <v>0</v>
      </c>
    </row>
    <row r="5480" spans="1:11">
      <c r="A5480" t="s">
        <v>919</v>
      </c>
      <c r="B5480" t="s">
        <v>10180</v>
      </c>
      <c r="C5480" t="s">
        <v>6569</v>
      </c>
      <c r="D5480" t="s">
        <v>6570</v>
      </c>
      <c r="E5480">
        <v>3221.39</v>
      </c>
      <c r="G5480" s="35"/>
      <c r="H5480" s="36">
        <f t="shared" si="257"/>
        <v>2029.4757</v>
      </c>
      <c r="I5480" s="37">
        <f t="shared" si="255"/>
        <v>2029.4757</v>
      </c>
      <c r="J5480" s="4"/>
      <c r="K5480" s="38">
        <f t="shared" si="256"/>
        <v>0</v>
      </c>
    </row>
    <row r="5481" spans="1:11">
      <c r="A5481" t="s">
        <v>920</v>
      </c>
      <c r="B5481" t="s">
        <v>10180</v>
      </c>
      <c r="C5481" t="s">
        <v>6569</v>
      </c>
      <c r="D5481" t="s">
        <v>6571</v>
      </c>
      <c r="E5481">
        <v>3760.75</v>
      </c>
      <c r="G5481" s="35"/>
      <c r="H5481" s="36">
        <f t="shared" si="257"/>
        <v>2369.2725</v>
      </c>
      <c r="I5481" s="37">
        <f t="shared" si="255"/>
        <v>2369.2725</v>
      </c>
      <c r="J5481" s="4"/>
      <c r="K5481" s="38">
        <f t="shared" si="256"/>
        <v>0</v>
      </c>
    </row>
    <row r="5482" spans="1:11">
      <c r="A5482" t="s">
        <v>921</v>
      </c>
      <c r="B5482" t="s">
        <v>10180</v>
      </c>
      <c r="C5482" t="s">
        <v>6569</v>
      </c>
      <c r="D5482" t="s">
        <v>6572</v>
      </c>
      <c r="E5482">
        <v>5777.82</v>
      </c>
      <c r="G5482" s="35"/>
      <c r="H5482" s="36">
        <f t="shared" si="257"/>
        <v>3640.0265999999997</v>
      </c>
      <c r="I5482" s="37">
        <f t="shared" si="255"/>
        <v>3640.0265999999997</v>
      </c>
      <c r="J5482" s="4"/>
      <c r="K5482" s="38">
        <f t="shared" si="256"/>
        <v>0</v>
      </c>
    </row>
    <row r="5483" spans="1:11">
      <c r="A5483" t="s">
        <v>922</v>
      </c>
      <c r="B5483" t="s">
        <v>10180</v>
      </c>
      <c r="C5483" t="s">
        <v>6569</v>
      </c>
      <c r="D5483" t="s">
        <v>6573</v>
      </c>
      <c r="E5483">
        <v>5168.62</v>
      </c>
      <c r="G5483" s="35"/>
      <c r="H5483" s="36">
        <f t="shared" si="257"/>
        <v>3256.2305999999999</v>
      </c>
      <c r="I5483" s="37">
        <f t="shared" si="255"/>
        <v>3256.2305999999999</v>
      </c>
      <c r="J5483" s="4"/>
      <c r="K5483" s="38">
        <f t="shared" si="256"/>
        <v>0</v>
      </c>
    </row>
    <row r="5484" spans="1:11">
      <c r="A5484" t="s">
        <v>923</v>
      </c>
      <c r="B5484" t="s">
        <v>10180</v>
      </c>
      <c r="C5484" t="s">
        <v>6569</v>
      </c>
      <c r="D5484" t="s">
        <v>6574</v>
      </c>
      <c r="E5484">
        <v>5776.99</v>
      </c>
      <c r="G5484" s="35"/>
      <c r="H5484" s="36">
        <f t="shared" si="257"/>
        <v>3639.5036999999998</v>
      </c>
      <c r="I5484" s="37">
        <f t="shared" si="255"/>
        <v>3639.5036999999998</v>
      </c>
      <c r="J5484" s="4"/>
      <c r="K5484" s="38">
        <f t="shared" si="256"/>
        <v>0</v>
      </c>
    </row>
    <row r="5485" spans="1:11">
      <c r="A5485" t="s">
        <v>924</v>
      </c>
      <c r="B5485" t="s">
        <v>10180</v>
      </c>
      <c r="C5485" t="s">
        <v>6569</v>
      </c>
      <c r="D5485" t="s">
        <v>6575</v>
      </c>
      <c r="E5485">
        <v>13764.76</v>
      </c>
      <c r="G5485" s="35"/>
      <c r="H5485" s="36">
        <f t="shared" si="257"/>
        <v>8671.7988000000005</v>
      </c>
      <c r="I5485" s="37">
        <f t="shared" si="255"/>
        <v>8671.7988000000005</v>
      </c>
      <c r="J5485" s="4"/>
      <c r="K5485" s="38">
        <f t="shared" si="256"/>
        <v>0</v>
      </c>
    </row>
    <row r="5486" spans="1:11">
      <c r="A5486" t="s">
        <v>925</v>
      </c>
      <c r="B5486" t="s">
        <v>10180</v>
      </c>
      <c r="C5486" t="s">
        <v>6569</v>
      </c>
      <c r="D5486" t="s">
        <v>6576</v>
      </c>
      <c r="E5486">
        <v>25985.33</v>
      </c>
      <c r="G5486" s="35"/>
      <c r="H5486" s="36">
        <f t="shared" si="257"/>
        <v>16370.757900000001</v>
      </c>
      <c r="I5486" s="37">
        <f t="shared" si="255"/>
        <v>16370.757900000001</v>
      </c>
      <c r="J5486" s="4"/>
      <c r="K5486" s="38">
        <f t="shared" si="256"/>
        <v>0</v>
      </c>
    </row>
    <row r="5487" spans="1:11">
      <c r="A5487" t="s">
        <v>926</v>
      </c>
      <c r="B5487" t="s">
        <v>10180</v>
      </c>
      <c r="C5487" t="s">
        <v>6569</v>
      </c>
      <c r="D5487" t="s">
        <v>6577</v>
      </c>
      <c r="E5487">
        <v>32708.85</v>
      </c>
      <c r="G5487" s="35"/>
      <c r="H5487" s="36">
        <f t="shared" si="257"/>
        <v>20606.575499999999</v>
      </c>
      <c r="I5487" s="37">
        <f t="shared" si="255"/>
        <v>20606.575499999999</v>
      </c>
      <c r="J5487" s="4"/>
      <c r="K5487" s="38">
        <f t="shared" si="256"/>
        <v>0</v>
      </c>
    </row>
    <row r="5488" spans="1:11">
      <c r="A5488" t="s">
        <v>1124</v>
      </c>
      <c r="B5488" t="s">
        <v>10180</v>
      </c>
      <c r="C5488" t="s">
        <v>6710</v>
      </c>
      <c r="D5488" t="s">
        <v>6711</v>
      </c>
      <c r="E5488">
        <v>421.14</v>
      </c>
      <c r="G5488" s="35"/>
      <c r="H5488" s="36">
        <f t="shared" si="257"/>
        <v>265.31819999999999</v>
      </c>
      <c r="I5488" s="37">
        <f t="shared" si="255"/>
        <v>265.31819999999999</v>
      </c>
      <c r="J5488" s="4"/>
      <c r="K5488" s="38">
        <f t="shared" si="256"/>
        <v>0</v>
      </c>
    </row>
    <row r="5489" spans="1:11">
      <c r="A5489" t="s">
        <v>1125</v>
      </c>
      <c r="B5489" t="s">
        <v>10180</v>
      </c>
      <c r="C5489" t="s">
        <v>6710</v>
      </c>
      <c r="D5489" t="s">
        <v>6712</v>
      </c>
      <c r="E5489">
        <v>539.36</v>
      </c>
      <c r="G5489" s="35"/>
      <c r="H5489" s="36">
        <f t="shared" si="257"/>
        <v>339.79680000000002</v>
      </c>
      <c r="I5489" s="37">
        <f t="shared" si="255"/>
        <v>339.79680000000002</v>
      </c>
      <c r="J5489" s="4"/>
      <c r="K5489" s="38">
        <f t="shared" si="256"/>
        <v>0</v>
      </c>
    </row>
    <row r="5490" spans="1:11">
      <c r="A5490" t="s">
        <v>1126</v>
      </c>
      <c r="B5490" t="s">
        <v>10180</v>
      </c>
      <c r="C5490" t="s">
        <v>6710</v>
      </c>
      <c r="D5490" t="s">
        <v>6713</v>
      </c>
      <c r="E5490">
        <v>738.86</v>
      </c>
      <c r="G5490" s="35"/>
      <c r="H5490" s="36">
        <f t="shared" si="257"/>
        <v>465.48180000000002</v>
      </c>
      <c r="I5490" s="37">
        <f t="shared" si="255"/>
        <v>465.48180000000002</v>
      </c>
      <c r="J5490" s="4"/>
      <c r="K5490" s="38">
        <f t="shared" si="256"/>
        <v>0</v>
      </c>
    </row>
    <row r="5491" spans="1:11">
      <c r="A5491" t="s">
        <v>1127</v>
      </c>
      <c r="B5491" t="s">
        <v>10180</v>
      </c>
      <c r="C5491" t="s">
        <v>6710</v>
      </c>
      <c r="D5491" t="s">
        <v>6371</v>
      </c>
      <c r="E5491">
        <v>892.56</v>
      </c>
      <c r="G5491" s="35"/>
      <c r="H5491" s="36">
        <f t="shared" si="257"/>
        <v>562.31279999999992</v>
      </c>
      <c r="I5491" s="37">
        <f t="shared" si="255"/>
        <v>562.31279999999992</v>
      </c>
      <c r="J5491" s="4"/>
      <c r="K5491" s="38">
        <f t="shared" si="256"/>
        <v>0</v>
      </c>
    </row>
    <row r="5492" spans="1:11">
      <c r="A5492" t="s">
        <v>1128</v>
      </c>
      <c r="B5492" t="s">
        <v>10180</v>
      </c>
      <c r="C5492" t="s">
        <v>6710</v>
      </c>
      <c r="D5492" t="s">
        <v>6366</v>
      </c>
      <c r="E5492">
        <v>1456.34</v>
      </c>
      <c r="G5492" s="35"/>
      <c r="H5492" s="36">
        <f t="shared" si="257"/>
        <v>917.49419999999998</v>
      </c>
      <c r="I5492" s="37">
        <f t="shared" si="255"/>
        <v>917.49419999999998</v>
      </c>
      <c r="J5492" s="4"/>
      <c r="K5492" s="38">
        <f t="shared" si="256"/>
        <v>0</v>
      </c>
    </row>
    <row r="5493" spans="1:11">
      <c r="A5493" t="s">
        <v>1129</v>
      </c>
      <c r="B5493" t="s">
        <v>10180</v>
      </c>
      <c r="C5493" t="s">
        <v>6710</v>
      </c>
      <c r="D5493" t="s">
        <v>6372</v>
      </c>
      <c r="E5493">
        <v>3738.59</v>
      </c>
      <c r="G5493" s="35"/>
      <c r="H5493" s="36">
        <f t="shared" si="257"/>
        <v>2355.3117000000002</v>
      </c>
      <c r="I5493" s="37">
        <f t="shared" si="255"/>
        <v>2355.3117000000002</v>
      </c>
      <c r="J5493" s="4"/>
      <c r="K5493" s="38">
        <f t="shared" si="256"/>
        <v>0</v>
      </c>
    </row>
    <row r="5494" spans="1:11">
      <c r="A5494" t="s">
        <v>1130</v>
      </c>
      <c r="B5494" t="s">
        <v>10180</v>
      </c>
      <c r="C5494" t="s">
        <v>6710</v>
      </c>
      <c r="D5494" t="s">
        <v>6373</v>
      </c>
      <c r="E5494">
        <v>5489.65</v>
      </c>
      <c r="G5494" s="35"/>
      <c r="H5494" s="36">
        <f t="shared" si="257"/>
        <v>3458.4794999999999</v>
      </c>
      <c r="I5494" s="37">
        <f t="shared" si="255"/>
        <v>3458.4794999999999</v>
      </c>
      <c r="J5494" s="4"/>
      <c r="K5494" s="38">
        <f t="shared" si="256"/>
        <v>0</v>
      </c>
    </row>
    <row r="5495" spans="1:11">
      <c r="A5495" t="s">
        <v>1131</v>
      </c>
      <c r="B5495" t="s">
        <v>10180</v>
      </c>
      <c r="C5495" t="s">
        <v>6710</v>
      </c>
      <c r="D5495" t="s">
        <v>6377</v>
      </c>
      <c r="E5495">
        <v>10023.23</v>
      </c>
      <c r="G5495" s="35"/>
      <c r="H5495" s="36">
        <f t="shared" si="257"/>
        <v>6314.6349</v>
      </c>
      <c r="I5495" s="37">
        <f t="shared" si="255"/>
        <v>6314.6349</v>
      </c>
      <c r="J5495" s="4"/>
      <c r="K5495" s="38">
        <f t="shared" si="256"/>
        <v>0</v>
      </c>
    </row>
    <row r="5496" spans="1:11">
      <c r="A5496" t="s">
        <v>1132</v>
      </c>
      <c r="B5496" t="s">
        <v>10180</v>
      </c>
      <c r="C5496" t="s">
        <v>6710</v>
      </c>
      <c r="D5496" t="s">
        <v>6378</v>
      </c>
      <c r="E5496">
        <v>13523.89</v>
      </c>
      <c r="G5496" s="35"/>
      <c r="H5496" s="36">
        <f t="shared" si="257"/>
        <v>8520.0506999999998</v>
      </c>
      <c r="I5496" s="37">
        <f t="shared" si="255"/>
        <v>8520.0506999999998</v>
      </c>
      <c r="J5496" s="4"/>
      <c r="K5496" s="38">
        <f t="shared" si="256"/>
        <v>0</v>
      </c>
    </row>
    <row r="5497" spans="1:11">
      <c r="A5497" t="s">
        <v>12178</v>
      </c>
      <c r="B5497" t="s">
        <v>10180</v>
      </c>
      <c r="C5497" t="s">
        <v>12179</v>
      </c>
      <c r="D5497" t="s">
        <v>12180</v>
      </c>
      <c r="E5497">
        <v>6874.71</v>
      </c>
      <c r="G5497" s="35"/>
      <c r="H5497" s="36">
        <f t="shared" si="257"/>
        <v>4331.0672999999997</v>
      </c>
      <c r="I5497" s="37">
        <f t="shared" si="255"/>
        <v>4331.0672999999997</v>
      </c>
      <c r="J5497" s="4"/>
      <c r="K5497" s="38">
        <f t="shared" si="256"/>
        <v>0</v>
      </c>
    </row>
    <row r="5498" spans="1:11">
      <c r="A5498" t="s">
        <v>12181</v>
      </c>
      <c r="B5498" t="s">
        <v>10180</v>
      </c>
      <c r="C5498" t="s">
        <v>12179</v>
      </c>
      <c r="D5498" t="s">
        <v>12182</v>
      </c>
      <c r="E5498">
        <v>9751</v>
      </c>
      <c r="G5498" s="35"/>
      <c r="H5498" s="36">
        <f t="shared" si="257"/>
        <v>6143.13</v>
      </c>
      <c r="I5498" s="37">
        <f t="shared" si="255"/>
        <v>6143.13</v>
      </c>
      <c r="J5498" s="4"/>
      <c r="K5498" s="38">
        <f t="shared" si="256"/>
        <v>0</v>
      </c>
    </row>
    <row r="5499" spans="1:11">
      <c r="A5499" t="s">
        <v>12183</v>
      </c>
      <c r="B5499" t="s">
        <v>10180</v>
      </c>
      <c r="C5499" t="s">
        <v>12179</v>
      </c>
      <c r="D5499" t="s">
        <v>12184</v>
      </c>
      <c r="E5499">
        <v>13543.04</v>
      </c>
      <c r="G5499" s="35"/>
      <c r="H5499" s="36">
        <f t="shared" si="257"/>
        <v>8532.1152000000002</v>
      </c>
      <c r="I5499" s="37">
        <f t="shared" si="255"/>
        <v>8532.1152000000002</v>
      </c>
      <c r="J5499" s="4"/>
      <c r="K5499" s="38">
        <f t="shared" si="256"/>
        <v>0</v>
      </c>
    </row>
    <row r="5500" spans="1:11">
      <c r="A5500" t="s">
        <v>9735</v>
      </c>
      <c r="B5500" t="s">
        <v>10180</v>
      </c>
      <c r="C5500" t="s">
        <v>9736</v>
      </c>
      <c r="D5500" t="s">
        <v>9737</v>
      </c>
      <c r="E5500">
        <v>4573.84</v>
      </c>
      <c r="G5500" s="35"/>
      <c r="H5500" s="36">
        <f t="shared" si="257"/>
        <v>2881.5192000000002</v>
      </c>
      <c r="I5500" s="37">
        <f t="shared" si="255"/>
        <v>2881.5192000000002</v>
      </c>
      <c r="J5500" s="4"/>
      <c r="K5500" s="38">
        <f t="shared" si="256"/>
        <v>0</v>
      </c>
    </row>
    <row r="5501" spans="1:11">
      <c r="A5501" t="s">
        <v>9738</v>
      </c>
      <c r="B5501" t="s">
        <v>10180</v>
      </c>
      <c r="C5501" t="s">
        <v>9736</v>
      </c>
      <c r="D5501" t="s">
        <v>9739</v>
      </c>
      <c r="E5501">
        <v>42084.85</v>
      </c>
      <c r="G5501" s="35"/>
      <c r="H5501" s="36">
        <f t="shared" si="257"/>
        <v>26513.4555</v>
      </c>
      <c r="I5501" s="37">
        <f t="shared" si="255"/>
        <v>26513.4555</v>
      </c>
      <c r="J5501" s="4"/>
      <c r="K5501" s="38">
        <f t="shared" si="256"/>
        <v>0</v>
      </c>
    </row>
    <row r="5502" spans="1:11">
      <c r="A5502" t="s">
        <v>9740</v>
      </c>
      <c r="B5502" t="s">
        <v>10180</v>
      </c>
      <c r="C5502" t="s">
        <v>9736</v>
      </c>
      <c r="D5502" t="s">
        <v>9741</v>
      </c>
      <c r="E5502">
        <v>54977.77</v>
      </c>
      <c r="G5502" s="35"/>
      <c r="H5502" s="36">
        <f t="shared" si="257"/>
        <v>34635.9951</v>
      </c>
      <c r="I5502" s="37">
        <f t="shared" si="255"/>
        <v>34635.9951</v>
      </c>
      <c r="J5502" s="4"/>
      <c r="K5502" s="38">
        <f t="shared" si="256"/>
        <v>0</v>
      </c>
    </row>
    <row r="5503" spans="1:11">
      <c r="A5503" t="s">
        <v>9742</v>
      </c>
      <c r="B5503" t="s">
        <v>10180</v>
      </c>
      <c r="C5503" t="s">
        <v>9736</v>
      </c>
      <c r="D5503" t="s">
        <v>9743</v>
      </c>
      <c r="E5503">
        <v>67885.47</v>
      </c>
      <c r="G5503" s="35"/>
      <c r="H5503" s="36">
        <f t="shared" si="257"/>
        <v>42767.846100000002</v>
      </c>
      <c r="I5503" s="37">
        <f t="shared" si="255"/>
        <v>42767.846100000002</v>
      </c>
      <c r="J5503" s="4"/>
      <c r="K5503" s="38">
        <f t="shared" si="256"/>
        <v>0</v>
      </c>
    </row>
    <row r="5504" spans="1:11">
      <c r="A5504" t="s">
        <v>9744</v>
      </c>
      <c r="B5504" t="s">
        <v>10180</v>
      </c>
      <c r="C5504" t="s">
        <v>9736</v>
      </c>
      <c r="D5504" t="s">
        <v>9745</v>
      </c>
      <c r="E5504">
        <v>100380.07</v>
      </c>
      <c r="G5504" s="35"/>
      <c r="H5504" s="36">
        <f t="shared" si="257"/>
        <v>63239.444100000008</v>
      </c>
      <c r="I5504" s="37">
        <f t="shared" si="255"/>
        <v>63239.444100000008</v>
      </c>
      <c r="J5504" s="4"/>
      <c r="K5504" s="38">
        <f t="shared" si="256"/>
        <v>0</v>
      </c>
    </row>
    <row r="5505" spans="1:11">
      <c r="A5505" t="s">
        <v>1243</v>
      </c>
      <c r="B5505" t="s">
        <v>10180</v>
      </c>
      <c r="C5505" t="s">
        <v>6822</v>
      </c>
      <c r="D5505" t="s">
        <v>6823</v>
      </c>
      <c r="E5505">
        <v>556.15</v>
      </c>
      <c r="G5505" s="35"/>
      <c r="H5505" s="36">
        <f t="shared" si="257"/>
        <v>350.37450000000001</v>
      </c>
      <c r="I5505" s="37">
        <f t="shared" si="255"/>
        <v>350.37450000000001</v>
      </c>
      <c r="J5505" s="4"/>
      <c r="K5505" s="38">
        <f t="shared" si="256"/>
        <v>0</v>
      </c>
    </row>
    <row r="5506" spans="1:11">
      <c r="A5506" t="s">
        <v>1244</v>
      </c>
      <c r="B5506" t="s">
        <v>10180</v>
      </c>
      <c r="C5506" t="s">
        <v>6822</v>
      </c>
      <c r="D5506" t="s">
        <v>6824</v>
      </c>
      <c r="E5506">
        <v>556.15</v>
      </c>
      <c r="G5506" s="35"/>
      <c r="H5506" s="36">
        <f t="shared" si="257"/>
        <v>350.37450000000001</v>
      </c>
      <c r="I5506" s="37">
        <f t="shared" si="255"/>
        <v>350.37450000000001</v>
      </c>
      <c r="J5506" s="4"/>
      <c r="K5506" s="38">
        <f t="shared" si="256"/>
        <v>0</v>
      </c>
    </row>
    <row r="5507" spans="1:11">
      <c r="A5507" t="s">
        <v>1245</v>
      </c>
      <c r="B5507" t="s">
        <v>10180</v>
      </c>
      <c r="C5507" t="s">
        <v>6822</v>
      </c>
      <c r="D5507" t="s">
        <v>6825</v>
      </c>
      <c r="E5507">
        <v>834.91</v>
      </c>
      <c r="G5507" s="35"/>
      <c r="H5507" s="36">
        <f t="shared" si="257"/>
        <v>525.99329999999998</v>
      </c>
      <c r="I5507" s="37">
        <f t="shared" si="255"/>
        <v>525.99329999999998</v>
      </c>
      <c r="J5507" s="4"/>
      <c r="K5507" s="38">
        <f t="shared" si="256"/>
        <v>0</v>
      </c>
    </row>
    <row r="5508" spans="1:11">
      <c r="A5508" t="s">
        <v>1246</v>
      </c>
      <c r="B5508" t="s">
        <v>10180</v>
      </c>
      <c r="C5508" t="s">
        <v>6822</v>
      </c>
      <c r="D5508" t="s">
        <v>6826</v>
      </c>
      <c r="E5508">
        <v>1159.99</v>
      </c>
      <c r="G5508" s="35"/>
      <c r="H5508" s="36">
        <f t="shared" si="257"/>
        <v>730.79370000000006</v>
      </c>
      <c r="I5508" s="37">
        <f t="shared" si="255"/>
        <v>730.79370000000006</v>
      </c>
      <c r="J5508" s="4"/>
      <c r="K5508" s="38">
        <f t="shared" si="256"/>
        <v>0</v>
      </c>
    </row>
    <row r="5509" spans="1:11">
      <c r="A5509" t="s">
        <v>1247</v>
      </c>
      <c r="B5509" t="s">
        <v>10180</v>
      </c>
      <c r="C5509" t="s">
        <v>6822</v>
      </c>
      <c r="D5509" t="s">
        <v>6827</v>
      </c>
      <c r="E5509">
        <v>1987.49</v>
      </c>
      <c r="G5509" s="35"/>
      <c r="H5509" s="36">
        <f t="shared" si="257"/>
        <v>1252.1187</v>
      </c>
      <c r="I5509" s="37">
        <f t="shared" si="255"/>
        <v>1252.1187</v>
      </c>
      <c r="J5509" s="4"/>
      <c r="K5509" s="38">
        <f t="shared" si="256"/>
        <v>0</v>
      </c>
    </row>
    <row r="5510" spans="1:11">
      <c r="A5510" t="s">
        <v>1248</v>
      </c>
      <c r="B5510" t="s">
        <v>10180</v>
      </c>
      <c r="C5510" t="s">
        <v>6822</v>
      </c>
      <c r="D5510" t="s">
        <v>6828</v>
      </c>
      <c r="E5510">
        <v>2497.84</v>
      </c>
      <c r="G5510" s="35"/>
      <c r="H5510" s="36">
        <f t="shared" si="257"/>
        <v>1573.6392000000001</v>
      </c>
      <c r="I5510" s="37">
        <f t="shared" ref="I5510:I5573" si="258">H5510*$H$4</f>
        <v>1573.6392000000001</v>
      </c>
      <c r="J5510" s="4"/>
      <c r="K5510" s="38">
        <f t="shared" ref="K5510:K5573" si="259">J5510*I5510</f>
        <v>0</v>
      </c>
    </row>
    <row r="5511" spans="1:11">
      <c r="A5511" t="s">
        <v>1249</v>
      </c>
      <c r="B5511" t="s">
        <v>10180</v>
      </c>
      <c r="C5511" t="s">
        <v>6822</v>
      </c>
      <c r="D5511" t="s">
        <v>6829</v>
      </c>
      <c r="E5511">
        <v>4967.91</v>
      </c>
      <c r="G5511" s="35"/>
      <c r="H5511" s="36">
        <f t="shared" ref="H5511:H5574" si="260">+E5511*$H$1*(1-G5511)</f>
        <v>3129.7833000000001</v>
      </c>
      <c r="I5511" s="37">
        <f t="shared" si="258"/>
        <v>3129.7833000000001</v>
      </c>
      <c r="J5511" s="4"/>
      <c r="K5511" s="38">
        <f t="shared" si="259"/>
        <v>0</v>
      </c>
    </row>
    <row r="5512" spans="1:11">
      <c r="A5512" t="s">
        <v>1250</v>
      </c>
      <c r="B5512" t="s">
        <v>10180</v>
      </c>
      <c r="C5512" t="s">
        <v>6822</v>
      </c>
      <c r="D5512" t="s">
        <v>6830</v>
      </c>
      <c r="E5512">
        <v>14130.51</v>
      </c>
      <c r="G5512" s="35"/>
      <c r="H5512" s="36">
        <f t="shared" si="260"/>
        <v>8902.2213000000011</v>
      </c>
      <c r="I5512" s="37">
        <f t="shared" si="258"/>
        <v>8902.2213000000011</v>
      </c>
      <c r="J5512" s="4"/>
      <c r="K5512" s="38">
        <f t="shared" si="259"/>
        <v>0</v>
      </c>
    </row>
    <row r="5513" spans="1:11">
      <c r="A5513" t="s">
        <v>1251</v>
      </c>
      <c r="B5513" t="s">
        <v>10180</v>
      </c>
      <c r="C5513" t="s">
        <v>6822</v>
      </c>
      <c r="D5513" t="s">
        <v>6831</v>
      </c>
      <c r="E5513">
        <v>16522.89</v>
      </c>
      <c r="G5513" s="35"/>
      <c r="H5513" s="36">
        <f t="shared" si="260"/>
        <v>10409.420700000001</v>
      </c>
      <c r="I5513" s="37">
        <f t="shared" si="258"/>
        <v>10409.420700000001</v>
      </c>
      <c r="J5513" s="4"/>
      <c r="K5513" s="38">
        <f t="shared" si="259"/>
        <v>0</v>
      </c>
    </row>
    <row r="5514" spans="1:11">
      <c r="A5514" t="s">
        <v>1252</v>
      </c>
      <c r="B5514" t="s">
        <v>10180</v>
      </c>
      <c r="C5514" t="s">
        <v>6822</v>
      </c>
      <c r="D5514" t="s">
        <v>6832</v>
      </c>
      <c r="E5514">
        <v>85167.15</v>
      </c>
      <c r="G5514" s="35"/>
      <c r="H5514" s="36">
        <f t="shared" si="260"/>
        <v>53655.304499999998</v>
      </c>
      <c r="I5514" s="37">
        <f t="shared" si="258"/>
        <v>53655.304499999998</v>
      </c>
      <c r="J5514" s="4"/>
      <c r="K5514" s="38">
        <f t="shared" si="259"/>
        <v>0</v>
      </c>
    </row>
    <row r="5515" spans="1:11">
      <c r="A5515" t="s">
        <v>1253</v>
      </c>
      <c r="B5515" t="s">
        <v>10180</v>
      </c>
      <c r="C5515" t="s">
        <v>6822</v>
      </c>
      <c r="D5515" t="s">
        <v>6833</v>
      </c>
      <c r="E5515">
        <v>99894.720000000001</v>
      </c>
      <c r="G5515" s="35"/>
      <c r="H5515" s="36">
        <f t="shared" si="260"/>
        <v>62933.673600000002</v>
      </c>
      <c r="I5515" s="37">
        <f t="shared" si="258"/>
        <v>62933.673600000002</v>
      </c>
      <c r="J5515" s="4"/>
      <c r="K5515" s="38">
        <f t="shared" si="259"/>
        <v>0</v>
      </c>
    </row>
    <row r="5516" spans="1:11">
      <c r="A5516" t="s">
        <v>1254</v>
      </c>
      <c r="B5516" t="s">
        <v>10180</v>
      </c>
      <c r="C5516" t="s">
        <v>6822</v>
      </c>
      <c r="D5516" t="s">
        <v>6834</v>
      </c>
      <c r="E5516">
        <v>556.15</v>
      </c>
      <c r="G5516" s="35"/>
      <c r="H5516" s="36">
        <f t="shared" si="260"/>
        <v>350.37450000000001</v>
      </c>
      <c r="I5516" s="37">
        <f t="shared" si="258"/>
        <v>350.37450000000001</v>
      </c>
      <c r="J5516" s="4"/>
      <c r="K5516" s="38">
        <f t="shared" si="259"/>
        <v>0</v>
      </c>
    </row>
    <row r="5517" spans="1:11">
      <c r="A5517" t="s">
        <v>312</v>
      </c>
      <c r="B5517" t="s">
        <v>10180</v>
      </c>
      <c r="C5517" t="s">
        <v>5883</v>
      </c>
      <c r="D5517" t="s">
        <v>5884</v>
      </c>
      <c r="E5517">
        <v>421.14</v>
      </c>
      <c r="G5517" s="35"/>
      <c r="H5517" s="36">
        <f t="shared" si="260"/>
        <v>265.31819999999999</v>
      </c>
      <c r="I5517" s="37">
        <f t="shared" si="258"/>
        <v>265.31819999999999</v>
      </c>
      <c r="J5517" s="4"/>
      <c r="K5517" s="38">
        <f t="shared" si="259"/>
        <v>0</v>
      </c>
    </row>
    <row r="5518" spans="1:11">
      <c r="A5518" t="s">
        <v>313</v>
      </c>
      <c r="B5518" t="s">
        <v>10180</v>
      </c>
      <c r="C5518" t="s">
        <v>5883</v>
      </c>
      <c r="D5518" t="s">
        <v>5885</v>
      </c>
      <c r="E5518">
        <v>635.4</v>
      </c>
      <c r="G5518" s="35"/>
      <c r="H5518" s="36">
        <f t="shared" si="260"/>
        <v>400.30199999999996</v>
      </c>
      <c r="I5518" s="37">
        <f t="shared" si="258"/>
        <v>400.30199999999996</v>
      </c>
      <c r="J5518" s="4"/>
      <c r="K5518" s="38">
        <f t="shared" si="259"/>
        <v>0</v>
      </c>
    </row>
    <row r="5519" spans="1:11">
      <c r="A5519" t="s">
        <v>314</v>
      </c>
      <c r="B5519" t="s">
        <v>10180</v>
      </c>
      <c r="C5519" t="s">
        <v>5883</v>
      </c>
      <c r="D5519" t="s">
        <v>5886</v>
      </c>
      <c r="E5519">
        <v>1270.83</v>
      </c>
      <c r="G5519" s="35"/>
      <c r="H5519" s="36">
        <f t="shared" si="260"/>
        <v>800.62289999999996</v>
      </c>
      <c r="I5519" s="37">
        <f t="shared" si="258"/>
        <v>800.62289999999996</v>
      </c>
      <c r="J5519" s="4"/>
      <c r="K5519" s="38">
        <f t="shared" si="259"/>
        <v>0</v>
      </c>
    </row>
    <row r="5520" spans="1:11">
      <c r="A5520" t="s">
        <v>315</v>
      </c>
      <c r="B5520" t="s">
        <v>10180</v>
      </c>
      <c r="C5520" t="s">
        <v>5883</v>
      </c>
      <c r="D5520" t="s">
        <v>5887</v>
      </c>
      <c r="E5520">
        <v>1678.36</v>
      </c>
      <c r="G5520" s="35"/>
      <c r="H5520" s="36">
        <f t="shared" si="260"/>
        <v>1057.3668</v>
      </c>
      <c r="I5520" s="37">
        <f t="shared" si="258"/>
        <v>1057.3668</v>
      </c>
      <c r="J5520" s="4"/>
      <c r="K5520" s="38">
        <f t="shared" si="259"/>
        <v>0</v>
      </c>
    </row>
    <row r="5521" spans="1:11">
      <c r="A5521" t="s">
        <v>316</v>
      </c>
      <c r="B5521" t="s">
        <v>10180</v>
      </c>
      <c r="C5521" t="s">
        <v>5883</v>
      </c>
      <c r="D5521" t="s">
        <v>5888</v>
      </c>
      <c r="E5521">
        <v>2100.17</v>
      </c>
      <c r="G5521" s="35"/>
      <c r="H5521" s="36">
        <f t="shared" si="260"/>
        <v>1323.1070999999999</v>
      </c>
      <c r="I5521" s="37">
        <f t="shared" si="258"/>
        <v>1323.1070999999999</v>
      </c>
      <c r="J5521" s="4"/>
      <c r="K5521" s="38">
        <f t="shared" si="259"/>
        <v>0</v>
      </c>
    </row>
    <row r="5522" spans="1:11">
      <c r="A5522" t="s">
        <v>1513</v>
      </c>
      <c r="B5522" t="s">
        <v>10180</v>
      </c>
      <c r="C5522" t="s">
        <v>7096</v>
      </c>
      <c r="D5522" t="s">
        <v>7097</v>
      </c>
      <c r="E5522">
        <v>1645.88</v>
      </c>
      <c r="G5522" s="35"/>
      <c r="H5522" s="36">
        <f t="shared" si="260"/>
        <v>1036.9044000000001</v>
      </c>
      <c r="I5522" s="37">
        <f t="shared" si="258"/>
        <v>1036.9044000000001</v>
      </c>
      <c r="J5522" s="4"/>
      <c r="K5522" s="38">
        <f t="shared" si="259"/>
        <v>0</v>
      </c>
    </row>
    <row r="5523" spans="1:11">
      <c r="A5523" t="s">
        <v>944</v>
      </c>
      <c r="B5523" t="s">
        <v>10180</v>
      </c>
      <c r="C5523" t="s">
        <v>7096</v>
      </c>
      <c r="D5523" t="s">
        <v>11925</v>
      </c>
      <c r="E5523">
        <v>1574.03</v>
      </c>
      <c r="G5523" s="35"/>
      <c r="H5523" s="36">
        <f t="shared" si="260"/>
        <v>991.63890000000004</v>
      </c>
      <c r="I5523" s="37">
        <f t="shared" si="258"/>
        <v>991.63890000000004</v>
      </c>
      <c r="J5523" s="4"/>
      <c r="K5523" s="38">
        <f t="shared" si="259"/>
        <v>0</v>
      </c>
    </row>
    <row r="5524" spans="1:11">
      <c r="A5524" t="s">
        <v>1514</v>
      </c>
      <c r="B5524" t="s">
        <v>10180</v>
      </c>
      <c r="C5524" t="s">
        <v>7096</v>
      </c>
      <c r="D5524" t="s">
        <v>7098</v>
      </c>
      <c r="E5524">
        <v>2955.42</v>
      </c>
      <c r="G5524" s="35"/>
      <c r="H5524" s="36">
        <f t="shared" si="260"/>
        <v>1861.9146000000001</v>
      </c>
      <c r="I5524" s="37">
        <f t="shared" si="258"/>
        <v>1861.9146000000001</v>
      </c>
      <c r="J5524" s="4"/>
      <c r="K5524" s="38">
        <f t="shared" si="259"/>
        <v>0</v>
      </c>
    </row>
    <row r="5525" spans="1:11">
      <c r="A5525" t="s">
        <v>1515</v>
      </c>
      <c r="B5525" t="s">
        <v>10180</v>
      </c>
      <c r="C5525" t="s">
        <v>7096</v>
      </c>
      <c r="D5525" t="s">
        <v>7099</v>
      </c>
      <c r="E5525">
        <v>421.14</v>
      </c>
      <c r="G5525" s="35"/>
      <c r="H5525" s="36">
        <f t="shared" si="260"/>
        <v>265.31819999999999</v>
      </c>
      <c r="I5525" s="37">
        <f t="shared" si="258"/>
        <v>265.31819999999999</v>
      </c>
      <c r="J5525" s="4"/>
      <c r="K5525" s="38">
        <f t="shared" si="259"/>
        <v>0</v>
      </c>
    </row>
    <row r="5526" spans="1:11">
      <c r="A5526" t="s">
        <v>1516</v>
      </c>
      <c r="B5526" t="s">
        <v>10180</v>
      </c>
      <c r="C5526" t="s">
        <v>7096</v>
      </c>
      <c r="D5526" t="s">
        <v>7100</v>
      </c>
      <c r="E5526">
        <v>502.43</v>
      </c>
      <c r="G5526" s="35"/>
      <c r="H5526" s="36">
        <f t="shared" si="260"/>
        <v>316.53090000000003</v>
      </c>
      <c r="I5526" s="37">
        <f t="shared" si="258"/>
        <v>316.53090000000003</v>
      </c>
      <c r="J5526" s="4"/>
      <c r="K5526" s="38">
        <f t="shared" si="259"/>
        <v>0</v>
      </c>
    </row>
    <row r="5527" spans="1:11">
      <c r="A5527" t="s">
        <v>1517</v>
      </c>
      <c r="B5527" t="s">
        <v>10180</v>
      </c>
      <c r="C5527" t="s">
        <v>7096</v>
      </c>
      <c r="D5527" t="s">
        <v>5886</v>
      </c>
      <c r="E5527">
        <v>679.75</v>
      </c>
      <c r="G5527" s="35"/>
      <c r="H5527" s="36">
        <f t="shared" si="260"/>
        <v>428.24250000000001</v>
      </c>
      <c r="I5527" s="37">
        <f t="shared" si="258"/>
        <v>428.24250000000001</v>
      </c>
      <c r="J5527" s="4"/>
      <c r="K5527" s="38">
        <f t="shared" si="259"/>
        <v>0</v>
      </c>
    </row>
    <row r="5528" spans="1:11">
      <c r="A5528" t="s">
        <v>1518</v>
      </c>
      <c r="B5528" t="s">
        <v>10180</v>
      </c>
      <c r="C5528" t="s">
        <v>7096</v>
      </c>
      <c r="D5528" t="s">
        <v>5887</v>
      </c>
      <c r="E5528">
        <v>1153.49</v>
      </c>
      <c r="G5528" s="35"/>
      <c r="H5528" s="36">
        <f t="shared" si="260"/>
        <v>726.69870000000003</v>
      </c>
      <c r="I5528" s="37">
        <f t="shared" si="258"/>
        <v>726.69870000000003</v>
      </c>
      <c r="J5528" s="4"/>
      <c r="K5528" s="38">
        <f t="shared" si="259"/>
        <v>0</v>
      </c>
    </row>
    <row r="5529" spans="1:11">
      <c r="A5529" t="s">
        <v>1519</v>
      </c>
      <c r="B5529" t="s">
        <v>10180</v>
      </c>
      <c r="C5529" t="s">
        <v>7096</v>
      </c>
      <c r="D5529" t="s">
        <v>7101</v>
      </c>
      <c r="E5529">
        <v>1647.84</v>
      </c>
      <c r="G5529" s="35"/>
      <c r="H5529" s="36">
        <f t="shared" si="260"/>
        <v>1038.1391999999998</v>
      </c>
      <c r="I5529" s="37">
        <f t="shared" si="258"/>
        <v>1038.1391999999998</v>
      </c>
      <c r="J5529" s="4"/>
      <c r="K5529" s="38">
        <f t="shared" si="259"/>
        <v>0</v>
      </c>
    </row>
    <row r="5530" spans="1:11">
      <c r="A5530" t="s">
        <v>1520</v>
      </c>
      <c r="B5530" t="s">
        <v>10180</v>
      </c>
      <c r="C5530" t="s">
        <v>7096</v>
      </c>
      <c r="D5530" t="s">
        <v>12804</v>
      </c>
      <c r="E5530">
        <v>1623.97</v>
      </c>
      <c r="G5530" s="35"/>
      <c r="H5530" s="36">
        <f t="shared" si="260"/>
        <v>1023.1011</v>
      </c>
      <c r="I5530" s="37">
        <f t="shared" si="258"/>
        <v>1023.1011</v>
      </c>
      <c r="J5530" s="4"/>
      <c r="K5530" s="38">
        <f t="shared" si="259"/>
        <v>0</v>
      </c>
    </row>
    <row r="5531" spans="1:11">
      <c r="A5531" t="s">
        <v>1521</v>
      </c>
      <c r="B5531" t="s">
        <v>10180</v>
      </c>
      <c r="C5531" t="s">
        <v>7096</v>
      </c>
      <c r="D5531" t="s">
        <v>7102</v>
      </c>
      <c r="E5531">
        <v>2581.33</v>
      </c>
      <c r="G5531" s="35"/>
      <c r="H5531" s="36">
        <f t="shared" si="260"/>
        <v>1626.2378999999999</v>
      </c>
      <c r="I5531" s="37">
        <f t="shared" si="258"/>
        <v>1626.2378999999999</v>
      </c>
      <c r="J5531" s="4"/>
      <c r="K5531" s="38">
        <f t="shared" si="259"/>
        <v>0</v>
      </c>
    </row>
    <row r="5532" spans="1:11">
      <c r="A5532" t="s">
        <v>1522</v>
      </c>
      <c r="B5532" t="s">
        <v>10180</v>
      </c>
      <c r="C5532" t="s">
        <v>7096</v>
      </c>
      <c r="D5532" t="s">
        <v>7103</v>
      </c>
      <c r="E5532">
        <v>5569.08</v>
      </c>
      <c r="G5532" s="35"/>
      <c r="H5532" s="36">
        <f t="shared" si="260"/>
        <v>3508.5203999999999</v>
      </c>
      <c r="I5532" s="37">
        <f t="shared" si="258"/>
        <v>3508.5203999999999</v>
      </c>
      <c r="J5532" s="4"/>
      <c r="K5532" s="38">
        <f t="shared" si="259"/>
        <v>0</v>
      </c>
    </row>
    <row r="5533" spans="1:11">
      <c r="A5533" t="s">
        <v>1523</v>
      </c>
      <c r="B5533" t="s">
        <v>10180</v>
      </c>
      <c r="C5533" t="s">
        <v>7096</v>
      </c>
      <c r="D5533" t="s">
        <v>7104</v>
      </c>
      <c r="E5533">
        <v>7074.49</v>
      </c>
      <c r="G5533" s="35"/>
      <c r="H5533" s="36">
        <f t="shared" si="260"/>
        <v>4456.9286999999995</v>
      </c>
      <c r="I5533" s="37">
        <f t="shared" si="258"/>
        <v>4456.9286999999995</v>
      </c>
      <c r="J5533" s="4"/>
      <c r="K5533" s="38">
        <f t="shared" si="259"/>
        <v>0</v>
      </c>
    </row>
    <row r="5534" spans="1:11">
      <c r="A5534" t="s">
        <v>1524</v>
      </c>
      <c r="B5534" t="s">
        <v>10180</v>
      </c>
      <c r="C5534" t="s">
        <v>7096</v>
      </c>
      <c r="D5534" t="s">
        <v>7105</v>
      </c>
      <c r="E5534">
        <v>11370.91</v>
      </c>
      <c r="G5534" s="35"/>
      <c r="H5534" s="36">
        <f t="shared" si="260"/>
        <v>7163.6733000000004</v>
      </c>
      <c r="I5534" s="37">
        <f t="shared" si="258"/>
        <v>7163.6733000000004</v>
      </c>
      <c r="J5534" s="4"/>
      <c r="K5534" s="38">
        <f t="shared" si="259"/>
        <v>0</v>
      </c>
    </row>
    <row r="5535" spans="1:11">
      <c r="A5535" t="s">
        <v>1525</v>
      </c>
      <c r="B5535" t="s">
        <v>10180</v>
      </c>
      <c r="C5535" t="s">
        <v>7096</v>
      </c>
      <c r="D5535" t="s">
        <v>7106</v>
      </c>
      <c r="E5535">
        <v>13905.14</v>
      </c>
      <c r="G5535" s="35"/>
      <c r="H5535" s="36">
        <f t="shared" si="260"/>
        <v>8760.2381999999998</v>
      </c>
      <c r="I5535" s="37">
        <f t="shared" si="258"/>
        <v>8760.2381999999998</v>
      </c>
      <c r="J5535" s="4"/>
      <c r="K5535" s="38">
        <f t="shared" si="259"/>
        <v>0</v>
      </c>
    </row>
    <row r="5536" spans="1:11">
      <c r="A5536" t="s">
        <v>1526</v>
      </c>
      <c r="B5536" t="s">
        <v>10180</v>
      </c>
      <c r="C5536" t="s">
        <v>7096</v>
      </c>
      <c r="D5536" t="s">
        <v>7107</v>
      </c>
      <c r="E5536">
        <v>4883.78</v>
      </c>
      <c r="G5536" s="35"/>
      <c r="H5536" s="36">
        <f t="shared" si="260"/>
        <v>3076.7813999999998</v>
      </c>
      <c r="I5536" s="37">
        <f t="shared" si="258"/>
        <v>3076.7813999999998</v>
      </c>
      <c r="J5536" s="4"/>
      <c r="K5536" s="38">
        <f t="shared" si="259"/>
        <v>0</v>
      </c>
    </row>
    <row r="5537" spans="1:11">
      <c r="A5537" t="s">
        <v>12978</v>
      </c>
      <c r="B5537" t="s">
        <v>10180</v>
      </c>
      <c r="C5537" t="s">
        <v>12979</v>
      </c>
      <c r="D5537" t="s">
        <v>12980</v>
      </c>
      <c r="E5537">
        <v>49934.68</v>
      </c>
      <c r="G5537" s="35"/>
      <c r="H5537" s="36">
        <f t="shared" si="260"/>
        <v>31458.848399999999</v>
      </c>
      <c r="I5537" s="37">
        <f t="shared" si="258"/>
        <v>31458.848399999999</v>
      </c>
      <c r="J5537" s="4"/>
      <c r="K5537" s="38">
        <f t="shared" si="259"/>
        <v>0</v>
      </c>
    </row>
    <row r="5538" spans="1:11">
      <c r="A5538" t="s">
        <v>12981</v>
      </c>
      <c r="B5538" t="s">
        <v>10180</v>
      </c>
      <c r="C5538" t="s">
        <v>12979</v>
      </c>
      <c r="D5538" t="s">
        <v>12982</v>
      </c>
      <c r="E5538">
        <v>49934.68</v>
      </c>
      <c r="G5538" s="35"/>
      <c r="H5538" s="36">
        <f t="shared" si="260"/>
        <v>31458.848399999999</v>
      </c>
      <c r="I5538" s="37">
        <f t="shared" si="258"/>
        <v>31458.848399999999</v>
      </c>
      <c r="J5538" s="4"/>
      <c r="K5538" s="38">
        <f t="shared" si="259"/>
        <v>0</v>
      </c>
    </row>
    <row r="5539" spans="1:11">
      <c r="A5539" t="s">
        <v>12983</v>
      </c>
      <c r="B5539" t="s">
        <v>10180</v>
      </c>
      <c r="C5539" t="s">
        <v>12979</v>
      </c>
      <c r="D5539" t="s">
        <v>12984</v>
      </c>
      <c r="E5539">
        <v>49934.68</v>
      </c>
      <c r="G5539" s="35"/>
      <c r="H5539" s="36">
        <f t="shared" si="260"/>
        <v>31458.848399999999</v>
      </c>
      <c r="I5539" s="37">
        <f t="shared" si="258"/>
        <v>31458.848399999999</v>
      </c>
      <c r="J5539" s="4"/>
      <c r="K5539" s="38">
        <f t="shared" si="259"/>
        <v>0</v>
      </c>
    </row>
    <row r="5540" spans="1:11">
      <c r="A5540" t="s">
        <v>2377</v>
      </c>
      <c r="B5540" t="s">
        <v>10180</v>
      </c>
      <c r="C5540" t="s">
        <v>7909</v>
      </c>
      <c r="D5540" t="s">
        <v>7910</v>
      </c>
      <c r="E5540">
        <v>4614.3999999999996</v>
      </c>
      <c r="G5540" s="35"/>
      <c r="H5540" s="36">
        <f t="shared" si="260"/>
        <v>2907.0719999999997</v>
      </c>
      <c r="I5540" s="37">
        <f t="shared" si="258"/>
        <v>2907.0719999999997</v>
      </c>
      <c r="J5540" s="4"/>
      <c r="K5540" s="38">
        <f t="shared" si="259"/>
        <v>0</v>
      </c>
    </row>
    <row r="5541" spans="1:11">
      <c r="A5541" t="s">
        <v>12185</v>
      </c>
      <c r="B5541" t="s">
        <v>10180</v>
      </c>
      <c r="C5541" t="s">
        <v>12186</v>
      </c>
      <c r="D5541" t="s">
        <v>12180</v>
      </c>
      <c r="E5541">
        <v>3998.44</v>
      </c>
      <c r="G5541" s="35"/>
      <c r="H5541" s="36">
        <f t="shared" si="260"/>
        <v>2519.0172000000002</v>
      </c>
      <c r="I5541" s="37">
        <f t="shared" si="258"/>
        <v>2519.0172000000002</v>
      </c>
      <c r="J5541" s="4"/>
      <c r="K5541" s="38">
        <f t="shared" si="259"/>
        <v>0</v>
      </c>
    </row>
    <row r="5542" spans="1:11">
      <c r="A5542" t="s">
        <v>12187</v>
      </c>
      <c r="B5542" t="s">
        <v>10180</v>
      </c>
      <c r="C5542" t="s">
        <v>12186</v>
      </c>
      <c r="D5542" t="s">
        <v>12182</v>
      </c>
      <c r="E5542">
        <v>4627.8500000000004</v>
      </c>
      <c r="G5542" s="35"/>
      <c r="H5542" s="36">
        <f t="shared" si="260"/>
        <v>2915.5455000000002</v>
      </c>
      <c r="I5542" s="37">
        <f t="shared" si="258"/>
        <v>2915.5455000000002</v>
      </c>
      <c r="J5542" s="4"/>
      <c r="K5542" s="38">
        <f t="shared" si="259"/>
        <v>0</v>
      </c>
    </row>
    <row r="5543" spans="1:11">
      <c r="A5543" t="s">
        <v>12188</v>
      </c>
      <c r="B5543" t="s">
        <v>10180</v>
      </c>
      <c r="C5543" t="s">
        <v>12186</v>
      </c>
      <c r="D5543" t="s">
        <v>12184</v>
      </c>
      <c r="E5543">
        <v>8267.7199999999993</v>
      </c>
      <c r="G5543" s="35"/>
      <c r="H5543" s="36">
        <f t="shared" si="260"/>
        <v>5208.6635999999999</v>
      </c>
      <c r="I5543" s="37">
        <f t="shared" si="258"/>
        <v>5208.6635999999999</v>
      </c>
      <c r="J5543" s="4"/>
      <c r="K5543" s="38">
        <f t="shared" si="259"/>
        <v>0</v>
      </c>
    </row>
    <row r="5544" spans="1:11">
      <c r="A5544" t="s">
        <v>2671</v>
      </c>
      <c r="B5544" t="s">
        <v>10180</v>
      </c>
      <c r="C5544" t="s">
        <v>8192</v>
      </c>
      <c r="D5544" t="s">
        <v>8193</v>
      </c>
      <c r="E5544">
        <v>421.14</v>
      </c>
      <c r="G5544" s="35"/>
      <c r="H5544" s="36">
        <f t="shared" si="260"/>
        <v>265.31819999999999</v>
      </c>
      <c r="I5544" s="37">
        <f t="shared" si="258"/>
        <v>265.31819999999999</v>
      </c>
      <c r="J5544" s="4"/>
      <c r="K5544" s="38">
        <f t="shared" si="259"/>
        <v>0</v>
      </c>
    </row>
    <row r="5545" spans="1:11">
      <c r="A5545" t="s">
        <v>2672</v>
      </c>
      <c r="B5545" t="s">
        <v>10180</v>
      </c>
      <c r="C5545" t="s">
        <v>8192</v>
      </c>
      <c r="D5545" t="s">
        <v>8194</v>
      </c>
      <c r="E5545">
        <v>450.7</v>
      </c>
      <c r="G5545" s="35"/>
      <c r="H5545" s="36">
        <f t="shared" si="260"/>
        <v>283.94099999999997</v>
      </c>
      <c r="I5545" s="37">
        <f t="shared" si="258"/>
        <v>283.94099999999997</v>
      </c>
      <c r="J5545" s="4"/>
      <c r="K5545" s="38">
        <f t="shared" si="259"/>
        <v>0</v>
      </c>
    </row>
    <row r="5546" spans="1:11">
      <c r="A5546" t="s">
        <v>2673</v>
      </c>
      <c r="B5546" t="s">
        <v>10180</v>
      </c>
      <c r="C5546" t="s">
        <v>8192</v>
      </c>
      <c r="D5546" t="s">
        <v>8195</v>
      </c>
      <c r="E5546">
        <v>635.4</v>
      </c>
      <c r="G5546" s="35"/>
      <c r="H5546" s="36">
        <f t="shared" si="260"/>
        <v>400.30199999999996</v>
      </c>
      <c r="I5546" s="37">
        <f t="shared" si="258"/>
        <v>400.30199999999996</v>
      </c>
      <c r="J5546" s="4"/>
      <c r="K5546" s="38">
        <f t="shared" si="259"/>
        <v>0</v>
      </c>
    </row>
    <row r="5547" spans="1:11">
      <c r="A5547" t="s">
        <v>2674</v>
      </c>
      <c r="B5547" t="s">
        <v>10180</v>
      </c>
      <c r="C5547" t="s">
        <v>8192</v>
      </c>
      <c r="D5547" t="s">
        <v>8196</v>
      </c>
      <c r="E5547">
        <v>874.5</v>
      </c>
      <c r="G5547" s="35"/>
      <c r="H5547" s="36">
        <f t="shared" si="260"/>
        <v>550.93500000000006</v>
      </c>
      <c r="I5547" s="37">
        <f t="shared" si="258"/>
        <v>550.93500000000006</v>
      </c>
      <c r="J5547" s="4"/>
      <c r="K5547" s="38">
        <f t="shared" si="259"/>
        <v>0</v>
      </c>
    </row>
    <row r="5548" spans="1:11">
      <c r="A5548" t="s">
        <v>2675</v>
      </c>
      <c r="B5548" t="s">
        <v>10180</v>
      </c>
      <c r="C5548" t="s">
        <v>8192</v>
      </c>
      <c r="D5548" t="s">
        <v>8197</v>
      </c>
      <c r="E5548">
        <v>1373.2</v>
      </c>
      <c r="G5548" s="35"/>
      <c r="H5548" s="36">
        <f t="shared" si="260"/>
        <v>865.11599999999999</v>
      </c>
      <c r="I5548" s="37">
        <f t="shared" si="258"/>
        <v>865.11599999999999</v>
      </c>
      <c r="J5548" s="4"/>
      <c r="K5548" s="38">
        <f t="shared" si="259"/>
        <v>0</v>
      </c>
    </row>
    <row r="5549" spans="1:11">
      <c r="A5549" t="s">
        <v>2676</v>
      </c>
      <c r="B5549" t="s">
        <v>10180</v>
      </c>
      <c r="C5549" t="s">
        <v>8192</v>
      </c>
      <c r="D5549" t="s">
        <v>8198</v>
      </c>
      <c r="E5549">
        <v>2778.09</v>
      </c>
      <c r="G5549" s="35"/>
      <c r="H5549" s="36">
        <f t="shared" si="260"/>
        <v>1750.1967000000002</v>
      </c>
      <c r="I5549" s="37">
        <f t="shared" si="258"/>
        <v>1750.1967000000002</v>
      </c>
      <c r="J5549" s="4"/>
      <c r="K5549" s="38">
        <f t="shared" si="259"/>
        <v>0</v>
      </c>
    </row>
    <row r="5550" spans="1:11">
      <c r="A5550" t="s">
        <v>2677</v>
      </c>
      <c r="B5550" t="s">
        <v>10180</v>
      </c>
      <c r="C5550" t="s">
        <v>8192</v>
      </c>
      <c r="D5550" t="s">
        <v>8199</v>
      </c>
      <c r="E5550">
        <v>4100.6000000000004</v>
      </c>
      <c r="G5550" s="35"/>
      <c r="H5550" s="36">
        <f t="shared" si="260"/>
        <v>2583.3780000000002</v>
      </c>
      <c r="I5550" s="37">
        <f t="shared" si="258"/>
        <v>2583.3780000000002</v>
      </c>
      <c r="J5550" s="4"/>
      <c r="K5550" s="38">
        <f t="shared" si="259"/>
        <v>0</v>
      </c>
    </row>
    <row r="5551" spans="1:11">
      <c r="A5551" t="s">
        <v>2678</v>
      </c>
      <c r="B5551" t="s">
        <v>10180</v>
      </c>
      <c r="C5551" t="s">
        <v>8192</v>
      </c>
      <c r="D5551" t="s">
        <v>8200</v>
      </c>
      <c r="E5551">
        <v>5895.55</v>
      </c>
      <c r="G5551" s="35"/>
      <c r="H5551" s="36">
        <f t="shared" si="260"/>
        <v>3714.1965</v>
      </c>
      <c r="I5551" s="37">
        <f t="shared" si="258"/>
        <v>3714.1965</v>
      </c>
      <c r="J5551" s="4"/>
      <c r="K5551" s="38">
        <f t="shared" si="259"/>
        <v>0</v>
      </c>
    </row>
    <row r="5552" spans="1:11">
      <c r="A5552" t="s">
        <v>2679</v>
      </c>
      <c r="B5552" t="s">
        <v>10180</v>
      </c>
      <c r="C5552" t="s">
        <v>8192</v>
      </c>
      <c r="D5552" t="s">
        <v>8201</v>
      </c>
      <c r="E5552">
        <v>13993.8</v>
      </c>
      <c r="G5552" s="35"/>
      <c r="H5552" s="36">
        <f t="shared" si="260"/>
        <v>8816.0939999999991</v>
      </c>
      <c r="I5552" s="37">
        <f t="shared" si="258"/>
        <v>8816.0939999999991</v>
      </c>
      <c r="J5552" s="4"/>
      <c r="K5552" s="38">
        <f t="shared" si="259"/>
        <v>0</v>
      </c>
    </row>
    <row r="5553" spans="1:11">
      <c r="A5553" t="s">
        <v>2680</v>
      </c>
      <c r="B5553" t="s">
        <v>10180</v>
      </c>
      <c r="C5553" t="s">
        <v>8192</v>
      </c>
      <c r="D5553" t="s">
        <v>8202</v>
      </c>
      <c r="E5553">
        <v>48675.39</v>
      </c>
      <c r="G5553" s="35"/>
      <c r="H5553" s="36">
        <f t="shared" si="260"/>
        <v>30665.495699999999</v>
      </c>
      <c r="I5553" s="37">
        <f t="shared" si="258"/>
        <v>30665.495699999999</v>
      </c>
      <c r="J5553" s="4"/>
      <c r="K5553" s="38">
        <f t="shared" si="259"/>
        <v>0</v>
      </c>
    </row>
    <row r="5554" spans="1:11">
      <c r="A5554" t="s">
        <v>12208</v>
      </c>
      <c r="B5554" t="s">
        <v>10180</v>
      </c>
      <c r="C5554" t="s">
        <v>12209</v>
      </c>
      <c r="D5554" t="s">
        <v>12180</v>
      </c>
      <c r="E5554">
        <v>6771.53</v>
      </c>
      <c r="G5554" s="35"/>
      <c r="H5554" s="36">
        <f t="shared" si="260"/>
        <v>4266.0639000000001</v>
      </c>
      <c r="I5554" s="37">
        <f t="shared" si="258"/>
        <v>4266.0639000000001</v>
      </c>
      <c r="J5554" s="4"/>
      <c r="K5554" s="38">
        <f t="shared" si="259"/>
        <v>0</v>
      </c>
    </row>
    <row r="5555" spans="1:11">
      <c r="A5555" t="s">
        <v>12210</v>
      </c>
      <c r="B5555" t="s">
        <v>10180</v>
      </c>
      <c r="C5555" t="s">
        <v>12209</v>
      </c>
      <c r="D5555" t="s">
        <v>12182</v>
      </c>
      <c r="E5555">
        <v>9544.65</v>
      </c>
      <c r="G5555" s="35"/>
      <c r="H5555" s="36">
        <f t="shared" si="260"/>
        <v>6013.1295</v>
      </c>
      <c r="I5555" s="37">
        <f t="shared" si="258"/>
        <v>6013.1295</v>
      </c>
      <c r="J5555" s="4"/>
      <c r="K5555" s="38">
        <f t="shared" si="259"/>
        <v>0</v>
      </c>
    </row>
    <row r="5556" spans="1:11">
      <c r="A5556" t="s">
        <v>12211</v>
      </c>
      <c r="B5556" t="s">
        <v>10180</v>
      </c>
      <c r="C5556" t="s">
        <v>12209</v>
      </c>
      <c r="D5556" t="s">
        <v>12184</v>
      </c>
      <c r="E5556">
        <v>18095.43</v>
      </c>
      <c r="G5556" s="35"/>
      <c r="H5556" s="36">
        <f t="shared" si="260"/>
        <v>11400.1209</v>
      </c>
      <c r="I5556" s="37">
        <f t="shared" si="258"/>
        <v>11400.1209</v>
      </c>
      <c r="J5556" s="4"/>
      <c r="K5556" s="38">
        <f t="shared" si="259"/>
        <v>0</v>
      </c>
    </row>
    <row r="5557" spans="1:11">
      <c r="A5557" t="s">
        <v>2762</v>
      </c>
      <c r="B5557" t="s">
        <v>10180</v>
      </c>
      <c r="C5557" t="s">
        <v>8270</v>
      </c>
      <c r="D5557" t="s">
        <v>8271</v>
      </c>
      <c r="E5557">
        <v>505.59</v>
      </c>
      <c r="G5557" s="35"/>
      <c r="H5557" s="36">
        <f t="shared" si="260"/>
        <v>318.52170000000001</v>
      </c>
      <c r="I5557" s="37">
        <f t="shared" si="258"/>
        <v>318.52170000000001</v>
      </c>
      <c r="J5557" s="4"/>
      <c r="K5557" s="38">
        <f t="shared" si="259"/>
        <v>0</v>
      </c>
    </row>
    <row r="5558" spans="1:11">
      <c r="A5558" t="s">
        <v>2763</v>
      </c>
      <c r="B5558" t="s">
        <v>10180</v>
      </c>
      <c r="C5558" t="s">
        <v>8270</v>
      </c>
      <c r="D5558" t="s">
        <v>8272</v>
      </c>
      <c r="E5558">
        <v>505.59</v>
      </c>
      <c r="G5558" s="35"/>
      <c r="H5558" s="36">
        <f t="shared" si="260"/>
        <v>318.52170000000001</v>
      </c>
      <c r="I5558" s="37">
        <f t="shared" si="258"/>
        <v>318.52170000000001</v>
      </c>
      <c r="J5558" s="4"/>
      <c r="K5558" s="38">
        <f t="shared" si="259"/>
        <v>0</v>
      </c>
    </row>
    <row r="5559" spans="1:11">
      <c r="A5559" t="s">
        <v>2764</v>
      </c>
      <c r="B5559" t="s">
        <v>10180</v>
      </c>
      <c r="C5559" t="s">
        <v>8270</v>
      </c>
      <c r="D5559" t="s">
        <v>6711</v>
      </c>
      <c r="E5559">
        <v>709.31</v>
      </c>
      <c r="G5559" s="35"/>
      <c r="H5559" s="36">
        <f t="shared" si="260"/>
        <v>446.86529999999999</v>
      </c>
      <c r="I5559" s="37">
        <f t="shared" si="258"/>
        <v>446.86529999999999</v>
      </c>
      <c r="J5559" s="4"/>
      <c r="K5559" s="38">
        <f t="shared" si="259"/>
        <v>0</v>
      </c>
    </row>
    <row r="5560" spans="1:11">
      <c r="A5560" t="s">
        <v>2765</v>
      </c>
      <c r="B5560" t="s">
        <v>10180</v>
      </c>
      <c r="C5560" t="s">
        <v>8270</v>
      </c>
      <c r="D5560" t="s">
        <v>6712</v>
      </c>
      <c r="E5560">
        <v>894.02</v>
      </c>
      <c r="G5560" s="35"/>
      <c r="H5560" s="36">
        <f t="shared" si="260"/>
        <v>563.23260000000005</v>
      </c>
      <c r="I5560" s="37">
        <f t="shared" si="258"/>
        <v>563.23260000000005</v>
      </c>
      <c r="J5560" s="4"/>
      <c r="K5560" s="38">
        <f t="shared" si="259"/>
        <v>0</v>
      </c>
    </row>
    <row r="5561" spans="1:11">
      <c r="A5561" t="s">
        <v>2766</v>
      </c>
      <c r="B5561" t="s">
        <v>10180</v>
      </c>
      <c r="C5561" t="s">
        <v>8270</v>
      </c>
      <c r="D5561" t="s">
        <v>6713</v>
      </c>
      <c r="E5561">
        <v>1322.54</v>
      </c>
      <c r="G5561" s="35"/>
      <c r="H5561" s="36">
        <f t="shared" si="260"/>
        <v>833.2002</v>
      </c>
      <c r="I5561" s="37">
        <f t="shared" si="258"/>
        <v>833.2002</v>
      </c>
      <c r="J5561" s="4"/>
      <c r="K5561" s="38">
        <f t="shared" si="259"/>
        <v>0</v>
      </c>
    </row>
    <row r="5562" spans="1:11">
      <c r="A5562" t="s">
        <v>2767</v>
      </c>
      <c r="B5562" t="s">
        <v>10180</v>
      </c>
      <c r="C5562" t="s">
        <v>8270</v>
      </c>
      <c r="D5562" t="s">
        <v>6371</v>
      </c>
      <c r="E5562">
        <v>1984.27</v>
      </c>
      <c r="G5562" s="35"/>
      <c r="H5562" s="36">
        <f t="shared" si="260"/>
        <v>1250.0900999999999</v>
      </c>
      <c r="I5562" s="37">
        <f t="shared" si="258"/>
        <v>1250.0900999999999</v>
      </c>
      <c r="J5562" s="4"/>
      <c r="K5562" s="38">
        <f t="shared" si="259"/>
        <v>0</v>
      </c>
    </row>
    <row r="5563" spans="1:11">
      <c r="A5563" t="s">
        <v>2768</v>
      </c>
      <c r="B5563" t="s">
        <v>10180</v>
      </c>
      <c r="C5563" t="s">
        <v>8270</v>
      </c>
      <c r="D5563" t="s">
        <v>6366</v>
      </c>
      <c r="E5563">
        <v>3026.18</v>
      </c>
      <c r="G5563" s="35"/>
      <c r="H5563" s="36">
        <f t="shared" si="260"/>
        <v>1906.4933999999998</v>
      </c>
      <c r="I5563" s="37">
        <f t="shared" si="258"/>
        <v>1906.4933999999998</v>
      </c>
      <c r="J5563" s="4"/>
      <c r="K5563" s="38">
        <f t="shared" si="259"/>
        <v>0</v>
      </c>
    </row>
    <row r="5564" spans="1:11">
      <c r="A5564" t="s">
        <v>2769</v>
      </c>
      <c r="B5564" t="s">
        <v>10180</v>
      </c>
      <c r="C5564" t="s">
        <v>8270</v>
      </c>
      <c r="D5564" t="s">
        <v>6372</v>
      </c>
      <c r="E5564">
        <v>6971.05</v>
      </c>
      <c r="G5564" s="35"/>
      <c r="H5564" s="36">
        <f t="shared" si="260"/>
        <v>4391.7615000000005</v>
      </c>
      <c r="I5564" s="37">
        <f t="shared" si="258"/>
        <v>4391.7615000000005</v>
      </c>
      <c r="J5564" s="4"/>
      <c r="K5564" s="38">
        <f t="shared" si="259"/>
        <v>0</v>
      </c>
    </row>
    <row r="5565" spans="1:11">
      <c r="A5565" t="s">
        <v>2770</v>
      </c>
      <c r="B5565" t="s">
        <v>10180</v>
      </c>
      <c r="C5565" t="s">
        <v>8270</v>
      </c>
      <c r="D5565" t="s">
        <v>6373</v>
      </c>
      <c r="E5565">
        <v>13473.03</v>
      </c>
      <c r="G5565" s="35"/>
      <c r="H5565" s="36">
        <f t="shared" si="260"/>
        <v>8488.0089000000007</v>
      </c>
      <c r="I5565" s="37">
        <f t="shared" si="258"/>
        <v>8488.0089000000007</v>
      </c>
      <c r="J5565" s="4"/>
      <c r="K5565" s="38">
        <f t="shared" si="259"/>
        <v>0</v>
      </c>
    </row>
    <row r="5566" spans="1:11">
      <c r="A5566" t="s">
        <v>2771</v>
      </c>
      <c r="B5566" t="s">
        <v>10180</v>
      </c>
      <c r="C5566" t="s">
        <v>8270</v>
      </c>
      <c r="D5566" t="s">
        <v>6377</v>
      </c>
      <c r="E5566">
        <v>18110.57</v>
      </c>
      <c r="G5566" s="35"/>
      <c r="H5566" s="36">
        <f t="shared" si="260"/>
        <v>11409.659100000001</v>
      </c>
      <c r="I5566" s="37">
        <f t="shared" si="258"/>
        <v>11409.659100000001</v>
      </c>
      <c r="J5566" s="4"/>
      <c r="K5566" s="38">
        <f t="shared" si="259"/>
        <v>0</v>
      </c>
    </row>
    <row r="5567" spans="1:11">
      <c r="A5567" t="s">
        <v>2773</v>
      </c>
      <c r="B5567" t="s">
        <v>10180</v>
      </c>
      <c r="C5567" t="s">
        <v>8270</v>
      </c>
      <c r="D5567" t="s">
        <v>6378</v>
      </c>
      <c r="E5567">
        <v>30333.46</v>
      </c>
      <c r="G5567" s="35"/>
      <c r="H5567" s="36">
        <f t="shared" si="260"/>
        <v>19110.0798</v>
      </c>
      <c r="I5567" s="37">
        <f t="shared" si="258"/>
        <v>19110.0798</v>
      </c>
      <c r="J5567" s="4"/>
      <c r="K5567" s="38">
        <f t="shared" si="259"/>
        <v>0</v>
      </c>
    </row>
    <row r="5568" spans="1:11">
      <c r="A5568" t="s">
        <v>2772</v>
      </c>
      <c r="B5568" t="s">
        <v>10180</v>
      </c>
      <c r="C5568" t="s">
        <v>8270</v>
      </c>
      <c r="D5568" t="s">
        <v>8273</v>
      </c>
      <c r="E5568">
        <v>2172.2199999999998</v>
      </c>
      <c r="G5568" s="35"/>
      <c r="H5568" s="36">
        <f t="shared" si="260"/>
        <v>1368.4985999999999</v>
      </c>
      <c r="I5568" s="37">
        <f t="shared" si="258"/>
        <v>1368.4985999999999</v>
      </c>
      <c r="J5568" s="4"/>
      <c r="K5568" s="38">
        <f t="shared" si="259"/>
        <v>0</v>
      </c>
    </row>
    <row r="5569" spans="1:11">
      <c r="A5569" t="s">
        <v>12212</v>
      </c>
      <c r="B5569" t="s">
        <v>10180</v>
      </c>
      <c r="C5569" t="s">
        <v>12213</v>
      </c>
      <c r="D5569" t="s">
        <v>12214</v>
      </c>
      <c r="E5569">
        <v>18328.28</v>
      </c>
      <c r="G5569" s="35"/>
      <c r="H5569" s="36">
        <f t="shared" si="260"/>
        <v>11546.8164</v>
      </c>
      <c r="I5569" s="37">
        <f t="shared" si="258"/>
        <v>11546.8164</v>
      </c>
      <c r="J5569" s="4"/>
      <c r="K5569" s="38">
        <f t="shared" si="259"/>
        <v>0</v>
      </c>
    </row>
    <row r="5570" spans="1:11">
      <c r="A5570" t="s">
        <v>12215</v>
      </c>
      <c r="B5570" t="s">
        <v>10180</v>
      </c>
      <c r="C5570" t="s">
        <v>12213</v>
      </c>
      <c r="D5570" t="s">
        <v>12216</v>
      </c>
      <c r="E5570">
        <v>26002.66</v>
      </c>
      <c r="G5570" s="35"/>
      <c r="H5570" s="36">
        <f t="shared" si="260"/>
        <v>16381.675800000001</v>
      </c>
      <c r="I5570" s="37">
        <f t="shared" si="258"/>
        <v>16381.675800000001</v>
      </c>
      <c r="J5570" s="4"/>
      <c r="K5570" s="38">
        <f t="shared" si="259"/>
        <v>0</v>
      </c>
    </row>
    <row r="5571" spans="1:11">
      <c r="A5571" t="s">
        <v>12222</v>
      </c>
      <c r="B5571" t="s">
        <v>10180</v>
      </c>
      <c r="C5571" t="s">
        <v>12223</v>
      </c>
      <c r="D5571" t="s">
        <v>12224</v>
      </c>
      <c r="E5571">
        <v>122024.84</v>
      </c>
      <c r="G5571" s="35"/>
      <c r="H5571" s="36">
        <f t="shared" si="260"/>
        <v>76875.6492</v>
      </c>
      <c r="I5571" s="37">
        <f t="shared" si="258"/>
        <v>76875.6492</v>
      </c>
      <c r="J5571" s="4"/>
      <c r="K5571" s="38">
        <f t="shared" si="259"/>
        <v>0</v>
      </c>
    </row>
    <row r="5572" spans="1:11">
      <c r="A5572" t="s">
        <v>12225</v>
      </c>
      <c r="B5572" t="s">
        <v>10180</v>
      </c>
      <c r="C5572" t="s">
        <v>12223</v>
      </c>
      <c r="D5572" t="s">
        <v>12226</v>
      </c>
      <c r="E5572">
        <v>137936.16</v>
      </c>
      <c r="G5572" s="35"/>
      <c r="H5572" s="36">
        <f t="shared" si="260"/>
        <v>86899.780800000008</v>
      </c>
      <c r="I5572" s="37">
        <f t="shared" si="258"/>
        <v>86899.780800000008</v>
      </c>
      <c r="J5572" s="4"/>
      <c r="K5572" s="38">
        <f t="shared" si="259"/>
        <v>0</v>
      </c>
    </row>
    <row r="5573" spans="1:11">
      <c r="A5573" t="s">
        <v>12227</v>
      </c>
      <c r="B5573" t="s">
        <v>10180</v>
      </c>
      <c r="C5573" t="s">
        <v>12223</v>
      </c>
      <c r="D5573" t="s">
        <v>12228</v>
      </c>
      <c r="E5573">
        <v>189113.18</v>
      </c>
      <c r="G5573" s="35"/>
      <c r="H5573" s="36">
        <f t="shared" si="260"/>
        <v>119141.30339999999</v>
      </c>
      <c r="I5573" s="37">
        <f t="shared" si="258"/>
        <v>119141.30339999999</v>
      </c>
      <c r="J5573" s="4"/>
      <c r="K5573" s="38">
        <f t="shared" si="259"/>
        <v>0</v>
      </c>
    </row>
    <row r="5574" spans="1:11">
      <c r="A5574" t="s">
        <v>3408</v>
      </c>
      <c r="B5574" t="s">
        <v>10180</v>
      </c>
      <c r="C5574" t="s">
        <v>8903</v>
      </c>
      <c r="D5574" t="s">
        <v>8904</v>
      </c>
      <c r="E5574">
        <v>16524.14</v>
      </c>
      <c r="G5574" s="35"/>
      <c r="H5574" s="36">
        <f t="shared" si="260"/>
        <v>10410.208199999999</v>
      </c>
      <c r="I5574" s="37">
        <f t="shared" ref="I5574:I5637" si="261">H5574*$H$4</f>
        <v>10410.208199999999</v>
      </c>
      <c r="J5574" s="4"/>
      <c r="K5574" s="38">
        <f t="shared" ref="K5574:K5637" si="262">J5574*I5574</f>
        <v>0</v>
      </c>
    </row>
    <row r="5575" spans="1:11">
      <c r="A5575" t="s">
        <v>3409</v>
      </c>
      <c r="B5575" t="s">
        <v>10180</v>
      </c>
      <c r="C5575" t="s">
        <v>8903</v>
      </c>
      <c r="D5575" t="s">
        <v>8905</v>
      </c>
      <c r="E5575">
        <v>20718.09</v>
      </c>
      <c r="G5575" s="35"/>
      <c r="H5575" s="36">
        <f t="shared" ref="H5575:H5638" si="263">+E5575*$H$1*(1-G5575)</f>
        <v>13052.396699999999</v>
      </c>
      <c r="I5575" s="37">
        <f t="shared" si="261"/>
        <v>13052.396699999999</v>
      </c>
      <c r="J5575" s="4"/>
      <c r="K5575" s="38">
        <f t="shared" si="262"/>
        <v>0</v>
      </c>
    </row>
    <row r="5576" spans="1:11">
      <c r="A5576" t="s">
        <v>3410</v>
      </c>
      <c r="B5576" t="s">
        <v>10180</v>
      </c>
      <c r="C5576" t="s">
        <v>8903</v>
      </c>
      <c r="D5576" t="s">
        <v>8906</v>
      </c>
      <c r="E5576">
        <v>30643.759999999998</v>
      </c>
      <c r="G5576" s="35"/>
      <c r="H5576" s="36">
        <f t="shared" si="263"/>
        <v>19305.568800000001</v>
      </c>
      <c r="I5576" s="37">
        <f t="shared" si="261"/>
        <v>19305.568800000001</v>
      </c>
      <c r="J5576" s="4"/>
      <c r="K5576" s="38">
        <f t="shared" si="262"/>
        <v>0</v>
      </c>
    </row>
    <row r="5577" spans="1:11">
      <c r="A5577" t="s">
        <v>3411</v>
      </c>
      <c r="B5577" t="s">
        <v>10180</v>
      </c>
      <c r="C5577" t="s">
        <v>8903</v>
      </c>
      <c r="D5577" t="s">
        <v>8907</v>
      </c>
      <c r="E5577">
        <v>41510.74</v>
      </c>
      <c r="G5577" s="35"/>
      <c r="H5577" s="36">
        <f t="shared" si="263"/>
        <v>26151.766199999998</v>
      </c>
      <c r="I5577" s="37">
        <f t="shared" si="261"/>
        <v>26151.766199999998</v>
      </c>
      <c r="J5577" s="4"/>
      <c r="K5577" s="38">
        <f t="shared" si="262"/>
        <v>0</v>
      </c>
    </row>
    <row r="5578" spans="1:11">
      <c r="A5578" t="s">
        <v>3412</v>
      </c>
      <c r="B5578" t="s">
        <v>10180</v>
      </c>
      <c r="C5578" t="s">
        <v>8903</v>
      </c>
      <c r="D5578" t="s">
        <v>8908</v>
      </c>
      <c r="E5578">
        <v>62927.83</v>
      </c>
      <c r="G5578" s="35"/>
      <c r="H5578" s="36">
        <f t="shared" si="263"/>
        <v>39644.532899999998</v>
      </c>
      <c r="I5578" s="37">
        <f t="shared" si="261"/>
        <v>39644.532899999998</v>
      </c>
      <c r="J5578" s="4"/>
      <c r="K5578" s="38">
        <f t="shared" si="262"/>
        <v>0</v>
      </c>
    </row>
    <row r="5579" spans="1:11">
      <c r="A5579" t="s">
        <v>10102</v>
      </c>
      <c r="B5579" t="s">
        <v>10180</v>
      </c>
      <c r="C5579" t="s">
        <v>8903</v>
      </c>
      <c r="D5579" t="s">
        <v>10103</v>
      </c>
      <c r="E5579">
        <v>8929.98</v>
      </c>
      <c r="G5579" s="35"/>
      <c r="H5579" s="36">
        <f t="shared" si="263"/>
        <v>5625.8873999999996</v>
      </c>
      <c r="I5579" s="37">
        <f t="shared" si="261"/>
        <v>5625.8873999999996</v>
      </c>
      <c r="J5579" s="4"/>
      <c r="K5579" s="38">
        <f t="shared" si="262"/>
        <v>0</v>
      </c>
    </row>
    <row r="5580" spans="1:11">
      <c r="A5580" t="s">
        <v>10104</v>
      </c>
      <c r="B5580" t="s">
        <v>10180</v>
      </c>
      <c r="C5580" t="s">
        <v>8903</v>
      </c>
      <c r="D5580" t="s">
        <v>10105</v>
      </c>
      <c r="E5580">
        <v>10848.47</v>
      </c>
      <c r="G5580" s="35"/>
      <c r="H5580" s="36">
        <f t="shared" si="263"/>
        <v>6834.5360999999994</v>
      </c>
      <c r="I5580" s="37">
        <f t="shared" si="261"/>
        <v>6834.5360999999994</v>
      </c>
      <c r="J5580" s="4"/>
      <c r="K5580" s="38">
        <f t="shared" si="262"/>
        <v>0</v>
      </c>
    </row>
    <row r="5581" spans="1:11">
      <c r="A5581" t="s">
        <v>10106</v>
      </c>
      <c r="B5581" t="s">
        <v>10180</v>
      </c>
      <c r="C5581" t="s">
        <v>8903</v>
      </c>
      <c r="D5581" t="s">
        <v>10107</v>
      </c>
      <c r="E5581">
        <v>109509.46</v>
      </c>
      <c r="G5581" s="35"/>
      <c r="H5581" s="36">
        <f t="shared" si="263"/>
        <v>68990.959800000011</v>
      </c>
      <c r="I5581" s="37">
        <f t="shared" si="261"/>
        <v>68990.959800000011</v>
      </c>
      <c r="J5581" s="4"/>
      <c r="K5581" s="38">
        <f t="shared" si="262"/>
        <v>0</v>
      </c>
    </row>
    <row r="5582" spans="1:11">
      <c r="A5582" t="s">
        <v>3413</v>
      </c>
      <c r="B5582" t="s">
        <v>10180</v>
      </c>
      <c r="C5582" t="s">
        <v>8903</v>
      </c>
      <c r="D5582" t="s">
        <v>8909</v>
      </c>
      <c r="E5582">
        <v>13122.39</v>
      </c>
      <c r="G5582" s="35"/>
      <c r="H5582" s="36">
        <f t="shared" si="263"/>
        <v>8267.1057000000001</v>
      </c>
      <c r="I5582" s="37">
        <f t="shared" si="261"/>
        <v>8267.1057000000001</v>
      </c>
      <c r="J5582" s="4"/>
      <c r="K5582" s="38">
        <f t="shared" si="262"/>
        <v>0</v>
      </c>
    </row>
    <row r="5583" spans="1:11">
      <c r="A5583" t="s">
        <v>3414</v>
      </c>
      <c r="B5583" t="s">
        <v>10180</v>
      </c>
      <c r="C5583" t="s">
        <v>8903</v>
      </c>
      <c r="D5583" t="s">
        <v>8910</v>
      </c>
      <c r="E5583">
        <v>22311.8</v>
      </c>
      <c r="G5583" s="35"/>
      <c r="H5583" s="36">
        <f t="shared" si="263"/>
        <v>14056.433999999999</v>
      </c>
      <c r="I5583" s="37">
        <f t="shared" si="261"/>
        <v>14056.433999999999</v>
      </c>
      <c r="J5583" s="4"/>
      <c r="K5583" s="38">
        <f t="shared" si="262"/>
        <v>0</v>
      </c>
    </row>
    <row r="5584" spans="1:11">
      <c r="A5584" t="s">
        <v>3415</v>
      </c>
      <c r="B5584" t="s">
        <v>10180</v>
      </c>
      <c r="C5584" t="s">
        <v>8903</v>
      </c>
      <c r="D5584" t="s">
        <v>8911</v>
      </c>
      <c r="E5584">
        <v>30196.41</v>
      </c>
      <c r="G5584" s="35"/>
      <c r="H5584" s="36">
        <f t="shared" si="263"/>
        <v>19023.738300000001</v>
      </c>
      <c r="I5584" s="37">
        <f t="shared" si="261"/>
        <v>19023.738300000001</v>
      </c>
      <c r="J5584" s="4"/>
      <c r="K5584" s="38">
        <f t="shared" si="262"/>
        <v>0</v>
      </c>
    </row>
    <row r="5585" spans="1:11">
      <c r="A5585" t="s">
        <v>3416</v>
      </c>
      <c r="B5585" t="s">
        <v>10180</v>
      </c>
      <c r="C5585" t="s">
        <v>8903</v>
      </c>
      <c r="D5585" t="s">
        <v>8912</v>
      </c>
      <c r="E5585">
        <v>41650.54</v>
      </c>
      <c r="G5585" s="35"/>
      <c r="H5585" s="36">
        <f t="shared" si="263"/>
        <v>26239.840200000002</v>
      </c>
      <c r="I5585" s="37">
        <f t="shared" si="261"/>
        <v>26239.840200000002</v>
      </c>
      <c r="J5585" s="4"/>
      <c r="K5585" s="38">
        <f t="shared" si="262"/>
        <v>0</v>
      </c>
    </row>
    <row r="5586" spans="1:11">
      <c r="A5586" t="s">
        <v>3417</v>
      </c>
      <c r="B5586" t="s">
        <v>10180</v>
      </c>
      <c r="C5586" t="s">
        <v>8903</v>
      </c>
      <c r="D5586" t="s">
        <v>8913</v>
      </c>
      <c r="E5586">
        <v>61306.17</v>
      </c>
      <c r="G5586" s="35"/>
      <c r="H5586" s="36">
        <f t="shared" si="263"/>
        <v>38622.8871</v>
      </c>
      <c r="I5586" s="37">
        <f t="shared" si="261"/>
        <v>38622.8871</v>
      </c>
      <c r="J5586" s="4"/>
      <c r="K5586" s="38">
        <f t="shared" si="262"/>
        <v>0</v>
      </c>
    </row>
    <row r="5587" spans="1:11">
      <c r="A5587" t="s">
        <v>3418</v>
      </c>
      <c r="B5587" t="s">
        <v>10180</v>
      </c>
      <c r="C5587" t="s">
        <v>8903</v>
      </c>
      <c r="D5587" t="s">
        <v>8914</v>
      </c>
      <c r="E5587">
        <v>88883.67</v>
      </c>
      <c r="G5587" s="35"/>
      <c r="H5587" s="36">
        <f t="shared" si="263"/>
        <v>55996.712099999997</v>
      </c>
      <c r="I5587" s="37">
        <f t="shared" si="261"/>
        <v>55996.712099999997</v>
      </c>
      <c r="J5587" s="4"/>
      <c r="K5587" s="38">
        <f t="shared" si="262"/>
        <v>0</v>
      </c>
    </row>
    <row r="5588" spans="1:11">
      <c r="A5588" t="s">
        <v>10108</v>
      </c>
      <c r="B5588" t="s">
        <v>10180</v>
      </c>
      <c r="C5588" t="s">
        <v>8903</v>
      </c>
      <c r="D5588" t="s">
        <v>10109</v>
      </c>
      <c r="E5588">
        <v>75848.929999999993</v>
      </c>
      <c r="G5588" s="35"/>
      <c r="H5588" s="36">
        <f t="shared" si="263"/>
        <v>47784.825899999996</v>
      </c>
      <c r="I5588" s="37">
        <f t="shared" si="261"/>
        <v>47784.825899999996</v>
      </c>
      <c r="J5588" s="4"/>
      <c r="K5588" s="38">
        <f t="shared" si="262"/>
        <v>0</v>
      </c>
    </row>
    <row r="5589" spans="1:11">
      <c r="A5589" t="s">
        <v>3419</v>
      </c>
      <c r="B5589" t="s">
        <v>10180</v>
      </c>
      <c r="C5589" t="s">
        <v>8903</v>
      </c>
      <c r="D5589" t="s">
        <v>8915</v>
      </c>
      <c r="E5589">
        <v>144914.79</v>
      </c>
      <c r="G5589" s="35"/>
      <c r="H5589" s="36">
        <f t="shared" si="263"/>
        <v>91296.3177</v>
      </c>
      <c r="I5589" s="37">
        <f t="shared" si="261"/>
        <v>91296.3177</v>
      </c>
      <c r="J5589" s="4"/>
      <c r="K5589" s="38">
        <f t="shared" si="262"/>
        <v>0</v>
      </c>
    </row>
    <row r="5590" spans="1:11">
      <c r="A5590" t="s">
        <v>3420</v>
      </c>
      <c r="B5590" t="s">
        <v>10180</v>
      </c>
      <c r="C5590" t="s">
        <v>8903</v>
      </c>
      <c r="D5590" t="s">
        <v>8916</v>
      </c>
      <c r="E5590">
        <v>87051.87</v>
      </c>
      <c r="G5590" s="35"/>
      <c r="H5590" s="36">
        <f t="shared" si="263"/>
        <v>54842.678099999997</v>
      </c>
      <c r="I5590" s="37">
        <f t="shared" si="261"/>
        <v>54842.678099999997</v>
      </c>
      <c r="J5590" s="4"/>
      <c r="K5590" s="38">
        <f t="shared" si="262"/>
        <v>0</v>
      </c>
    </row>
    <row r="5591" spans="1:11">
      <c r="A5591" t="s">
        <v>3421</v>
      </c>
      <c r="B5591" t="s">
        <v>10180</v>
      </c>
      <c r="C5591" t="s">
        <v>8903</v>
      </c>
      <c r="D5591" t="s">
        <v>8917</v>
      </c>
      <c r="E5591">
        <v>189827.27</v>
      </c>
      <c r="G5591" s="35"/>
      <c r="H5591" s="36">
        <f t="shared" si="263"/>
        <v>119591.1801</v>
      </c>
      <c r="I5591" s="37">
        <f t="shared" si="261"/>
        <v>119591.1801</v>
      </c>
      <c r="J5591" s="4"/>
      <c r="K5591" s="38">
        <f t="shared" si="262"/>
        <v>0</v>
      </c>
    </row>
    <row r="5592" spans="1:11">
      <c r="A5592" t="s">
        <v>10110</v>
      </c>
      <c r="B5592" t="s">
        <v>10180</v>
      </c>
      <c r="C5592" t="s">
        <v>8903</v>
      </c>
      <c r="D5592" t="s">
        <v>10111</v>
      </c>
      <c r="E5592">
        <v>297835.34000000003</v>
      </c>
      <c r="G5592" s="35"/>
      <c r="H5592" s="36">
        <f t="shared" si="263"/>
        <v>187636.26420000001</v>
      </c>
      <c r="I5592" s="37">
        <f t="shared" si="261"/>
        <v>187636.26420000001</v>
      </c>
      <c r="J5592" s="4"/>
      <c r="K5592" s="38">
        <f t="shared" si="262"/>
        <v>0</v>
      </c>
    </row>
    <row r="5593" spans="1:11">
      <c r="A5593" t="s">
        <v>3422</v>
      </c>
      <c r="B5593" t="s">
        <v>10180</v>
      </c>
      <c r="C5593" t="s">
        <v>8903</v>
      </c>
      <c r="D5593" t="s">
        <v>8918</v>
      </c>
      <c r="E5593">
        <v>6337.55</v>
      </c>
      <c r="G5593" s="35"/>
      <c r="H5593" s="36">
        <f t="shared" si="263"/>
        <v>3992.6565000000001</v>
      </c>
      <c r="I5593" s="37">
        <f t="shared" si="261"/>
        <v>3992.6565000000001</v>
      </c>
      <c r="J5593" s="4"/>
      <c r="K5593" s="38">
        <f t="shared" si="262"/>
        <v>0</v>
      </c>
    </row>
    <row r="5594" spans="1:11">
      <c r="A5594" t="s">
        <v>3423</v>
      </c>
      <c r="B5594" t="s">
        <v>10180</v>
      </c>
      <c r="C5594" t="s">
        <v>8903</v>
      </c>
      <c r="D5594" t="s">
        <v>8919</v>
      </c>
      <c r="E5594">
        <v>8033.73</v>
      </c>
      <c r="G5594" s="35"/>
      <c r="H5594" s="36">
        <f t="shared" si="263"/>
        <v>5061.2498999999998</v>
      </c>
      <c r="I5594" s="37">
        <f t="shared" si="261"/>
        <v>5061.2498999999998</v>
      </c>
      <c r="J5594" s="4"/>
      <c r="K5594" s="38">
        <f t="shared" si="262"/>
        <v>0</v>
      </c>
    </row>
    <row r="5595" spans="1:11">
      <c r="A5595" t="s">
        <v>3424</v>
      </c>
      <c r="B5595" t="s">
        <v>10180</v>
      </c>
      <c r="C5595" t="s">
        <v>8903</v>
      </c>
      <c r="D5595" t="s">
        <v>8920</v>
      </c>
      <c r="E5595">
        <v>12647.08</v>
      </c>
      <c r="G5595" s="35"/>
      <c r="H5595" s="36">
        <f t="shared" si="263"/>
        <v>7967.6603999999998</v>
      </c>
      <c r="I5595" s="37">
        <f t="shared" si="261"/>
        <v>7967.6603999999998</v>
      </c>
      <c r="J5595" s="4"/>
      <c r="K5595" s="38">
        <f t="shared" si="262"/>
        <v>0</v>
      </c>
    </row>
    <row r="5596" spans="1:11">
      <c r="A5596" t="s">
        <v>3425</v>
      </c>
      <c r="B5596" t="s">
        <v>10180</v>
      </c>
      <c r="C5596" t="s">
        <v>8903</v>
      </c>
      <c r="D5596" t="s">
        <v>8921</v>
      </c>
      <c r="E5596">
        <v>19590.38</v>
      </c>
      <c r="G5596" s="35"/>
      <c r="H5596" s="36">
        <f t="shared" si="263"/>
        <v>12341.939400000001</v>
      </c>
      <c r="I5596" s="37">
        <f t="shared" si="261"/>
        <v>12341.939400000001</v>
      </c>
      <c r="J5596" s="4"/>
      <c r="K5596" s="38">
        <f t="shared" si="262"/>
        <v>0</v>
      </c>
    </row>
    <row r="5597" spans="1:11">
      <c r="A5597" t="s">
        <v>3426</v>
      </c>
      <c r="B5597" t="s">
        <v>10180</v>
      </c>
      <c r="C5597" t="s">
        <v>8903</v>
      </c>
      <c r="D5597" t="s">
        <v>8922</v>
      </c>
      <c r="E5597">
        <v>32032.42</v>
      </c>
      <c r="G5597" s="35"/>
      <c r="H5597" s="36">
        <f t="shared" si="263"/>
        <v>20180.424599999998</v>
      </c>
      <c r="I5597" s="37">
        <f t="shared" si="261"/>
        <v>20180.424599999998</v>
      </c>
      <c r="J5597" s="4"/>
      <c r="K5597" s="38">
        <f t="shared" si="262"/>
        <v>0</v>
      </c>
    </row>
    <row r="5598" spans="1:11">
      <c r="A5598" t="s">
        <v>3427</v>
      </c>
      <c r="B5598" t="s">
        <v>10180</v>
      </c>
      <c r="C5598" t="s">
        <v>8903</v>
      </c>
      <c r="D5598" t="s">
        <v>8923</v>
      </c>
      <c r="E5598">
        <v>49581.760000000002</v>
      </c>
      <c r="G5598" s="35"/>
      <c r="H5598" s="36">
        <f t="shared" si="263"/>
        <v>31236.508800000003</v>
      </c>
      <c r="I5598" s="37">
        <f t="shared" si="261"/>
        <v>31236.508800000003</v>
      </c>
      <c r="J5598" s="4"/>
      <c r="K5598" s="38">
        <f t="shared" si="262"/>
        <v>0</v>
      </c>
    </row>
    <row r="5599" spans="1:11">
      <c r="A5599" t="s">
        <v>3428</v>
      </c>
      <c r="B5599" t="s">
        <v>10180</v>
      </c>
      <c r="C5599" t="s">
        <v>8903</v>
      </c>
      <c r="D5599" t="s">
        <v>8924</v>
      </c>
      <c r="E5599">
        <v>69461.05</v>
      </c>
      <c r="G5599" s="35"/>
      <c r="H5599" s="36">
        <f t="shared" si="263"/>
        <v>43760.461500000005</v>
      </c>
      <c r="I5599" s="37">
        <f t="shared" si="261"/>
        <v>43760.461500000005</v>
      </c>
      <c r="J5599" s="4"/>
      <c r="K5599" s="38">
        <f t="shared" si="262"/>
        <v>0</v>
      </c>
    </row>
    <row r="5600" spans="1:11">
      <c r="A5600" t="s">
        <v>3429</v>
      </c>
      <c r="B5600" t="s">
        <v>10180</v>
      </c>
      <c r="C5600" t="s">
        <v>8903</v>
      </c>
      <c r="D5600" t="s">
        <v>8925</v>
      </c>
      <c r="E5600">
        <v>95845.63</v>
      </c>
      <c r="G5600" s="35"/>
      <c r="H5600" s="36">
        <f t="shared" si="263"/>
        <v>60382.746900000006</v>
      </c>
      <c r="I5600" s="37">
        <f t="shared" si="261"/>
        <v>60382.746900000006</v>
      </c>
      <c r="J5600" s="4"/>
      <c r="K5600" s="38">
        <f t="shared" si="262"/>
        <v>0</v>
      </c>
    </row>
    <row r="5601" spans="1:11">
      <c r="A5601" t="s">
        <v>3430</v>
      </c>
      <c r="B5601" t="s">
        <v>10180</v>
      </c>
      <c r="C5601" t="s">
        <v>8903</v>
      </c>
      <c r="D5601" t="s">
        <v>8926</v>
      </c>
      <c r="E5601">
        <v>144327.62</v>
      </c>
      <c r="G5601" s="35"/>
      <c r="H5601" s="36">
        <f t="shared" si="263"/>
        <v>90926.400599999994</v>
      </c>
      <c r="I5601" s="37">
        <f t="shared" si="261"/>
        <v>90926.400599999994</v>
      </c>
      <c r="J5601" s="4"/>
      <c r="K5601" s="38">
        <f t="shared" si="262"/>
        <v>0</v>
      </c>
    </row>
    <row r="5602" spans="1:11">
      <c r="A5602" t="s">
        <v>3431</v>
      </c>
      <c r="B5602" t="s">
        <v>10180</v>
      </c>
      <c r="C5602" t="s">
        <v>8903</v>
      </c>
      <c r="D5602" t="s">
        <v>8927</v>
      </c>
      <c r="E5602">
        <v>196015.68</v>
      </c>
      <c r="G5602" s="35"/>
      <c r="H5602" s="36">
        <f t="shared" si="263"/>
        <v>123489.8784</v>
      </c>
      <c r="I5602" s="37">
        <f t="shared" si="261"/>
        <v>123489.8784</v>
      </c>
      <c r="J5602" s="4"/>
      <c r="K5602" s="38">
        <f t="shared" si="262"/>
        <v>0</v>
      </c>
    </row>
    <row r="5603" spans="1:11">
      <c r="A5603" t="s">
        <v>3432</v>
      </c>
      <c r="B5603" t="s">
        <v>10180</v>
      </c>
      <c r="C5603" t="s">
        <v>8903</v>
      </c>
      <c r="D5603" t="s">
        <v>8928</v>
      </c>
      <c r="E5603">
        <v>245187.34</v>
      </c>
      <c r="G5603" s="35"/>
      <c r="H5603" s="36">
        <f t="shared" si="263"/>
        <v>154468.02419999999</v>
      </c>
      <c r="I5603" s="37">
        <f t="shared" si="261"/>
        <v>154468.02419999999</v>
      </c>
      <c r="J5603" s="4"/>
      <c r="K5603" s="38">
        <f t="shared" si="262"/>
        <v>0</v>
      </c>
    </row>
    <row r="5604" spans="1:11">
      <c r="A5604" t="s">
        <v>3433</v>
      </c>
      <c r="B5604" t="s">
        <v>10180</v>
      </c>
      <c r="C5604" t="s">
        <v>8903</v>
      </c>
      <c r="D5604" t="s">
        <v>8929</v>
      </c>
      <c r="E5604">
        <v>304993.01</v>
      </c>
      <c r="G5604" s="35"/>
      <c r="H5604" s="36">
        <f t="shared" si="263"/>
        <v>192145.5963</v>
      </c>
      <c r="I5604" s="37">
        <f t="shared" si="261"/>
        <v>192145.5963</v>
      </c>
      <c r="J5604" s="4"/>
      <c r="K5604" s="38">
        <f t="shared" si="262"/>
        <v>0</v>
      </c>
    </row>
    <row r="5605" spans="1:11">
      <c r="A5605" t="s">
        <v>10112</v>
      </c>
      <c r="B5605" t="s">
        <v>10180</v>
      </c>
      <c r="C5605" t="s">
        <v>8903</v>
      </c>
      <c r="D5605" t="s">
        <v>10113</v>
      </c>
      <c r="E5605">
        <v>475379.01</v>
      </c>
      <c r="G5605" s="35"/>
      <c r="H5605" s="36">
        <f t="shared" si="263"/>
        <v>299488.77630000003</v>
      </c>
      <c r="I5605" s="37">
        <f t="shared" si="261"/>
        <v>299488.77630000003</v>
      </c>
      <c r="J5605" s="4"/>
      <c r="K5605" s="38">
        <f t="shared" si="262"/>
        <v>0</v>
      </c>
    </row>
    <row r="5606" spans="1:11">
      <c r="A5606" t="s">
        <v>3434</v>
      </c>
      <c r="B5606" t="s">
        <v>10180</v>
      </c>
      <c r="C5606" t="s">
        <v>8903</v>
      </c>
      <c r="D5606" t="s">
        <v>8930</v>
      </c>
      <c r="E5606">
        <v>637572.07999999996</v>
      </c>
      <c r="G5606" s="35"/>
      <c r="H5606" s="36">
        <f t="shared" si="263"/>
        <v>401670.41039999999</v>
      </c>
      <c r="I5606" s="37">
        <f t="shared" si="261"/>
        <v>401670.41039999999</v>
      </c>
      <c r="J5606" s="4"/>
      <c r="K5606" s="38">
        <f t="shared" si="262"/>
        <v>0</v>
      </c>
    </row>
    <row r="5607" spans="1:11">
      <c r="A5607" t="s">
        <v>3617</v>
      </c>
      <c r="B5607" t="s">
        <v>10180</v>
      </c>
      <c r="C5607" t="s">
        <v>9103</v>
      </c>
      <c r="D5607" t="s">
        <v>9104</v>
      </c>
      <c r="E5607">
        <v>1972.74</v>
      </c>
      <c r="G5607" s="35"/>
      <c r="H5607" s="36">
        <f t="shared" si="263"/>
        <v>1242.8262</v>
      </c>
      <c r="I5607" s="37">
        <f t="shared" si="261"/>
        <v>1242.8262</v>
      </c>
      <c r="J5607" s="4"/>
      <c r="K5607" s="38">
        <f t="shared" si="262"/>
        <v>0</v>
      </c>
    </row>
    <row r="5608" spans="1:11">
      <c r="A5608" t="s">
        <v>3618</v>
      </c>
      <c r="B5608" t="s">
        <v>10180</v>
      </c>
      <c r="C5608" t="s">
        <v>9103</v>
      </c>
      <c r="D5608" t="s">
        <v>9105</v>
      </c>
      <c r="E5608">
        <v>2718.98</v>
      </c>
      <c r="G5608" s="35"/>
      <c r="H5608" s="36">
        <f t="shared" si="263"/>
        <v>1712.9574</v>
      </c>
      <c r="I5608" s="37">
        <f t="shared" si="261"/>
        <v>1712.9574</v>
      </c>
      <c r="J5608" s="4"/>
      <c r="K5608" s="38">
        <f t="shared" si="262"/>
        <v>0</v>
      </c>
    </row>
    <row r="5609" spans="1:11">
      <c r="A5609" t="s">
        <v>3619</v>
      </c>
      <c r="B5609" t="s">
        <v>10180</v>
      </c>
      <c r="C5609" t="s">
        <v>9103</v>
      </c>
      <c r="D5609" t="s">
        <v>9106</v>
      </c>
      <c r="E5609">
        <v>3407.2</v>
      </c>
      <c r="G5609" s="35"/>
      <c r="H5609" s="36">
        <f t="shared" si="263"/>
        <v>2146.5360000000001</v>
      </c>
      <c r="I5609" s="37">
        <f t="shared" si="261"/>
        <v>2146.5360000000001</v>
      </c>
      <c r="J5609" s="4"/>
      <c r="K5609" s="38">
        <f t="shared" si="262"/>
        <v>0</v>
      </c>
    </row>
    <row r="5610" spans="1:11">
      <c r="A5610" t="s">
        <v>3620</v>
      </c>
      <c r="B5610" t="s">
        <v>10180</v>
      </c>
      <c r="C5610" t="s">
        <v>9103</v>
      </c>
      <c r="D5610" t="s">
        <v>9107</v>
      </c>
      <c r="E5610">
        <v>4853.3999999999996</v>
      </c>
      <c r="G5610" s="35"/>
      <c r="H5610" s="36">
        <f t="shared" si="263"/>
        <v>3057.6419999999998</v>
      </c>
      <c r="I5610" s="37">
        <f t="shared" si="261"/>
        <v>3057.6419999999998</v>
      </c>
      <c r="J5610" s="4"/>
      <c r="K5610" s="38">
        <f t="shared" si="262"/>
        <v>0</v>
      </c>
    </row>
    <row r="5611" spans="1:11">
      <c r="A5611" t="s">
        <v>3621</v>
      </c>
      <c r="B5611" t="s">
        <v>10180</v>
      </c>
      <c r="C5611" t="s">
        <v>9103</v>
      </c>
      <c r="D5611" t="s">
        <v>9108</v>
      </c>
      <c r="E5611">
        <v>6846.48</v>
      </c>
      <c r="G5611" s="35"/>
      <c r="H5611" s="36">
        <f t="shared" si="263"/>
        <v>4313.2824000000001</v>
      </c>
      <c r="I5611" s="37">
        <f t="shared" si="261"/>
        <v>4313.2824000000001</v>
      </c>
      <c r="J5611" s="4"/>
      <c r="K5611" s="38">
        <f t="shared" si="262"/>
        <v>0</v>
      </c>
    </row>
    <row r="5612" spans="1:11">
      <c r="A5612" t="s">
        <v>3622</v>
      </c>
      <c r="B5612" t="s">
        <v>10180</v>
      </c>
      <c r="C5612" t="s">
        <v>9103</v>
      </c>
      <c r="D5612" t="s">
        <v>9109</v>
      </c>
      <c r="E5612">
        <v>12651.49</v>
      </c>
      <c r="G5612" s="35"/>
      <c r="H5612" s="36">
        <f t="shared" si="263"/>
        <v>7970.4386999999997</v>
      </c>
      <c r="I5612" s="37">
        <f t="shared" si="261"/>
        <v>7970.4386999999997</v>
      </c>
      <c r="J5612" s="4"/>
      <c r="K5612" s="38">
        <f t="shared" si="262"/>
        <v>0</v>
      </c>
    </row>
    <row r="5613" spans="1:11">
      <c r="A5613" t="s">
        <v>3623</v>
      </c>
      <c r="B5613" t="s">
        <v>10180</v>
      </c>
      <c r="C5613" t="s">
        <v>9103</v>
      </c>
      <c r="D5613" t="s">
        <v>9110</v>
      </c>
      <c r="E5613">
        <v>23307.46</v>
      </c>
      <c r="G5613" s="35"/>
      <c r="H5613" s="36">
        <f t="shared" si="263"/>
        <v>14683.6998</v>
      </c>
      <c r="I5613" s="37">
        <f t="shared" si="261"/>
        <v>14683.6998</v>
      </c>
      <c r="J5613" s="4"/>
      <c r="K5613" s="38">
        <f t="shared" si="262"/>
        <v>0</v>
      </c>
    </row>
    <row r="5614" spans="1:11">
      <c r="A5614" t="s">
        <v>3624</v>
      </c>
      <c r="B5614" t="s">
        <v>10180</v>
      </c>
      <c r="C5614" t="s">
        <v>9103</v>
      </c>
      <c r="D5614" t="s">
        <v>9111</v>
      </c>
      <c r="E5614">
        <v>33558.54</v>
      </c>
      <c r="G5614" s="35"/>
      <c r="H5614" s="36">
        <f t="shared" si="263"/>
        <v>21141.8802</v>
      </c>
      <c r="I5614" s="37">
        <f t="shared" si="261"/>
        <v>21141.8802</v>
      </c>
      <c r="J5614" s="4"/>
      <c r="K5614" s="38">
        <f t="shared" si="262"/>
        <v>0</v>
      </c>
    </row>
    <row r="5615" spans="1:11">
      <c r="A5615" t="s">
        <v>3625</v>
      </c>
      <c r="B5615" t="s">
        <v>10180</v>
      </c>
      <c r="C5615" t="s">
        <v>9103</v>
      </c>
      <c r="D5615" t="s">
        <v>9112</v>
      </c>
      <c r="E5615">
        <v>50226.99</v>
      </c>
      <c r="G5615" s="35"/>
      <c r="H5615" s="36">
        <f t="shared" si="263"/>
        <v>31643.003699999997</v>
      </c>
      <c r="I5615" s="37">
        <f t="shared" si="261"/>
        <v>31643.003699999997</v>
      </c>
      <c r="J5615" s="4"/>
      <c r="K5615" s="38">
        <f t="shared" si="262"/>
        <v>0</v>
      </c>
    </row>
    <row r="5616" spans="1:11">
      <c r="A5616" t="s">
        <v>12229</v>
      </c>
      <c r="B5616" t="s">
        <v>10180</v>
      </c>
      <c r="C5616" t="s">
        <v>12230</v>
      </c>
      <c r="D5616" t="s">
        <v>12180</v>
      </c>
      <c r="E5616">
        <v>27821.3</v>
      </c>
      <c r="G5616" s="35"/>
      <c r="H5616" s="36">
        <f t="shared" si="263"/>
        <v>17527.418999999998</v>
      </c>
      <c r="I5616" s="37">
        <f t="shared" si="261"/>
        <v>17527.418999999998</v>
      </c>
      <c r="J5616" s="4"/>
      <c r="K5616" s="38">
        <f t="shared" si="262"/>
        <v>0</v>
      </c>
    </row>
    <row r="5617" spans="1:11">
      <c r="A5617" t="s">
        <v>12231</v>
      </c>
      <c r="B5617" t="s">
        <v>10180</v>
      </c>
      <c r="C5617" t="s">
        <v>12230</v>
      </c>
      <c r="D5617" t="s">
        <v>12182</v>
      </c>
      <c r="E5617">
        <v>37920.54</v>
      </c>
      <c r="G5617" s="35"/>
      <c r="H5617" s="36">
        <f t="shared" si="263"/>
        <v>23889.940200000001</v>
      </c>
      <c r="I5617" s="37">
        <f t="shared" si="261"/>
        <v>23889.940200000001</v>
      </c>
      <c r="J5617" s="4"/>
      <c r="K5617" s="38">
        <f t="shared" si="262"/>
        <v>0</v>
      </c>
    </row>
    <row r="5618" spans="1:11">
      <c r="A5618" t="s">
        <v>12232</v>
      </c>
      <c r="B5618" t="s">
        <v>10180</v>
      </c>
      <c r="C5618" t="s">
        <v>12230</v>
      </c>
      <c r="D5618" t="s">
        <v>12184</v>
      </c>
      <c r="E5618">
        <v>44885.53</v>
      </c>
      <c r="G5618" s="35"/>
      <c r="H5618" s="36">
        <f t="shared" si="263"/>
        <v>28277.883900000001</v>
      </c>
      <c r="I5618" s="37">
        <f t="shared" si="261"/>
        <v>28277.883900000001</v>
      </c>
      <c r="J5618" s="4"/>
      <c r="K5618" s="38">
        <f t="shared" si="262"/>
        <v>0</v>
      </c>
    </row>
    <row r="5619" spans="1:11">
      <c r="A5619" t="s">
        <v>3693</v>
      </c>
      <c r="B5619" t="s">
        <v>10180</v>
      </c>
      <c r="C5619" t="s">
        <v>9170</v>
      </c>
      <c r="D5619" t="s">
        <v>6665</v>
      </c>
      <c r="E5619">
        <v>8436.14</v>
      </c>
      <c r="G5619" s="35"/>
      <c r="H5619" s="36">
        <f t="shared" si="263"/>
        <v>5314.7681999999995</v>
      </c>
      <c r="I5619" s="37">
        <f t="shared" si="261"/>
        <v>5314.7681999999995</v>
      </c>
      <c r="J5619" s="4"/>
      <c r="K5619" s="38">
        <f t="shared" si="262"/>
        <v>0</v>
      </c>
    </row>
    <row r="5620" spans="1:11">
      <c r="A5620" t="s">
        <v>3694</v>
      </c>
      <c r="B5620" t="s">
        <v>10180</v>
      </c>
      <c r="C5620" t="s">
        <v>9170</v>
      </c>
      <c r="D5620" t="s">
        <v>6666</v>
      </c>
      <c r="E5620">
        <v>10383.620000000001</v>
      </c>
      <c r="G5620" s="35"/>
      <c r="H5620" s="36">
        <f t="shared" si="263"/>
        <v>6541.6806000000006</v>
      </c>
      <c r="I5620" s="37">
        <f t="shared" si="261"/>
        <v>6541.6806000000006</v>
      </c>
      <c r="J5620" s="4"/>
      <c r="K5620" s="38">
        <f t="shared" si="262"/>
        <v>0</v>
      </c>
    </row>
    <row r="5621" spans="1:11">
      <c r="A5621" t="s">
        <v>3695</v>
      </c>
      <c r="B5621" t="s">
        <v>10180</v>
      </c>
      <c r="C5621" t="s">
        <v>9170</v>
      </c>
      <c r="D5621" t="s">
        <v>6667</v>
      </c>
      <c r="E5621">
        <v>13092.97</v>
      </c>
      <c r="G5621" s="35"/>
      <c r="H5621" s="36">
        <f t="shared" si="263"/>
        <v>8248.5710999999992</v>
      </c>
      <c r="I5621" s="37">
        <f t="shared" si="261"/>
        <v>8248.5710999999992</v>
      </c>
      <c r="J5621" s="4"/>
      <c r="K5621" s="38">
        <f t="shared" si="262"/>
        <v>0</v>
      </c>
    </row>
    <row r="5622" spans="1:11">
      <c r="A5622" t="s">
        <v>3696</v>
      </c>
      <c r="B5622" t="s">
        <v>10180</v>
      </c>
      <c r="C5622" t="s">
        <v>9170</v>
      </c>
      <c r="D5622" t="s">
        <v>9171</v>
      </c>
      <c r="E5622">
        <v>17564.080000000002</v>
      </c>
      <c r="G5622" s="35"/>
      <c r="H5622" s="36">
        <f t="shared" si="263"/>
        <v>11065.370400000002</v>
      </c>
      <c r="I5622" s="37">
        <f t="shared" si="261"/>
        <v>11065.370400000002</v>
      </c>
      <c r="J5622" s="4"/>
      <c r="K5622" s="38">
        <f t="shared" si="262"/>
        <v>0</v>
      </c>
    </row>
    <row r="5623" spans="1:11">
      <c r="A5623" t="s">
        <v>3697</v>
      </c>
      <c r="B5623" t="s">
        <v>10180</v>
      </c>
      <c r="C5623" t="s">
        <v>9170</v>
      </c>
      <c r="D5623" t="s">
        <v>9172</v>
      </c>
      <c r="E5623">
        <v>18372.36</v>
      </c>
      <c r="G5623" s="35"/>
      <c r="H5623" s="36">
        <f t="shared" si="263"/>
        <v>11574.586800000001</v>
      </c>
      <c r="I5623" s="37">
        <f t="shared" si="261"/>
        <v>11574.586800000001</v>
      </c>
      <c r="J5623" s="4"/>
      <c r="K5623" s="38">
        <f t="shared" si="262"/>
        <v>0</v>
      </c>
    </row>
    <row r="5624" spans="1:11">
      <c r="A5624" t="s">
        <v>3698</v>
      </c>
      <c r="B5624" t="s">
        <v>10180</v>
      </c>
      <c r="C5624" t="s">
        <v>9170</v>
      </c>
      <c r="D5624" t="s">
        <v>9173</v>
      </c>
      <c r="E5624">
        <v>32983.160000000003</v>
      </c>
      <c r="G5624" s="35"/>
      <c r="H5624" s="36">
        <f t="shared" si="263"/>
        <v>20779.390800000001</v>
      </c>
      <c r="I5624" s="37">
        <f t="shared" si="261"/>
        <v>20779.390800000001</v>
      </c>
      <c r="J5624" s="4"/>
      <c r="K5624" s="38">
        <f t="shared" si="262"/>
        <v>0</v>
      </c>
    </row>
    <row r="5625" spans="1:11">
      <c r="A5625" t="s">
        <v>12817</v>
      </c>
      <c r="B5625" t="s">
        <v>10180</v>
      </c>
      <c r="C5625" t="s">
        <v>9159</v>
      </c>
      <c r="D5625" t="s">
        <v>12818</v>
      </c>
      <c r="E5625">
        <v>35741.019999999997</v>
      </c>
      <c r="G5625" s="35"/>
      <c r="H5625" s="36">
        <f t="shared" si="263"/>
        <v>22516.8426</v>
      </c>
      <c r="I5625" s="37">
        <f t="shared" si="261"/>
        <v>22516.8426</v>
      </c>
      <c r="J5625" s="4"/>
      <c r="K5625" s="38">
        <f t="shared" si="262"/>
        <v>0</v>
      </c>
    </row>
    <row r="5626" spans="1:11">
      <c r="A5626" t="s">
        <v>3683</v>
      </c>
      <c r="B5626" t="s">
        <v>10180</v>
      </c>
      <c r="C5626" t="s">
        <v>9159</v>
      </c>
      <c r="D5626" t="s">
        <v>9160</v>
      </c>
      <c r="E5626">
        <v>170.37</v>
      </c>
      <c r="G5626" s="35"/>
      <c r="H5626" s="36">
        <f t="shared" si="263"/>
        <v>107.3331</v>
      </c>
      <c r="I5626" s="37">
        <f t="shared" si="261"/>
        <v>107.3331</v>
      </c>
      <c r="J5626" s="4"/>
      <c r="K5626" s="38">
        <f t="shared" si="262"/>
        <v>0</v>
      </c>
    </row>
    <row r="5627" spans="1:11">
      <c r="A5627" t="s">
        <v>3684</v>
      </c>
      <c r="B5627" t="s">
        <v>10180</v>
      </c>
      <c r="C5627" t="s">
        <v>9159</v>
      </c>
      <c r="D5627" t="s">
        <v>9161</v>
      </c>
      <c r="E5627">
        <v>7592.52</v>
      </c>
      <c r="G5627" s="35"/>
      <c r="H5627" s="36">
        <f t="shared" si="263"/>
        <v>4783.2876000000006</v>
      </c>
      <c r="I5627" s="37">
        <f t="shared" si="261"/>
        <v>4783.2876000000006</v>
      </c>
      <c r="J5627" s="4"/>
      <c r="K5627" s="38">
        <f t="shared" si="262"/>
        <v>0</v>
      </c>
    </row>
    <row r="5628" spans="1:11">
      <c r="A5628" t="s">
        <v>3685</v>
      </c>
      <c r="B5628" t="s">
        <v>10180</v>
      </c>
      <c r="C5628" t="s">
        <v>9159</v>
      </c>
      <c r="D5628" t="s">
        <v>9162</v>
      </c>
      <c r="E5628">
        <v>9345.25</v>
      </c>
      <c r="G5628" s="35"/>
      <c r="H5628" s="36">
        <f t="shared" si="263"/>
        <v>5887.5074999999997</v>
      </c>
      <c r="I5628" s="37">
        <f t="shared" si="261"/>
        <v>5887.5074999999997</v>
      </c>
      <c r="J5628" s="4"/>
      <c r="K5628" s="38">
        <f t="shared" si="262"/>
        <v>0</v>
      </c>
    </row>
    <row r="5629" spans="1:11">
      <c r="A5629" t="s">
        <v>3686</v>
      </c>
      <c r="B5629" t="s">
        <v>10180</v>
      </c>
      <c r="C5629" t="s">
        <v>9159</v>
      </c>
      <c r="D5629" t="s">
        <v>9163</v>
      </c>
      <c r="E5629">
        <v>52.98</v>
      </c>
      <c r="G5629" s="35"/>
      <c r="H5629" s="36">
        <f t="shared" si="263"/>
        <v>33.377400000000002</v>
      </c>
      <c r="I5629" s="37">
        <f t="shared" si="261"/>
        <v>33.377400000000002</v>
      </c>
      <c r="J5629" s="4"/>
      <c r="K5629" s="38">
        <f t="shared" si="262"/>
        <v>0</v>
      </c>
    </row>
    <row r="5630" spans="1:11">
      <c r="A5630" t="s">
        <v>3687</v>
      </c>
      <c r="B5630" t="s">
        <v>10180</v>
      </c>
      <c r="C5630" t="s">
        <v>9159</v>
      </c>
      <c r="D5630" t="s">
        <v>9164</v>
      </c>
      <c r="E5630">
        <v>9373.49</v>
      </c>
      <c r="G5630" s="35"/>
      <c r="H5630" s="36">
        <f t="shared" si="263"/>
        <v>5905.2987000000003</v>
      </c>
      <c r="I5630" s="37">
        <f t="shared" si="261"/>
        <v>5905.2987000000003</v>
      </c>
      <c r="J5630" s="4"/>
      <c r="K5630" s="38">
        <f t="shared" si="262"/>
        <v>0</v>
      </c>
    </row>
    <row r="5631" spans="1:11">
      <c r="A5631" t="s">
        <v>3688</v>
      </c>
      <c r="B5631" t="s">
        <v>10180</v>
      </c>
      <c r="C5631" t="s">
        <v>9159</v>
      </c>
      <c r="D5631" t="s">
        <v>9165</v>
      </c>
      <c r="E5631">
        <v>11537.34</v>
      </c>
      <c r="G5631" s="35"/>
      <c r="H5631" s="36">
        <f t="shared" si="263"/>
        <v>7268.5241999999998</v>
      </c>
      <c r="I5631" s="37">
        <f t="shared" si="261"/>
        <v>7268.5241999999998</v>
      </c>
      <c r="J5631" s="4"/>
      <c r="K5631" s="38">
        <f t="shared" si="262"/>
        <v>0</v>
      </c>
    </row>
    <row r="5632" spans="1:11">
      <c r="A5632" t="s">
        <v>3689</v>
      </c>
      <c r="B5632" t="s">
        <v>10180</v>
      </c>
      <c r="C5632" t="s">
        <v>9159</v>
      </c>
      <c r="D5632" t="s">
        <v>9166</v>
      </c>
      <c r="E5632">
        <v>14547.72</v>
      </c>
      <c r="G5632" s="35"/>
      <c r="H5632" s="36">
        <f t="shared" si="263"/>
        <v>9165.0635999999995</v>
      </c>
      <c r="I5632" s="37">
        <f t="shared" si="261"/>
        <v>9165.0635999999995</v>
      </c>
      <c r="J5632" s="4"/>
      <c r="K5632" s="38">
        <f t="shared" si="262"/>
        <v>0</v>
      </c>
    </row>
    <row r="5633" spans="1:11">
      <c r="A5633" t="s">
        <v>3690</v>
      </c>
      <c r="B5633" t="s">
        <v>10180</v>
      </c>
      <c r="C5633" t="s">
        <v>9159</v>
      </c>
      <c r="D5633" t="s">
        <v>9167</v>
      </c>
      <c r="E5633">
        <v>19515.63</v>
      </c>
      <c r="G5633" s="35"/>
      <c r="H5633" s="36">
        <f t="shared" si="263"/>
        <v>12294.8469</v>
      </c>
      <c r="I5633" s="37">
        <f t="shared" si="261"/>
        <v>12294.8469</v>
      </c>
      <c r="J5633" s="4"/>
      <c r="K5633" s="38">
        <f t="shared" si="262"/>
        <v>0</v>
      </c>
    </row>
    <row r="5634" spans="1:11">
      <c r="A5634" t="s">
        <v>3691</v>
      </c>
      <c r="B5634" t="s">
        <v>10180</v>
      </c>
      <c r="C5634" t="s">
        <v>9159</v>
      </c>
      <c r="D5634" t="s">
        <v>9168</v>
      </c>
      <c r="E5634">
        <v>20413.740000000002</v>
      </c>
      <c r="G5634" s="35"/>
      <c r="H5634" s="36">
        <f t="shared" si="263"/>
        <v>12860.656200000001</v>
      </c>
      <c r="I5634" s="37">
        <f t="shared" si="261"/>
        <v>12860.656200000001</v>
      </c>
      <c r="J5634" s="4"/>
      <c r="K5634" s="38">
        <f t="shared" si="262"/>
        <v>0</v>
      </c>
    </row>
    <row r="5635" spans="1:11">
      <c r="A5635" t="s">
        <v>3692</v>
      </c>
      <c r="B5635" t="s">
        <v>10180</v>
      </c>
      <c r="C5635" t="s">
        <v>9159</v>
      </c>
      <c r="D5635" t="s">
        <v>9169</v>
      </c>
      <c r="E5635">
        <v>36647.94</v>
      </c>
      <c r="G5635" s="35"/>
      <c r="H5635" s="36">
        <f t="shared" si="263"/>
        <v>23088.202200000003</v>
      </c>
      <c r="I5635" s="37">
        <f t="shared" si="261"/>
        <v>23088.202200000003</v>
      </c>
      <c r="J5635" s="4"/>
      <c r="K5635" s="38">
        <f t="shared" si="262"/>
        <v>0</v>
      </c>
    </row>
    <row r="5636" spans="1:11">
      <c r="A5636" t="s">
        <v>2164</v>
      </c>
      <c r="B5636" t="s">
        <v>12250</v>
      </c>
      <c r="C5636" t="s">
        <v>7721</v>
      </c>
      <c r="D5636" t="s">
        <v>7722</v>
      </c>
      <c r="E5636">
        <v>494035.24</v>
      </c>
      <c r="G5636" s="35"/>
      <c r="H5636" s="36">
        <f t="shared" si="263"/>
        <v>311242.20120000001</v>
      </c>
      <c r="I5636" s="37">
        <f t="shared" si="261"/>
        <v>311242.20120000001</v>
      </c>
      <c r="J5636" s="4"/>
      <c r="K5636" s="38">
        <f t="shared" si="262"/>
        <v>0</v>
      </c>
    </row>
    <row r="5637" spans="1:11">
      <c r="A5637" t="s">
        <v>1986</v>
      </c>
      <c r="B5637" t="s">
        <v>12250</v>
      </c>
      <c r="C5637" t="s">
        <v>7571</v>
      </c>
      <c r="D5637" t="s">
        <v>12587</v>
      </c>
      <c r="E5637">
        <v>11691.92</v>
      </c>
      <c r="G5637" s="35"/>
      <c r="H5637" s="36">
        <f t="shared" si="263"/>
        <v>7365.9096</v>
      </c>
      <c r="I5637" s="37">
        <f t="shared" si="261"/>
        <v>7365.9096</v>
      </c>
      <c r="J5637" s="4"/>
      <c r="K5637" s="38">
        <f t="shared" si="262"/>
        <v>0</v>
      </c>
    </row>
    <row r="5638" spans="1:11">
      <c r="A5638" t="s">
        <v>1987</v>
      </c>
      <c r="B5638" t="s">
        <v>12250</v>
      </c>
      <c r="C5638" t="s">
        <v>7571</v>
      </c>
      <c r="D5638" t="s">
        <v>10075</v>
      </c>
      <c r="E5638">
        <v>18707.05</v>
      </c>
      <c r="G5638" s="35"/>
      <c r="H5638" s="36">
        <f t="shared" si="263"/>
        <v>11785.441499999999</v>
      </c>
      <c r="I5638" s="37">
        <f t="shared" ref="I5638:I5701" si="264">H5638*$H$4</f>
        <v>11785.441499999999</v>
      </c>
      <c r="J5638" s="4"/>
      <c r="K5638" s="38">
        <f t="shared" ref="K5638:K5701" si="265">J5638*I5638</f>
        <v>0</v>
      </c>
    </row>
    <row r="5639" spans="1:11">
      <c r="A5639" t="s">
        <v>1988</v>
      </c>
      <c r="B5639" t="s">
        <v>12250</v>
      </c>
      <c r="C5639" t="s">
        <v>7571</v>
      </c>
      <c r="D5639" t="s">
        <v>7572</v>
      </c>
      <c r="E5639">
        <v>22585.99</v>
      </c>
      <c r="G5639" s="35"/>
      <c r="H5639" s="36">
        <f t="shared" ref="H5639:H5702" si="266">+E5639*$H$1*(1-G5639)</f>
        <v>14229.173700000001</v>
      </c>
      <c r="I5639" s="37">
        <f t="shared" si="264"/>
        <v>14229.173700000001</v>
      </c>
      <c r="J5639" s="4"/>
      <c r="K5639" s="38">
        <f t="shared" si="265"/>
        <v>0</v>
      </c>
    </row>
    <row r="5640" spans="1:11">
      <c r="A5640" t="s">
        <v>12117</v>
      </c>
      <c r="B5640" t="s">
        <v>12250</v>
      </c>
      <c r="C5640" t="s">
        <v>7571</v>
      </c>
      <c r="D5640" t="s">
        <v>12118</v>
      </c>
      <c r="E5640">
        <v>6533.75</v>
      </c>
      <c r="G5640" s="35"/>
      <c r="H5640" s="36">
        <f t="shared" si="266"/>
        <v>4116.2624999999998</v>
      </c>
      <c r="I5640" s="37">
        <f t="shared" si="264"/>
        <v>4116.2624999999998</v>
      </c>
      <c r="J5640" s="4"/>
      <c r="K5640" s="38">
        <f t="shared" si="265"/>
        <v>0</v>
      </c>
    </row>
    <row r="5641" spans="1:11">
      <c r="A5641" t="s">
        <v>1989</v>
      </c>
      <c r="B5641" t="s">
        <v>12250</v>
      </c>
      <c r="C5641" t="s">
        <v>7571</v>
      </c>
      <c r="D5641" t="s">
        <v>7573</v>
      </c>
      <c r="E5641">
        <v>3342.22</v>
      </c>
      <c r="G5641" s="35"/>
      <c r="H5641" s="36">
        <f t="shared" si="266"/>
        <v>2105.5985999999998</v>
      </c>
      <c r="I5641" s="37">
        <f t="shared" si="264"/>
        <v>2105.5985999999998</v>
      </c>
      <c r="J5641" s="4"/>
      <c r="K5641" s="38">
        <f t="shared" si="265"/>
        <v>0</v>
      </c>
    </row>
    <row r="5642" spans="1:11">
      <c r="A5642" t="s">
        <v>1990</v>
      </c>
      <c r="B5642" t="s">
        <v>12250</v>
      </c>
      <c r="C5642" t="s">
        <v>7571</v>
      </c>
      <c r="D5642" t="s">
        <v>7574</v>
      </c>
      <c r="E5642">
        <v>3700.13</v>
      </c>
      <c r="G5642" s="35"/>
      <c r="H5642" s="36">
        <f t="shared" si="266"/>
        <v>2331.0819000000001</v>
      </c>
      <c r="I5642" s="37">
        <f t="shared" si="264"/>
        <v>2331.0819000000001</v>
      </c>
      <c r="J5642" s="4"/>
      <c r="K5642" s="38">
        <f t="shared" si="265"/>
        <v>0</v>
      </c>
    </row>
    <row r="5643" spans="1:11">
      <c r="A5643" t="s">
        <v>1991</v>
      </c>
      <c r="B5643" t="s">
        <v>12250</v>
      </c>
      <c r="C5643" t="s">
        <v>7571</v>
      </c>
      <c r="D5643" t="s">
        <v>12417</v>
      </c>
      <c r="E5643">
        <v>6781.3</v>
      </c>
      <c r="G5643" s="35"/>
      <c r="H5643" s="36">
        <f t="shared" si="266"/>
        <v>4272.2190000000001</v>
      </c>
      <c r="I5643" s="37">
        <f t="shared" si="264"/>
        <v>4272.2190000000001</v>
      </c>
      <c r="J5643" s="4"/>
      <c r="K5643" s="38">
        <f t="shared" si="265"/>
        <v>0</v>
      </c>
    </row>
    <row r="5644" spans="1:11">
      <c r="A5644" t="s">
        <v>1992</v>
      </c>
      <c r="B5644" t="s">
        <v>12250</v>
      </c>
      <c r="C5644" t="s">
        <v>7571</v>
      </c>
      <c r="D5644" t="s">
        <v>7575</v>
      </c>
      <c r="E5644">
        <v>10536.45</v>
      </c>
      <c r="G5644" s="35"/>
      <c r="H5644" s="36">
        <f t="shared" si="266"/>
        <v>6637.9635000000007</v>
      </c>
      <c r="I5644" s="37">
        <f t="shared" si="264"/>
        <v>6637.9635000000007</v>
      </c>
      <c r="J5644" s="4"/>
      <c r="K5644" s="38">
        <f t="shared" si="265"/>
        <v>0</v>
      </c>
    </row>
    <row r="5645" spans="1:11">
      <c r="A5645" t="s">
        <v>1993</v>
      </c>
      <c r="B5645" t="s">
        <v>12250</v>
      </c>
      <c r="C5645" t="s">
        <v>7571</v>
      </c>
      <c r="D5645" t="s">
        <v>7576</v>
      </c>
      <c r="E5645">
        <v>3342.73</v>
      </c>
      <c r="G5645" s="35"/>
      <c r="H5645" s="36">
        <f t="shared" si="266"/>
        <v>2105.9198999999999</v>
      </c>
      <c r="I5645" s="37">
        <f t="shared" si="264"/>
        <v>2105.9198999999999</v>
      </c>
      <c r="J5645" s="4"/>
      <c r="K5645" s="38">
        <f t="shared" si="265"/>
        <v>0</v>
      </c>
    </row>
    <row r="5646" spans="1:11">
      <c r="A5646" t="s">
        <v>1994</v>
      </c>
      <c r="B5646" t="s">
        <v>12250</v>
      </c>
      <c r="C5646" t="s">
        <v>7571</v>
      </c>
      <c r="D5646" t="s">
        <v>7577</v>
      </c>
      <c r="E5646">
        <v>25584.65</v>
      </c>
      <c r="G5646" s="35"/>
      <c r="H5646" s="36">
        <f t="shared" si="266"/>
        <v>16118.329500000002</v>
      </c>
      <c r="I5646" s="37">
        <f t="shared" si="264"/>
        <v>16118.329500000002</v>
      </c>
      <c r="J5646" s="4"/>
      <c r="K5646" s="38">
        <f t="shared" si="265"/>
        <v>0</v>
      </c>
    </row>
    <row r="5647" spans="1:11">
      <c r="A5647" t="s">
        <v>1995</v>
      </c>
      <c r="B5647" t="s">
        <v>12250</v>
      </c>
      <c r="C5647" t="s">
        <v>7571</v>
      </c>
      <c r="D5647" t="s">
        <v>7578</v>
      </c>
      <c r="E5647">
        <v>37207.760000000002</v>
      </c>
      <c r="G5647" s="35"/>
      <c r="H5647" s="36">
        <f t="shared" si="266"/>
        <v>23440.888800000001</v>
      </c>
      <c r="I5647" s="37">
        <f t="shared" si="264"/>
        <v>23440.888800000001</v>
      </c>
      <c r="J5647" s="4"/>
      <c r="K5647" s="38">
        <f t="shared" si="265"/>
        <v>0</v>
      </c>
    </row>
    <row r="5648" spans="1:11">
      <c r="A5648" t="s">
        <v>1996</v>
      </c>
      <c r="B5648" t="s">
        <v>12250</v>
      </c>
      <c r="C5648" t="s">
        <v>7571</v>
      </c>
      <c r="D5648" t="s">
        <v>7579</v>
      </c>
      <c r="E5648">
        <v>17703.04</v>
      </c>
      <c r="G5648" s="35"/>
      <c r="H5648" s="36">
        <f t="shared" si="266"/>
        <v>11152.915200000001</v>
      </c>
      <c r="I5648" s="37">
        <f t="shared" si="264"/>
        <v>11152.915200000001</v>
      </c>
      <c r="J5648" s="4"/>
      <c r="K5648" s="38">
        <f t="shared" si="265"/>
        <v>0</v>
      </c>
    </row>
    <row r="5649" spans="1:11">
      <c r="A5649" t="s">
        <v>1997</v>
      </c>
      <c r="B5649" t="s">
        <v>12250</v>
      </c>
      <c r="C5649" t="s">
        <v>7571</v>
      </c>
      <c r="D5649" t="s">
        <v>7580</v>
      </c>
      <c r="E5649">
        <v>1994.51</v>
      </c>
      <c r="G5649" s="35"/>
      <c r="H5649" s="36">
        <f t="shared" si="266"/>
        <v>1256.5413000000001</v>
      </c>
      <c r="I5649" s="37">
        <f t="shared" si="264"/>
        <v>1256.5413000000001</v>
      </c>
      <c r="J5649" s="4"/>
      <c r="K5649" s="38">
        <f t="shared" si="265"/>
        <v>0</v>
      </c>
    </row>
    <row r="5650" spans="1:11">
      <c r="A5650" t="s">
        <v>1998</v>
      </c>
      <c r="B5650" t="s">
        <v>12250</v>
      </c>
      <c r="C5650" t="s">
        <v>7571</v>
      </c>
      <c r="D5650" t="s">
        <v>7581</v>
      </c>
      <c r="E5650">
        <v>2063.1</v>
      </c>
      <c r="G5650" s="35"/>
      <c r="H5650" s="36">
        <f t="shared" si="266"/>
        <v>1299.7529999999999</v>
      </c>
      <c r="I5650" s="37">
        <f t="shared" si="264"/>
        <v>1299.7529999999999</v>
      </c>
      <c r="J5650" s="4"/>
      <c r="K5650" s="38">
        <f t="shared" si="265"/>
        <v>0</v>
      </c>
    </row>
    <row r="5651" spans="1:11">
      <c r="A5651" t="s">
        <v>1999</v>
      </c>
      <c r="B5651" t="s">
        <v>12250</v>
      </c>
      <c r="C5651" t="s">
        <v>7571</v>
      </c>
      <c r="D5651" t="s">
        <v>11569</v>
      </c>
      <c r="E5651">
        <v>8253.1200000000008</v>
      </c>
      <c r="G5651" s="35"/>
      <c r="H5651" s="36">
        <f t="shared" si="266"/>
        <v>5199.4656000000004</v>
      </c>
      <c r="I5651" s="37">
        <f t="shared" si="264"/>
        <v>5199.4656000000004</v>
      </c>
      <c r="J5651" s="4"/>
      <c r="K5651" s="38">
        <f t="shared" si="265"/>
        <v>0</v>
      </c>
    </row>
    <row r="5652" spans="1:11">
      <c r="A5652" t="s">
        <v>2000</v>
      </c>
      <c r="B5652" t="s">
        <v>12250</v>
      </c>
      <c r="C5652" t="s">
        <v>7571</v>
      </c>
      <c r="D5652" t="s">
        <v>7582</v>
      </c>
      <c r="E5652">
        <v>4085.33</v>
      </c>
      <c r="G5652" s="35"/>
      <c r="H5652" s="36">
        <f t="shared" si="266"/>
        <v>2573.7579000000001</v>
      </c>
      <c r="I5652" s="37">
        <f t="shared" si="264"/>
        <v>2573.7579000000001</v>
      </c>
      <c r="J5652" s="4"/>
      <c r="K5652" s="38">
        <f t="shared" si="265"/>
        <v>0</v>
      </c>
    </row>
    <row r="5653" spans="1:11">
      <c r="A5653" t="s">
        <v>2001</v>
      </c>
      <c r="B5653" t="s">
        <v>12250</v>
      </c>
      <c r="C5653" t="s">
        <v>7571</v>
      </c>
      <c r="D5653" t="s">
        <v>7583</v>
      </c>
      <c r="E5653">
        <v>7482.82</v>
      </c>
      <c r="G5653" s="35"/>
      <c r="H5653" s="36">
        <f t="shared" si="266"/>
        <v>4714.1765999999998</v>
      </c>
      <c r="I5653" s="37">
        <f t="shared" si="264"/>
        <v>4714.1765999999998</v>
      </c>
      <c r="J5653" s="4"/>
      <c r="K5653" s="38">
        <f t="shared" si="265"/>
        <v>0</v>
      </c>
    </row>
    <row r="5654" spans="1:11">
      <c r="A5654" t="s">
        <v>2002</v>
      </c>
      <c r="B5654" t="s">
        <v>12250</v>
      </c>
      <c r="C5654" t="s">
        <v>7571</v>
      </c>
      <c r="D5654" t="s">
        <v>7584</v>
      </c>
      <c r="E5654">
        <v>18418.23</v>
      </c>
      <c r="G5654" s="35"/>
      <c r="H5654" s="36">
        <f t="shared" si="266"/>
        <v>11603.484899999999</v>
      </c>
      <c r="I5654" s="37">
        <f t="shared" si="264"/>
        <v>11603.484899999999</v>
      </c>
      <c r="J5654" s="4"/>
      <c r="K5654" s="38">
        <f t="shared" si="265"/>
        <v>0</v>
      </c>
    </row>
    <row r="5655" spans="1:11">
      <c r="A5655" t="s">
        <v>2003</v>
      </c>
      <c r="B5655" t="s">
        <v>12250</v>
      </c>
      <c r="C5655" t="s">
        <v>7571</v>
      </c>
      <c r="D5655" t="s">
        <v>7585</v>
      </c>
      <c r="E5655">
        <v>27056.51</v>
      </c>
      <c r="G5655" s="35"/>
      <c r="H5655" s="36">
        <f t="shared" si="266"/>
        <v>17045.601299999998</v>
      </c>
      <c r="I5655" s="37">
        <f t="shared" si="264"/>
        <v>17045.601299999998</v>
      </c>
      <c r="J5655" s="4"/>
      <c r="K5655" s="38">
        <f t="shared" si="265"/>
        <v>0</v>
      </c>
    </row>
    <row r="5656" spans="1:11">
      <c r="A5656" t="s">
        <v>2004</v>
      </c>
      <c r="B5656" t="s">
        <v>12250</v>
      </c>
      <c r="C5656" t="s">
        <v>7571</v>
      </c>
      <c r="D5656" t="s">
        <v>7586</v>
      </c>
      <c r="E5656">
        <v>25460.86</v>
      </c>
      <c r="G5656" s="35"/>
      <c r="H5656" s="36">
        <f t="shared" si="266"/>
        <v>16040.3418</v>
      </c>
      <c r="I5656" s="37">
        <f t="shared" si="264"/>
        <v>16040.3418</v>
      </c>
      <c r="J5656" s="4"/>
      <c r="K5656" s="38">
        <f t="shared" si="265"/>
        <v>0</v>
      </c>
    </row>
    <row r="5657" spans="1:11">
      <c r="A5657" t="s">
        <v>2005</v>
      </c>
      <c r="B5657" t="s">
        <v>12250</v>
      </c>
      <c r="C5657" t="s">
        <v>7571</v>
      </c>
      <c r="D5657" t="s">
        <v>7587</v>
      </c>
      <c r="E5657">
        <v>16685.03</v>
      </c>
      <c r="G5657" s="35"/>
      <c r="H5657" s="36">
        <f t="shared" si="266"/>
        <v>10511.5689</v>
      </c>
      <c r="I5657" s="37">
        <f t="shared" si="264"/>
        <v>10511.5689</v>
      </c>
      <c r="J5657" s="4"/>
      <c r="K5657" s="38">
        <f t="shared" si="265"/>
        <v>0</v>
      </c>
    </row>
    <row r="5658" spans="1:11">
      <c r="A5658" t="s">
        <v>2006</v>
      </c>
      <c r="B5658" t="s">
        <v>12250</v>
      </c>
      <c r="C5658" t="s">
        <v>7571</v>
      </c>
      <c r="D5658" t="s">
        <v>7588</v>
      </c>
      <c r="E5658">
        <v>17042.66</v>
      </c>
      <c r="G5658" s="35"/>
      <c r="H5658" s="36">
        <f t="shared" si="266"/>
        <v>10736.8758</v>
      </c>
      <c r="I5658" s="37">
        <f t="shared" si="264"/>
        <v>10736.8758</v>
      </c>
      <c r="J5658" s="4"/>
      <c r="K5658" s="38">
        <f t="shared" si="265"/>
        <v>0</v>
      </c>
    </row>
    <row r="5659" spans="1:11">
      <c r="A5659" t="s">
        <v>2007</v>
      </c>
      <c r="B5659" t="s">
        <v>12250</v>
      </c>
      <c r="C5659" t="s">
        <v>7571</v>
      </c>
      <c r="D5659" t="s">
        <v>7589</v>
      </c>
      <c r="E5659">
        <v>5501.88</v>
      </c>
      <c r="G5659" s="35"/>
      <c r="H5659" s="36">
        <f t="shared" si="266"/>
        <v>3466.1844000000001</v>
      </c>
      <c r="I5659" s="37">
        <f t="shared" si="264"/>
        <v>3466.1844000000001</v>
      </c>
      <c r="J5659" s="4"/>
      <c r="K5659" s="38">
        <f t="shared" si="265"/>
        <v>0</v>
      </c>
    </row>
    <row r="5660" spans="1:11">
      <c r="A5660" t="s">
        <v>2008</v>
      </c>
      <c r="B5660" t="s">
        <v>12250</v>
      </c>
      <c r="C5660" t="s">
        <v>7571</v>
      </c>
      <c r="D5660" t="s">
        <v>7590</v>
      </c>
      <c r="E5660">
        <v>5364.5</v>
      </c>
      <c r="G5660" s="35"/>
      <c r="H5660" s="36">
        <f t="shared" si="266"/>
        <v>3379.6350000000002</v>
      </c>
      <c r="I5660" s="37">
        <f t="shared" si="264"/>
        <v>3379.6350000000002</v>
      </c>
      <c r="J5660" s="4"/>
      <c r="K5660" s="38">
        <f t="shared" si="265"/>
        <v>0</v>
      </c>
    </row>
    <row r="5661" spans="1:11">
      <c r="A5661" t="s">
        <v>2009</v>
      </c>
      <c r="B5661" t="s">
        <v>12250</v>
      </c>
      <c r="C5661" t="s">
        <v>7571</v>
      </c>
      <c r="D5661" t="s">
        <v>7591</v>
      </c>
      <c r="E5661">
        <v>5515.84</v>
      </c>
      <c r="G5661" s="35"/>
      <c r="H5661" s="36">
        <f t="shared" si="266"/>
        <v>3474.9792000000002</v>
      </c>
      <c r="I5661" s="37">
        <f t="shared" si="264"/>
        <v>3474.9792000000002</v>
      </c>
      <c r="J5661" s="4"/>
      <c r="K5661" s="38">
        <f t="shared" si="265"/>
        <v>0</v>
      </c>
    </row>
    <row r="5662" spans="1:11">
      <c r="A5662" t="s">
        <v>2010</v>
      </c>
      <c r="B5662" t="s">
        <v>12250</v>
      </c>
      <c r="C5662" t="s">
        <v>7571</v>
      </c>
      <c r="D5662" t="s">
        <v>7592</v>
      </c>
      <c r="E5662">
        <v>6203.62</v>
      </c>
      <c r="G5662" s="35"/>
      <c r="H5662" s="36">
        <f t="shared" si="266"/>
        <v>3908.2806</v>
      </c>
      <c r="I5662" s="37">
        <f t="shared" si="264"/>
        <v>3908.2806</v>
      </c>
      <c r="J5662" s="4"/>
      <c r="K5662" s="38">
        <f t="shared" si="265"/>
        <v>0</v>
      </c>
    </row>
    <row r="5663" spans="1:11">
      <c r="A5663" t="s">
        <v>2011</v>
      </c>
      <c r="B5663" t="s">
        <v>12250</v>
      </c>
      <c r="C5663" t="s">
        <v>7571</v>
      </c>
      <c r="D5663" t="s">
        <v>7593</v>
      </c>
      <c r="E5663">
        <v>7152.78</v>
      </c>
      <c r="G5663" s="35"/>
      <c r="H5663" s="36">
        <f t="shared" si="266"/>
        <v>4506.2514000000001</v>
      </c>
      <c r="I5663" s="37">
        <f t="shared" si="264"/>
        <v>4506.2514000000001</v>
      </c>
      <c r="J5663" s="4"/>
      <c r="K5663" s="38">
        <f t="shared" si="265"/>
        <v>0</v>
      </c>
    </row>
    <row r="5664" spans="1:11">
      <c r="A5664" t="s">
        <v>2012</v>
      </c>
      <c r="B5664" t="s">
        <v>12250</v>
      </c>
      <c r="C5664" t="s">
        <v>7571</v>
      </c>
      <c r="D5664" t="s">
        <v>7594</v>
      </c>
      <c r="E5664">
        <v>7771.68</v>
      </c>
      <c r="G5664" s="35"/>
      <c r="H5664" s="36">
        <f t="shared" si="266"/>
        <v>4896.1584000000003</v>
      </c>
      <c r="I5664" s="37">
        <f t="shared" si="264"/>
        <v>4896.1584000000003</v>
      </c>
      <c r="J5664" s="4"/>
      <c r="K5664" s="38">
        <f t="shared" si="265"/>
        <v>0</v>
      </c>
    </row>
    <row r="5665" spans="1:11">
      <c r="A5665" t="s">
        <v>2133</v>
      </c>
      <c r="B5665" t="s">
        <v>12250</v>
      </c>
      <c r="C5665" t="s">
        <v>7691</v>
      </c>
      <c r="D5665" t="s">
        <v>12588</v>
      </c>
      <c r="E5665">
        <v>105756.56</v>
      </c>
      <c r="G5665" s="35"/>
      <c r="H5665" s="36">
        <f t="shared" si="266"/>
        <v>66626.632799999992</v>
      </c>
      <c r="I5665" s="37">
        <f t="shared" si="264"/>
        <v>66626.632799999992</v>
      </c>
      <c r="J5665" s="4"/>
      <c r="K5665" s="38">
        <f t="shared" si="265"/>
        <v>0</v>
      </c>
    </row>
    <row r="5666" spans="1:11">
      <c r="A5666" t="s">
        <v>2134</v>
      </c>
      <c r="B5666" t="s">
        <v>12250</v>
      </c>
      <c r="C5666" t="s">
        <v>7691</v>
      </c>
      <c r="D5666" t="s">
        <v>7692</v>
      </c>
      <c r="E5666">
        <v>78190.94</v>
      </c>
      <c r="G5666" s="35"/>
      <c r="H5666" s="36">
        <f t="shared" si="266"/>
        <v>49260.292200000004</v>
      </c>
      <c r="I5666" s="37">
        <f t="shared" si="264"/>
        <v>49260.292200000004</v>
      </c>
      <c r="J5666" s="4"/>
      <c r="K5666" s="38">
        <f t="shared" si="265"/>
        <v>0</v>
      </c>
    </row>
    <row r="5667" spans="1:11">
      <c r="A5667" t="s">
        <v>2135</v>
      </c>
      <c r="B5667" t="s">
        <v>12250</v>
      </c>
      <c r="C5667" t="s">
        <v>7691</v>
      </c>
      <c r="D5667" t="s">
        <v>7693</v>
      </c>
      <c r="E5667">
        <v>109997.42</v>
      </c>
      <c r="G5667" s="35"/>
      <c r="H5667" s="36">
        <f t="shared" si="266"/>
        <v>69298.374599999996</v>
      </c>
      <c r="I5667" s="37">
        <f t="shared" si="264"/>
        <v>69298.374599999996</v>
      </c>
      <c r="J5667" s="4"/>
      <c r="K5667" s="38">
        <f t="shared" si="265"/>
        <v>0</v>
      </c>
    </row>
    <row r="5668" spans="1:11">
      <c r="A5668" t="s">
        <v>12283</v>
      </c>
      <c r="B5668" t="s">
        <v>12250</v>
      </c>
      <c r="C5668" t="s">
        <v>7651</v>
      </c>
      <c r="D5668" t="s">
        <v>12418</v>
      </c>
      <c r="E5668">
        <v>80279.02</v>
      </c>
      <c r="G5668" s="35"/>
      <c r="H5668" s="36">
        <f t="shared" si="266"/>
        <v>50575.782600000006</v>
      </c>
      <c r="I5668" s="37">
        <f t="shared" si="264"/>
        <v>50575.782600000006</v>
      </c>
      <c r="J5668" s="4"/>
      <c r="K5668" s="38">
        <f t="shared" si="265"/>
        <v>0</v>
      </c>
    </row>
    <row r="5669" spans="1:11">
      <c r="A5669" t="s">
        <v>2064</v>
      </c>
      <c r="B5669" t="s">
        <v>12250</v>
      </c>
      <c r="C5669" t="s">
        <v>7651</v>
      </c>
      <c r="D5669" t="s">
        <v>12346</v>
      </c>
      <c r="E5669">
        <v>152792.85</v>
      </c>
      <c r="G5669" s="35"/>
      <c r="H5669" s="36">
        <f t="shared" si="266"/>
        <v>96259.495500000005</v>
      </c>
      <c r="I5669" s="37">
        <f t="shared" si="264"/>
        <v>96259.495500000005</v>
      </c>
      <c r="J5669" s="4"/>
      <c r="K5669" s="38">
        <f t="shared" si="265"/>
        <v>0</v>
      </c>
    </row>
    <row r="5670" spans="1:11">
      <c r="A5670" t="s">
        <v>2065</v>
      </c>
      <c r="B5670" t="s">
        <v>12250</v>
      </c>
      <c r="C5670" t="s">
        <v>7651</v>
      </c>
      <c r="D5670" t="s">
        <v>9752</v>
      </c>
      <c r="E5670">
        <v>291534.45</v>
      </c>
      <c r="G5670" s="35"/>
      <c r="H5670" s="36">
        <f t="shared" si="266"/>
        <v>183666.7035</v>
      </c>
      <c r="I5670" s="37">
        <f t="shared" si="264"/>
        <v>183666.7035</v>
      </c>
      <c r="J5670" s="4"/>
      <c r="K5670" s="38">
        <f t="shared" si="265"/>
        <v>0</v>
      </c>
    </row>
    <row r="5671" spans="1:11">
      <c r="A5671" t="s">
        <v>12612</v>
      </c>
      <c r="B5671" t="s">
        <v>12250</v>
      </c>
      <c r="C5671" t="s">
        <v>7651</v>
      </c>
      <c r="D5671" t="s">
        <v>12613</v>
      </c>
      <c r="E5671">
        <v>88793.5</v>
      </c>
      <c r="G5671" s="35"/>
      <c r="H5671" s="36">
        <f t="shared" si="266"/>
        <v>55939.904999999999</v>
      </c>
      <c r="I5671" s="37">
        <f t="shared" si="264"/>
        <v>55939.904999999999</v>
      </c>
      <c r="J5671" s="4"/>
      <c r="K5671" s="38">
        <f t="shared" si="265"/>
        <v>0</v>
      </c>
    </row>
    <row r="5672" spans="1:11">
      <c r="A5672" t="s">
        <v>2066</v>
      </c>
      <c r="B5672" t="s">
        <v>12250</v>
      </c>
      <c r="C5672" t="s">
        <v>7651</v>
      </c>
      <c r="D5672" t="s">
        <v>12589</v>
      </c>
      <c r="E5672">
        <v>101794</v>
      </c>
      <c r="G5672" s="35"/>
      <c r="H5672" s="36">
        <f t="shared" si="266"/>
        <v>64130.22</v>
      </c>
      <c r="I5672" s="37">
        <f t="shared" si="264"/>
        <v>64130.22</v>
      </c>
      <c r="J5672" s="4"/>
      <c r="K5672" s="38">
        <f t="shared" si="265"/>
        <v>0</v>
      </c>
    </row>
    <row r="5673" spans="1:11">
      <c r="A5673" t="s">
        <v>2067</v>
      </c>
      <c r="B5673" t="s">
        <v>12250</v>
      </c>
      <c r="C5673" t="s">
        <v>7651</v>
      </c>
      <c r="D5673" t="s">
        <v>7652</v>
      </c>
      <c r="E5673">
        <v>205417.05</v>
      </c>
      <c r="G5673" s="35"/>
      <c r="H5673" s="36">
        <f t="shared" si="266"/>
        <v>129412.74149999999</v>
      </c>
      <c r="I5673" s="37">
        <f t="shared" si="264"/>
        <v>129412.74149999999</v>
      </c>
      <c r="J5673" s="4"/>
      <c r="K5673" s="38">
        <f t="shared" si="265"/>
        <v>0</v>
      </c>
    </row>
    <row r="5674" spans="1:11">
      <c r="A5674" t="s">
        <v>2068</v>
      </c>
      <c r="B5674" t="s">
        <v>12250</v>
      </c>
      <c r="C5674" t="s">
        <v>7651</v>
      </c>
      <c r="D5674" t="s">
        <v>7653</v>
      </c>
      <c r="E5674">
        <v>155057.45000000001</v>
      </c>
      <c r="G5674" s="35"/>
      <c r="H5674" s="36">
        <f t="shared" si="266"/>
        <v>97686.193500000008</v>
      </c>
      <c r="I5674" s="37">
        <f t="shared" si="264"/>
        <v>97686.193500000008</v>
      </c>
      <c r="J5674" s="4"/>
      <c r="K5674" s="38">
        <f t="shared" si="265"/>
        <v>0</v>
      </c>
    </row>
    <row r="5675" spans="1:11">
      <c r="A5675" t="s">
        <v>2069</v>
      </c>
      <c r="B5675" t="s">
        <v>12250</v>
      </c>
      <c r="C5675" t="s">
        <v>7651</v>
      </c>
      <c r="D5675" t="s">
        <v>7654</v>
      </c>
      <c r="E5675">
        <v>1325.27</v>
      </c>
      <c r="G5675" s="35"/>
      <c r="H5675" s="36">
        <f t="shared" si="266"/>
        <v>834.92010000000005</v>
      </c>
      <c r="I5675" s="37">
        <f t="shared" si="264"/>
        <v>834.92010000000005</v>
      </c>
      <c r="J5675" s="4"/>
      <c r="K5675" s="38">
        <f t="shared" si="265"/>
        <v>0</v>
      </c>
    </row>
    <row r="5676" spans="1:11">
      <c r="A5676" t="s">
        <v>2070</v>
      </c>
      <c r="B5676" t="s">
        <v>12250</v>
      </c>
      <c r="C5676" t="s">
        <v>7651</v>
      </c>
      <c r="D5676" t="s">
        <v>7655</v>
      </c>
      <c r="E5676">
        <v>2968.55</v>
      </c>
      <c r="G5676" s="35"/>
      <c r="H5676" s="36">
        <f t="shared" si="266"/>
        <v>1870.1865</v>
      </c>
      <c r="I5676" s="37">
        <f t="shared" si="264"/>
        <v>1870.1865</v>
      </c>
      <c r="J5676" s="4"/>
      <c r="K5676" s="38">
        <f t="shared" si="265"/>
        <v>0</v>
      </c>
    </row>
    <row r="5677" spans="1:11">
      <c r="A5677" t="s">
        <v>2071</v>
      </c>
      <c r="B5677" t="s">
        <v>12250</v>
      </c>
      <c r="C5677" t="s">
        <v>7651</v>
      </c>
      <c r="D5677" t="s">
        <v>7656</v>
      </c>
      <c r="E5677">
        <v>4877.01</v>
      </c>
      <c r="G5677" s="35"/>
      <c r="H5677" s="36">
        <f t="shared" si="266"/>
        <v>3072.5163000000002</v>
      </c>
      <c r="I5677" s="37">
        <f t="shared" si="264"/>
        <v>3072.5163000000002</v>
      </c>
      <c r="J5677" s="4"/>
      <c r="K5677" s="38">
        <f t="shared" si="265"/>
        <v>0</v>
      </c>
    </row>
    <row r="5678" spans="1:11">
      <c r="A5678" t="s">
        <v>2072</v>
      </c>
      <c r="B5678" t="s">
        <v>12250</v>
      </c>
      <c r="C5678" t="s">
        <v>7651</v>
      </c>
      <c r="D5678" t="s">
        <v>7657</v>
      </c>
      <c r="E5678">
        <v>12020.21</v>
      </c>
      <c r="G5678" s="35"/>
      <c r="H5678" s="36">
        <f t="shared" si="266"/>
        <v>7572.7322999999997</v>
      </c>
      <c r="I5678" s="37">
        <f t="shared" si="264"/>
        <v>7572.7322999999997</v>
      </c>
      <c r="J5678" s="4"/>
      <c r="K5678" s="38">
        <f t="shared" si="265"/>
        <v>0</v>
      </c>
    </row>
    <row r="5679" spans="1:11">
      <c r="A5679" t="s">
        <v>12790</v>
      </c>
      <c r="B5679" t="s">
        <v>12250</v>
      </c>
      <c r="C5679" t="s">
        <v>7651</v>
      </c>
      <c r="D5679" t="s">
        <v>12791</v>
      </c>
      <c r="E5679">
        <v>24181.56</v>
      </c>
      <c r="G5679" s="35"/>
      <c r="H5679" s="36">
        <f t="shared" si="266"/>
        <v>15234.382800000001</v>
      </c>
      <c r="I5679" s="37">
        <f t="shared" si="264"/>
        <v>15234.382800000001</v>
      </c>
      <c r="J5679" s="4"/>
      <c r="K5679" s="38">
        <f t="shared" si="265"/>
        <v>0</v>
      </c>
    </row>
    <row r="5680" spans="1:11">
      <c r="A5680" t="s">
        <v>12792</v>
      </c>
      <c r="B5680" t="s">
        <v>12250</v>
      </c>
      <c r="C5680" t="s">
        <v>7651</v>
      </c>
      <c r="D5680" t="s">
        <v>12793</v>
      </c>
      <c r="E5680">
        <v>12050.92</v>
      </c>
      <c r="G5680" s="35"/>
      <c r="H5680" s="36">
        <f t="shared" si="266"/>
        <v>7592.0796</v>
      </c>
      <c r="I5680" s="37">
        <f t="shared" si="264"/>
        <v>7592.0796</v>
      </c>
      <c r="J5680" s="4"/>
      <c r="K5680" s="38">
        <f t="shared" si="265"/>
        <v>0</v>
      </c>
    </row>
    <row r="5681" spans="1:11">
      <c r="A5681" t="s">
        <v>2073</v>
      </c>
      <c r="B5681" t="s">
        <v>12250</v>
      </c>
      <c r="C5681" t="s">
        <v>7651</v>
      </c>
      <c r="D5681" t="s">
        <v>7658</v>
      </c>
      <c r="E5681">
        <v>2518.0100000000002</v>
      </c>
      <c r="G5681" s="35"/>
      <c r="H5681" s="36">
        <f t="shared" si="266"/>
        <v>1586.3463000000002</v>
      </c>
      <c r="I5681" s="37">
        <f t="shared" si="264"/>
        <v>1586.3463000000002</v>
      </c>
      <c r="J5681" s="4"/>
      <c r="K5681" s="38">
        <f t="shared" si="265"/>
        <v>0</v>
      </c>
    </row>
    <row r="5682" spans="1:11">
      <c r="A5682" t="s">
        <v>2074</v>
      </c>
      <c r="B5682" t="s">
        <v>12250</v>
      </c>
      <c r="C5682" t="s">
        <v>7651</v>
      </c>
      <c r="D5682" t="s">
        <v>7659</v>
      </c>
      <c r="E5682">
        <v>5526.4</v>
      </c>
      <c r="G5682" s="35"/>
      <c r="H5682" s="36">
        <f t="shared" si="266"/>
        <v>3481.6319999999996</v>
      </c>
      <c r="I5682" s="37">
        <f t="shared" si="264"/>
        <v>3481.6319999999996</v>
      </c>
      <c r="J5682" s="4"/>
      <c r="K5682" s="38">
        <f t="shared" si="265"/>
        <v>0</v>
      </c>
    </row>
    <row r="5683" spans="1:11">
      <c r="A5683" t="s">
        <v>2075</v>
      </c>
      <c r="B5683" t="s">
        <v>12250</v>
      </c>
      <c r="C5683" t="s">
        <v>7651</v>
      </c>
      <c r="D5683" t="s">
        <v>7660</v>
      </c>
      <c r="E5683">
        <v>8256.4</v>
      </c>
      <c r="G5683" s="35"/>
      <c r="H5683" s="36">
        <f t="shared" si="266"/>
        <v>5201.5320000000002</v>
      </c>
      <c r="I5683" s="37">
        <f t="shared" si="264"/>
        <v>5201.5320000000002</v>
      </c>
      <c r="J5683" s="4"/>
      <c r="K5683" s="38">
        <f t="shared" si="265"/>
        <v>0</v>
      </c>
    </row>
    <row r="5684" spans="1:11">
      <c r="A5684" t="s">
        <v>2076</v>
      </c>
      <c r="B5684" t="s">
        <v>12250</v>
      </c>
      <c r="C5684" t="s">
        <v>7651</v>
      </c>
      <c r="D5684" t="s">
        <v>12419</v>
      </c>
      <c r="E5684">
        <v>154620.49</v>
      </c>
      <c r="G5684" s="35"/>
      <c r="H5684" s="36">
        <f t="shared" si="266"/>
        <v>97410.9087</v>
      </c>
      <c r="I5684" s="37">
        <f t="shared" si="264"/>
        <v>97410.9087</v>
      </c>
      <c r="J5684" s="4"/>
      <c r="K5684" s="38">
        <f t="shared" si="265"/>
        <v>0</v>
      </c>
    </row>
    <row r="5685" spans="1:11">
      <c r="A5685" t="s">
        <v>12386</v>
      </c>
      <c r="B5685" t="s">
        <v>12250</v>
      </c>
      <c r="C5685" t="s">
        <v>7651</v>
      </c>
      <c r="D5685" t="s">
        <v>12387</v>
      </c>
      <c r="E5685">
        <v>132374.71</v>
      </c>
      <c r="G5685" s="35"/>
      <c r="H5685" s="36">
        <f t="shared" si="266"/>
        <v>83396.067299999995</v>
      </c>
      <c r="I5685" s="37">
        <f t="shared" si="264"/>
        <v>83396.067299999995</v>
      </c>
      <c r="J5685" s="4"/>
      <c r="K5685" s="38">
        <f t="shared" si="265"/>
        <v>0</v>
      </c>
    </row>
    <row r="5686" spans="1:11">
      <c r="A5686" t="s">
        <v>10061</v>
      </c>
      <c r="B5686" t="s">
        <v>12250</v>
      </c>
      <c r="C5686" t="s">
        <v>7651</v>
      </c>
      <c r="D5686" t="s">
        <v>10062</v>
      </c>
      <c r="E5686">
        <v>5526.4</v>
      </c>
      <c r="G5686" s="35"/>
      <c r="H5686" s="36">
        <f t="shared" si="266"/>
        <v>3481.6319999999996</v>
      </c>
      <c r="I5686" s="37">
        <f t="shared" si="264"/>
        <v>3481.6319999999996</v>
      </c>
      <c r="J5686" s="4"/>
      <c r="K5686" s="38">
        <f t="shared" si="265"/>
        <v>0</v>
      </c>
    </row>
    <row r="5687" spans="1:11">
      <c r="A5687" t="s">
        <v>2018</v>
      </c>
      <c r="B5687" t="s">
        <v>12250</v>
      </c>
      <c r="C5687" t="s">
        <v>7601</v>
      </c>
      <c r="D5687" t="s">
        <v>7602</v>
      </c>
      <c r="E5687">
        <v>200344.13</v>
      </c>
      <c r="G5687" s="35"/>
      <c r="H5687" s="36">
        <f t="shared" si="266"/>
        <v>126216.80190000001</v>
      </c>
      <c r="I5687" s="37">
        <f t="shared" si="264"/>
        <v>126216.80190000001</v>
      </c>
      <c r="J5687" s="4"/>
      <c r="K5687" s="38">
        <f t="shared" si="265"/>
        <v>0</v>
      </c>
    </row>
    <row r="5688" spans="1:11">
      <c r="A5688" t="s">
        <v>2019</v>
      </c>
      <c r="B5688" t="s">
        <v>12250</v>
      </c>
      <c r="C5688" t="s">
        <v>7601</v>
      </c>
      <c r="D5688" t="s">
        <v>7603</v>
      </c>
      <c r="E5688">
        <v>281362.09999999998</v>
      </c>
      <c r="G5688" s="35"/>
      <c r="H5688" s="36">
        <f t="shared" si="266"/>
        <v>177258.12299999999</v>
      </c>
      <c r="I5688" s="37">
        <f t="shared" si="264"/>
        <v>177258.12299999999</v>
      </c>
      <c r="J5688" s="4"/>
      <c r="K5688" s="38">
        <f t="shared" si="265"/>
        <v>0</v>
      </c>
    </row>
    <row r="5689" spans="1:11">
      <c r="A5689" t="s">
        <v>2020</v>
      </c>
      <c r="B5689" t="s">
        <v>12250</v>
      </c>
      <c r="C5689" t="s">
        <v>7601</v>
      </c>
      <c r="D5689" t="s">
        <v>7604</v>
      </c>
      <c r="E5689">
        <v>416382.9</v>
      </c>
      <c r="G5689" s="35"/>
      <c r="H5689" s="36">
        <f t="shared" si="266"/>
        <v>262321.22700000001</v>
      </c>
      <c r="I5689" s="37">
        <f t="shared" si="264"/>
        <v>262321.22700000001</v>
      </c>
      <c r="J5689" s="4"/>
      <c r="K5689" s="38">
        <f t="shared" si="265"/>
        <v>0</v>
      </c>
    </row>
    <row r="5690" spans="1:11">
      <c r="A5690" t="s">
        <v>2021</v>
      </c>
      <c r="B5690" t="s">
        <v>12250</v>
      </c>
      <c r="C5690" t="s">
        <v>7601</v>
      </c>
      <c r="D5690" t="s">
        <v>7605</v>
      </c>
      <c r="E5690">
        <v>586933.32999999996</v>
      </c>
      <c r="G5690" s="35"/>
      <c r="H5690" s="36">
        <f t="shared" si="266"/>
        <v>369767.99789999996</v>
      </c>
      <c r="I5690" s="37">
        <f t="shared" si="264"/>
        <v>369767.99789999996</v>
      </c>
      <c r="J5690" s="4"/>
      <c r="K5690" s="38">
        <f t="shared" si="265"/>
        <v>0</v>
      </c>
    </row>
    <row r="5691" spans="1:11">
      <c r="A5691" t="s">
        <v>10570</v>
      </c>
      <c r="B5691" t="s">
        <v>12250</v>
      </c>
      <c r="C5691" t="s">
        <v>10571</v>
      </c>
      <c r="D5691" t="s">
        <v>12420</v>
      </c>
      <c r="E5691">
        <v>242496.09</v>
      </c>
      <c r="G5691" s="35"/>
      <c r="H5691" s="36">
        <f t="shared" si="266"/>
        <v>152772.5367</v>
      </c>
      <c r="I5691" s="37">
        <f t="shared" si="264"/>
        <v>152772.5367</v>
      </c>
      <c r="J5691" s="4"/>
      <c r="K5691" s="38">
        <f t="shared" si="265"/>
        <v>0</v>
      </c>
    </row>
    <row r="5692" spans="1:11">
      <c r="A5692" t="s">
        <v>2142</v>
      </c>
      <c r="B5692" t="s">
        <v>12250</v>
      </c>
      <c r="C5692" t="s">
        <v>7698</v>
      </c>
      <c r="D5692" t="s">
        <v>12359</v>
      </c>
      <c r="E5692">
        <v>76422.509999999995</v>
      </c>
      <c r="G5692" s="35"/>
      <c r="H5692" s="36">
        <f t="shared" si="266"/>
        <v>48146.181299999997</v>
      </c>
      <c r="I5692" s="37">
        <f t="shared" si="264"/>
        <v>48146.181299999997</v>
      </c>
      <c r="J5692" s="4"/>
      <c r="K5692" s="38">
        <f t="shared" si="265"/>
        <v>0</v>
      </c>
    </row>
    <row r="5693" spans="1:11">
      <c r="A5693" t="s">
        <v>2137</v>
      </c>
      <c r="B5693" t="s">
        <v>12250</v>
      </c>
      <c r="C5693" t="s">
        <v>7695</v>
      </c>
      <c r="D5693" t="s">
        <v>12421</v>
      </c>
      <c r="E5693">
        <v>58681.45</v>
      </c>
      <c r="G5693" s="35"/>
      <c r="H5693" s="36">
        <f t="shared" si="266"/>
        <v>36969.313499999997</v>
      </c>
      <c r="I5693" s="37">
        <f t="shared" si="264"/>
        <v>36969.313499999997</v>
      </c>
      <c r="J5693" s="4"/>
      <c r="K5693" s="38">
        <f t="shared" si="265"/>
        <v>0</v>
      </c>
    </row>
    <row r="5694" spans="1:11">
      <c r="A5694" t="s">
        <v>2138</v>
      </c>
      <c r="B5694" t="s">
        <v>12250</v>
      </c>
      <c r="C5694" t="s">
        <v>7695</v>
      </c>
      <c r="D5694" t="s">
        <v>12422</v>
      </c>
      <c r="E5694">
        <v>52798.76</v>
      </c>
      <c r="G5694" s="35"/>
      <c r="H5694" s="36">
        <f t="shared" si="266"/>
        <v>33263.218800000002</v>
      </c>
      <c r="I5694" s="37">
        <f t="shared" si="264"/>
        <v>33263.218800000002</v>
      </c>
      <c r="J5694" s="4"/>
      <c r="K5694" s="38">
        <f t="shared" si="265"/>
        <v>0</v>
      </c>
    </row>
    <row r="5695" spans="1:11">
      <c r="A5695" t="s">
        <v>2139</v>
      </c>
      <c r="B5695" t="s">
        <v>12250</v>
      </c>
      <c r="C5695" t="s">
        <v>7695</v>
      </c>
      <c r="D5695" t="s">
        <v>11631</v>
      </c>
      <c r="E5695">
        <v>92192.27</v>
      </c>
      <c r="G5695" s="35"/>
      <c r="H5695" s="36">
        <f t="shared" si="266"/>
        <v>58081.130100000002</v>
      </c>
      <c r="I5695" s="37">
        <f t="shared" si="264"/>
        <v>58081.130100000002</v>
      </c>
      <c r="J5695" s="4"/>
      <c r="K5695" s="38">
        <f t="shared" si="265"/>
        <v>0</v>
      </c>
    </row>
    <row r="5696" spans="1:11">
      <c r="A5696" t="s">
        <v>2140</v>
      </c>
      <c r="B5696" t="s">
        <v>12250</v>
      </c>
      <c r="C5696" t="s">
        <v>7695</v>
      </c>
      <c r="D5696" t="s">
        <v>7696</v>
      </c>
      <c r="E5696">
        <v>39430.11</v>
      </c>
      <c r="G5696" s="35"/>
      <c r="H5696" s="36">
        <f t="shared" si="266"/>
        <v>24840.969300000001</v>
      </c>
      <c r="I5696" s="37">
        <f t="shared" si="264"/>
        <v>24840.969300000001</v>
      </c>
      <c r="J5696" s="4"/>
      <c r="K5696" s="38">
        <f t="shared" si="265"/>
        <v>0</v>
      </c>
    </row>
    <row r="5697" spans="1:11">
      <c r="A5697" t="s">
        <v>12381</v>
      </c>
      <c r="B5697" t="s">
        <v>12250</v>
      </c>
      <c r="C5697" t="s">
        <v>7695</v>
      </c>
      <c r="D5697" t="s">
        <v>12888</v>
      </c>
      <c r="E5697">
        <v>123959.57</v>
      </c>
      <c r="G5697" s="35"/>
      <c r="H5697" s="36">
        <f t="shared" si="266"/>
        <v>78094.5291</v>
      </c>
      <c r="I5697" s="37">
        <f t="shared" si="264"/>
        <v>78094.5291</v>
      </c>
      <c r="J5697" s="4"/>
      <c r="K5697" s="38">
        <f t="shared" si="265"/>
        <v>0</v>
      </c>
    </row>
    <row r="5698" spans="1:11">
      <c r="A5698" t="s">
        <v>12450</v>
      </c>
      <c r="B5698" t="s">
        <v>12250</v>
      </c>
      <c r="C5698" t="s">
        <v>7695</v>
      </c>
      <c r="D5698" t="s">
        <v>12889</v>
      </c>
      <c r="E5698">
        <v>248618.27</v>
      </c>
      <c r="G5698" s="35"/>
      <c r="H5698" s="36">
        <f t="shared" si="266"/>
        <v>156629.51009999998</v>
      </c>
      <c r="I5698" s="37">
        <f t="shared" si="264"/>
        <v>156629.51009999998</v>
      </c>
      <c r="J5698" s="4"/>
      <c r="K5698" s="38">
        <f t="shared" si="265"/>
        <v>0</v>
      </c>
    </row>
    <row r="5699" spans="1:11">
      <c r="A5699" t="s">
        <v>12794</v>
      </c>
      <c r="B5699" t="s">
        <v>12250</v>
      </c>
      <c r="C5699" t="s">
        <v>7695</v>
      </c>
      <c r="D5699" t="s">
        <v>12795</v>
      </c>
      <c r="E5699">
        <v>218960.77</v>
      </c>
      <c r="G5699" s="35"/>
      <c r="H5699" s="36">
        <f t="shared" si="266"/>
        <v>137945.28510000001</v>
      </c>
      <c r="I5699" s="37">
        <f t="shared" si="264"/>
        <v>137945.28510000001</v>
      </c>
      <c r="J5699" s="4"/>
      <c r="K5699" s="38">
        <f t="shared" si="265"/>
        <v>0</v>
      </c>
    </row>
    <row r="5700" spans="1:11">
      <c r="A5700" t="s">
        <v>12796</v>
      </c>
      <c r="B5700" t="s">
        <v>12250</v>
      </c>
      <c r="C5700" t="s">
        <v>7695</v>
      </c>
      <c r="D5700" t="s">
        <v>12797</v>
      </c>
      <c r="E5700">
        <v>280543.48</v>
      </c>
      <c r="G5700" s="35"/>
      <c r="H5700" s="36">
        <f t="shared" si="266"/>
        <v>176742.39239999998</v>
      </c>
      <c r="I5700" s="37">
        <f t="shared" si="264"/>
        <v>176742.39239999998</v>
      </c>
      <c r="J5700" s="4"/>
      <c r="K5700" s="38">
        <f t="shared" si="265"/>
        <v>0</v>
      </c>
    </row>
    <row r="5701" spans="1:11">
      <c r="A5701" t="s">
        <v>12798</v>
      </c>
      <c r="B5701" t="s">
        <v>12250</v>
      </c>
      <c r="C5701" t="s">
        <v>7695</v>
      </c>
      <c r="D5701" t="s">
        <v>12799</v>
      </c>
      <c r="E5701">
        <v>294228.53000000003</v>
      </c>
      <c r="G5701" s="35"/>
      <c r="H5701" s="36">
        <f t="shared" si="266"/>
        <v>185363.97390000001</v>
      </c>
      <c r="I5701" s="37">
        <f t="shared" si="264"/>
        <v>185363.97390000001</v>
      </c>
      <c r="J5701" s="4"/>
      <c r="K5701" s="38">
        <f t="shared" si="265"/>
        <v>0</v>
      </c>
    </row>
    <row r="5702" spans="1:11">
      <c r="A5702" t="s">
        <v>1967</v>
      </c>
      <c r="B5702" t="s">
        <v>12250</v>
      </c>
      <c r="C5702" t="s">
        <v>7553</v>
      </c>
      <c r="D5702" t="s">
        <v>7554</v>
      </c>
      <c r="E5702">
        <v>182263.07</v>
      </c>
      <c r="G5702" s="35"/>
      <c r="H5702" s="36">
        <f t="shared" si="266"/>
        <v>114825.7341</v>
      </c>
      <c r="I5702" s="37">
        <f t="shared" ref="I5702:I5765" si="267">H5702*$H$4</f>
        <v>114825.7341</v>
      </c>
      <c r="J5702" s="4"/>
      <c r="K5702" s="38">
        <f t="shared" ref="K5702:K5765" si="268">J5702*I5702</f>
        <v>0</v>
      </c>
    </row>
    <row r="5703" spans="1:11">
      <c r="A5703" t="s">
        <v>1968</v>
      </c>
      <c r="B5703" t="s">
        <v>12250</v>
      </c>
      <c r="C5703" t="s">
        <v>7553</v>
      </c>
      <c r="D5703" t="s">
        <v>12127</v>
      </c>
      <c r="E5703">
        <v>182263.11</v>
      </c>
      <c r="G5703" s="35"/>
      <c r="H5703" s="36">
        <f t="shared" ref="H5703:H5766" si="269">+E5703*$H$1*(1-G5703)</f>
        <v>114825.75929999999</v>
      </c>
      <c r="I5703" s="37">
        <f t="shared" si="267"/>
        <v>114825.75929999999</v>
      </c>
      <c r="J5703" s="4"/>
      <c r="K5703" s="38">
        <f t="shared" si="268"/>
        <v>0</v>
      </c>
    </row>
    <row r="5704" spans="1:11">
      <c r="A5704" t="s">
        <v>1969</v>
      </c>
      <c r="B5704" t="s">
        <v>12250</v>
      </c>
      <c r="C5704" t="s">
        <v>7553</v>
      </c>
      <c r="D5704" t="s">
        <v>7555</v>
      </c>
      <c r="E5704">
        <v>235901.58</v>
      </c>
      <c r="G5704" s="35"/>
      <c r="H5704" s="36">
        <f t="shared" si="269"/>
        <v>148617.99539999999</v>
      </c>
      <c r="I5704" s="37">
        <f t="shared" si="267"/>
        <v>148617.99539999999</v>
      </c>
      <c r="J5704" s="4"/>
      <c r="K5704" s="38">
        <f t="shared" si="268"/>
        <v>0</v>
      </c>
    </row>
    <row r="5705" spans="1:11">
      <c r="A5705" t="s">
        <v>1970</v>
      </c>
      <c r="B5705" t="s">
        <v>12250</v>
      </c>
      <c r="C5705" t="s">
        <v>7553</v>
      </c>
      <c r="D5705" t="s">
        <v>7556</v>
      </c>
      <c r="E5705">
        <v>620537.21</v>
      </c>
      <c r="G5705" s="35"/>
      <c r="H5705" s="36">
        <f t="shared" si="269"/>
        <v>390938.4423</v>
      </c>
      <c r="I5705" s="37">
        <f t="shared" si="267"/>
        <v>390938.4423</v>
      </c>
      <c r="J5705" s="4"/>
      <c r="K5705" s="38">
        <f t="shared" si="268"/>
        <v>0</v>
      </c>
    </row>
    <row r="5706" spans="1:11">
      <c r="A5706" t="s">
        <v>1971</v>
      </c>
      <c r="B5706" t="s">
        <v>12250</v>
      </c>
      <c r="C5706" t="s">
        <v>7553</v>
      </c>
      <c r="D5706" t="s">
        <v>7557</v>
      </c>
      <c r="E5706">
        <v>528208.97</v>
      </c>
      <c r="G5706" s="35"/>
      <c r="H5706" s="36">
        <f t="shared" si="269"/>
        <v>332771.65109999996</v>
      </c>
      <c r="I5706" s="37">
        <f t="shared" si="267"/>
        <v>332771.65109999996</v>
      </c>
      <c r="J5706" s="4"/>
      <c r="K5706" s="38">
        <f t="shared" si="268"/>
        <v>0</v>
      </c>
    </row>
    <row r="5707" spans="1:11">
      <c r="A5707" t="s">
        <v>1972</v>
      </c>
      <c r="B5707" t="s">
        <v>12250</v>
      </c>
      <c r="C5707" t="s">
        <v>7553</v>
      </c>
      <c r="D5707" t="s">
        <v>7558</v>
      </c>
      <c r="E5707">
        <v>611868.11</v>
      </c>
      <c r="G5707" s="35"/>
      <c r="H5707" s="36">
        <f t="shared" si="269"/>
        <v>385476.9093</v>
      </c>
      <c r="I5707" s="37">
        <f t="shared" si="267"/>
        <v>385476.9093</v>
      </c>
      <c r="J5707" s="4"/>
      <c r="K5707" s="38">
        <f t="shared" si="268"/>
        <v>0</v>
      </c>
    </row>
    <row r="5708" spans="1:11">
      <c r="A5708" t="s">
        <v>1973</v>
      </c>
      <c r="B5708" t="s">
        <v>12250</v>
      </c>
      <c r="C5708" t="s">
        <v>7553</v>
      </c>
      <c r="D5708" t="s">
        <v>7559</v>
      </c>
      <c r="E5708">
        <v>361541.04</v>
      </c>
      <c r="G5708" s="35"/>
      <c r="H5708" s="36">
        <f t="shared" si="269"/>
        <v>227770.85519999999</v>
      </c>
      <c r="I5708" s="37">
        <f t="shared" si="267"/>
        <v>227770.85519999999</v>
      </c>
      <c r="J5708" s="4"/>
      <c r="K5708" s="38">
        <f t="shared" si="268"/>
        <v>0</v>
      </c>
    </row>
    <row r="5709" spans="1:11">
      <c r="A5709" t="s">
        <v>9816</v>
      </c>
      <c r="B5709" t="s">
        <v>12250</v>
      </c>
      <c r="C5709" t="s">
        <v>7553</v>
      </c>
      <c r="D5709" t="s">
        <v>11895</v>
      </c>
      <c r="E5709">
        <v>77028.98</v>
      </c>
      <c r="G5709" s="35"/>
      <c r="H5709" s="36">
        <f t="shared" si="269"/>
        <v>48528.257399999995</v>
      </c>
      <c r="I5709" s="37">
        <f t="shared" si="267"/>
        <v>48528.257399999995</v>
      </c>
      <c r="J5709" s="4"/>
      <c r="K5709" s="38">
        <f t="shared" si="268"/>
        <v>0</v>
      </c>
    </row>
    <row r="5710" spans="1:11">
      <c r="A5710" t="s">
        <v>1939</v>
      </c>
      <c r="B5710" t="s">
        <v>12250</v>
      </c>
      <c r="C5710" t="s">
        <v>7524</v>
      </c>
      <c r="D5710" t="s">
        <v>7525</v>
      </c>
      <c r="E5710">
        <v>11829.46</v>
      </c>
      <c r="G5710" s="35"/>
      <c r="H5710" s="36">
        <f t="shared" si="269"/>
        <v>7452.5597999999991</v>
      </c>
      <c r="I5710" s="37">
        <f t="shared" si="267"/>
        <v>7452.5597999999991</v>
      </c>
      <c r="J5710" s="4"/>
      <c r="K5710" s="38">
        <f t="shared" si="268"/>
        <v>0</v>
      </c>
    </row>
    <row r="5711" spans="1:11">
      <c r="A5711" t="s">
        <v>1940</v>
      </c>
      <c r="B5711" t="s">
        <v>12250</v>
      </c>
      <c r="C5711" t="s">
        <v>7524</v>
      </c>
      <c r="D5711" t="s">
        <v>7526</v>
      </c>
      <c r="E5711">
        <v>16409.919999999998</v>
      </c>
      <c r="G5711" s="35"/>
      <c r="H5711" s="36">
        <f t="shared" si="269"/>
        <v>10338.249599999999</v>
      </c>
      <c r="I5711" s="37">
        <f t="shared" si="267"/>
        <v>10338.249599999999</v>
      </c>
      <c r="J5711" s="4"/>
      <c r="K5711" s="38">
        <f t="shared" si="268"/>
        <v>0</v>
      </c>
    </row>
    <row r="5712" spans="1:11">
      <c r="A5712" t="s">
        <v>1941</v>
      </c>
      <c r="B5712" t="s">
        <v>12250</v>
      </c>
      <c r="C5712" t="s">
        <v>7524</v>
      </c>
      <c r="D5712" t="s">
        <v>7527</v>
      </c>
      <c r="E5712">
        <v>25488.33</v>
      </c>
      <c r="G5712" s="35"/>
      <c r="H5712" s="36">
        <f t="shared" si="269"/>
        <v>16057.647900000002</v>
      </c>
      <c r="I5712" s="37">
        <f t="shared" si="267"/>
        <v>16057.647900000002</v>
      </c>
      <c r="J5712" s="4"/>
      <c r="K5712" s="38">
        <f t="shared" si="268"/>
        <v>0</v>
      </c>
    </row>
    <row r="5713" spans="1:11">
      <c r="A5713" t="s">
        <v>11531</v>
      </c>
      <c r="B5713" t="s">
        <v>12250</v>
      </c>
      <c r="C5713" t="s">
        <v>11532</v>
      </c>
      <c r="D5713" t="s">
        <v>11533</v>
      </c>
      <c r="E5713">
        <v>237958.23</v>
      </c>
      <c r="G5713" s="35"/>
      <c r="H5713" s="36">
        <f t="shared" si="269"/>
        <v>149913.68490000002</v>
      </c>
      <c r="I5713" s="37">
        <f t="shared" si="267"/>
        <v>149913.68490000002</v>
      </c>
      <c r="J5713" s="4"/>
      <c r="K5713" s="38">
        <f t="shared" si="268"/>
        <v>0</v>
      </c>
    </row>
    <row r="5714" spans="1:11">
      <c r="A5714" t="s">
        <v>2036</v>
      </c>
      <c r="B5714" t="s">
        <v>12250</v>
      </c>
      <c r="C5714" t="s">
        <v>7622</v>
      </c>
      <c r="D5714" t="s">
        <v>7623</v>
      </c>
      <c r="E5714">
        <v>169188.66</v>
      </c>
      <c r="G5714" s="35"/>
      <c r="H5714" s="36">
        <f t="shared" si="269"/>
        <v>106588.8558</v>
      </c>
      <c r="I5714" s="37">
        <f t="shared" si="267"/>
        <v>106588.8558</v>
      </c>
      <c r="J5714" s="4"/>
      <c r="K5714" s="38">
        <f t="shared" si="268"/>
        <v>0</v>
      </c>
    </row>
    <row r="5715" spans="1:11">
      <c r="A5715" t="s">
        <v>2037</v>
      </c>
      <c r="B5715" t="s">
        <v>12250</v>
      </c>
      <c r="C5715" t="s">
        <v>7622</v>
      </c>
      <c r="D5715" t="s">
        <v>7624</v>
      </c>
      <c r="E5715">
        <v>229711.42</v>
      </c>
      <c r="G5715" s="35"/>
      <c r="H5715" s="36">
        <f t="shared" si="269"/>
        <v>144718.19460000002</v>
      </c>
      <c r="I5715" s="37">
        <f t="shared" si="267"/>
        <v>144718.19460000002</v>
      </c>
      <c r="J5715" s="4"/>
      <c r="K5715" s="38">
        <f t="shared" si="268"/>
        <v>0</v>
      </c>
    </row>
    <row r="5716" spans="1:11">
      <c r="A5716" t="s">
        <v>2038</v>
      </c>
      <c r="B5716" t="s">
        <v>12250</v>
      </c>
      <c r="C5716" t="s">
        <v>7622</v>
      </c>
      <c r="D5716" t="s">
        <v>7625</v>
      </c>
      <c r="E5716">
        <v>177317.97</v>
      </c>
      <c r="G5716" s="35"/>
      <c r="H5716" s="36">
        <f t="shared" si="269"/>
        <v>111710.3211</v>
      </c>
      <c r="I5716" s="37">
        <f t="shared" si="267"/>
        <v>111710.3211</v>
      </c>
      <c r="J5716" s="4"/>
      <c r="K5716" s="38">
        <f t="shared" si="268"/>
        <v>0</v>
      </c>
    </row>
    <row r="5717" spans="1:11">
      <c r="A5717" t="s">
        <v>2039</v>
      </c>
      <c r="B5717" t="s">
        <v>12250</v>
      </c>
      <c r="C5717" t="s">
        <v>7622</v>
      </c>
      <c r="D5717" t="s">
        <v>7626</v>
      </c>
      <c r="E5717">
        <v>385420</v>
      </c>
      <c r="G5717" s="35"/>
      <c r="H5717" s="36">
        <f t="shared" si="269"/>
        <v>242814.6</v>
      </c>
      <c r="I5717" s="37">
        <f t="shared" si="267"/>
        <v>242814.6</v>
      </c>
      <c r="J5717" s="4"/>
      <c r="K5717" s="38">
        <f t="shared" si="268"/>
        <v>0</v>
      </c>
    </row>
    <row r="5718" spans="1:11">
      <c r="A5718" t="s">
        <v>2040</v>
      </c>
      <c r="B5718" t="s">
        <v>12250</v>
      </c>
      <c r="C5718" t="s">
        <v>7622</v>
      </c>
      <c r="D5718" t="s">
        <v>7627</v>
      </c>
      <c r="E5718">
        <v>165199.66</v>
      </c>
      <c r="G5718" s="35"/>
      <c r="H5718" s="36">
        <f t="shared" si="269"/>
        <v>104075.7858</v>
      </c>
      <c r="I5718" s="37">
        <f t="shared" si="267"/>
        <v>104075.7858</v>
      </c>
      <c r="J5718" s="4"/>
      <c r="K5718" s="38">
        <f t="shared" si="268"/>
        <v>0</v>
      </c>
    </row>
    <row r="5719" spans="1:11">
      <c r="A5719" t="s">
        <v>2106</v>
      </c>
      <c r="B5719" t="s">
        <v>12250</v>
      </c>
      <c r="C5719" t="s">
        <v>12876</v>
      </c>
      <c r="D5719" t="s">
        <v>11627</v>
      </c>
      <c r="E5719">
        <v>273204.43</v>
      </c>
      <c r="G5719" s="35"/>
      <c r="H5719" s="36">
        <f t="shared" si="269"/>
        <v>172118.79089999999</v>
      </c>
      <c r="I5719" s="37">
        <f t="shared" si="267"/>
        <v>172118.79089999999</v>
      </c>
      <c r="J5719" s="4"/>
      <c r="K5719" s="38">
        <f t="shared" si="268"/>
        <v>0</v>
      </c>
    </row>
    <row r="5720" spans="1:11">
      <c r="A5720" t="s">
        <v>12877</v>
      </c>
      <c r="B5720" t="s">
        <v>12250</v>
      </c>
      <c r="C5720" t="s">
        <v>12876</v>
      </c>
      <c r="D5720" t="s">
        <v>12878</v>
      </c>
      <c r="E5720">
        <v>260014.72</v>
      </c>
      <c r="G5720" s="35"/>
      <c r="H5720" s="36">
        <f t="shared" si="269"/>
        <v>163809.27360000001</v>
      </c>
      <c r="I5720" s="37">
        <f t="shared" si="267"/>
        <v>163809.27360000001</v>
      </c>
      <c r="J5720" s="4"/>
      <c r="K5720" s="38">
        <f t="shared" si="268"/>
        <v>0</v>
      </c>
    </row>
    <row r="5721" spans="1:11">
      <c r="A5721" t="s">
        <v>11782</v>
      </c>
      <c r="B5721" t="s">
        <v>12250</v>
      </c>
      <c r="C5721" t="s">
        <v>11783</v>
      </c>
      <c r="D5721" t="s">
        <v>11784</v>
      </c>
      <c r="E5721">
        <v>344540.71</v>
      </c>
      <c r="G5721" s="35"/>
      <c r="H5721" s="36">
        <f t="shared" si="269"/>
        <v>217060.64730000001</v>
      </c>
      <c r="I5721" s="37">
        <f t="shared" si="267"/>
        <v>217060.64730000001</v>
      </c>
      <c r="J5721" s="4"/>
      <c r="K5721" s="38">
        <f t="shared" si="268"/>
        <v>0</v>
      </c>
    </row>
    <row r="5722" spans="1:11">
      <c r="A5722" t="s">
        <v>2121</v>
      </c>
      <c r="B5722" t="s">
        <v>12250</v>
      </c>
      <c r="C5722" t="s">
        <v>7681</v>
      </c>
      <c r="D5722" t="s">
        <v>7682</v>
      </c>
      <c r="E5722">
        <v>69576.67</v>
      </c>
      <c r="G5722" s="35"/>
      <c r="H5722" s="36">
        <f t="shared" si="269"/>
        <v>43833.302100000001</v>
      </c>
      <c r="I5722" s="37">
        <f t="shared" si="267"/>
        <v>43833.302100000001</v>
      </c>
      <c r="J5722" s="4"/>
      <c r="K5722" s="38">
        <f t="shared" si="268"/>
        <v>0</v>
      </c>
    </row>
    <row r="5723" spans="1:11">
      <c r="A5723" t="s">
        <v>2122</v>
      </c>
      <c r="B5723" t="s">
        <v>12250</v>
      </c>
      <c r="C5723" t="s">
        <v>7681</v>
      </c>
      <c r="D5723" t="s">
        <v>7683</v>
      </c>
      <c r="E5723">
        <v>92769.17</v>
      </c>
      <c r="G5723" s="35"/>
      <c r="H5723" s="36">
        <f t="shared" si="269"/>
        <v>58444.577100000002</v>
      </c>
      <c r="I5723" s="37">
        <f t="shared" si="267"/>
        <v>58444.577100000002</v>
      </c>
      <c r="J5723" s="4"/>
      <c r="K5723" s="38">
        <f t="shared" si="268"/>
        <v>0</v>
      </c>
    </row>
    <row r="5724" spans="1:11">
      <c r="A5724" t="s">
        <v>2123</v>
      </c>
      <c r="B5724" t="s">
        <v>12250</v>
      </c>
      <c r="C5724" t="s">
        <v>7681</v>
      </c>
      <c r="D5724" t="s">
        <v>12423</v>
      </c>
      <c r="E5724">
        <v>92797.91</v>
      </c>
      <c r="G5724" s="35"/>
      <c r="H5724" s="36">
        <f t="shared" si="269"/>
        <v>58462.683300000004</v>
      </c>
      <c r="I5724" s="37">
        <f t="shared" si="267"/>
        <v>58462.683300000004</v>
      </c>
      <c r="J5724" s="4"/>
      <c r="K5724" s="38">
        <f t="shared" si="268"/>
        <v>0</v>
      </c>
    </row>
    <row r="5725" spans="1:11">
      <c r="A5725" t="s">
        <v>2124</v>
      </c>
      <c r="B5725" t="s">
        <v>12250</v>
      </c>
      <c r="C5725" t="s">
        <v>7681</v>
      </c>
      <c r="D5725" t="s">
        <v>12424</v>
      </c>
      <c r="E5725">
        <v>143290.89000000001</v>
      </c>
      <c r="G5725" s="35"/>
      <c r="H5725" s="36">
        <f t="shared" si="269"/>
        <v>90273.260700000013</v>
      </c>
      <c r="I5725" s="37">
        <f t="shared" si="267"/>
        <v>90273.260700000013</v>
      </c>
      <c r="J5725" s="4"/>
      <c r="K5725" s="38">
        <f t="shared" si="268"/>
        <v>0</v>
      </c>
    </row>
    <row r="5726" spans="1:11">
      <c r="A5726" t="s">
        <v>2125</v>
      </c>
      <c r="B5726" t="s">
        <v>12250</v>
      </c>
      <c r="C5726" t="s">
        <v>7681</v>
      </c>
      <c r="D5726" t="s">
        <v>12425</v>
      </c>
      <c r="E5726">
        <v>448471.39</v>
      </c>
      <c r="G5726" s="35"/>
      <c r="H5726" s="36">
        <f t="shared" si="269"/>
        <v>282536.97570000001</v>
      </c>
      <c r="I5726" s="37">
        <f t="shared" si="267"/>
        <v>282536.97570000001</v>
      </c>
      <c r="J5726" s="4"/>
      <c r="K5726" s="38">
        <f t="shared" si="268"/>
        <v>0</v>
      </c>
    </row>
    <row r="5727" spans="1:11">
      <c r="A5727" t="s">
        <v>2126</v>
      </c>
      <c r="B5727" t="s">
        <v>12250</v>
      </c>
      <c r="C5727" t="s">
        <v>7681</v>
      </c>
      <c r="D5727" t="s">
        <v>11529</v>
      </c>
      <c r="E5727">
        <v>563239.79</v>
      </c>
      <c r="G5727" s="35"/>
      <c r="H5727" s="36">
        <f t="shared" si="269"/>
        <v>354841.06770000001</v>
      </c>
      <c r="I5727" s="37">
        <f t="shared" si="267"/>
        <v>354841.06770000001</v>
      </c>
      <c r="J5727" s="4"/>
      <c r="K5727" s="38">
        <f t="shared" si="268"/>
        <v>0</v>
      </c>
    </row>
    <row r="5728" spans="1:11">
      <c r="A5728" t="s">
        <v>2127</v>
      </c>
      <c r="B5728" t="s">
        <v>12250</v>
      </c>
      <c r="C5728" t="s">
        <v>7681</v>
      </c>
      <c r="D5728" t="s">
        <v>11530</v>
      </c>
      <c r="E5728">
        <v>1330306.1000000001</v>
      </c>
      <c r="G5728" s="35"/>
      <c r="H5728" s="36">
        <f t="shared" si="269"/>
        <v>838092.84300000011</v>
      </c>
      <c r="I5728" s="37">
        <f t="shared" si="267"/>
        <v>838092.84300000011</v>
      </c>
      <c r="J5728" s="4"/>
      <c r="K5728" s="38">
        <f t="shared" si="268"/>
        <v>0</v>
      </c>
    </row>
    <row r="5729" spans="1:11">
      <c r="A5729" t="s">
        <v>2254</v>
      </c>
      <c r="B5729" t="s">
        <v>12250</v>
      </c>
      <c r="C5729" t="s">
        <v>7812</v>
      </c>
      <c r="D5729" t="s">
        <v>7813</v>
      </c>
      <c r="E5729">
        <v>199310.71</v>
      </c>
      <c r="G5729" s="35"/>
      <c r="H5729" s="36">
        <f t="shared" si="269"/>
        <v>125565.7473</v>
      </c>
      <c r="I5729" s="37">
        <f t="shared" si="267"/>
        <v>125565.7473</v>
      </c>
      <c r="J5729" s="4"/>
      <c r="K5729" s="38">
        <f t="shared" si="268"/>
        <v>0</v>
      </c>
    </row>
    <row r="5730" spans="1:11">
      <c r="A5730" t="s">
        <v>9799</v>
      </c>
      <c r="B5730" t="s">
        <v>12250</v>
      </c>
      <c r="C5730" t="s">
        <v>9800</v>
      </c>
      <c r="D5730" t="s">
        <v>9801</v>
      </c>
      <c r="E5730">
        <v>3562.58</v>
      </c>
      <c r="G5730" s="35"/>
      <c r="H5730" s="36">
        <f t="shared" si="269"/>
        <v>2244.4254000000001</v>
      </c>
      <c r="I5730" s="37">
        <f t="shared" si="267"/>
        <v>2244.4254000000001</v>
      </c>
      <c r="J5730" s="4"/>
      <c r="K5730" s="38">
        <f t="shared" si="268"/>
        <v>0</v>
      </c>
    </row>
    <row r="5731" spans="1:11">
      <c r="A5731" t="s">
        <v>9802</v>
      </c>
      <c r="B5731" t="s">
        <v>12250</v>
      </c>
      <c r="C5731" t="s">
        <v>9800</v>
      </c>
      <c r="D5731" t="s">
        <v>9803</v>
      </c>
      <c r="E5731">
        <v>4786.8100000000004</v>
      </c>
      <c r="G5731" s="35"/>
      <c r="H5731" s="36">
        <f t="shared" si="269"/>
        <v>3015.6903000000002</v>
      </c>
      <c r="I5731" s="37">
        <f t="shared" si="267"/>
        <v>3015.6903000000002</v>
      </c>
      <c r="J5731" s="4"/>
      <c r="K5731" s="38">
        <f t="shared" si="268"/>
        <v>0</v>
      </c>
    </row>
    <row r="5732" spans="1:11">
      <c r="A5732" t="s">
        <v>9804</v>
      </c>
      <c r="B5732" t="s">
        <v>12250</v>
      </c>
      <c r="C5732" t="s">
        <v>9800</v>
      </c>
      <c r="D5732" t="s">
        <v>9805</v>
      </c>
      <c r="E5732">
        <v>5914.75</v>
      </c>
      <c r="G5732" s="35"/>
      <c r="H5732" s="36">
        <f t="shared" si="269"/>
        <v>3726.2925</v>
      </c>
      <c r="I5732" s="37">
        <f t="shared" si="267"/>
        <v>3726.2925</v>
      </c>
      <c r="J5732" s="4"/>
      <c r="K5732" s="38">
        <f t="shared" si="268"/>
        <v>0</v>
      </c>
    </row>
    <row r="5733" spans="1:11">
      <c r="A5733" t="s">
        <v>9806</v>
      </c>
      <c r="B5733" t="s">
        <v>12250</v>
      </c>
      <c r="C5733" t="s">
        <v>9800</v>
      </c>
      <c r="D5733" t="s">
        <v>9807</v>
      </c>
      <c r="E5733">
        <v>4470.47</v>
      </c>
      <c r="G5733" s="35"/>
      <c r="H5733" s="36">
        <f t="shared" si="269"/>
        <v>2816.3961000000004</v>
      </c>
      <c r="I5733" s="37">
        <f t="shared" si="267"/>
        <v>2816.3961000000004</v>
      </c>
      <c r="J5733" s="4"/>
      <c r="K5733" s="38">
        <f t="shared" si="268"/>
        <v>0</v>
      </c>
    </row>
    <row r="5734" spans="1:11">
      <c r="A5734" t="s">
        <v>9808</v>
      </c>
      <c r="B5734" t="s">
        <v>12250</v>
      </c>
      <c r="C5734" t="s">
        <v>9800</v>
      </c>
      <c r="D5734" t="s">
        <v>9809</v>
      </c>
      <c r="E5734">
        <v>5226.96</v>
      </c>
      <c r="G5734" s="35"/>
      <c r="H5734" s="36">
        <f t="shared" si="269"/>
        <v>3292.9848000000002</v>
      </c>
      <c r="I5734" s="37">
        <f t="shared" si="267"/>
        <v>3292.9848000000002</v>
      </c>
      <c r="J5734" s="4"/>
      <c r="K5734" s="38">
        <f t="shared" si="268"/>
        <v>0</v>
      </c>
    </row>
    <row r="5735" spans="1:11">
      <c r="A5735" t="s">
        <v>9810</v>
      </c>
      <c r="B5735" t="s">
        <v>12250</v>
      </c>
      <c r="C5735" t="s">
        <v>9800</v>
      </c>
      <c r="D5735" t="s">
        <v>9811</v>
      </c>
      <c r="E5735">
        <v>6960.16</v>
      </c>
      <c r="G5735" s="35"/>
      <c r="H5735" s="36">
        <f t="shared" si="269"/>
        <v>4384.9008000000003</v>
      </c>
      <c r="I5735" s="37">
        <f t="shared" si="267"/>
        <v>4384.9008000000003</v>
      </c>
      <c r="J5735" s="4"/>
      <c r="K5735" s="38">
        <f t="shared" si="268"/>
        <v>0</v>
      </c>
    </row>
    <row r="5736" spans="1:11">
      <c r="A5736" t="s">
        <v>9812</v>
      </c>
      <c r="B5736" t="s">
        <v>12250</v>
      </c>
      <c r="C5736" t="s">
        <v>9800</v>
      </c>
      <c r="D5736" t="s">
        <v>9813</v>
      </c>
      <c r="E5736">
        <v>6093.56</v>
      </c>
      <c r="G5736" s="35"/>
      <c r="H5736" s="36">
        <f t="shared" si="269"/>
        <v>3838.9428000000003</v>
      </c>
      <c r="I5736" s="37">
        <f t="shared" si="267"/>
        <v>3838.9428000000003</v>
      </c>
      <c r="J5736" s="4"/>
      <c r="K5736" s="38">
        <f t="shared" si="268"/>
        <v>0</v>
      </c>
    </row>
    <row r="5737" spans="1:11">
      <c r="A5737" t="s">
        <v>1863</v>
      </c>
      <c r="B5737" t="s">
        <v>12250</v>
      </c>
      <c r="C5737" t="s">
        <v>7467</v>
      </c>
      <c r="D5737" t="s">
        <v>11737</v>
      </c>
      <c r="E5737">
        <v>2173.34</v>
      </c>
      <c r="G5737" s="35"/>
      <c r="H5737" s="36">
        <f t="shared" si="269"/>
        <v>1369.2042000000001</v>
      </c>
      <c r="I5737" s="37">
        <f t="shared" si="267"/>
        <v>1369.2042000000001</v>
      </c>
      <c r="J5737" s="4"/>
      <c r="K5737" s="38">
        <f t="shared" si="268"/>
        <v>0</v>
      </c>
    </row>
    <row r="5738" spans="1:11">
      <c r="A5738" t="s">
        <v>1864</v>
      </c>
      <c r="B5738" t="s">
        <v>12250</v>
      </c>
      <c r="C5738" t="s">
        <v>7467</v>
      </c>
      <c r="D5738" t="s">
        <v>11972</v>
      </c>
      <c r="E5738">
        <v>3025.88</v>
      </c>
      <c r="G5738" s="35"/>
      <c r="H5738" s="36">
        <f t="shared" si="269"/>
        <v>1906.3044</v>
      </c>
      <c r="I5738" s="37">
        <f t="shared" si="267"/>
        <v>1906.3044</v>
      </c>
      <c r="J5738" s="4"/>
      <c r="K5738" s="38">
        <f t="shared" si="268"/>
        <v>0</v>
      </c>
    </row>
    <row r="5739" spans="1:11">
      <c r="A5739" t="s">
        <v>1865</v>
      </c>
      <c r="B5739" t="s">
        <v>12250</v>
      </c>
      <c r="C5739" t="s">
        <v>7467</v>
      </c>
      <c r="D5739" t="s">
        <v>9846</v>
      </c>
      <c r="E5739">
        <v>3094.63</v>
      </c>
      <c r="G5739" s="35"/>
      <c r="H5739" s="36">
        <f t="shared" si="269"/>
        <v>1949.6169</v>
      </c>
      <c r="I5739" s="37">
        <f t="shared" si="267"/>
        <v>1949.6169</v>
      </c>
      <c r="J5739" s="4"/>
      <c r="K5739" s="38">
        <f t="shared" si="268"/>
        <v>0</v>
      </c>
    </row>
    <row r="5740" spans="1:11">
      <c r="A5740" t="s">
        <v>1866</v>
      </c>
      <c r="B5740" t="s">
        <v>12250</v>
      </c>
      <c r="C5740" t="s">
        <v>7467</v>
      </c>
      <c r="D5740" t="s">
        <v>11973</v>
      </c>
      <c r="E5740">
        <v>4057.45</v>
      </c>
      <c r="G5740" s="35"/>
      <c r="H5740" s="36">
        <f t="shared" si="269"/>
        <v>2556.1934999999999</v>
      </c>
      <c r="I5740" s="37">
        <f t="shared" si="267"/>
        <v>2556.1934999999999</v>
      </c>
      <c r="J5740" s="4"/>
      <c r="K5740" s="38">
        <f t="shared" si="268"/>
        <v>0</v>
      </c>
    </row>
    <row r="5741" spans="1:11">
      <c r="A5741" t="s">
        <v>1867</v>
      </c>
      <c r="B5741" t="s">
        <v>12250</v>
      </c>
      <c r="C5741" t="s">
        <v>7467</v>
      </c>
      <c r="D5741" t="s">
        <v>12347</v>
      </c>
      <c r="E5741">
        <v>4264.1000000000004</v>
      </c>
      <c r="G5741" s="35"/>
      <c r="H5741" s="36">
        <f t="shared" si="269"/>
        <v>2686.3830000000003</v>
      </c>
      <c r="I5741" s="37">
        <f t="shared" si="267"/>
        <v>2686.3830000000003</v>
      </c>
      <c r="J5741" s="4"/>
      <c r="K5741" s="38">
        <f t="shared" si="268"/>
        <v>0</v>
      </c>
    </row>
    <row r="5742" spans="1:11">
      <c r="A5742" t="s">
        <v>1868</v>
      </c>
      <c r="B5742" t="s">
        <v>12250</v>
      </c>
      <c r="C5742" t="s">
        <v>7467</v>
      </c>
      <c r="D5742" t="s">
        <v>7468</v>
      </c>
      <c r="E5742">
        <v>3859.68</v>
      </c>
      <c r="G5742" s="35"/>
      <c r="H5742" s="36">
        <f t="shared" si="269"/>
        <v>2431.5983999999999</v>
      </c>
      <c r="I5742" s="37">
        <f t="shared" si="267"/>
        <v>2431.5983999999999</v>
      </c>
      <c r="J5742" s="4"/>
      <c r="K5742" s="38">
        <f t="shared" si="268"/>
        <v>0</v>
      </c>
    </row>
    <row r="5743" spans="1:11">
      <c r="A5743" t="s">
        <v>1869</v>
      </c>
      <c r="B5743" t="s">
        <v>12250</v>
      </c>
      <c r="C5743" t="s">
        <v>7467</v>
      </c>
      <c r="D5743" t="s">
        <v>9762</v>
      </c>
      <c r="E5743">
        <v>2778.58</v>
      </c>
      <c r="G5743" s="35"/>
      <c r="H5743" s="36">
        <f t="shared" si="269"/>
        <v>1750.5054</v>
      </c>
      <c r="I5743" s="37">
        <f t="shared" si="267"/>
        <v>1750.5054</v>
      </c>
      <c r="J5743" s="4"/>
      <c r="K5743" s="38">
        <f t="shared" si="268"/>
        <v>0</v>
      </c>
    </row>
    <row r="5744" spans="1:11">
      <c r="A5744" t="s">
        <v>1870</v>
      </c>
      <c r="B5744" t="s">
        <v>12250</v>
      </c>
      <c r="C5744" t="s">
        <v>7467</v>
      </c>
      <c r="D5744" t="s">
        <v>9867</v>
      </c>
      <c r="E5744">
        <v>3039.89</v>
      </c>
      <c r="G5744" s="35"/>
      <c r="H5744" s="36">
        <f t="shared" si="269"/>
        <v>1915.1306999999999</v>
      </c>
      <c r="I5744" s="37">
        <f t="shared" si="267"/>
        <v>1915.1306999999999</v>
      </c>
      <c r="J5744" s="4"/>
      <c r="K5744" s="38">
        <f t="shared" si="268"/>
        <v>0</v>
      </c>
    </row>
    <row r="5745" spans="1:11">
      <c r="A5745" t="s">
        <v>1871</v>
      </c>
      <c r="B5745" t="s">
        <v>12250</v>
      </c>
      <c r="C5745" t="s">
        <v>7467</v>
      </c>
      <c r="D5745" t="s">
        <v>11738</v>
      </c>
      <c r="E5745">
        <v>3081.36</v>
      </c>
      <c r="G5745" s="35"/>
      <c r="H5745" s="36">
        <f t="shared" si="269"/>
        <v>1941.2568000000001</v>
      </c>
      <c r="I5745" s="37">
        <f t="shared" si="267"/>
        <v>1941.2568000000001</v>
      </c>
      <c r="J5745" s="4"/>
      <c r="K5745" s="38">
        <f t="shared" si="268"/>
        <v>0</v>
      </c>
    </row>
    <row r="5746" spans="1:11">
      <c r="A5746" t="s">
        <v>1872</v>
      </c>
      <c r="B5746" t="s">
        <v>12250</v>
      </c>
      <c r="C5746" t="s">
        <v>7467</v>
      </c>
      <c r="D5746" t="s">
        <v>9763</v>
      </c>
      <c r="E5746">
        <v>3947.72</v>
      </c>
      <c r="G5746" s="35"/>
      <c r="H5746" s="36">
        <f t="shared" si="269"/>
        <v>2487.0636</v>
      </c>
      <c r="I5746" s="37">
        <f t="shared" si="267"/>
        <v>2487.0636</v>
      </c>
      <c r="J5746" s="4"/>
      <c r="K5746" s="38">
        <f t="shared" si="268"/>
        <v>0</v>
      </c>
    </row>
    <row r="5747" spans="1:11">
      <c r="A5747" t="s">
        <v>1873</v>
      </c>
      <c r="B5747" t="s">
        <v>12250</v>
      </c>
      <c r="C5747" t="s">
        <v>7467</v>
      </c>
      <c r="D5747" t="s">
        <v>9764</v>
      </c>
      <c r="E5747">
        <v>6093.56</v>
      </c>
      <c r="G5747" s="35"/>
      <c r="H5747" s="36">
        <f t="shared" si="269"/>
        <v>3838.9428000000003</v>
      </c>
      <c r="I5747" s="37">
        <f t="shared" si="267"/>
        <v>3838.9428000000003</v>
      </c>
      <c r="J5747" s="4"/>
      <c r="K5747" s="38">
        <f t="shared" si="268"/>
        <v>0</v>
      </c>
    </row>
    <row r="5748" spans="1:11">
      <c r="A5748" t="s">
        <v>1874</v>
      </c>
      <c r="B5748" t="s">
        <v>12250</v>
      </c>
      <c r="C5748" t="s">
        <v>7467</v>
      </c>
      <c r="D5748" t="s">
        <v>7469</v>
      </c>
      <c r="E5748">
        <v>13328.75</v>
      </c>
      <c r="G5748" s="35"/>
      <c r="H5748" s="36">
        <f t="shared" si="269"/>
        <v>8397.1124999999993</v>
      </c>
      <c r="I5748" s="37">
        <f t="shared" si="267"/>
        <v>8397.1124999999993</v>
      </c>
      <c r="J5748" s="4"/>
      <c r="K5748" s="38">
        <f t="shared" si="268"/>
        <v>0</v>
      </c>
    </row>
    <row r="5749" spans="1:11">
      <c r="A5749" t="s">
        <v>1875</v>
      </c>
      <c r="B5749" t="s">
        <v>12250</v>
      </c>
      <c r="C5749" t="s">
        <v>7467</v>
      </c>
      <c r="D5749" t="s">
        <v>7470</v>
      </c>
      <c r="E5749">
        <v>11059.16</v>
      </c>
      <c r="G5749" s="35"/>
      <c r="H5749" s="36">
        <f t="shared" si="269"/>
        <v>6967.2708000000002</v>
      </c>
      <c r="I5749" s="37">
        <f t="shared" si="267"/>
        <v>6967.2708000000002</v>
      </c>
      <c r="J5749" s="4"/>
      <c r="K5749" s="38">
        <f t="shared" si="268"/>
        <v>0</v>
      </c>
    </row>
    <row r="5750" spans="1:11">
      <c r="A5750" t="s">
        <v>1876</v>
      </c>
      <c r="B5750" t="s">
        <v>12250</v>
      </c>
      <c r="C5750" t="s">
        <v>7467</v>
      </c>
      <c r="D5750" t="s">
        <v>7471</v>
      </c>
      <c r="E5750">
        <v>28363.25</v>
      </c>
      <c r="G5750" s="35"/>
      <c r="H5750" s="36">
        <f t="shared" si="269"/>
        <v>17868.8475</v>
      </c>
      <c r="I5750" s="37">
        <f t="shared" si="267"/>
        <v>17868.8475</v>
      </c>
      <c r="J5750" s="4"/>
      <c r="K5750" s="38">
        <f t="shared" si="268"/>
        <v>0</v>
      </c>
    </row>
    <row r="5751" spans="1:11">
      <c r="A5751" t="s">
        <v>1877</v>
      </c>
      <c r="B5751" t="s">
        <v>12250</v>
      </c>
      <c r="C5751" t="s">
        <v>7467</v>
      </c>
      <c r="D5751" t="s">
        <v>7472</v>
      </c>
      <c r="E5751">
        <v>16602.52</v>
      </c>
      <c r="G5751" s="35"/>
      <c r="H5751" s="36">
        <f t="shared" si="269"/>
        <v>10459.587600000001</v>
      </c>
      <c r="I5751" s="37">
        <f t="shared" si="267"/>
        <v>10459.587600000001</v>
      </c>
      <c r="J5751" s="4"/>
      <c r="K5751" s="38">
        <f t="shared" si="268"/>
        <v>0</v>
      </c>
    </row>
    <row r="5752" spans="1:11">
      <c r="A5752" t="s">
        <v>1878</v>
      </c>
      <c r="B5752" t="s">
        <v>12250</v>
      </c>
      <c r="C5752" t="s">
        <v>7467</v>
      </c>
      <c r="D5752" t="s">
        <v>7473</v>
      </c>
      <c r="E5752">
        <v>50755.68</v>
      </c>
      <c r="G5752" s="35"/>
      <c r="H5752" s="36">
        <f t="shared" si="269"/>
        <v>31976.078400000002</v>
      </c>
      <c r="I5752" s="37">
        <f t="shared" si="267"/>
        <v>31976.078400000002</v>
      </c>
      <c r="J5752" s="4"/>
      <c r="K5752" s="38">
        <f t="shared" si="268"/>
        <v>0</v>
      </c>
    </row>
    <row r="5753" spans="1:11">
      <c r="A5753" t="s">
        <v>1879</v>
      </c>
      <c r="B5753" t="s">
        <v>12250</v>
      </c>
      <c r="C5753" t="s">
        <v>7467</v>
      </c>
      <c r="D5753" t="s">
        <v>7474</v>
      </c>
      <c r="E5753">
        <v>45116.959999999999</v>
      </c>
      <c r="G5753" s="35"/>
      <c r="H5753" s="36">
        <f t="shared" si="269"/>
        <v>28423.684799999999</v>
      </c>
      <c r="I5753" s="37">
        <f t="shared" si="267"/>
        <v>28423.684799999999</v>
      </c>
      <c r="J5753" s="4"/>
      <c r="K5753" s="38">
        <f t="shared" si="268"/>
        <v>0</v>
      </c>
    </row>
    <row r="5754" spans="1:11">
      <c r="A5754" t="s">
        <v>9776</v>
      </c>
      <c r="B5754" t="s">
        <v>12250</v>
      </c>
      <c r="C5754" t="s">
        <v>7467</v>
      </c>
      <c r="D5754" t="s">
        <v>9777</v>
      </c>
      <c r="E5754">
        <v>44663.15</v>
      </c>
      <c r="G5754" s="35"/>
      <c r="H5754" s="36">
        <f t="shared" si="269"/>
        <v>28137.784500000002</v>
      </c>
      <c r="I5754" s="37">
        <f t="shared" si="267"/>
        <v>28137.784500000002</v>
      </c>
      <c r="J5754" s="4"/>
      <c r="K5754" s="38">
        <f t="shared" si="268"/>
        <v>0</v>
      </c>
    </row>
    <row r="5755" spans="1:11">
      <c r="A5755" t="s">
        <v>12336</v>
      </c>
      <c r="B5755" t="s">
        <v>12250</v>
      </c>
      <c r="C5755" t="s">
        <v>7467</v>
      </c>
      <c r="D5755" t="s">
        <v>12337</v>
      </c>
      <c r="E5755">
        <v>15129.53</v>
      </c>
      <c r="G5755" s="35"/>
      <c r="H5755" s="36">
        <f t="shared" si="269"/>
        <v>9531.6039000000001</v>
      </c>
      <c r="I5755" s="37">
        <f t="shared" si="267"/>
        <v>9531.6039000000001</v>
      </c>
      <c r="J5755" s="4"/>
      <c r="K5755" s="38">
        <f t="shared" si="268"/>
        <v>0</v>
      </c>
    </row>
    <row r="5756" spans="1:11">
      <c r="A5756" t="s">
        <v>12338</v>
      </c>
      <c r="B5756" t="s">
        <v>12250</v>
      </c>
      <c r="C5756" t="s">
        <v>7467</v>
      </c>
      <c r="D5756" t="s">
        <v>12339</v>
      </c>
      <c r="E5756">
        <v>36984.85</v>
      </c>
      <c r="G5756" s="35"/>
      <c r="H5756" s="36">
        <f t="shared" si="269"/>
        <v>23300.4555</v>
      </c>
      <c r="I5756" s="37">
        <f t="shared" si="267"/>
        <v>23300.4555</v>
      </c>
      <c r="J5756" s="4"/>
      <c r="K5756" s="38">
        <f t="shared" si="268"/>
        <v>0</v>
      </c>
    </row>
    <row r="5757" spans="1:11">
      <c r="A5757" t="s">
        <v>9778</v>
      </c>
      <c r="B5757" t="s">
        <v>12250</v>
      </c>
      <c r="C5757" t="s">
        <v>7467</v>
      </c>
      <c r="D5757" t="s">
        <v>9779</v>
      </c>
      <c r="E5757">
        <v>39972.629999999997</v>
      </c>
      <c r="G5757" s="35"/>
      <c r="H5757" s="36">
        <f t="shared" si="269"/>
        <v>25182.7569</v>
      </c>
      <c r="I5757" s="37">
        <f t="shared" si="267"/>
        <v>25182.7569</v>
      </c>
      <c r="J5757" s="4"/>
      <c r="K5757" s="38">
        <f t="shared" si="268"/>
        <v>0</v>
      </c>
    </row>
    <row r="5758" spans="1:11">
      <c r="A5758" t="s">
        <v>1880</v>
      </c>
      <c r="B5758" t="s">
        <v>12250</v>
      </c>
      <c r="C5758" t="s">
        <v>7467</v>
      </c>
      <c r="D5758" t="s">
        <v>7475</v>
      </c>
      <c r="E5758">
        <v>21318.720000000001</v>
      </c>
      <c r="G5758" s="35"/>
      <c r="H5758" s="36">
        <f t="shared" si="269"/>
        <v>13430.793600000001</v>
      </c>
      <c r="I5758" s="37">
        <f t="shared" si="267"/>
        <v>13430.793600000001</v>
      </c>
      <c r="J5758" s="4"/>
      <c r="K5758" s="38">
        <f t="shared" si="268"/>
        <v>0</v>
      </c>
    </row>
    <row r="5759" spans="1:11">
      <c r="A5759" t="s">
        <v>1881</v>
      </c>
      <c r="B5759" t="s">
        <v>12250</v>
      </c>
      <c r="C5759" t="s">
        <v>7467</v>
      </c>
      <c r="D5759" t="s">
        <v>7476</v>
      </c>
      <c r="E5759">
        <v>15020.52</v>
      </c>
      <c r="G5759" s="35"/>
      <c r="H5759" s="36">
        <f t="shared" si="269"/>
        <v>9462.9276000000009</v>
      </c>
      <c r="I5759" s="37">
        <f t="shared" si="267"/>
        <v>9462.9276000000009</v>
      </c>
      <c r="J5759" s="4"/>
      <c r="K5759" s="38">
        <f t="shared" si="268"/>
        <v>0</v>
      </c>
    </row>
    <row r="5760" spans="1:11">
      <c r="A5760" t="s">
        <v>1882</v>
      </c>
      <c r="B5760" t="s">
        <v>12250</v>
      </c>
      <c r="C5760" t="s">
        <v>7467</v>
      </c>
      <c r="D5760" t="s">
        <v>7477</v>
      </c>
      <c r="E5760">
        <v>20165.14</v>
      </c>
      <c r="G5760" s="35"/>
      <c r="H5760" s="36">
        <f t="shared" si="269"/>
        <v>12704.038199999999</v>
      </c>
      <c r="I5760" s="37">
        <f t="shared" si="267"/>
        <v>12704.038199999999</v>
      </c>
      <c r="J5760" s="4"/>
      <c r="K5760" s="38">
        <f t="shared" si="268"/>
        <v>0</v>
      </c>
    </row>
    <row r="5761" spans="1:11">
      <c r="A5761" t="s">
        <v>1883</v>
      </c>
      <c r="B5761" t="s">
        <v>12250</v>
      </c>
      <c r="C5761" t="s">
        <v>7467</v>
      </c>
      <c r="D5761" t="s">
        <v>7478</v>
      </c>
      <c r="E5761">
        <v>37345.32</v>
      </c>
      <c r="G5761" s="35"/>
      <c r="H5761" s="36">
        <f t="shared" si="269"/>
        <v>23527.551599999999</v>
      </c>
      <c r="I5761" s="37">
        <f t="shared" si="267"/>
        <v>23527.551599999999</v>
      </c>
      <c r="J5761" s="4"/>
      <c r="K5761" s="38">
        <f t="shared" si="268"/>
        <v>0</v>
      </c>
    </row>
    <row r="5762" spans="1:11">
      <c r="A5762" t="s">
        <v>1884</v>
      </c>
      <c r="B5762" t="s">
        <v>12250</v>
      </c>
      <c r="C5762" t="s">
        <v>7467</v>
      </c>
      <c r="D5762" t="s">
        <v>7479</v>
      </c>
      <c r="E5762">
        <v>17482.810000000001</v>
      </c>
      <c r="G5762" s="35"/>
      <c r="H5762" s="36">
        <f t="shared" si="269"/>
        <v>11014.170300000002</v>
      </c>
      <c r="I5762" s="37">
        <f t="shared" si="267"/>
        <v>11014.170300000002</v>
      </c>
      <c r="J5762" s="4"/>
      <c r="K5762" s="38">
        <f t="shared" si="268"/>
        <v>0</v>
      </c>
    </row>
    <row r="5763" spans="1:11">
      <c r="A5763" t="s">
        <v>1885</v>
      </c>
      <c r="B5763" t="s">
        <v>12250</v>
      </c>
      <c r="C5763" t="s">
        <v>7467</v>
      </c>
      <c r="D5763" t="s">
        <v>7480</v>
      </c>
      <c r="E5763">
        <v>16286.14</v>
      </c>
      <c r="G5763" s="35"/>
      <c r="H5763" s="36">
        <f t="shared" si="269"/>
        <v>10260.2682</v>
      </c>
      <c r="I5763" s="37">
        <f t="shared" si="267"/>
        <v>10260.2682</v>
      </c>
      <c r="J5763" s="4"/>
      <c r="K5763" s="38">
        <f t="shared" si="268"/>
        <v>0</v>
      </c>
    </row>
    <row r="5764" spans="1:11">
      <c r="A5764" t="s">
        <v>12607</v>
      </c>
      <c r="B5764" t="s">
        <v>12250</v>
      </c>
      <c r="C5764" t="s">
        <v>7467</v>
      </c>
      <c r="D5764" t="s">
        <v>12608</v>
      </c>
      <c r="E5764">
        <v>14479.98</v>
      </c>
      <c r="G5764" s="35"/>
      <c r="H5764" s="36">
        <f t="shared" si="269"/>
        <v>9122.3873999999996</v>
      </c>
      <c r="I5764" s="37">
        <f t="shared" si="267"/>
        <v>9122.3873999999996</v>
      </c>
      <c r="J5764" s="4"/>
      <c r="K5764" s="38">
        <f t="shared" si="268"/>
        <v>0</v>
      </c>
    </row>
    <row r="5765" spans="1:11">
      <c r="A5765" t="s">
        <v>12382</v>
      </c>
      <c r="B5765" t="s">
        <v>12250</v>
      </c>
      <c r="C5765" t="s">
        <v>7467</v>
      </c>
      <c r="D5765" t="s">
        <v>12426</v>
      </c>
      <c r="E5765">
        <v>14443.89</v>
      </c>
      <c r="G5765" s="35"/>
      <c r="H5765" s="36">
        <f t="shared" si="269"/>
        <v>9099.6507000000001</v>
      </c>
      <c r="I5765" s="37">
        <f t="shared" si="267"/>
        <v>9099.6507000000001</v>
      </c>
      <c r="J5765" s="4"/>
      <c r="K5765" s="38">
        <f t="shared" si="268"/>
        <v>0</v>
      </c>
    </row>
    <row r="5766" spans="1:11">
      <c r="A5766" t="s">
        <v>1886</v>
      </c>
      <c r="B5766" t="s">
        <v>12250</v>
      </c>
      <c r="C5766" t="s">
        <v>7467</v>
      </c>
      <c r="D5766" t="s">
        <v>12284</v>
      </c>
      <c r="E5766">
        <v>8389.9500000000007</v>
      </c>
      <c r="G5766" s="35"/>
      <c r="H5766" s="36">
        <f t="shared" si="269"/>
        <v>5285.6685000000007</v>
      </c>
      <c r="I5766" s="37">
        <f t="shared" ref="I5766:I5829" si="270">H5766*$H$4</f>
        <v>5285.6685000000007</v>
      </c>
      <c r="J5766" s="4"/>
      <c r="K5766" s="38">
        <f t="shared" ref="K5766:K5829" si="271">J5766*I5766</f>
        <v>0</v>
      </c>
    </row>
    <row r="5767" spans="1:11">
      <c r="A5767" t="s">
        <v>1887</v>
      </c>
      <c r="B5767" t="s">
        <v>12250</v>
      </c>
      <c r="C5767" t="s">
        <v>7467</v>
      </c>
      <c r="D5767" t="s">
        <v>12349</v>
      </c>
      <c r="E5767">
        <v>17138.990000000002</v>
      </c>
      <c r="G5767" s="35"/>
      <c r="H5767" s="36">
        <f t="shared" ref="H5767:H5830" si="272">+E5767*$H$1*(1-G5767)</f>
        <v>10797.563700000001</v>
      </c>
      <c r="I5767" s="37">
        <f t="shared" si="270"/>
        <v>10797.563700000001</v>
      </c>
      <c r="J5767" s="4"/>
      <c r="K5767" s="38">
        <f t="shared" si="271"/>
        <v>0</v>
      </c>
    </row>
    <row r="5768" spans="1:11">
      <c r="A5768" t="s">
        <v>1888</v>
      </c>
      <c r="B5768" t="s">
        <v>12250</v>
      </c>
      <c r="C5768" t="s">
        <v>7467</v>
      </c>
      <c r="D5768" t="s">
        <v>7481</v>
      </c>
      <c r="E5768">
        <v>26698.89</v>
      </c>
      <c r="G5768" s="35"/>
      <c r="H5768" s="36">
        <f t="shared" si="272"/>
        <v>16820.3007</v>
      </c>
      <c r="I5768" s="37">
        <f t="shared" si="270"/>
        <v>16820.3007</v>
      </c>
      <c r="J5768" s="4"/>
      <c r="K5768" s="38">
        <f t="shared" si="271"/>
        <v>0</v>
      </c>
    </row>
    <row r="5769" spans="1:11">
      <c r="A5769" t="s">
        <v>11252</v>
      </c>
      <c r="B5769" t="s">
        <v>12250</v>
      </c>
      <c r="C5769" t="s">
        <v>11253</v>
      </c>
      <c r="D5769" t="s">
        <v>11254</v>
      </c>
      <c r="E5769">
        <v>26258.65</v>
      </c>
      <c r="G5769" s="35"/>
      <c r="H5769" s="36">
        <f t="shared" si="272"/>
        <v>16542.949500000002</v>
      </c>
      <c r="I5769" s="37">
        <f t="shared" si="270"/>
        <v>16542.949500000002</v>
      </c>
      <c r="J5769" s="4"/>
      <c r="K5769" s="38">
        <f t="shared" si="271"/>
        <v>0</v>
      </c>
    </row>
    <row r="5770" spans="1:11">
      <c r="A5770" t="s">
        <v>2161</v>
      </c>
      <c r="B5770" t="s">
        <v>12250</v>
      </c>
      <c r="C5770" t="s">
        <v>7717</v>
      </c>
      <c r="D5770" t="s">
        <v>7718</v>
      </c>
      <c r="E5770">
        <v>397582.74</v>
      </c>
      <c r="G5770" s="35"/>
      <c r="H5770" s="36">
        <f t="shared" si="272"/>
        <v>250477.1262</v>
      </c>
      <c r="I5770" s="37">
        <f t="shared" si="270"/>
        <v>250477.1262</v>
      </c>
      <c r="J5770" s="4"/>
      <c r="K5770" s="38">
        <f t="shared" si="271"/>
        <v>0</v>
      </c>
    </row>
    <row r="5771" spans="1:11">
      <c r="A5771" t="s">
        <v>2162</v>
      </c>
      <c r="B5771" t="s">
        <v>12250</v>
      </c>
      <c r="C5771" t="s">
        <v>7717</v>
      </c>
      <c r="D5771" t="s">
        <v>12427</v>
      </c>
      <c r="E5771">
        <v>1060139.72</v>
      </c>
      <c r="G5771" s="35"/>
      <c r="H5771" s="36">
        <f t="shared" si="272"/>
        <v>667888.02359999996</v>
      </c>
      <c r="I5771" s="37">
        <f t="shared" si="270"/>
        <v>667888.02359999996</v>
      </c>
      <c r="J5771" s="4"/>
      <c r="K5771" s="38">
        <f t="shared" si="271"/>
        <v>0</v>
      </c>
    </row>
    <row r="5772" spans="1:11">
      <c r="A5772" t="s">
        <v>2013</v>
      </c>
      <c r="B5772" t="s">
        <v>12250</v>
      </c>
      <c r="C5772" t="s">
        <v>7595</v>
      </c>
      <c r="D5772" t="s">
        <v>7596</v>
      </c>
      <c r="E5772">
        <v>138803.49</v>
      </c>
      <c r="G5772" s="35"/>
      <c r="H5772" s="36">
        <f t="shared" si="272"/>
        <v>87446.198699999994</v>
      </c>
      <c r="I5772" s="37">
        <f t="shared" si="270"/>
        <v>87446.198699999994</v>
      </c>
      <c r="J5772" s="4"/>
      <c r="K5772" s="38">
        <f t="shared" si="271"/>
        <v>0</v>
      </c>
    </row>
    <row r="5773" spans="1:11">
      <c r="A5773" t="s">
        <v>2014</v>
      </c>
      <c r="B5773" t="s">
        <v>12250</v>
      </c>
      <c r="C5773" t="s">
        <v>7595</v>
      </c>
      <c r="D5773" t="s">
        <v>7597</v>
      </c>
      <c r="E5773">
        <v>48954.68</v>
      </c>
      <c r="G5773" s="35"/>
      <c r="H5773" s="36">
        <f t="shared" si="272"/>
        <v>30841.448400000001</v>
      </c>
      <c r="I5773" s="37">
        <f t="shared" si="270"/>
        <v>30841.448400000001</v>
      </c>
      <c r="J5773" s="4"/>
      <c r="K5773" s="38">
        <f t="shared" si="271"/>
        <v>0</v>
      </c>
    </row>
    <row r="5774" spans="1:11">
      <c r="A5774" t="s">
        <v>2015</v>
      </c>
      <c r="B5774" t="s">
        <v>12250</v>
      </c>
      <c r="C5774" t="s">
        <v>7595</v>
      </c>
      <c r="D5774" t="s">
        <v>7598</v>
      </c>
      <c r="E5774">
        <v>59683.7</v>
      </c>
      <c r="G5774" s="35"/>
      <c r="H5774" s="36">
        <f t="shared" si="272"/>
        <v>37600.731</v>
      </c>
      <c r="I5774" s="37">
        <f t="shared" si="270"/>
        <v>37600.731</v>
      </c>
      <c r="J5774" s="4"/>
      <c r="K5774" s="38">
        <f t="shared" si="271"/>
        <v>0</v>
      </c>
    </row>
    <row r="5775" spans="1:11">
      <c r="A5775" t="s">
        <v>2016</v>
      </c>
      <c r="B5775" t="s">
        <v>12250</v>
      </c>
      <c r="C5775" t="s">
        <v>7595</v>
      </c>
      <c r="D5775" t="s">
        <v>7599</v>
      </c>
      <c r="E5775">
        <v>86712.63</v>
      </c>
      <c r="G5775" s="35"/>
      <c r="H5775" s="36">
        <f t="shared" si="272"/>
        <v>54628.956900000005</v>
      </c>
      <c r="I5775" s="37">
        <f t="shared" si="270"/>
        <v>54628.956900000005</v>
      </c>
      <c r="J5775" s="4"/>
      <c r="K5775" s="38">
        <f t="shared" si="271"/>
        <v>0</v>
      </c>
    </row>
    <row r="5776" spans="1:11">
      <c r="A5776" t="s">
        <v>2017</v>
      </c>
      <c r="B5776" t="s">
        <v>12250</v>
      </c>
      <c r="C5776" t="s">
        <v>7595</v>
      </c>
      <c r="D5776" t="s">
        <v>7600</v>
      </c>
      <c r="E5776">
        <v>119766.32</v>
      </c>
      <c r="G5776" s="35"/>
      <c r="H5776" s="36">
        <f t="shared" si="272"/>
        <v>75452.781600000002</v>
      </c>
      <c r="I5776" s="37">
        <f t="shared" si="270"/>
        <v>75452.781600000002</v>
      </c>
      <c r="J5776" s="4"/>
      <c r="K5776" s="38">
        <f t="shared" si="271"/>
        <v>0</v>
      </c>
    </row>
    <row r="5777" spans="1:11">
      <c r="A5777" t="s">
        <v>1906</v>
      </c>
      <c r="B5777" t="s">
        <v>12250</v>
      </c>
      <c r="C5777" t="s">
        <v>7494</v>
      </c>
      <c r="D5777" t="s">
        <v>7495</v>
      </c>
      <c r="E5777">
        <v>18707.05</v>
      </c>
      <c r="G5777" s="35"/>
      <c r="H5777" s="36">
        <f t="shared" si="272"/>
        <v>11785.441499999999</v>
      </c>
      <c r="I5777" s="37">
        <f t="shared" si="270"/>
        <v>11785.441499999999</v>
      </c>
      <c r="J5777" s="4"/>
      <c r="K5777" s="38">
        <f t="shared" si="271"/>
        <v>0</v>
      </c>
    </row>
    <row r="5778" spans="1:11">
      <c r="A5778" t="s">
        <v>1907</v>
      </c>
      <c r="B5778" t="s">
        <v>12250</v>
      </c>
      <c r="C5778" t="s">
        <v>7494</v>
      </c>
      <c r="D5778" t="s">
        <v>12125</v>
      </c>
      <c r="E5778">
        <v>3920.21</v>
      </c>
      <c r="G5778" s="35"/>
      <c r="H5778" s="36">
        <f t="shared" si="272"/>
        <v>2469.7323000000001</v>
      </c>
      <c r="I5778" s="37">
        <f t="shared" si="270"/>
        <v>2469.7323000000001</v>
      </c>
      <c r="J5778" s="4"/>
      <c r="K5778" s="38">
        <f t="shared" si="271"/>
        <v>0</v>
      </c>
    </row>
    <row r="5779" spans="1:11">
      <c r="A5779" t="s">
        <v>1908</v>
      </c>
      <c r="B5779" t="s">
        <v>12250</v>
      </c>
      <c r="C5779" t="s">
        <v>7494</v>
      </c>
      <c r="D5779" t="s">
        <v>12126</v>
      </c>
      <c r="E5779">
        <v>15667.15</v>
      </c>
      <c r="G5779" s="35"/>
      <c r="H5779" s="36">
        <f t="shared" si="272"/>
        <v>9870.3045000000002</v>
      </c>
      <c r="I5779" s="37">
        <f t="shared" si="270"/>
        <v>9870.3045000000002</v>
      </c>
      <c r="J5779" s="4"/>
      <c r="K5779" s="38">
        <f t="shared" si="271"/>
        <v>0</v>
      </c>
    </row>
    <row r="5780" spans="1:11">
      <c r="A5780" t="s">
        <v>1909</v>
      </c>
      <c r="B5780" t="s">
        <v>12250</v>
      </c>
      <c r="C5780" t="s">
        <v>7494</v>
      </c>
      <c r="D5780" t="s">
        <v>7496</v>
      </c>
      <c r="E5780">
        <v>13053.67</v>
      </c>
      <c r="G5780" s="35"/>
      <c r="H5780" s="36">
        <f t="shared" si="272"/>
        <v>8223.812100000001</v>
      </c>
      <c r="I5780" s="37">
        <f t="shared" si="270"/>
        <v>8223.812100000001</v>
      </c>
      <c r="J5780" s="4"/>
      <c r="K5780" s="38">
        <f t="shared" si="271"/>
        <v>0</v>
      </c>
    </row>
    <row r="5781" spans="1:11">
      <c r="A5781" t="s">
        <v>1910</v>
      </c>
      <c r="B5781" t="s">
        <v>12250</v>
      </c>
      <c r="C5781" t="s">
        <v>7494</v>
      </c>
      <c r="D5781" t="s">
        <v>7497</v>
      </c>
      <c r="E5781">
        <v>20096.38</v>
      </c>
      <c r="G5781" s="35"/>
      <c r="H5781" s="36">
        <f t="shared" si="272"/>
        <v>12660.7194</v>
      </c>
      <c r="I5781" s="37">
        <f t="shared" si="270"/>
        <v>12660.7194</v>
      </c>
      <c r="J5781" s="4"/>
      <c r="K5781" s="38">
        <f t="shared" si="271"/>
        <v>0</v>
      </c>
    </row>
    <row r="5782" spans="1:11">
      <c r="A5782" t="s">
        <v>1911</v>
      </c>
      <c r="B5782" t="s">
        <v>12250</v>
      </c>
      <c r="C5782" t="s">
        <v>7494</v>
      </c>
      <c r="D5782" t="s">
        <v>9765</v>
      </c>
      <c r="E5782">
        <v>23782.77</v>
      </c>
      <c r="G5782" s="35"/>
      <c r="H5782" s="36">
        <f t="shared" si="272"/>
        <v>14983.1451</v>
      </c>
      <c r="I5782" s="37">
        <f t="shared" si="270"/>
        <v>14983.1451</v>
      </c>
      <c r="J5782" s="4"/>
      <c r="K5782" s="38">
        <f t="shared" si="271"/>
        <v>0</v>
      </c>
    </row>
    <row r="5783" spans="1:11">
      <c r="A5783" t="s">
        <v>1912</v>
      </c>
      <c r="B5783" t="s">
        <v>12250</v>
      </c>
      <c r="C5783" t="s">
        <v>7494</v>
      </c>
      <c r="D5783" t="s">
        <v>9766</v>
      </c>
      <c r="E5783">
        <v>11169.21</v>
      </c>
      <c r="G5783" s="35"/>
      <c r="H5783" s="36">
        <f t="shared" si="272"/>
        <v>7036.6022999999996</v>
      </c>
      <c r="I5783" s="37">
        <f t="shared" si="270"/>
        <v>7036.6022999999996</v>
      </c>
      <c r="J5783" s="4"/>
      <c r="K5783" s="38">
        <f t="shared" si="271"/>
        <v>0</v>
      </c>
    </row>
    <row r="5784" spans="1:11">
      <c r="A5784" t="s">
        <v>1913</v>
      </c>
      <c r="B5784" t="s">
        <v>12250</v>
      </c>
      <c r="C5784" t="s">
        <v>7494</v>
      </c>
      <c r="D5784" t="s">
        <v>7498</v>
      </c>
      <c r="E5784">
        <v>8789.52</v>
      </c>
      <c r="G5784" s="35"/>
      <c r="H5784" s="36">
        <f t="shared" si="272"/>
        <v>5537.3976000000002</v>
      </c>
      <c r="I5784" s="37">
        <f t="shared" si="270"/>
        <v>5537.3976000000002</v>
      </c>
      <c r="J5784" s="4"/>
      <c r="K5784" s="38">
        <f t="shared" si="271"/>
        <v>0</v>
      </c>
    </row>
    <row r="5785" spans="1:11">
      <c r="A5785" t="s">
        <v>5619</v>
      </c>
      <c r="B5785" t="s">
        <v>12250</v>
      </c>
      <c r="C5785" t="s">
        <v>7494</v>
      </c>
      <c r="D5785" t="s">
        <v>7499</v>
      </c>
      <c r="E5785">
        <v>13755.23</v>
      </c>
      <c r="G5785" s="35"/>
      <c r="H5785" s="36">
        <f t="shared" si="272"/>
        <v>8665.794899999999</v>
      </c>
      <c r="I5785" s="37">
        <f t="shared" si="270"/>
        <v>8665.794899999999</v>
      </c>
      <c r="J5785" s="4"/>
      <c r="K5785" s="38">
        <f t="shared" si="271"/>
        <v>0</v>
      </c>
    </row>
    <row r="5786" spans="1:11">
      <c r="A5786" t="s">
        <v>1914</v>
      </c>
      <c r="B5786" t="s">
        <v>12250</v>
      </c>
      <c r="C5786" t="s">
        <v>7494</v>
      </c>
      <c r="D5786" t="s">
        <v>7500</v>
      </c>
      <c r="E5786">
        <v>22696.05</v>
      </c>
      <c r="G5786" s="35"/>
      <c r="H5786" s="36">
        <f t="shared" si="272"/>
        <v>14298.511500000001</v>
      </c>
      <c r="I5786" s="37">
        <f t="shared" si="270"/>
        <v>14298.511500000001</v>
      </c>
      <c r="J5786" s="4"/>
      <c r="K5786" s="38">
        <f t="shared" si="271"/>
        <v>0</v>
      </c>
    </row>
    <row r="5787" spans="1:11">
      <c r="A5787" t="s">
        <v>1915</v>
      </c>
      <c r="B5787" t="s">
        <v>12250</v>
      </c>
      <c r="C5787" t="s">
        <v>7494</v>
      </c>
      <c r="D5787" t="s">
        <v>7501</v>
      </c>
      <c r="E5787">
        <v>28720.880000000001</v>
      </c>
      <c r="G5787" s="35"/>
      <c r="H5787" s="36">
        <f t="shared" si="272"/>
        <v>18094.154399999999</v>
      </c>
      <c r="I5787" s="37">
        <f t="shared" si="270"/>
        <v>18094.154399999999</v>
      </c>
      <c r="J5787" s="4"/>
      <c r="K5787" s="38">
        <f t="shared" si="271"/>
        <v>0</v>
      </c>
    </row>
    <row r="5788" spans="1:11">
      <c r="A5788" t="s">
        <v>1916</v>
      </c>
      <c r="B5788" t="s">
        <v>12250</v>
      </c>
      <c r="C5788" t="s">
        <v>7494</v>
      </c>
      <c r="D5788" t="s">
        <v>7502</v>
      </c>
      <c r="E5788">
        <v>11403.05</v>
      </c>
      <c r="G5788" s="35"/>
      <c r="H5788" s="36">
        <f t="shared" si="272"/>
        <v>7183.9214999999995</v>
      </c>
      <c r="I5788" s="37">
        <f t="shared" si="270"/>
        <v>7183.9214999999995</v>
      </c>
      <c r="J5788" s="4"/>
      <c r="K5788" s="38">
        <f t="shared" si="271"/>
        <v>0</v>
      </c>
    </row>
    <row r="5789" spans="1:11">
      <c r="A5789" t="s">
        <v>1917</v>
      </c>
      <c r="B5789" t="s">
        <v>12250</v>
      </c>
      <c r="C5789" t="s">
        <v>7494</v>
      </c>
      <c r="D5789" t="s">
        <v>7503</v>
      </c>
      <c r="E5789">
        <v>14718.08</v>
      </c>
      <c r="G5789" s="35"/>
      <c r="H5789" s="36">
        <f t="shared" si="272"/>
        <v>9272.3904000000002</v>
      </c>
      <c r="I5789" s="37">
        <f t="shared" si="270"/>
        <v>9272.3904000000002</v>
      </c>
      <c r="J5789" s="4"/>
      <c r="K5789" s="38">
        <f t="shared" si="271"/>
        <v>0</v>
      </c>
    </row>
    <row r="5790" spans="1:11">
      <c r="A5790" t="s">
        <v>1918</v>
      </c>
      <c r="B5790" t="s">
        <v>12250</v>
      </c>
      <c r="C5790" t="s">
        <v>7494</v>
      </c>
      <c r="D5790" t="s">
        <v>7504</v>
      </c>
      <c r="E5790">
        <v>11485.52</v>
      </c>
      <c r="G5790" s="35"/>
      <c r="H5790" s="36">
        <f t="shared" si="272"/>
        <v>7235.8776000000007</v>
      </c>
      <c r="I5790" s="37">
        <f t="shared" si="270"/>
        <v>7235.8776000000007</v>
      </c>
      <c r="J5790" s="4"/>
      <c r="K5790" s="38">
        <f t="shared" si="271"/>
        <v>0</v>
      </c>
    </row>
    <row r="5791" spans="1:11">
      <c r="A5791" t="s">
        <v>1919</v>
      </c>
      <c r="B5791" t="s">
        <v>12250</v>
      </c>
      <c r="C5791" t="s">
        <v>7494</v>
      </c>
      <c r="D5791" t="s">
        <v>7505</v>
      </c>
      <c r="E5791">
        <v>15378.29</v>
      </c>
      <c r="G5791" s="35"/>
      <c r="H5791" s="36">
        <f t="shared" si="272"/>
        <v>9688.3227000000006</v>
      </c>
      <c r="I5791" s="37">
        <f t="shared" si="270"/>
        <v>9688.3227000000006</v>
      </c>
      <c r="J5791" s="4"/>
      <c r="K5791" s="38">
        <f t="shared" si="271"/>
        <v>0</v>
      </c>
    </row>
    <row r="5792" spans="1:11">
      <c r="A5792" t="s">
        <v>1920</v>
      </c>
      <c r="B5792" t="s">
        <v>12250</v>
      </c>
      <c r="C5792" t="s">
        <v>7494</v>
      </c>
      <c r="D5792" t="s">
        <v>7506</v>
      </c>
      <c r="E5792">
        <v>23383.86</v>
      </c>
      <c r="G5792" s="35"/>
      <c r="H5792" s="36">
        <f t="shared" si="272"/>
        <v>14731.8318</v>
      </c>
      <c r="I5792" s="37">
        <f t="shared" si="270"/>
        <v>14731.8318</v>
      </c>
      <c r="J5792" s="4"/>
      <c r="K5792" s="38">
        <f t="shared" si="271"/>
        <v>0</v>
      </c>
    </row>
    <row r="5793" spans="1:11">
      <c r="A5793" t="s">
        <v>1921</v>
      </c>
      <c r="B5793" t="s">
        <v>12250</v>
      </c>
      <c r="C5793" t="s">
        <v>7494</v>
      </c>
      <c r="D5793" t="s">
        <v>7507</v>
      </c>
      <c r="E5793">
        <v>26822.59</v>
      </c>
      <c r="G5793" s="35"/>
      <c r="H5793" s="36">
        <f t="shared" si="272"/>
        <v>16898.2317</v>
      </c>
      <c r="I5793" s="37">
        <f t="shared" si="270"/>
        <v>16898.2317</v>
      </c>
      <c r="J5793" s="4"/>
      <c r="K5793" s="38">
        <f t="shared" si="271"/>
        <v>0</v>
      </c>
    </row>
    <row r="5794" spans="1:11">
      <c r="A5794" t="s">
        <v>1922</v>
      </c>
      <c r="B5794" t="s">
        <v>12250</v>
      </c>
      <c r="C5794" t="s">
        <v>7494</v>
      </c>
      <c r="D5794" t="s">
        <v>7508</v>
      </c>
      <c r="E5794">
        <v>11210.48</v>
      </c>
      <c r="G5794" s="35"/>
      <c r="H5794" s="36">
        <f t="shared" si="272"/>
        <v>7062.6023999999998</v>
      </c>
      <c r="I5794" s="37">
        <f t="shared" si="270"/>
        <v>7062.6023999999998</v>
      </c>
      <c r="J5794" s="4"/>
      <c r="K5794" s="38">
        <f t="shared" si="271"/>
        <v>0</v>
      </c>
    </row>
    <row r="5795" spans="1:11">
      <c r="A5795" t="s">
        <v>1923</v>
      </c>
      <c r="B5795" t="s">
        <v>12250</v>
      </c>
      <c r="C5795" t="s">
        <v>7494</v>
      </c>
      <c r="D5795" t="s">
        <v>7509</v>
      </c>
      <c r="E5795">
        <v>11210.5</v>
      </c>
      <c r="G5795" s="35"/>
      <c r="H5795" s="36">
        <f t="shared" si="272"/>
        <v>7062.6149999999998</v>
      </c>
      <c r="I5795" s="37">
        <f t="shared" si="270"/>
        <v>7062.6149999999998</v>
      </c>
      <c r="J5795" s="4"/>
      <c r="K5795" s="38">
        <f t="shared" si="271"/>
        <v>0</v>
      </c>
    </row>
    <row r="5796" spans="1:11">
      <c r="A5796" t="s">
        <v>1924</v>
      </c>
      <c r="B5796" t="s">
        <v>12250</v>
      </c>
      <c r="C5796" t="s">
        <v>7494</v>
      </c>
      <c r="D5796" t="s">
        <v>7510</v>
      </c>
      <c r="E5796">
        <v>20398.939999999999</v>
      </c>
      <c r="G5796" s="35"/>
      <c r="H5796" s="36">
        <f t="shared" si="272"/>
        <v>12851.332199999999</v>
      </c>
      <c r="I5796" s="37">
        <f t="shared" si="270"/>
        <v>12851.332199999999</v>
      </c>
      <c r="J5796" s="4"/>
      <c r="K5796" s="38">
        <f t="shared" si="271"/>
        <v>0</v>
      </c>
    </row>
    <row r="5797" spans="1:11">
      <c r="A5797" t="s">
        <v>1925</v>
      </c>
      <c r="B5797" t="s">
        <v>12250</v>
      </c>
      <c r="C5797" t="s">
        <v>7494</v>
      </c>
      <c r="D5797" t="s">
        <v>7511</v>
      </c>
      <c r="E5797">
        <v>42159.6</v>
      </c>
      <c r="G5797" s="35"/>
      <c r="H5797" s="36">
        <f t="shared" si="272"/>
        <v>26560.547999999999</v>
      </c>
      <c r="I5797" s="37">
        <f t="shared" si="270"/>
        <v>26560.547999999999</v>
      </c>
      <c r="J5797" s="4"/>
      <c r="K5797" s="38">
        <f t="shared" si="271"/>
        <v>0</v>
      </c>
    </row>
    <row r="5798" spans="1:11">
      <c r="A5798" t="s">
        <v>1926</v>
      </c>
      <c r="B5798" t="s">
        <v>12250</v>
      </c>
      <c r="C5798" t="s">
        <v>7494</v>
      </c>
      <c r="D5798" t="s">
        <v>7512</v>
      </c>
      <c r="E5798">
        <v>9628.6299999999992</v>
      </c>
      <c r="G5798" s="35"/>
      <c r="H5798" s="36">
        <f t="shared" si="272"/>
        <v>6066.0368999999992</v>
      </c>
      <c r="I5798" s="37">
        <f t="shared" si="270"/>
        <v>6066.0368999999992</v>
      </c>
      <c r="J5798" s="4"/>
      <c r="K5798" s="38">
        <f t="shared" si="271"/>
        <v>0</v>
      </c>
    </row>
    <row r="5799" spans="1:11">
      <c r="A5799" t="s">
        <v>1927</v>
      </c>
      <c r="B5799" t="s">
        <v>12250</v>
      </c>
      <c r="C5799" t="s">
        <v>7494</v>
      </c>
      <c r="D5799" t="s">
        <v>7513</v>
      </c>
      <c r="E5799">
        <v>10178.85</v>
      </c>
      <c r="G5799" s="35"/>
      <c r="H5799" s="36">
        <f t="shared" si="272"/>
        <v>6412.6755000000003</v>
      </c>
      <c r="I5799" s="37">
        <f t="shared" si="270"/>
        <v>6412.6755000000003</v>
      </c>
      <c r="J5799" s="4"/>
      <c r="K5799" s="38">
        <f t="shared" si="271"/>
        <v>0</v>
      </c>
    </row>
    <row r="5800" spans="1:11">
      <c r="A5800" t="s">
        <v>1928</v>
      </c>
      <c r="B5800" t="s">
        <v>12250</v>
      </c>
      <c r="C5800" t="s">
        <v>7494</v>
      </c>
      <c r="D5800" t="s">
        <v>7514</v>
      </c>
      <c r="E5800">
        <v>10316.39</v>
      </c>
      <c r="G5800" s="35"/>
      <c r="H5800" s="36">
        <f t="shared" si="272"/>
        <v>6499.3256999999994</v>
      </c>
      <c r="I5800" s="37">
        <f t="shared" si="270"/>
        <v>6499.3256999999994</v>
      </c>
      <c r="J5800" s="4"/>
      <c r="K5800" s="38">
        <f t="shared" si="271"/>
        <v>0</v>
      </c>
    </row>
    <row r="5801" spans="1:11">
      <c r="A5801" t="s">
        <v>1929</v>
      </c>
      <c r="B5801" t="s">
        <v>12250</v>
      </c>
      <c r="C5801" t="s">
        <v>7494</v>
      </c>
      <c r="D5801" t="s">
        <v>7515</v>
      </c>
      <c r="E5801">
        <v>10866.61</v>
      </c>
      <c r="G5801" s="35"/>
      <c r="H5801" s="36">
        <f t="shared" si="272"/>
        <v>6845.9643000000005</v>
      </c>
      <c r="I5801" s="37">
        <f t="shared" si="270"/>
        <v>6845.9643000000005</v>
      </c>
      <c r="J5801" s="4"/>
      <c r="K5801" s="38">
        <f t="shared" si="271"/>
        <v>0</v>
      </c>
    </row>
    <row r="5802" spans="1:11">
      <c r="A5802" t="s">
        <v>1930</v>
      </c>
      <c r="B5802" t="s">
        <v>12250</v>
      </c>
      <c r="C5802" t="s">
        <v>7494</v>
      </c>
      <c r="D5802" t="s">
        <v>7516</v>
      </c>
      <c r="E5802">
        <v>14360.41</v>
      </c>
      <c r="G5802" s="35"/>
      <c r="H5802" s="36">
        <f t="shared" si="272"/>
        <v>9047.0583000000006</v>
      </c>
      <c r="I5802" s="37">
        <f t="shared" si="270"/>
        <v>9047.0583000000006</v>
      </c>
      <c r="J5802" s="4"/>
      <c r="K5802" s="38">
        <f t="shared" si="271"/>
        <v>0</v>
      </c>
    </row>
    <row r="5803" spans="1:11">
      <c r="A5803" t="s">
        <v>1931</v>
      </c>
      <c r="B5803" t="s">
        <v>12250</v>
      </c>
      <c r="C5803" t="s">
        <v>7494</v>
      </c>
      <c r="D5803" t="s">
        <v>7517</v>
      </c>
      <c r="E5803">
        <v>34663.129999999997</v>
      </c>
      <c r="G5803" s="35"/>
      <c r="H5803" s="36">
        <f t="shared" si="272"/>
        <v>21837.7719</v>
      </c>
      <c r="I5803" s="37">
        <f t="shared" si="270"/>
        <v>21837.7719</v>
      </c>
      <c r="J5803" s="4"/>
      <c r="K5803" s="38">
        <f t="shared" si="271"/>
        <v>0</v>
      </c>
    </row>
    <row r="5804" spans="1:11">
      <c r="A5804" t="s">
        <v>1932</v>
      </c>
      <c r="B5804" t="s">
        <v>12250</v>
      </c>
      <c r="C5804" t="s">
        <v>7494</v>
      </c>
      <c r="D5804" t="s">
        <v>7518</v>
      </c>
      <c r="E5804">
        <v>36121.1</v>
      </c>
      <c r="G5804" s="35"/>
      <c r="H5804" s="36">
        <f t="shared" si="272"/>
        <v>22756.292999999998</v>
      </c>
      <c r="I5804" s="37">
        <f t="shared" si="270"/>
        <v>22756.292999999998</v>
      </c>
      <c r="J5804" s="4"/>
      <c r="K5804" s="38">
        <f t="shared" si="271"/>
        <v>0</v>
      </c>
    </row>
    <row r="5805" spans="1:11">
      <c r="A5805" t="s">
        <v>1933</v>
      </c>
      <c r="B5805" t="s">
        <v>12250</v>
      </c>
      <c r="C5805" t="s">
        <v>7494</v>
      </c>
      <c r="D5805" t="s">
        <v>7519</v>
      </c>
      <c r="E5805">
        <v>115323.4</v>
      </c>
      <c r="G5805" s="35"/>
      <c r="H5805" s="36">
        <f t="shared" si="272"/>
        <v>72653.741999999998</v>
      </c>
      <c r="I5805" s="37">
        <f t="shared" si="270"/>
        <v>72653.741999999998</v>
      </c>
      <c r="J5805" s="4"/>
      <c r="K5805" s="38">
        <f t="shared" si="271"/>
        <v>0</v>
      </c>
    </row>
    <row r="5806" spans="1:11">
      <c r="A5806" t="s">
        <v>1934</v>
      </c>
      <c r="B5806" t="s">
        <v>12250</v>
      </c>
      <c r="C5806" t="s">
        <v>7494</v>
      </c>
      <c r="D5806" t="s">
        <v>11194</v>
      </c>
      <c r="E5806">
        <v>18707.05</v>
      </c>
      <c r="G5806" s="35"/>
      <c r="H5806" s="36">
        <f t="shared" si="272"/>
        <v>11785.441499999999</v>
      </c>
      <c r="I5806" s="37">
        <f t="shared" si="270"/>
        <v>11785.441499999999</v>
      </c>
      <c r="J5806" s="4"/>
      <c r="K5806" s="38">
        <f t="shared" si="271"/>
        <v>0</v>
      </c>
    </row>
    <row r="5807" spans="1:11">
      <c r="A5807" t="s">
        <v>1935</v>
      </c>
      <c r="B5807" t="s">
        <v>12250</v>
      </c>
      <c r="C5807" t="s">
        <v>7494</v>
      </c>
      <c r="D5807" t="s">
        <v>7520</v>
      </c>
      <c r="E5807">
        <v>27125.279999999999</v>
      </c>
      <c r="G5807" s="35"/>
      <c r="H5807" s="36">
        <f t="shared" si="272"/>
        <v>17088.9264</v>
      </c>
      <c r="I5807" s="37">
        <f t="shared" si="270"/>
        <v>17088.9264</v>
      </c>
      <c r="J5807" s="4"/>
      <c r="K5807" s="38">
        <f t="shared" si="271"/>
        <v>0</v>
      </c>
    </row>
    <row r="5808" spans="1:11">
      <c r="A5808" t="s">
        <v>1936</v>
      </c>
      <c r="B5808" t="s">
        <v>12250</v>
      </c>
      <c r="C5808" t="s">
        <v>7494</v>
      </c>
      <c r="D5808" t="s">
        <v>7521</v>
      </c>
      <c r="E5808">
        <v>109163.74</v>
      </c>
      <c r="G5808" s="35"/>
      <c r="H5808" s="36">
        <f t="shared" si="272"/>
        <v>68773.156199999998</v>
      </c>
      <c r="I5808" s="37">
        <f t="shared" si="270"/>
        <v>68773.156199999998</v>
      </c>
      <c r="J5808" s="4"/>
      <c r="K5808" s="38">
        <f t="shared" si="271"/>
        <v>0</v>
      </c>
    </row>
    <row r="5809" spans="1:11">
      <c r="A5809" t="s">
        <v>1937</v>
      </c>
      <c r="B5809" t="s">
        <v>12250</v>
      </c>
      <c r="C5809" t="s">
        <v>7494</v>
      </c>
      <c r="D5809" t="s">
        <v>7522</v>
      </c>
      <c r="E5809">
        <v>193931.42</v>
      </c>
      <c r="G5809" s="35"/>
      <c r="H5809" s="36">
        <f t="shared" si="272"/>
        <v>122176.79460000001</v>
      </c>
      <c r="I5809" s="37">
        <f t="shared" si="270"/>
        <v>122176.79460000001</v>
      </c>
      <c r="J5809" s="4"/>
      <c r="K5809" s="38">
        <f t="shared" si="271"/>
        <v>0</v>
      </c>
    </row>
    <row r="5810" spans="1:11">
      <c r="A5810" t="s">
        <v>1938</v>
      </c>
      <c r="B5810" t="s">
        <v>12250</v>
      </c>
      <c r="C5810" t="s">
        <v>7494</v>
      </c>
      <c r="D5810" t="s">
        <v>7523</v>
      </c>
      <c r="E5810">
        <v>37139.089999999997</v>
      </c>
      <c r="G5810" s="35"/>
      <c r="H5810" s="36">
        <f t="shared" si="272"/>
        <v>23397.626699999997</v>
      </c>
      <c r="I5810" s="37">
        <f t="shared" si="270"/>
        <v>23397.626699999997</v>
      </c>
      <c r="J5810" s="4"/>
      <c r="K5810" s="38">
        <f t="shared" si="271"/>
        <v>0</v>
      </c>
    </row>
    <row r="5811" spans="1:11">
      <c r="A5811" t="s">
        <v>1942</v>
      </c>
      <c r="B5811" t="s">
        <v>12250</v>
      </c>
      <c r="C5811" t="s">
        <v>7528</v>
      </c>
      <c r="D5811" t="s">
        <v>12245</v>
      </c>
      <c r="E5811">
        <v>16696.98</v>
      </c>
      <c r="G5811" s="35"/>
      <c r="H5811" s="36">
        <f t="shared" si="272"/>
        <v>10519.097400000001</v>
      </c>
      <c r="I5811" s="37">
        <f t="shared" si="270"/>
        <v>10519.097400000001</v>
      </c>
      <c r="J5811" s="4"/>
      <c r="K5811" s="38">
        <f t="shared" si="271"/>
        <v>0</v>
      </c>
    </row>
    <row r="5812" spans="1:11">
      <c r="A5812" t="s">
        <v>1943</v>
      </c>
      <c r="B5812" t="s">
        <v>12250</v>
      </c>
      <c r="C5812" t="s">
        <v>7528</v>
      </c>
      <c r="D5812" t="s">
        <v>7529</v>
      </c>
      <c r="E5812">
        <v>34374.28</v>
      </c>
      <c r="G5812" s="35"/>
      <c r="H5812" s="36">
        <f t="shared" si="272"/>
        <v>21655.796399999999</v>
      </c>
      <c r="I5812" s="37">
        <f t="shared" si="270"/>
        <v>21655.796399999999</v>
      </c>
      <c r="J5812" s="4"/>
      <c r="K5812" s="38">
        <f t="shared" si="271"/>
        <v>0</v>
      </c>
    </row>
    <row r="5813" spans="1:11">
      <c r="A5813" t="s">
        <v>1944</v>
      </c>
      <c r="B5813" t="s">
        <v>12250</v>
      </c>
      <c r="C5813" t="s">
        <v>7528</v>
      </c>
      <c r="D5813" t="s">
        <v>7530</v>
      </c>
      <c r="E5813">
        <v>42641.15</v>
      </c>
      <c r="G5813" s="35"/>
      <c r="H5813" s="36">
        <f t="shared" si="272"/>
        <v>26863.924500000001</v>
      </c>
      <c r="I5813" s="37">
        <f t="shared" si="270"/>
        <v>26863.924500000001</v>
      </c>
      <c r="J5813" s="4"/>
      <c r="K5813" s="38">
        <f t="shared" si="271"/>
        <v>0</v>
      </c>
    </row>
    <row r="5814" spans="1:11">
      <c r="A5814" t="s">
        <v>1945</v>
      </c>
      <c r="B5814" t="s">
        <v>12250</v>
      </c>
      <c r="C5814" t="s">
        <v>7528</v>
      </c>
      <c r="D5814" t="s">
        <v>7531</v>
      </c>
      <c r="E5814">
        <v>18143.14</v>
      </c>
      <c r="G5814" s="35"/>
      <c r="H5814" s="36">
        <f t="shared" si="272"/>
        <v>11430.1782</v>
      </c>
      <c r="I5814" s="37">
        <f t="shared" si="270"/>
        <v>11430.1782</v>
      </c>
      <c r="J5814" s="4"/>
      <c r="K5814" s="38">
        <f t="shared" si="271"/>
        <v>0</v>
      </c>
    </row>
    <row r="5815" spans="1:11">
      <c r="A5815" t="s">
        <v>1946</v>
      </c>
      <c r="B5815" t="s">
        <v>12250</v>
      </c>
      <c r="C5815" t="s">
        <v>7528</v>
      </c>
      <c r="D5815" t="s">
        <v>7532</v>
      </c>
      <c r="E5815">
        <v>35392.17</v>
      </c>
      <c r="G5815" s="35"/>
      <c r="H5815" s="36">
        <f t="shared" si="272"/>
        <v>22297.0671</v>
      </c>
      <c r="I5815" s="37">
        <f t="shared" si="270"/>
        <v>22297.0671</v>
      </c>
      <c r="J5815" s="4"/>
      <c r="K5815" s="38">
        <f t="shared" si="271"/>
        <v>0</v>
      </c>
    </row>
    <row r="5816" spans="1:11">
      <c r="A5816" t="s">
        <v>1947</v>
      </c>
      <c r="B5816" t="s">
        <v>12250</v>
      </c>
      <c r="C5816" t="s">
        <v>7528</v>
      </c>
      <c r="D5816" t="s">
        <v>7533</v>
      </c>
      <c r="E5816">
        <v>18858.349999999999</v>
      </c>
      <c r="G5816" s="35"/>
      <c r="H5816" s="36">
        <f t="shared" si="272"/>
        <v>11880.760499999999</v>
      </c>
      <c r="I5816" s="37">
        <f t="shared" si="270"/>
        <v>11880.760499999999</v>
      </c>
      <c r="J5816" s="4"/>
      <c r="K5816" s="38">
        <f t="shared" si="271"/>
        <v>0</v>
      </c>
    </row>
    <row r="5817" spans="1:11">
      <c r="A5817" t="s">
        <v>1948</v>
      </c>
      <c r="B5817" t="s">
        <v>12250</v>
      </c>
      <c r="C5817" t="s">
        <v>7528</v>
      </c>
      <c r="D5817" t="s">
        <v>7534</v>
      </c>
      <c r="E5817">
        <v>20632.84</v>
      </c>
      <c r="G5817" s="35"/>
      <c r="H5817" s="36">
        <f t="shared" si="272"/>
        <v>12998.689200000001</v>
      </c>
      <c r="I5817" s="37">
        <f t="shared" si="270"/>
        <v>12998.689200000001</v>
      </c>
      <c r="J5817" s="4"/>
      <c r="K5817" s="38">
        <f t="shared" si="271"/>
        <v>0</v>
      </c>
    </row>
    <row r="5818" spans="1:11">
      <c r="A5818" t="s">
        <v>1949</v>
      </c>
      <c r="B5818" t="s">
        <v>12250</v>
      </c>
      <c r="C5818" t="s">
        <v>7528</v>
      </c>
      <c r="D5818" t="s">
        <v>7535</v>
      </c>
      <c r="E5818">
        <v>21595.7</v>
      </c>
      <c r="G5818" s="35"/>
      <c r="H5818" s="36">
        <f t="shared" si="272"/>
        <v>13605.291000000001</v>
      </c>
      <c r="I5818" s="37">
        <f t="shared" si="270"/>
        <v>13605.291000000001</v>
      </c>
      <c r="J5818" s="4"/>
      <c r="K5818" s="38">
        <f t="shared" si="271"/>
        <v>0</v>
      </c>
    </row>
    <row r="5819" spans="1:11">
      <c r="A5819" t="s">
        <v>1950</v>
      </c>
      <c r="B5819" t="s">
        <v>12250</v>
      </c>
      <c r="C5819" t="s">
        <v>7528</v>
      </c>
      <c r="D5819" t="s">
        <v>7536</v>
      </c>
      <c r="E5819">
        <v>9051</v>
      </c>
      <c r="G5819" s="35"/>
      <c r="H5819" s="36">
        <f t="shared" si="272"/>
        <v>5702.13</v>
      </c>
      <c r="I5819" s="37">
        <f t="shared" si="270"/>
        <v>5702.13</v>
      </c>
      <c r="J5819" s="4"/>
      <c r="K5819" s="38">
        <f t="shared" si="271"/>
        <v>0</v>
      </c>
    </row>
    <row r="5820" spans="1:11">
      <c r="A5820" t="s">
        <v>1951</v>
      </c>
      <c r="B5820" t="s">
        <v>12250</v>
      </c>
      <c r="C5820" t="s">
        <v>7528</v>
      </c>
      <c r="D5820" t="s">
        <v>7537</v>
      </c>
      <c r="E5820">
        <v>11650.68</v>
      </c>
      <c r="G5820" s="35"/>
      <c r="H5820" s="36">
        <f t="shared" si="272"/>
        <v>7339.9283999999998</v>
      </c>
      <c r="I5820" s="37">
        <f t="shared" si="270"/>
        <v>7339.9283999999998</v>
      </c>
      <c r="J5820" s="4"/>
      <c r="K5820" s="38">
        <f t="shared" si="271"/>
        <v>0</v>
      </c>
    </row>
    <row r="5821" spans="1:11">
      <c r="A5821" t="s">
        <v>1952</v>
      </c>
      <c r="B5821" t="s">
        <v>12250</v>
      </c>
      <c r="C5821" t="s">
        <v>7528</v>
      </c>
      <c r="D5821" t="s">
        <v>7538</v>
      </c>
      <c r="E5821">
        <v>6354.89</v>
      </c>
      <c r="G5821" s="35"/>
      <c r="H5821" s="36">
        <f t="shared" si="272"/>
        <v>4003.5807000000004</v>
      </c>
      <c r="I5821" s="37">
        <f t="shared" si="270"/>
        <v>4003.5807000000004</v>
      </c>
      <c r="J5821" s="4"/>
      <c r="K5821" s="38">
        <f t="shared" si="271"/>
        <v>0</v>
      </c>
    </row>
    <row r="5822" spans="1:11">
      <c r="A5822" t="s">
        <v>1974</v>
      </c>
      <c r="B5822" t="s">
        <v>12250</v>
      </c>
      <c r="C5822" t="s">
        <v>7560</v>
      </c>
      <c r="D5822" t="s">
        <v>7561</v>
      </c>
      <c r="E5822">
        <v>2269.6</v>
      </c>
      <c r="G5822" s="35"/>
      <c r="H5822" s="36">
        <f t="shared" si="272"/>
        <v>1429.848</v>
      </c>
      <c r="I5822" s="37">
        <f t="shared" si="270"/>
        <v>1429.848</v>
      </c>
      <c r="J5822" s="4"/>
      <c r="K5822" s="38">
        <f t="shared" si="271"/>
        <v>0</v>
      </c>
    </row>
    <row r="5823" spans="1:11">
      <c r="A5823" t="s">
        <v>1975</v>
      </c>
      <c r="B5823" t="s">
        <v>12250</v>
      </c>
      <c r="C5823" t="s">
        <v>7560</v>
      </c>
      <c r="D5823" t="s">
        <v>7562</v>
      </c>
      <c r="E5823">
        <v>2874.83</v>
      </c>
      <c r="G5823" s="35"/>
      <c r="H5823" s="36">
        <f t="shared" si="272"/>
        <v>1811.1429000000001</v>
      </c>
      <c r="I5823" s="37">
        <f t="shared" si="270"/>
        <v>1811.1429000000001</v>
      </c>
      <c r="J5823" s="4"/>
      <c r="K5823" s="38">
        <f t="shared" si="271"/>
        <v>0</v>
      </c>
    </row>
    <row r="5824" spans="1:11">
      <c r="A5824" t="s">
        <v>1976</v>
      </c>
      <c r="B5824" t="s">
        <v>12250</v>
      </c>
      <c r="C5824" t="s">
        <v>7560</v>
      </c>
      <c r="D5824" t="s">
        <v>7563</v>
      </c>
      <c r="E5824">
        <v>20357.650000000001</v>
      </c>
      <c r="G5824" s="35"/>
      <c r="H5824" s="36">
        <f t="shared" si="272"/>
        <v>12825.319500000001</v>
      </c>
      <c r="I5824" s="37">
        <f t="shared" si="270"/>
        <v>12825.319500000001</v>
      </c>
      <c r="J5824" s="4"/>
      <c r="K5824" s="38">
        <f t="shared" si="271"/>
        <v>0</v>
      </c>
    </row>
    <row r="5825" spans="1:11">
      <c r="A5825" t="s">
        <v>12340</v>
      </c>
      <c r="B5825" t="s">
        <v>12250</v>
      </c>
      <c r="C5825" t="s">
        <v>7560</v>
      </c>
      <c r="D5825" t="s">
        <v>12341</v>
      </c>
      <c r="E5825">
        <v>19255.79</v>
      </c>
      <c r="G5825" s="35"/>
      <c r="H5825" s="36">
        <f t="shared" si="272"/>
        <v>12131.147700000001</v>
      </c>
      <c r="I5825" s="37">
        <f t="shared" si="270"/>
        <v>12131.147700000001</v>
      </c>
      <c r="J5825" s="4"/>
      <c r="K5825" s="38">
        <f t="shared" si="271"/>
        <v>0</v>
      </c>
    </row>
    <row r="5826" spans="1:11">
      <c r="A5826" t="s">
        <v>1977</v>
      </c>
      <c r="B5826" t="s">
        <v>12250</v>
      </c>
      <c r="C5826" t="s">
        <v>7560</v>
      </c>
      <c r="D5826" t="s">
        <v>12590</v>
      </c>
      <c r="E5826">
        <v>13480.08</v>
      </c>
      <c r="G5826" s="35"/>
      <c r="H5826" s="36">
        <f t="shared" si="272"/>
        <v>8492.4503999999997</v>
      </c>
      <c r="I5826" s="37">
        <f t="shared" si="270"/>
        <v>8492.4503999999997</v>
      </c>
      <c r="J5826" s="4"/>
      <c r="K5826" s="38">
        <f t="shared" si="271"/>
        <v>0</v>
      </c>
    </row>
    <row r="5827" spans="1:11">
      <c r="A5827" t="s">
        <v>1978</v>
      </c>
      <c r="B5827" t="s">
        <v>12250</v>
      </c>
      <c r="C5827" t="s">
        <v>7560</v>
      </c>
      <c r="D5827" t="s">
        <v>12591</v>
      </c>
      <c r="E5827">
        <v>40687.82</v>
      </c>
      <c r="G5827" s="35"/>
      <c r="H5827" s="36">
        <f t="shared" si="272"/>
        <v>25633.3266</v>
      </c>
      <c r="I5827" s="37">
        <f t="shared" si="270"/>
        <v>25633.3266</v>
      </c>
      <c r="J5827" s="4"/>
      <c r="K5827" s="38">
        <f t="shared" si="271"/>
        <v>0</v>
      </c>
    </row>
    <row r="5828" spans="1:11">
      <c r="A5828" t="s">
        <v>1979</v>
      </c>
      <c r="B5828" t="s">
        <v>12250</v>
      </c>
      <c r="C5828" t="s">
        <v>7560</v>
      </c>
      <c r="D5828" t="s">
        <v>7564</v>
      </c>
      <c r="E5828">
        <v>47991.8</v>
      </c>
      <c r="G5828" s="35"/>
      <c r="H5828" s="36">
        <f t="shared" si="272"/>
        <v>30234.834000000003</v>
      </c>
      <c r="I5828" s="37">
        <f t="shared" si="270"/>
        <v>30234.834000000003</v>
      </c>
      <c r="J5828" s="4"/>
      <c r="K5828" s="38">
        <f t="shared" si="271"/>
        <v>0</v>
      </c>
    </row>
    <row r="5829" spans="1:11">
      <c r="A5829" t="s">
        <v>1980</v>
      </c>
      <c r="B5829" t="s">
        <v>12250</v>
      </c>
      <c r="C5829" t="s">
        <v>7560</v>
      </c>
      <c r="D5829" t="s">
        <v>7565</v>
      </c>
      <c r="E5829">
        <v>55956.06</v>
      </c>
      <c r="G5829" s="35"/>
      <c r="H5829" s="36">
        <f t="shared" si="272"/>
        <v>35252.317799999997</v>
      </c>
      <c r="I5829" s="37">
        <f t="shared" si="270"/>
        <v>35252.317799999997</v>
      </c>
      <c r="J5829" s="4"/>
      <c r="K5829" s="38">
        <f t="shared" si="271"/>
        <v>0</v>
      </c>
    </row>
    <row r="5830" spans="1:11">
      <c r="A5830" t="s">
        <v>1981</v>
      </c>
      <c r="B5830" t="s">
        <v>12250</v>
      </c>
      <c r="C5830" t="s">
        <v>7560</v>
      </c>
      <c r="D5830" t="s">
        <v>7566</v>
      </c>
      <c r="E5830">
        <v>10508.96</v>
      </c>
      <c r="G5830" s="35"/>
      <c r="H5830" s="36">
        <f t="shared" si="272"/>
        <v>6620.6447999999991</v>
      </c>
      <c r="I5830" s="37">
        <f t="shared" ref="I5830:I5893" si="273">H5830*$H$4</f>
        <v>6620.6447999999991</v>
      </c>
      <c r="J5830" s="4"/>
      <c r="K5830" s="38">
        <f t="shared" ref="K5830:K5893" si="274">J5830*I5830</f>
        <v>0</v>
      </c>
    </row>
    <row r="5831" spans="1:11">
      <c r="A5831" t="s">
        <v>9893</v>
      </c>
      <c r="B5831" t="s">
        <v>12250</v>
      </c>
      <c r="C5831" t="s">
        <v>7560</v>
      </c>
      <c r="D5831" t="s">
        <v>9894</v>
      </c>
      <c r="E5831">
        <v>59867.79</v>
      </c>
      <c r="G5831" s="35"/>
      <c r="H5831" s="36">
        <f t="shared" ref="H5831:H5894" si="275">+E5831*$H$1*(1-G5831)</f>
        <v>37716.707699999999</v>
      </c>
      <c r="I5831" s="37">
        <f t="shared" si="273"/>
        <v>37716.707699999999</v>
      </c>
      <c r="J5831" s="4"/>
      <c r="K5831" s="38">
        <f t="shared" si="274"/>
        <v>0</v>
      </c>
    </row>
    <row r="5832" spans="1:11">
      <c r="A5832" t="s">
        <v>1982</v>
      </c>
      <c r="B5832" t="s">
        <v>12250</v>
      </c>
      <c r="C5832" t="s">
        <v>7560</v>
      </c>
      <c r="D5832" t="s">
        <v>7567</v>
      </c>
      <c r="E5832">
        <v>51719.47</v>
      </c>
      <c r="G5832" s="35"/>
      <c r="H5832" s="36">
        <f t="shared" si="275"/>
        <v>32583.266100000001</v>
      </c>
      <c r="I5832" s="37">
        <f t="shared" si="273"/>
        <v>32583.266100000001</v>
      </c>
      <c r="J5832" s="4"/>
      <c r="K5832" s="38">
        <f t="shared" si="274"/>
        <v>0</v>
      </c>
    </row>
    <row r="5833" spans="1:11">
      <c r="A5833" t="s">
        <v>1983</v>
      </c>
      <c r="B5833" t="s">
        <v>12250</v>
      </c>
      <c r="C5833" t="s">
        <v>7560</v>
      </c>
      <c r="D5833" t="s">
        <v>11603</v>
      </c>
      <c r="E5833">
        <v>199326.25</v>
      </c>
      <c r="G5833" s="35"/>
      <c r="H5833" s="36">
        <f t="shared" si="275"/>
        <v>125575.53750000001</v>
      </c>
      <c r="I5833" s="37">
        <f t="shared" si="273"/>
        <v>125575.53750000001</v>
      </c>
      <c r="J5833" s="4"/>
      <c r="K5833" s="38">
        <f t="shared" si="274"/>
        <v>0</v>
      </c>
    </row>
    <row r="5834" spans="1:11">
      <c r="A5834" t="s">
        <v>11545</v>
      </c>
      <c r="B5834" t="s">
        <v>12250</v>
      </c>
      <c r="C5834" t="s">
        <v>7560</v>
      </c>
      <c r="D5834" t="s">
        <v>11546</v>
      </c>
      <c r="E5834">
        <v>37021.279999999999</v>
      </c>
      <c r="G5834" s="35"/>
      <c r="H5834" s="36">
        <f t="shared" si="275"/>
        <v>23323.4064</v>
      </c>
      <c r="I5834" s="37">
        <f t="shared" si="273"/>
        <v>23323.4064</v>
      </c>
      <c r="J5834" s="4"/>
      <c r="K5834" s="38">
        <f t="shared" si="274"/>
        <v>0</v>
      </c>
    </row>
    <row r="5835" spans="1:11">
      <c r="A5835" t="s">
        <v>11547</v>
      </c>
      <c r="B5835" t="s">
        <v>12250</v>
      </c>
      <c r="C5835" t="s">
        <v>7560</v>
      </c>
      <c r="D5835" t="s">
        <v>11548</v>
      </c>
      <c r="E5835">
        <v>43961.54</v>
      </c>
      <c r="G5835" s="35"/>
      <c r="H5835" s="36">
        <f t="shared" si="275"/>
        <v>27695.770199999999</v>
      </c>
      <c r="I5835" s="37">
        <f t="shared" si="273"/>
        <v>27695.770199999999</v>
      </c>
      <c r="J5835" s="4"/>
      <c r="K5835" s="38">
        <f t="shared" si="274"/>
        <v>0</v>
      </c>
    </row>
    <row r="5836" spans="1:11">
      <c r="A5836" t="s">
        <v>1984</v>
      </c>
      <c r="B5836" t="s">
        <v>12250</v>
      </c>
      <c r="C5836" t="s">
        <v>7560</v>
      </c>
      <c r="D5836" t="s">
        <v>7568</v>
      </c>
      <c r="E5836">
        <v>43328.01</v>
      </c>
      <c r="G5836" s="35"/>
      <c r="H5836" s="36">
        <f t="shared" si="275"/>
        <v>27296.6463</v>
      </c>
      <c r="I5836" s="37">
        <f t="shared" si="273"/>
        <v>27296.6463</v>
      </c>
      <c r="J5836" s="4"/>
      <c r="K5836" s="38">
        <f t="shared" si="274"/>
        <v>0</v>
      </c>
    </row>
    <row r="5837" spans="1:11">
      <c r="A5837" t="s">
        <v>2179</v>
      </c>
      <c r="B5837" t="s">
        <v>12250</v>
      </c>
      <c r="C5837" t="s">
        <v>7734</v>
      </c>
      <c r="D5837" t="s">
        <v>7735</v>
      </c>
      <c r="E5837">
        <v>10947.57</v>
      </c>
      <c r="G5837" s="35"/>
      <c r="H5837" s="36">
        <f t="shared" si="275"/>
        <v>6896.9691000000003</v>
      </c>
      <c r="I5837" s="37">
        <f t="shared" si="273"/>
        <v>6896.9691000000003</v>
      </c>
      <c r="J5837" s="4"/>
      <c r="K5837" s="38">
        <f t="shared" si="274"/>
        <v>0</v>
      </c>
    </row>
    <row r="5838" spans="1:11">
      <c r="A5838" t="s">
        <v>2180</v>
      </c>
      <c r="B5838" t="s">
        <v>12250</v>
      </c>
      <c r="C5838" t="s">
        <v>7734</v>
      </c>
      <c r="D5838" t="s">
        <v>7736</v>
      </c>
      <c r="E5838">
        <v>284932.38</v>
      </c>
      <c r="G5838" s="35"/>
      <c r="H5838" s="36">
        <f t="shared" si="275"/>
        <v>179507.39939999999</v>
      </c>
      <c r="I5838" s="37">
        <f t="shared" si="273"/>
        <v>179507.39939999999</v>
      </c>
      <c r="J5838" s="4"/>
      <c r="K5838" s="38">
        <f t="shared" si="274"/>
        <v>0</v>
      </c>
    </row>
    <row r="5839" spans="1:11">
      <c r="A5839" t="s">
        <v>2143</v>
      </c>
      <c r="B5839" t="s">
        <v>12250</v>
      </c>
      <c r="C5839" t="s">
        <v>7699</v>
      </c>
      <c r="D5839" t="s">
        <v>7700</v>
      </c>
      <c r="E5839">
        <v>94828.96</v>
      </c>
      <c r="G5839" s="35"/>
      <c r="H5839" s="36">
        <f t="shared" si="275"/>
        <v>59742.244800000008</v>
      </c>
      <c r="I5839" s="37">
        <f t="shared" si="273"/>
        <v>59742.244800000008</v>
      </c>
      <c r="J5839" s="4"/>
      <c r="K5839" s="38">
        <f t="shared" si="274"/>
        <v>0</v>
      </c>
    </row>
    <row r="5840" spans="1:11">
      <c r="A5840" t="s">
        <v>2107</v>
      </c>
      <c r="B5840" t="s">
        <v>12250</v>
      </c>
      <c r="C5840" t="s">
        <v>7674</v>
      </c>
      <c r="D5840" t="s">
        <v>12428</v>
      </c>
      <c r="E5840">
        <v>108947.94</v>
      </c>
      <c r="G5840" s="35"/>
      <c r="H5840" s="36">
        <f t="shared" si="275"/>
        <v>68637.2022</v>
      </c>
      <c r="I5840" s="37">
        <f t="shared" si="273"/>
        <v>68637.2022</v>
      </c>
      <c r="J5840" s="4"/>
      <c r="K5840" s="38">
        <f t="shared" si="274"/>
        <v>0</v>
      </c>
    </row>
    <row r="5841" spans="1:11">
      <c r="A5841" t="s">
        <v>2108</v>
      </c>
      <c r="B5841" t="s">
        <v>12250</v>
      </c>
      <c r="C5841" t="s">
        <v>7674</v>
      </c>
      <c r="D5841" t="s">
        <v>7675</v>
      </c>
      <c r="E5841">
        <v>120597.4</v>
      </c>
      <c r="G5841" s="35"/>
      <c r="H5841" s="36">
        <f t="shared" si="275"/>
        <v>75976.361999999994</v>
      </c>
      <c r="I5841" s="37">
        <f t="shared" si="273"/>
        <v>75976.361999999994</v>
      </c>
      <c r="J5841" s="4"/>
      <c r="K5841" s="38">
        <f t="shared" si="274"/>
        <v>0</v>
      </c>
    </row>
    <row r="5842" spans="1:11">
      <c r="A5842" t="s">
        <v>2109</v>
      </c>
      <c r="B5842" t="s">
        <v>12250</v>
      </c>
      <c r="C5842" t="s">
        <v>7674</v>
      </c>
      <c r="D5842" t="s">
        <v>12429</v>
      </c>
      <c r="E5842">
        <v>140158.01999999999</v>
      </c>
      <c r="G5842" s="35"/>
      <c r="H5842" s="36">
        <f t="shared" si="275"/>
        <v>88299.552599999995</v>
      </c>
      <c r="I5842" s="37">
        <f t="shared" si="273"/>
        <v>88299.552599999995</v>
      </c>
      <c r="J5842" s="4"/>
      <c r="K5842" s="38">
        <f t="shared" si="274"/>
        <v>0</v>
      </c>
    </row>
    <row r="5843" spans="1:11">
      <c r="A5843" t="s">
        <v>2110</v>
      </c>
      <c r="B5843" t="s">
        <v>12250</v>
      </c>
      <c r="C5843" t="s">
        <v>7674</v>
      </c>
      <c r="D5843" t="s">
        <v>7676</v>
      </c>
      <c r="E5843">
        <v>177586.19</v>
      </c>
      <c r="G5843" s="35"/>
      <c r="H5843" s="36">
        <f t="shared" si="275"/>
        <v>111879.2997</v>
      </c>
      <c r="I5843" s="37">
        <f t="shared" si="273"/>
        <v>111879.2997</v>
      </c>
      <c r="J5843" s="4"/>
      <c r="K5843" s="38">
        <f t="shared" si="274"/>
        <v>0</v>
      </c>
    </row>
    <row r="5844" spans="1:11">
      <c r="A5844" t="s">
        <v>11255</v>
      </c>
      <c r="B5844" t="s">
        <v>12250</v>
      </c>
      <c r="C5844" t="s">
        <v>7569</v>
      </c>
      <c r="D5844" t="s">
        <v>11256</v>
      </c>
      <c r="E5844">
        <v>11059.19</v>
      </c>
      <c r="G5844" s="35"/>
      <c r="H5844" s="36">
        <f t="shared" si="275"/>
        <v>6967.2897000000003</v>
      </c>
      <c r="I5844" s="37">
        <f t="shared" si="273"/>
        <v>6967.2897000000003</v>
      </c>
      <c r="J5844" s="4"/>
      <c r="K5844" s="38">
        <f t="shared" si="274"/>
        <v>0</v>
      </c>
    </row>
    <row r="5845" spans="1:11">
      <c r="A5845" t="s">
        <v>1985</v>
      </c>
      <c r="B5845" t="s">
        <v>12250</v>
      </c>
      <c r="C5845" t="s">
        <v>7569</v>
      </c>
      <c r="D5845" t="s">
        <v>7570</v>
      </c>
      <c r="E5845">
        <v>44319.3</v>
      </c>
      <c r="G5845" s="35"/>
      <c r="H5845" s="36">
        <f t="shared" si="275"/>
        <v>27921.159000000003</v>
      </c>
      <c r="I5845" s="37">
        <f t="shared" si="273"/>
        <v>27921.159000000003</v>
      </c>
      <c r="J5845" s="4"/>
      <c r="K5845" s="38">
        <f t="shared" si="274"/>
        <v>0</v>
      </c>
    </row>
    <row r="5846" spans="1:11">
      <c r="A5846" t="s">
        <v>1962</v>
      </c>
      <c r="B5846" t="s">
        <v>12250</v>
      </c>
      <c r="C5846" t="s">
        <v>7549</v>
      </c>
      <c r="D5846" t="s">
        <v>7550</v>
      </c>
      <c r="E5846">
        <v>29518.69</v>
      </c>
      <c r="G5846" s="35"/>
      <c r="H5846" s="36">
        <f t="shared" si="275"/>
        <v>18596.774699999998</v>
      </c>
      <c r="I5846" s="37">
        <f t="shared" si="273"/>
        <v>18596.774699999998</v>
      </c>
      <c r="J5846" s="4"/>
      <c r="K5846" s="38">
        <f t="shared" si="274"/>
        <v>0</v>
      </c>
    </row>
    <row r="5847" spans="1:11">
      <c r="A5847" t="s">
        <v>1963</v>
      </c>
      <c r="B5847" t="s">
        <v>12250</v>
      </c>
      <c r="C5847" t="s">
        <v>7549</v>
      </c>
      <c r="D5847" t="s">
        <v>12300</v>
      </c>
      <c r="E5847">
        <v>39737.980000000003</v>
      </c>
      <c r="G5847" s="35"/>
      <c r="H5847" s="36">
        <f t="shared" si="275"/>
        <v>25034.9274</v>
      </c>
      <c r="I5847" s="37">
        <f t="shared" si="273"/>
        <v>25034.9274</v>
      </c>
      <c r="J5847" s="4"/>
      <c r="K5847" s="38">
        <f t="shared" si="274"/>
        <v>0</v>
      </c>
    </row>
    <row r="5848" spans="1:11">
      <c r="A5848" t="s">
        <v>1964</v>
      </c>
      <c r="B5848" t="s">
        <v>12250</v>
      </c>
      <c r="C5848" t="s">
        <v>7549</v>
      </c>
      <c r="D5848" t="s">
        <v>11568</v>
      </c>
      <c r="E5848">
        <v>86657.83</v>
      </c>
      <c r="G5848" s="35"/>
      <c r="H5848" s="36">
        <f t="shared" si="275"/>
        <v>54594.4329</v>
      </c>
      <c r="I5848" s="37">
        <f t="shared" si="273"/>
        <v>54594.4329</v>
      </c>
      <c r="J5848" s="4"/>
      <c r="K5848" s="38">
        <f t="shared" si="274"/>
        <v>0</v>
      </c>
    </row>
    <row r="5849" spans="1:11">
      <c r="A5849" t="s">
        <v>12360</v>
      </c>
      <c r="B5849" t="s">
        <v>12250</v>
      </c>
      <c r="C5849" t="s">
        <v>12361</v>
      </c>
      <c r="D5849" t="s">
        <v>12362</v>
      </c>
      <c r="E5849">
        <v>180944.5</v>
      </c>
      <c r="G5849" s="35"/>
      <c r="H5849" s="36">
        <f t="shared" si="275"/>
        <v>113995.035</v>
      </c>
      <c r="I5849" s="37">
        <f t="shared" si="273"/>
        <v>113995.035</v>
      </c>
      <c r="J5849" s="4"/>
      <c r="K5849" s="38">
        <f t="shared" si="274"/>
        <v>0</v>
      </c>
    </row>
    <row r="5850" spans="1:11">
      <c r="A5850" t="s">
        <v>1833</v>
      </c>
      <c r="B5850" t="s">
        <v>12250</v>
      </c>
      <c r="C5850" t="s">
        <v>7436</v>
      </c>
      <c r="D5850" t="s">
        <v>7437</v>
      </c>
      <c r="E5850">
        <v>8872.1</v>
      </c>
      <c r="G5850" s="35"/>
      <c r="H5850" s="36">
        <f t="shared" si="275"/>
        <v>5589.4230000000007</v>
      </c>
      <c r="I5850" s="37">
        <f t="shared" si="273"/>
        <v>5589.4230000000007</v>
      </c>
      <c r="J5850" s="4"/>
      <c r="K5850" s="38">
        <f t="shared" si="274"/>
        <v>0</v>
      </c>
    </row>
    <row r="5851" spans="1:11">
      <c r="A5851" t="s">
        <v>1834</v>
      </c>
      <c r="B5851" t="s">
        <v>12250</v>
      </c>
      <c r="C5851" t="s">
        <v>7436</v>
      </c>
      <c r="D5851" t="s">
        <v>7438</v>
      </c>
      <c r="E5851">
        <v>13067.45</v>
      </c>
      <c r="G5851" s="35"/>
      <c r="H5851" s="36">
        <f t="shared" si="275"/>
        <v>8232.4935000000005</v>
      </c>
      <c r="I5851" s="37">
        <f t="shared" si="273"/>
        <v>8232.4935000000005</v>
      </c>
      <c r="J5851" s="4"/>
      <c r="K5851" s="38">
        <f t="shared" si="274"/>
        <v>0</v>
      </c>
    </row>
    <row r="5852" spans="1:11">
      <c r="A5852" t="s">
        <v>1835</v>
      </c>
      <c r="B5852" t="s">
        <v>12250</v>
      </c>
      <c r="C5852" t="s">
        <v>7436</v>
      </c>
      <c r="D5852" t="s">
        <v>7439</v>
      </c>
      <c r="E5852">
        <v>17702.97</v>
      </c>
      <c r="G5852" s="35"/>
      <c r="H5852" s="36">
        <f t="shared" si="275"/>
        <v>11152.8711</v>
      </c>
      <c r="I5852" s="37">
        <f t="shared" si="273"/>
        <v>11152.8711</v>
      </c>
      <c r="J5852" s="4"/>
      <c r="K5852" s="38">
        <f t="shared" si="274"/>
        <v>0</v>
      </c>
    </row>
    <row r="5853" spans="1:11">
      <c r="A5853" t="s">
        <v>1836</v>
      </c>
      <c r="B5853" t="s">
        <v>12250</v>
      </c>
      <c r="C5853" t="s">
        <v>7436</v>
      </c>
      <c r="D5853" t="s">
        <v>7440</v>
      </c>
      <c r="E5853">
        <v>25378.37</v>
      </c>
      <c r="G5853" s="35"/>
      <c r="H5853" s="36">
        <f t="shared" si="275"/>
        <v>15988.373099999999</v>
      </c>
      <c r="I5853" s="37">
        <f t="shared" si="273"/>
        <v>15988.373099999999</v>
      </c>
      <c r="J5853" s="4"/>
      <c r="K5853" s="38">
        <f t="shared" si="274"/>
        <v>0</v>
      </c>
    </row>
    <row r="5854" spans="1:11">
      <c r="A5854" t="s">
        <v>1837</v>
      </c>
      <c r="B5854" t="s">
        <v>12250</v>
      </c>
      <c r="C5854" t="s">
        <v>7436</v>
      </c>
      <c r="D5854" t="s">
        <v>7441</v>
      </c>
      <c r="E5854">
        <v>14649.28</v>
      </c>
      <c r="G5854" s="35"/>
      <c r="H5854" s="36">
        <f t="shared" si="275"/>
        <v>9229.0464000000011</v>
      </c>
      <c r="I5854" s="37">
        <f t="shared" si="273"/>
        <v>9229.0464000000011</v>
      </c>
      <c r="J5854" s="4"/>
      <c r="K5854" s="38">
        <f t="shared" si="274"/>
        <v>0</v>
      </c>
    </row>
    <row r="5855" spans="1:11">
      <c r="A5855" t="s">
        <v>1838</v>
      </c>
      <c r="B5855" t="s">
        <v>12250</v>
      </c>
      <c r="C5855" t="s">
        <v>7436</v>
      </c>
      <c r="D5855" t="s">
        <v>7442</v>
      </c>
      <c r="E5855">
        <v>19656.150000000001</v>
      </c>
      <c r="G5855" s="35"/>
      <c r="H5855" s="36">
        <f t="shared" si="275"/>
        <v>12383.374500000002</v>
      </c>
      <c r="I5855" s="37">
        <f t="shared" si="273"/>
        <v>12383.374500000002</v>
      </c>
      <c r="J5855" s="4"/>
      <c r="K5855" s="38">
        <f t="shared" si="274"/>
        <v>0</v>
      </c>
    </row>
    <row r="5856" spans="1:11">
      <c r="A5856" t="s">
        <v>1839</v>
      </c>
      <c r="B5856" t="s">
        <v>12250</v>
      </c>
      <c r="C5856" t="s">
        <v>7436</v>
      </c>
      <c r="D5856" t="s">
        <v>7443</v>
      </c>
      <c r="E5856">
        <v>24429.200000000001</v>
      </c>
      <c r="G5856" s="35"/>
      <c r="H5856" s="36">
        <f t="shared" si="275"/>
        <v>15390.396000000001</v>
      </c>
      <c r="I5856" s="37">
        <f t="shared" si="273"/>
        <v>15390.396000000001</v>
      </c>
      <c r="J5856" s="4"/>
      <c r="K5856" s="38">
        <f t="shared" si="274"/>
        <v>0</v>
      </c>
    </row>
    <row r="5857" spans="1:11">
      <c r="A5857" t="s">
        <v>1840</v>
      </c>
      <c r="B5857" t="s">
        <v>12250</v>
      </c>
      <c r="C5857" t="s">
        <v>7436</v>
      </c>
      <c r="D5857" t="s">
        <v>7444</v>
      </c>
      <c r="E5857">
        <v>26107.39</v>
      </c>
      <c r="G5857" s="35"/>
      <c r="H5857" s="36">
        <f t="shared" si="275"/>
        <v>16447.655699999999</v>
      </c>
      <c r="I5857" s="37">
        <f t="shared" si="273"/>
        <v>16447.655699999999</v>
      </c>
      <c r="J5857" s="4"/>
      <c r="K5857" s="38">
        <f t="shared" si="274"/>
        <v>0</v>
      </c>
    </row>
    <row r="5858" spans="1:11">
      <c r="A5858" t="s">
        <v>1841</v>
      </c>
      <c r="B5858" t="s">
        <v>12250</v>
      </c>
      <c r="C5858" t="s">
        <v>7436</v>
      </c>
      <c r="D5858" t="s">
        <v>7445</v>
      </c>
      <c r="E5858">
        <v>38143.19</v>
      </c>
      <c r="G5858" s="35"/>
      <c r="H5858" s="36">
        <f t="shared" si="275"/>
        <v>24030.209700000003</v>
      </c>
      <c r="I5858" s="37">
        <f t="shared" si="273"/>
        <v>24030.209700000003</v>
      </c>
      <c r="J5858" s="4"/>
      <c r="K5858" s="38">
        <f t="shared" si="274"/>
        <v>0</v>
      </c>
    </row>
    <row r="5859" spans="1:11">
      <c r="A5859" t="s">
        <v>1842</v>
      </c>
      <c r="B5859" t="s">
        <v>12250</v>
      </c>
      <c r="C5859" t="s">
        <v>7436</v>
      </c>
      <c r="D5859" t="s">
        <v>7446</v>
      </c>
      <c r="E5859">
        <v>17895.45</v>
      </c>
      <c r="G5859" s="35"/>
      <c r="H5859" s="36">
        <f t="shared" si="275"/>
        <v>11274.1335</v>
      </c>
      <c r="I5859" s="37">
        <f t="shared" si="273"/>
        <v>11274.1335</v>
      </c>
      <c r="J5859" s="4"/>
      <c r="K5859" s="38">
        <f t="shared" si="274"/>
        <v>0</v>
      </c>
    </row>
    <row r="5860" spans="1:11">
      <c r="A5860" t="s">
        <v>1843</v>
      </c>
      <c r="B5860" t="s">
        <v>12250</v>
      </c>
      <c r="C5860" t="s">
        <v>7436</v>
      </c>
      <c r="D5860" t="s">
        <v>7447</v>
      </c>
      <c r="E5860">
        <v>31416.74</v>
      </c>
      <c r="G5860" s="35"/>
      <c r="H5860" s="36">
        <f t="shared" si="275"/>
        <v>19792.546200000001</v>
      </c>
      <c r="I5860" s="37">
        <f t="shared" si="273"/>
        <v>19792.546200000001</v>
      </c>
      <c r="J5860" s="4"/>
      <c r="K5860" s="38">
        <f t="shared" si="274"/>
        <v>0</v>
      </c>
    </row>
    <row r="5861" spans="1:11">
      <c r="A5861" t="s">
        <v>1844</v>
      </c>
      <c r="B5861" t="s">
        <v>12250</v>
      </c>
      <c r="C5861" t="s">
        <v>7436</v>
      </c>
      <c r="D5861" t="s">
        <v>7448</v>
      </c>
      <c r="E5861">
        <v>62297.19</v>
      </c>
      <c r="G5861" s="35"/>
      <c r="H5861" s="36">
        <f t="shared" si="275"/>
        <v>39247.229700000004</v>
      </c>
      <c r="I5861" s="37">
        <f t="shared" si="273"/>
        <v>39247.229700000004</v>
      </c>
      <c r="J5861" s="4"/>
      <c r="K5861" s="38">
        <f t="shared" si="274"/>
        <v>0</v>
      </c>
    </row>
    <row r="5862" spans="1:11">
      <c r="A5862" t="s">
        <v>1845</v>
      </c>
      <c r="B5862" t="s">
        <v>12250</v>
      </c>
      <c r="C5862" t="s">
        <v>7436</v>
      </c>
      <c r="D5862" t="s">
        <v>7449</v>
      </c>
      <c r="E5862">
        <v>13067.42</v>
      </c>
      <c r="G5862" s="35"/>
      <c r="H5862" s="36">
        <f t="shared" si="275"/>
        <v>8232.4745999999996</v>
      </c>
      <c r="I5862" s="37">
        <f t="shared" si="273"/>
        <v>8232.4745999999996</v>
      </c>
      <c r="J5862" s="4"/>
      <c r="K5862" s="38">
        <f t="shared" si="274"/>
        <v>0</v>
      </c>
    </row>
    <row r="5863" spans="1:11">
      <c r="A5863" t="s">
        <v>1846</v>
      </c>
      <c r="B5863" t="s">
        <v>12250</v>
      </c>
      <c r="C5863" t="s">
        <v>7436</v>
      </c>
      <c r="D5863" t="s">
        <v>7450</v>
      </c>
      <c r="E5863">
        <v>14181.6</v>
      </c>
      <c r="G5863" s="35"/>
      <c r="H5863" s="36">
        <f t="shared" si="275"/>
        <v>8934.4079999999994</v>
      </c>
      <c r="I5863" s="37">
        <f t="shared" si="273"/>
        <v>8934.4079999999994</v>
      </c>
      <c r="J5863" s="4"/>
      <c r="K5863" s="38">
        <f t="shared" si="274"/>
        <v>0</v>
      </c>
    </row>
    <row r="5864" spans="1:11">
      <c r="A5864" t="s">
        <v>1847</v>
      </c>
      <c r="B5864" t="s">
        <v>12250</v>
      </c>
      <c r="C5864" t="s">
        <v>7436</v>
      </c>
      <c r="D5864" t="s">
        <v>7451</v>
      </c>
      <c r="E5864">
        <v>13232.48</v>
      </c>
      <c r="G5864" s="35"/>
      <c r="H5864" s="36">
        <f t="shared" si="275"/>
        <v>8336.4624000000003</v>
      </c>
      <c r="I5864" s="37">
        <f t="shared" si="273"/>
        <v>8336.4624000000003</v>
      </c>
      <c r="J5864" s="4"/>
      <c r="K5864" s="38">
        <f t="shared" si="274"/>
        <v>0</v>
      </c>
    </row>
    <row r="5865" spans="1:11">
      <c r="A5865" t="s">
        <v>1848</v>
      </c>
      <c r="B5865" t="s">
        <v>12250</v>
      </c>
      <c r="C5865" t="s">
        <v>7436</v>
      </c>
      <c r="D5865" t="s">
        <v>7452</v>
      </c>
      <c r="E5865">
        <v>13067.42</v>
      </c>
      <c r="G5865" s="35"/>
      <c r="H5865" s="36">
        <f t="shared" si="275"/>
        <v>8232.4745999999996</v>
      </c>
      <c r="I5865" s="37">
        <f t="shared" si="273"/>
        <v>8232.4745999999996</v>
      </c>
      <c r="J5865" s="4"/>
      <c r="K5865" s="38">
        <f t="shared" si="274"/>
        <v>0</v>
      </c>
    </row>
    <row r="5866" spans="1:11">
      <c r="A5866" t="s">
        <v>1849</v>
      </c>
      <c r="B5866" t="s">
        <v>12250</v>
      </c>
      <c r="C5866" t="s">
        <v>7436</v>
      </c>
      <c r="D5866" t="s">
        <v>7453</v>
      </c>
      <c r="E5866">
        <v>16918.91</v>
      </c>
      <c r="G5866" s="35"/>
      <c r="H5866" s="36">
        <f t="shared" si="275"/>
        <v>10658.9133</v>
      </c>
      <c r="I5866" s="37">
        <f t="shared" si="273"/>
        <v>10658.9133</v>
      </c>
      <c r="J5866" s="4"/>
      <c r="K5866" s="38">
        <f t="shared" si="274"/>
        <v>0</v>
      </c>
    </row>
    <row r="5867" spans="1:11">
      <c r="A5867" t="s">
        <v>1850</v>
      </c>
      <c r="B5867" t="s">
        <v>12250</v>
      </c>
      <c r="C5867" t="s">
        <v>7436</v>
      </c>
      <c r="D5867" t="s">
        <v>7454</v>
      </c>
      <c r="E5867">
        <v>15277.44</v>
      </c>
      <c r="G5867" s="35"/>
      <c r="H5867" s="36">
        <f t="shared" si="275"/>
        <v>9624.7872000000007</v>
      </c>
      <c r="I5867" s="37">
        <f t="shared" si="273"/>
        <v>9624.7872000000007</v>
      </c>
      <c r="J5867" s="4"/>
      <c r="K5867" s="38">
        <f t="shared" si="274"/>
        <v>0</v>
      </c>
    </row>
    <row r="5868" spans="1:11">
      <c r="A5868" t="s">
        <v>1851</v>
      </c>
      <c r="B5868" t="s">
        <v>12250</v>
      </c>
      <c r="C5868" t="s">
        <v>7436</v>
      </c>
      <c r="D5868" t="s">
        <v>7455</v>
      </c>
      <c r="E5868">
        <v>18280.64</v>
      </c>
      <c r="G5868" s="35"/>
      <c r="H5868" s="36">
        <f t="shared" si="275"/>
        <v>11516.8032</v>
      </c>
      <c r="I5868" s="37">
        <f t="shared" si="273"/>
        <v>11516.8032</v>
      </c>
      <c r="J5868" s="4"/>
      <c r="K5868" s="38">
        <f t="shared" si="274"/>
        <v>0</v>
      </c>
    </row>
    <row r="5869" spans="1:11">
      <c r="A5869" t="s">
        <v>1852</v>
      </c>
      <c r="B5869" t="s">
        <v>12250</v>
      </c>
      <c r="C5869" t="s">
        <v>7436</v>
      </c>
      <c r="D5869" t="s">
        <v>7456</v>
      </c>
      <c r="E5869">
        <v>30605.35</v>
      </c>
      <c r="G5869" s="35"/>
      <c r="H5869" s="36">
        <f t="shared" si="275"/>
        <v>19281.370500000001</v>
      </c>
      <c r="I5869" s="37">
        <f t="shared" si="273"/>
        <v>19281.370500000001</v>
      </c>
      <c r="J5869" s="4"/>
      <c r="K5869" s="38">
        <f t="shared" si="274"/>
        <v>0</v>
      </c>
    </row>
    <row r="5870" spans="1:11">
      <c r="A5870" t="s">
        <v>1853</v>
      </c>
      <c r="B5870" t="s">
        <v>12250</v>
      </c>
      <c r="C5870" t="s">
        <v>7436</v>
      </c>
      <c r="D5870" t="s">
        <v>7457</v>
      </c>
      <c r="E5870">
        <v>60295.44</v>
      </c>
      <c r="G5870" s="35"/>
      <c r="H5870" s="36">
        <f t="shared" si="275"/>
        <v>37986.127200000003</v>
      </c>
      <c r="I5870" s="37">
        <f t="shared" si="273"/>
        <v>37986.127200000003</v>
      </c>
      <c r="J5870" s="4"/>
      <c r="K5870" s="38">
        <f t="shared" si="274"/>
        <v>0</v>
      </c>
    </row>
    <row r="5871" spans="1:11">
      <c r="A5871" t="s">
        <v>1854</v>
      </c>
      <c r="B5871" t="s">
        <v>12250</v>
      </c>
      <c r="C5871" t="s">
        <v>7436</v>
      </c>
      <c r="D5871" t="s">
        <v>7458</v>
      </c>
      <c r="E5871">
        <v>16506.22</v>
      </c>
      <c r="G5871" s="35"/>
      <c r="H5871" s="36">
        <f t="shared" si="275"/>
        <v>10398.918600000001</v>
      </c>
      <c r="I5871" s="37">
        <f t="shared" si="273"/>
        <v>10398.918600000001</v>
      </c>
      <c r="J5871" s="4"/>
      <c r="K5871" s="38">
        <f t="shared" si="274"/>
        <v>0</v>
      </c>
    </row>
    <row r="5872" spans="1:11">
      <c r="A5872" t="s">
        <v>1855</v>
      </c>
      <c r="B5872" t="s">
        <v>12250</v>
      </c>
      <c r="C5872" t="s">
        <v>7436</v>
      </c>
      <c r="D5872" t="s">
        <v>7459</v>
      </c>
      <c r="E5872">
        <v>21196.79</v>
      </c>
      <c r="G5872" s="35"/>
      <c r="H5872" s="36">
        <f t="shared" si="275"/>
        <v>13353.977700000001</v>
      </c>
      <c r="I5872" s="37">
        <f t="shared" si="273"/>
        <v>13353.977700000001</v>
      </c>
      <c r="J5872" s="4"/>
      <c r="K5872" s="38">
        <f t="shared" si="274"/>
        <v>0</v>
      </c>
    </row>
    <row r="5873" spans="1:11">
      <c r="A5873" t="s">
        <v>1856</v>
      </c>
      <c r="B5873" t="s">
        <v>12250</v>
      </c>
      <c r="C5873" t="s">
        <v>7436</v>
      </c>
      <c r="D5873" t="s">
        <v>7460</v>
      </c>
      <c r="E5873">
        <v>25694.68</v>
      </c>
      <c r="G5873" s="35"/>
      <c r="H5873" s="36">
        <f t="shared" si="275"/>
        <v>16187.6484</v>
      </c>
      <c r="I5873" s="37">
        <f t="shared" si="273"/>
        <v>16187.6484</v>
      </c>
      <c r="J5873" s="4"/>
      <c r="K5873" s="38">
        <f t="shared" si="274"/>
        <v>0</v>
      </c>
    </row>
    <row r="5874" spans="1:11">
      <c r="A5874" t="s">
        <v>1857</v>
      </c>
      <c r="B5874" t="s">
        <v>12250</v>
      </c>
      <c r="C5874" t="s">
        <v>7436</v>
      </c>
      <c r="D5874" t="s">
        <v>7461</v>
      </c>
      <c r="E5874">
        <v>30316.48</v>
      </c>
      <c r="G5874" s="35"/>
      <c r="H5874" s="36">
        <f t="shared" si="275"/>
        <v>19099.382399999999</v>
      </c>
      <c r="I5874" s="37">
        <f t="shared" si="273"/>
        <v>19099.382399999999</v>
      </c>
      <c r="J5874" s="4"/>
      <c r="K5874" s="38">
        <f t="shared" si="274"/>
        <v>0</v>
      </c>
    </row>
    <row r="5875" spans="1:11">
      <c r="A5875" t="s">
        <v>1858</v>
      </c>
      <c r="B5875" t="s">
        <v>12250</v>
      </c>
      <c r="C5875" t="s">
        <v>7436</v>
      </c>
      <c r="D5875" t="s">
        <v>7462</v>
      </c>
      <c r="E5875">
        <v>44264.160000000003</v>
      </c>
      <c r="G5875" s="35"/>
      <c r="H5875" s="36">
        <f t="shared" si="275"/>
        <v>27886.420800000004</v>
      </c>
      <c r="I5875" s="37">
        <f t="shared" si="273"/>
        <v>27886.420800000004</v>
      </c>
      <c r="J5875" s="4"/>
      <c r="K5875" s="38">
        <f t="shared" si="274"/>
        <v>0</v>
      </c>
    </row>
    <row r="5876" spans="1:11">
      <c r="A5876" t="s">
        <v>1859</v>
      </c>
      <c r="B5876" t="s">
        <v>12250</v>
      </c>
      <c r="C5876" t="s">
        <v>7436</v>
      </c>
      <c r="D5876" t="s">
        <v>7463</v>
      </c>
      <c r="E5876">
        <v>25199.56</v>
      </c>
      <c r="G5876" s="35"/>
      <c r="H5876" s="36">
        <f t="shared" si="275"/>
        <v>15875.722800000001</v>
      </c>
      <c r="I5876" s="37">
        <f t="shared" si="273"/>
        <v>15875.722800000001</v>
      </c>
      <c r="J5876" s="4"/>
      <c r="K5876" s="38">
        <f t="shared" si="274"/>
        <v>0</v>
      </c>
    </row>
    <row r="5877" spans="1:11">
      <c r="A5877" t="s">
        <v>1860</v>
      </c>
      <c r="B5877" t="s">
        <v>12250</v>
      </c>
      <c r="C5877" t="s">
        <v>7436</v>
      </c>
      <c r="D5877" t="s">
        <v>7464</v>
      </c>
      <c r="E5877">
        <v>38982.26</v>
      </c>
      <c r="G5877" s="35"/>
      <c r="H5877" s="36">
        <f t="shared" si="275"/>
        <v>24558.823800000002</v>
      </c>
      <c r="I5877" s="37">
        <f t="shared" si="273"/>
        <v>24558.823800000002</v>
      </c>
      <c r="J5877" s="4"/>
      <c r="K5877" s="38">
        <f t="shared" si="274"/>
        <v>0</v>
      </c>
    </row>
    <row r="5878" spans="1:11">
      <c r="A5878" t="s">
        <v>1861</v>
      </c>
      <c r="B5878" t="s">
        <v>12250</v>
      </c>
      <c r="C5878" t="s">
        <v>7436</v>
      </c>
      <c r="D5878" t="s">
        <v>7465</v>
      </c>
      <c r="E5878">
        <v>64498.18</v>
      </c>
      <c r="G5878" s="35"/>
      <c r="H5878" s="36">
        <f t="shared" si="275"/>
        <v>40633.8534</v>
      </c>
      <c r="I5878" s="37">
        <f t="shared" si="273"/>
        <v>40633.8534</v>
      </c>
      <c r="J5878" s="4"/>
      <c r="K5878" s="38">
        <f t="shared" si="274"/>
        <v>0</v>
      </c>
    </row>
    <row r="5879" spans="1:11">
      <c r="A5879" t="s">
        <v>1862</v>
      </c>
      <c r="B5879" t="s">
        <v>12250</v>
      </c>
      <c r="C5879" t="s">
        <v>7436</v>
      </c>
      <c r="D5879" t="s">
        <v>7466</v>
      </c>
      <c r="E5879">
        <v>58748.36</v>
      </c>
      <c r="G5879" s="35"/>
      <c r="H5879" s="36">
        <f t="shared" si="275"/>
        <v>37011.466800000002</v>
      </c>
      <c r="I5879" s="37">
        <f t="shared" si="273"/>
        <v>37011.466800000002</v>
      </c>
      <c r="J5879" s="4"/>
      <c r="K5879" s="38">
        <f t="shared" si="274"/>
        <v>0</v>
      </c>
    </row>
    <row r="5880" spans="1:11">
      <c r="A5880" t="s">
        <v>2091</v>
      </c>
      <c r="B5880" t="s">
        <v>12250</v>
      </c>
      <c r="C5880" t="s">
        <v>11570</v>
      </c>
      <c r="D5880" t="s">
        <v>7665</v>
      </c>
      <c r="E5880">
        <v>162194.26999999999</v>
      </c>
      <c r="G5880" s="35"/>
      <c r="H5880" s="36">
        <f t="shared" si="275"/>
        <v>102182.39009999999</v>
      </c>
      <c r="I5880" s="37">
        <f t="shared" si="273"/>
        <v>102182.39009999999</v>
      </c>
      <c r="J5880" s="4"/>
      <c r="K5880" s="38">
        <f t="shared" si="274"/>
        <v>0</v>
      </c>
    </row>
    <row r="5881" spans="1:11">
      <c r="A5881" t="s">
        <v>2092</v>
      </c>
      <c r="B5881" t="s">
        <v>12250</v>
      </c>
      <c r="C5881" t="s">
        <v>11570</v>
      </c>
      <c r="D5881" t="s">
        <v>7666</v>
      </c>
      <c r="E5881">
        <v>1595448.18</v>
      </c>
      <c r="G5881" s="35"/>
      <c r="H5881" s="36">
        <f t="shared" si="275"/>
        <v>1005132.3534</v>
      </c>
      <c r="I5881" s="37">
        <f t="shared" si="273"/>
        <v>1005132.3534</v>
      </c>
      <c r="J5881" s="4"/>
      <c r="K5881" s="38">
        <f t="shared" si="274"/>
        <v>0</v>
      </c>
    </row>
    <row r="5882" spans="1:11">
      <c r="A5882" t="s">
        <v>2093</v>
      </c>
      <c r="B5882" t="s">
        <v>12250</v>
      </c>
      <c r="C5882" t="s">
        <v>11570</v>
      </c>
      <c r="D5882" t="s">
        <v>9900</v>
      </c>
      <c r="E5882">
        <v>205424.2</v>
      </c>
      <c r="G5882" s="35"/>
      <c r="H5882" s="36">
        <f t="shared" si="275"/>
        <v>129417.24600000001</v>
      </c>
      <c r="I5882" s="37">
        <f t="shared" si="273"/>
        <v>129417.24600000001</v>
      </c>
      <c r="J5882" s="4"/>
      <c r="K5882" s="38">
        <f t="shared" si="274"/>
        <v>0</v>
      </c>
    </row>
    <row r="5883" spans="1:11">
      <c r="A5883" t="s">
        <v>2094</v>
      </c>
      <c r="B5883" t="s">
        <v>12250</v>
      </c>
      <c r="C5883" t="s">
        <v>11570</v>
      </c>
      <c r="D5883" t="s">
        <v>7667</v>
      </c>
      <c r="E5883">
        <v>783894.81</v>
      </c>
      <c r="G5883" s="35"/>
      <c r="H5883" s="36">
        <f t="shared" si="275"/>
        <v>493853.73030000005</v>
      </c>
      <c r="I5883" s="37">
        <f t="shared" si="273"/>
        <v>493853.73030000005</v>
      </c>
      <c r="J5883" s="4"/>
      <c r="K5883" s="38">
        <f t="shared" si="274"/>
        <v>0</v>
      </c>
    </row>
    <row r="5884" spans="1:11">
      <c r="A5884" t="s">
        <v>2095</v>
      </c>
      <c r="B5884" t="s">
        <v>12250</v>
      </c>
      <c r="C5884" t="s">
        <v>11570</v>
      </c>
      <c r="D5884" t="s">
        <v>12592</v>
      </c>
      <c r="E5884">
        <v>643285.87</v>
      </c>
      <c r="G5884" s="35"/>
      <c r="H5884" s="36">
        <f t="shared" si="275"/>
        <v>405270.0981</v>
      </c>
      <c r="I5884" s="37">
        <f t="shared" si="273"/>
        <v>405270.0981</v>
      </c>
      <c r="J5884" s="4"/>
      <c r="K5884" s="38">
        <f t="shared" si="274"/>
        <v>0</v>
      </c>
    </row>
    <row r="5885" spans="1:11">
      <c r="A5885" t="s">
        <v>2096</v>
      </c>
      <c r="B5885" t="s">
        <v>12250</v>
      </c>
      <c r="C5885" t="s">
        <v>11570</v>
      </c>
      <c r="D5885" t="s">
        <v>12430</v>
      </c>
      <c r="E5885">
        <v>344571.8</v>
      </c>
      <c r="G5885" s="35"/>
      <c r="H5885" s="36">
        <f t="shared" si="275"/>
        <v>217080.234</v>
      </c>
      <c r="I5885" s="37">
        <f t="shared" si="273"/>
        <v>217080.234</v>
      </c>
      <c r="J5885" s="4"/>
      <c r="K5885" s="38">
        <f t="shared" si="274"/>
        <v>0</v>
      </c>
    </row>
    <row r="5886" spans="1:11">
      <c r="A5886" t="s">
        <v>2097</v>
      </c>
      <c r="B5886" t="s">
        <v>12250</v>
      </c>
      <c r="C5886" t="s">
        <v>11570</v>
      </c>
      <c r="D5886" t="s">
        <v>10024</v>
      </c>
      <c r="E5886">
        <v>170755.94</v>
      </c>
      <c r="G5886" s="35"/>
      <c r="H5886" s="36">
        <f t="shared" si="275"/>
        <v>107576.24220000001</v>
      </c>
      <c r="I5886" s="37">
        <f t="shared" si="273"/>
        <v>107576.24220000001</v>
      </c>
      <c r="J5886" s="4"/>
      <c r="K5886" s="38">
        <f t="shared" si="274"/>
        <v>0</v>
      </c>
    </row>
    <row r="5887" spans="1:11">
      <c r="A5887" t="s">
        <v>2098</v>
      </c>
      <c r="B5887" t="s">
        <v>12250</v>
      </c>
      <c r="C5887" t="s">
        <v>11570</v>
      </c>
      <c r="D5887" t="s">
        <v>12431</v>
      </c>
      <c r="E5887">
        <v>281100.53999999998</v>
      </c>
      <c r="G5887" s="35"/>
      <c r="H5887" s="36">
        <f t="shared" si="275"/>
        <v>177093.34019999998</v>
      </c>
      <c r="I5887" s="37">
        <f t="shared" si="273"/>
        <v>177093.34019999998</v>
      </c>
      <c r="J5887" s="4"/>
      <c r="K5887" s="38">
        <f t="shared" si="274"/>
        <v>0</v>
      </c>
    </row>
    <row r="5888" spans="1:11">
      <c r="A5888" t="s">
        <v>2099</v>
      </c>
      <c r="B5888" t="s">
        <v>12250</v>
      </c>
      <c r="C5888" t="s">
        <v>11570</v>
      </c>
      <c r="D5888" t="s">
        <v>7668</v>
      </c>
      <c r="E5888">
        <v>304812.12</v>
      </c>
      <c r="G5888" s="35"/>
      <c r="H5888" s="36">
        <f t="shared" si="275"/>
        <v>192031.63560000001</v>
      </c>
      <c r="I5888" s="37">
        <f t="shared" si="273"/>
        <v>192031.63560000001</v>
      </c>
      <c r="J5888" s="4"/>
      <c r="K5888" s="38">
        <f t="shared" si="274"/>
        <v>0</v>
      </c>
    </row>
    <row r="5889" spans="1:11">
      <c r="A5889" t="s">
        <v>11549</v>
      </c>
      <c r="B5889" t="s">
        <v>12250</v>
      </c>
      <c r="C5889" t="s">
        <v>11570</v>
      </c>
      <c r="D5889" t="s">
        <v>11550</v>
      </c>
      <c r="E5889">
        <v>264212.55</v>
      </c>
      <c r="G5889" s="35"/>
      <c r="H5889" s="36">
        <f t="shared" si="275"/>
        <v>166453.90649999998</v>
      </c>
      <c r="I5889" s="37">
        <f t="shared" si="273"/>
        <v>166453.90649999998</v>
      </c>
      <c r="J5889" s="4"/>
      <c r="K5889" s="38">
        <f t="shared" si="274"/>
        <v>0</v>
      </c>
    </row>
    <row r="5890" spans="1:11">
      <c r="A5890" t="s">
        <v>2141</v>
      </c>
      <c r="B5890" t="s">
        <v>12250</v>
      </c>
      <c r="C5890" t="s">
        <v>7697</v>
      </c>
      <c r="D5890" t="s">
        <v>12432</v>
      </c>
      <c r="E5890">
        <v>150114.26</v>
      </c>
      <c r="G5890" s="35"/>
      <c r="H5890" s="36">
        <f t="shared" si="275"/>
        <v>94571.983800000002</v>
      </c>
      <c r="I5890" s="37">
        <f t="shared" si="273"/>
        <v>94571.983800000002</v>
      </c>
      <c r="J5890" s="4"/>
      <c r="K5890" s="38">
        <f t="shared" si="274"/>
        <v>0</v>
      </c>
    </row>
    <row r="5891" spans="1:11">
      <c r="A5891" t="s">
        <v>1889</v>
      </c>
      <c r="B5891" t="s">
        <v>12250</v>
      </c>
      <c r="C5891" t="s">
        <v>7482</v>
      </c>
      <c r="D5891" t="s">
        <v>7483</v>
      </c>
      <c r="E5891">
        <v>13878.97</v>
      </c>
      <c r="G5891" s="35"/>
      <c r="H5891" s="36">
        <f t="shared" si="275"/>
        <v>8743.7510999999995</v>
      </c>
      <c r="I5891" s="37">
        <f t="shared" si="273"/>
        <v>8743.7510999999995</v>
      </c>
      <c r="J5891" s="4"/>
      <c r="K5891" s="38">
        <f t="shared" si="274"/>
        <v>0</v>
      </c>
    </row>
    <row r="5892" spans="1:11">
      <c r="A5892" t="s">
        <v>1890</v>
      </c>
      <c r="B5892" t="s">
        <v>12250</v>
      </c>
      <c r="C5892" t="s">
        <v>7482</v>
      </c>
      <c r="D5892" t="s">
        <v>7484</v>
      </c>
      <c r="E5892">
        <v>17840.5</v>
      </c>
      <c r="G5892" s="35"/>
      <c r="H5892" s="36">
        <f t="shared" si="275"/>
        <v>11239.514999999999</v>
      </c>
      <c r="I5892" s="37">
        <f t="shared" si="273"/>
        <v>11239.514999999999</v>
      </c>
      <c r="J5892" s="4"/>
      <c r="K5892" s="38">
        <f t="shared" si="274"/>
        <v>0</v>
      </c>
    </row>
    <row r="5893" spans="1:11">
      <c r="A5893" t="s">
        <v>1891</v>
      </c>
      <c r="B5893" t="s">
        <v>12250</v>
      </c>
      <c r="C5893" t="s">
        <v>7482</v>
      </c>
      <c r="D5893" t="s">
        <v>12348</v>
      </c>
      <c r="E5893">
        <v>15130.71</v>
      </c>
      <c r="G5893" s="35"/>
      <c r="H5893" s="36">
        <f t="shared" si="275"/>
        <v>9532.3472999999994</v>
      </c>
      <c r="I5893" s="37">
        <f t="shared" si="273"/>
        <v>9532.3472999999994</v>
      </c>
      <c r="J5893" s="4"/>
      <c r="K5893" s="38">
        <f t="shared" si="274"/>
        <v>0</v>
      </c>
    </row>
    <row r="5894" spans="1:11">
      <c r="A5894" t="s">
        <v>1892</v>
      </c>
      <c r="B5894" t="s">
        <v>12250</v>
      </c>
      <c r="C5894" t="s">
        <v>7482</v>
      </c>
      <c r="D5894" t="s">
        <v>7485</v>
      </c>
      <c r="E5894">
        <v>43590.18</v>
      </c>
      <c r="G5894" s="35"/>
      <c r="H5894" s="36">
        <f t="shared" si="275"/>
        <v>27461.813399999999</v>
      </c>
      <c r="I5894" s="37">
        <f t="shared" ref="I5894:I5957" si="276">H5894*$H$4</f>
        <v>27461.813399999999</v>
      </c>
      <c r="J5894" s="4"/>
      <c r="K5894" s="38">
        <f t="shared" ref="K5894:K5957" si="277">J5894*I5894</f>
        <v>0</v>
      </c>
    </row>
    <row r="5895" spans="1:11">
      <c r="A5895" t="s">
        <v>1893</v>
      </c>
      <c r="B5895" t="s">
        <v>12250</v>
      </c>
      <c r="C5895" t="s">
        <v>7482</v>
      </c>
      <c r="D5895" t="s">
        <v>7486</v>
      </c>
      <c r="E5895">
        <v>45254.53</v>
      </c>
      <c r="G5895" s="35"/>
      <c r="H5895" s="36">
        <f t="shared" ref="H5895:H5958" si="278">+E5895*$H$1*(1-G5895)</f>
        <v>28510.353899999998</v>
      </c>
      <c r="I5895" s="37">
        <f t="shared" si="276"/>
        <v>28510.353899999998</v>
      </c>
      <c r="J5895" s="4"/>
      <c r="K5895" s="38">
        <f t="shared" si="277"/>
        <v>0</v>
      </c>
    </row>
    <row r="5896" spans="1:11">
      <c r="A5896" t="s">
        <v>1894</v>
      </c>
      <c r="B5896" t="s">
        <v>12250</v>
      </c>
      <c r="C5896" t="s">
        <v>7482</v>
      </c>
      <c r="D5896" t="s">
        <v>7487</v>
      </c>
      <c r="E5896">
        <v>10701.53</v>
      </c>
      <c r="G5896" s="35"/>
      <c r="H5896" s="36">
        <f t="shared" si="278"/>
        <v>6741.9639000000006</v>
      </c>
      <c r="I5896" s="37">
        <f t="shared" si="276"/>
        <v>6741.9639000000006</v>
      </c>
      <c r="J5896" s="4"/>
      <c r="K5896" s="38">
        <f t="shared" si="277"/>
        <v>0</v>
      </c>
    </row>
    <row r="5897" spans="1:11">
      <c r="A5897" t="s">
        <v>1895</v>
      </c>
      <c r="B5897" t="s">
        <v>12250</v>
      </c>
      <c r="C5897" t="s">
        <v>7482</v>
      </c>
      <c r="D5897" t="s">
        <v>7488</v>
      </c>
      <c r="E5897">
        <v>13232.48</v>
      </c>
      <c r="G5897" s="35"/>
      <c r="H5897" s="36">
        <f t="shared" si="278"/>
        <v>8336.4624000000003</v>
      </c>
      <c r="I5897" s="37">
        <f t="shared" si="276"/>
        <v>8336.4624000000003</v>
      </c>
      <c r="J5897" s="4"/>
      <c r="K5897" s="38">
        <f t="shared" si="277"/>
        <v>0</v>
      </c>
    </row>
    <row r="5898" spans="1:11">
      <c r="A5898" t="s">
        <v>1896</v>
      </c>
      <c r="B5898" t="s">
        <v>12250</v>
      </c>
      <c r="C5898" t="s">
        <v>7482</v>
      </c>
      <c r="D5898" t="s">
        <v>7489</v>
      </c>
      <c r="E5898">
        <v>22365.93</v>
      </c>
      <c r="G5898" s="35"/>
      <c r="H5898" s="36">
        <f t="shared" si="278"/>
        <v>14090.535900000001</v>
      </c>
      <c r="I5898" s="37">
        <f t="shared" si="276"/>
        <v>14090.535900000001</v>
      </c>
      <c r="J5898" s="4"/>
      <c r="K5898" s="38">
        <f t="shared" si="277"/>
        <v>0</v>
      </c>
    </row>
    <row r="5899" spans="1:11">
      <c r="A5899" t="s">
        <v>1897</v>
      </c>
      <c r="B5899" t="s">
        <v>12250</v>
      </c>
      <c r="C5899" t="s">
        <v>7482</v>
      </c>
      <c r="D5899" t="s">
        <v>7490</v>
      </c>
      <c r="E5899">
        <v>8720.82</v>
      </c>
      <c r="G5899" s="35"/>
      <c r="H5899" s="36">
        <f t="shared" si="278"/>
        <v>5494.1166000000003</v>
      </c>
      <c r="I5899" s="37">
        <f t="shared" si="276"/>
        <v>5494.1166000000003</v>
      </c>
      <c r="J5899" s="4"/>
      <c r="K5899" s="38">
        <f t="shared" si="277"/>
        <v>0</v>
      </c>
    </row>
    <row r="5900" spans="1:11">
      <c r="A5900" t="s">
        <v>1898</v>
      </c>
      <c r="B5900" t="s">
        <v>12250</v>
      </c>
      <c r="C5900" t="s">
        <v>7482</v>
      </c>
      <c r="D5900" t="s">
        <v>7491</v>
      </c>
      <c r="E5900">
        <v>11829.46</v>
      </c>
      <c r="G5900" s="35"/>
      <c r="H5900" s="36">
        <f t="shared" si="278"/>
        <v>7452.5597999999991</v>
      </c>
      <c r="I5900" s="37">
        <f t="shared" si="276"/>
        <v>7452.5597999999991</v>
      </c>
      <c r="J5900" s="4"/>
      <c r="K5900" s="38">
        <f t="shared" si="277"/>
        <v>0</v>
      </c>
    </row>
    <row r="5901" spans="1:11">
      <c r="A5901" t="s">
        <v>1899</v>
      </c>
      <c r="B5901" t="s">
        <v>12250</v>
      </c>
      <c r="C5901" t="s">
        <v>7482</v>
      </c>
      <c r="D5901" t="s">
        <v>12593</v>
      </c>
      <c r="E5901">
        <v>18707.05</v>
      </c>
      <c r="G5901" s="35"/>
      <c r="H5901" s="36">
        <f t="shared" si="278"/>
        <v>11785.441499999999</v>
      </c>
      <c r="I5901" s="37">
        <f t="shared" si="276"/>
        <v>11785.441499999999</v>
      </c>
      <c r="J5901" s="4"/>
      <c r="K5901" s="38">
        <f t="shared" si="277"/>
        <v>0</v>
      </c>
    </row>
    <row r="5902" spans="1:11">
      <c r="A5902" t="s">
        <v>1900</v>
      </c>
      <c r="B5902" t="s">
        <v>12250</v>
      </c>
      <c r="C5902" t="s">
        <v>7482</v>
      </c>
      <c r="D5902" t="s">
        <v>12594</v>
      </c>
      <c r="E5902">
        <v>26176.09</v>
      </c>
      <c r="G5902" s="35"/>
      <c r="H5902" s="36">
        <f t="shared" si="278"/>
        <v>16490.936700000002</v>
      </c>
      <c r="I5902" s="37">
        <f t="shared" si="276"/>
        <v>16490.936700000002</v>
      </c>
      <c r="J5902" s="4"/>
      <c r="K5902" s="38">
        <f t="shared" si="277"/>
        <v>0</v>
      </c>
    </row>
    <row r="5903" spans="1:11">
      <c r="A5903" t="s">
        <v>1901</v>
      </c>
      <c r="B5903" t="s">
        <v>12250</v>
      </c>
      <c r="C5903" t="s">
        <v>7482</v>
      </c>
      <c r="D5903" t="s">
        <v>11625</v>
      </c>
      <c r="E5903">
        <v>30894.14</v>
      </c>
      <c r="G5903" s="35"/>
      <c r="H5903" s="36">
        <f t="shared" si="278"/>
        <v>19463.308199999999</v>
      </c>
      <c r="I5903" s="37">
        <f t="shared" si="276"/>
        <v>19463.308199999999</v>
      </c>
      <c r="J5903" s="4"/>
      <c r="K5903" s="38">
        <f t="shared" si="277"/>
        <v>0</v>
      </c>
    </row>
    <row r="5904" spans="1:11">
      <c r="A5904" t="s">
        <v>1902</v>
      </c>
      <c r="B5904" t="s">
        <v>12250</v>
      </c>
      <c r="C5904" t="s">
        <v>7482</v>
      </c>
      <c r="D5904" t="s">
        <v>7492</v>
      </c>
      <c r="E5904">
        <v>81086.77</v>
      </c>
      <c r="G5904" s="35"/>
      <c r="H5904" s="36">
        <f t="shared" si="278"/>
        <v>51084.665100000006</v>
      </c>
      <c r="I5904" s="37">
        <f t="shared" si="276"/>
        <v>51084.665100000006</v>
      </c>
      <c r="J5904" s="4"/>
      <c r="K5904" s="38">
        <f t="shared" si="277"/>
        <v>0</v>
      </c>
    </row>
    <row r="5905" spans="1:11">
      <c r="A5905" t="s">
        <v>1903</v>
      </c>
      <c r="B5905" t="s">
        <v>12250</v>
      </c>
      <c r="C5905" t="s">
        <v>7482</v>
      </c>
      <c r="D5905" t="s">
        <v>11626</v>
      </c>
      <c r="E5905">
        <v>78404.72</v>
      </c>
      <c r="G5905" s="35"/>
      <c r="H5905" s="36">
        <f t="shared" si="278"/>
        <v>49394.973599999998</v>
      </c>
      <c r="I5905" s="37">
        <f t="shared" si="276"/>
        <v>49394.973599999998</v>
      </c>
      <c r="J5905" s="4"/>
      <c r="K5905" s="38">
        <f t="shared" si="277"/>
        <v>0</v>
      </c>
    </row>
    <row r="5906" spans="1:11">
      <c r="A5906" t="s">
        <v>1904</v>
      </c>
      <c r="B5906" t="s">
        <v>12250</v>
      </c>
      <c r="C5906" t="s">
        <v>7482</v>
      </c>
      <c r="D5906" t="s">
        <v>7493</v>
      </c>
      <c r="E5906">
        <v>87840.54</v>
      </c>
      <c r="G5906" s="35"/>
      <c r="H5906" s="36">
        <f t="shared" si="278"/>
        <v>55339.540199999996</v>
      </c>
      <c r="I5906" s="37">
        <f t="shared" si="276"/>
        <v>55339.540199999996</v>
      </c>
      <c r="J5906" s="4"/>
      <c r="K5906" s="38">
        <f t="shared" si="277"/>
        <v>0</v>
      </c>
    </row>
    <row r="5907" spans="1:11">
      <c r="A5907" t="s">
        <v>1905</v>
      </c>
      <c r="B5907" t="s">
        <v>12250</v>
      </c>
      <c r="C5907" t="s">
        <v>7482</v>
      </c>
      <c r="D5907" t="s">
        <v>12301</v>
      </c>
      <c r="E5907">
        <v>19889.990000000002</v>
      </c>
      <c r="G5907" s="35"/>
      <c r="H5907" s="36">
        <f t="shared" si="278"/>
        <v>12530.693700000002</v>
      </c>
      <c r="I5907" s="37">
        <f t="shared" si="276"/>
        <v>12530.693700000002</v>
      </c>
      <c r="J5907" s="4"/>
      <c r="K5907" s="38">
        <f t="shared" si="277"/>
        <v>0</v>
      </c>
    </row>
    <row r="5908" spans="1:11">
      <c r="A5908" t="s">
        <v>2163</v>
      </c>
      <c r="B5908" t="s">
        <v>12250</v>
      </c>
      <c r="C5908" t="s">
        <v>7719</v>
      </c>
      <c r="D5908" t="s">
        <v>7720</v>
      </c>
      <c r="E5908">
        <v>367564</v>
      </c>
      <c r="G5908" s="35"/>
      <c r="H5908" s="36">
        <f t="shared" si="278"/>
        <v>231565.32</v>
      </c>
      <c r="I5908" s="37">
        <f t="shared" si="276"/>
        <v>231565.32</v>
      </c>
      <c r="J5908" s="4"/>
      <c r="K5908" s="38">
        <f t="shared" si="277"/>
        <v>0</v>
      </c>
    </row>
    <row r="5909" spans="1:11">
      <c r="A5909" t="s">
        <v>12383</v>
      </c>
      <c r="B5909" t="s">
        <v>12250</v>
      </c>
      <c r="C5909" t="s">
        <v>7719</v>
      </c>
      <c r="D5909" t="s">
        <v>12384</v>
      </c>
      <c r="E5909">
        <v>227939.36</v>
      </c>
      <c r="G5909" s="35"/>
      <c r="H5909" s="36">
        <f t="shared" si="278"/>
        <v>143601.79679999998</v>
      </c>
      <c r="I5909" s="37">
        <f t="shared" si="276"/>
        <v>143601.79679999998</v>
      </c>
      <c r="J5909" s="4"/>
      <c r="K5909" s="38">
        <f t="shared" si="277"/>
        <v>0</v>
      </c>
    </row>
    <row r="5910" spans="1:11">
      <c r="A5910" t="s">
        <v>10599</v>
      </c>
      <c r="B5910" t="s">
        <v>12250</v>
      </c>
      <c r="C5910" t="s">
        <v>7809</v>
      </c>
      <c r="D5910" t="s">
        <v>10600</v>
      </c>
      <c r="E5910">
        <v>120091.97</v>
      </c>
      <c r="G5910" s="35"/>
      <c r="H5910" s="36">
        <f t="shared" si="278"/>
        <v>75657.941099999996</v>
      </c>
      <c r="I5910" s="37">
        <f t="shared" si="276"/>
        <v>75657.941099999996</v>
      </c>
      <c r="J5910" s="4"/>
      <c r="K5910" s="38">
        <f t="shared" si="277"/>
        <v>0</v>
      </c>
    </row>
    <row r="5911" spans="1:11">
      <c r="A5911" t="s">
        <v>11551</v>
      </c>
      <c r="B5911" t="s">
        <v>12250</v>
      </c>
      <c r="C5911" t="s">
        <v>11552</v>
      </c>
      <c r="D5911" t="s">
        <v>11786</v>
      </c>
      <c r="E5911">
        <v>135114.54</v>
      </c>
      <c r="G5911" s="35"/>
      <c r="H5911" s="36">
        <f t="shared" si="278"/>
        <v>85122.160200000013</v>
      </c>
      <c r="I5911" s="37">
        <f t="shared" si="276"/>
        <v>85122.160200000013</v>
      </c>
      <c r="J5911" s="4"/>
      <c r="K5911" s="38">
        <f t="shared" si="277"/>
        <v>0</v>
      </c>
    </row>
    <row r="5912" spans="1:11">
      <c r="A5912" t="s">
        <v>1813</v>
      </c>
      <c r="B5912" t="s">
        <v>12250</v>
      </c>
      <c r="C5912" t="s">
        <v>7416</v>
      </c>
      <c r="D5912" t="s">
        <v>7417</v>
      </c>
      <c r="E5912">
        <v>12998.66</v>
      </c>
      <c r="G5912" s="35"/>
      <c r="H5912" s="36">
        <f t="shared" si="278"/>
        <v>8189.1557999999995</v>
      </c>
      <c r="I5912" s="37">
        <f t="shared" si="276"/>
        <v>8189.1557999999995</v>
      </c>
      <c r="J5912" s="4"/>
      <c r="K5912" s="38">
        <f t="shared" si="277"/>
        <v>0</v>
      </c>
    </row>
    <row r="5913" spans="1:11">
      <c r="A5913" t="s">
        <v>1814</v>
      </c>
      <c r="B5913" t="s">
        <v>12250</v>
      </c>
      <c r="C5913" t="s">
        <v>7416</v>
      </c>
      <c r="D5913" t="s">
        <v>7418</v>
      </c>
      <c r="E5913">
        <v>1339.95</v>
      </c>
      <c r="G5913" s="35"/>
      <c r="H5913" s="36">
        <f t="shared" si="278"/>
        <v>844.16849999999999</v>
      </c>
      <c r="I5913" s="37">
        <f t="shared" si="276"/>
        <v>844.16849999999999</v>
      </c>
      <c r="J5913" s="4"/>
      <c r="K5913" s="38">
        <f t="shared" si="277"/>
        <v>0</v>
      </c>
    </row>
    <row r="5914" spans="1:11">
      <c r="A5914" t="s">
        <v>1815</v>
      </c>
      <c r="B5914" t="s">
        <v>12250</v>
      </c>
      <c r="C5914" t="s">
        <v>7416</v>
      </c>
      <c r="D5914" t="s">
        <v>7419</v>
      </c>
      <c r="E5914">
        <v>14181.6</v>
      </c>
      <c r="G5914" s="35"/>
      <c r="H5914" s="36">
        <f t="shared" si="278"/>
        <v>8934.4079999999994</v>
      </c>
      <c r="I5914" s="37">
        <f t="shared" si="276"/>
        <v>8934.4079999999994</v>
      </c>
      <c r="J5914" s="4"/>
      <c r="K5914" s="38">
        <f t="shared" si="277"/>
        <v>0</v>
      </c>
    </row>
    <row r="5915" spans="1:11">
      <c r="A5915" t="s">
        <v>1816</v>
      </c>
      <c r="B5915" t="s">
        <v>12250</v>
      </c>
      <c r="C5915" t="s">
        <v>7416</v>
      </c>
      <c r="D5915" t="s">
        <v>7420</v>
      </c>
      <c r="E5915">
        <v>22338.42</v>
      </c>
      <c r="G5915" s="35"/>
      <c r="H5915" s="36">
        <f t="shared" si="278"/>
        <v>14073.204599999999</v>
      </c>
      <c r="I5915" s="37">
        <f t="shared" si="276"/>
        <v>14073.204599999999</v>
      </c>
      <c r="J5915" s="4"/>
      <c r="K5915" s="38">
        <f t="shared" si="277"/>
        <v>0</v>
      </c>
    </row>
    <row r="5916" spans="1:11">
      <c r="A5916" t="s">
        <v>1817</v>
      </c>
      <c r="B5916" t="s">
        <v>12250</v>
      </c>
      <c r="C5916" t="s">
        <v>7416</v>
      </c>
      <c r="D5916" t="s">
        <v>7421</v>
      </c>
      <c r="E5916">
        <v>40110.21</v>
      </c>
      <c r="G5916" s="35"/>
      <c r="H5916" s="36">
        <f t="shared" si="278"/>
        <v>25269.4323</v>
      </c>
      <c r="I5916" s="37">
        <f t="shared" si="276"/>
        <v>25269.4323</v>
      </c>
      <c r="J5916" s="4"/>
      <c r="K5916" s="38">
        <f t="shared" si="277"/>
        <v>0</v>
      </c>
    </row>
    <row r="5917" spans="1:11">
      <c r="A5917" t="s">
        <v>1818</v>
      </c>
      <c r="B5917" t="s">
        <v>12250</v>
      </c>
      <c r="C5917" t="s">
        <v>7416</v>
      </c>
      <c r="D5917" t="s">
        <v>7422</v>
      </c>
      <c r="E5917">
        <v>15735.97</v>
      </c>
      <c r="G5917" s="35"/>
      <c r="H5917" s="36">
        <f t="shared" si="278"/>
        <v>9913.6610999999994</v>
      </c>
      <c r="I5917" s="37">
        <f t="shared" si="276"/>
        <v>9913.6610999999994</v>
      </c>
      <c r="J5917" s="4"/>
      <c r="K5917" s="38">
        <f t="shared" si="277"/>
        <v>0</v>
      </c>
    </row>
    <row r="5918" spans="1:11">
      <c r="A5918" t="s">
        <v>1819</v>
      </c>
      <c r="B5918" t="s">
        <v>12250</v>
      </c>
      <c r="C5918" t="s">
        <v>7416</v>
      </c>
      <c r="D5918" t="s">
        <v>7423</v>
      </c>
      <c r="E5918">
        <v>16685.080000000002</v>
      </c>
      <c r="G5918" s="35"/>
      <c r="H5918" s="36">
        <f t="shared" si="278"/>
        <v>10511.600400000001</v>
      </c>
      <c r="I5918" s="37">
        <f t="shared" si="276"/>
        <v>10511.600400000001</v>
      </c>
      <c r="J5918" s="4"/>
      <c r="K5918" s="38">
        <f t="shared" si="277"/>
        <v>0</v>
      </c>
    </row>
    <row r="5919" spans="1:11">
      <c r="A5919" t="s">
        <v>11543</v>
      </c>
      <c r="B5919" t="s">
        <v>12250</v>
      </c>
      <c r="C5919" t="s">
        <v>7416</v>
      </c>
      <c r="D5919" t="s">
        <v>11544</v>
      </c>
      <c r="E5919">
        <v>9876.2199999999993</v>
      </c>
      <c r="G5919" s="35"/>
      <c r="H5919" s="36">
        <f t="shared" si="278"/>
        <v>6222.0185999999994</v>
      </c>
      <c r="I5919" s="37">
        <f t="shared" si="276"/>
        <v>6222.0185999999994</v>
      </c>
      <c r="J5919" s="4"/>
      <c r="K5919" s="38">
        <f t="shared" si="277"/>
        <v>0</v>
      </c>
    </row>
    <row r="5920" spans="1:11">
      <c r="A5920" t="s">
        <v>1820</v>
      </c>
      <c r="B5920" t="s">
        <v>12250</v>
      </c>
      <c r="C5920" t="s">
        <v>7416</v>
      </c>
      <c r="D5920" t="s">
        <v>7424</v>
      </c>
      <c r="E5920">
        <v>17909.259999999998</v>
      </c>
      <c r="G5920" s="35"/>
      <c r="H5920" s="36">
        <f t="shared" si="278"/>
        <v>11282.833799999999</v>
      </c>
      <c r="I5920" s="37">
        <f t="shared" si="276"/>
        <v>11282.833799999999</v>
      </c>
      <c r="J5920" s="4"/>
      <c r="K5920" s="38">
        <f t="shared" si="277"/>
        <v>0</v>
      </c>
    </row>
    <row r="5921" spans="1:11">
      <c r="A5921" t="s">
        <v>1821</v>
      </c>
      <c r="B5921" t="s">
        <v>12250</v>
      </c>
      <c r="C5921" t="s">
        <v>7416</v>
      </c>
      <c r="D5921" t="s">
        <v>7425</v>
      </c>
      <c r="E5921">
        <v>17482.89</v>
      </c>
      <c r="G5921" s="35"/>
      <c r="H5921" s="36">
        <f t="shared" si="278"/>
        <v>11014.2207</v>
      </c>
      <c r="I5921" s="37">
        <f t="shared" si="276"/>
        <v>11014.2207</v>
      </c>
      <c r="J5921" s="4"/>
      <c r="K5921" s="38">
        <f t="shared" si="277"/>
        <v>0</v>
      </c>
    </row>
    <row r="5922" spans="1:11">
      <c r="A5922" t="s">
        <v>1822</v>
      </c>
      <c r="B5922" t="s">
        <v>12250</v>
      </c>
      <c r="C5922" t="s">
        <v>7416</v>
      </c>
      <c r="D5922" t="s">
        <v>7426</v>
      </c>
      <c r="E5922">
        <v>12407.17</v>
      </c>
      <c r="G5922" s="35"/>
      <c r="H5922" s="36">
        <f t="shared" si="278"/>
        <v>7816.5171</v>
      </c>
      <c r="I5922" s="37">
        <f t="shared" si="276"/>
        <v>7816.5171</v>
      </c>
      <c r="J5922" s="4"/>
      <c r="K5922" s="38">
        <f t="shared" si="277"/>
        <v>0</v>
      </c>
    </row>
    <row r="5923" spans="1:11">
      <c r="A5923" t="s">
        <v>1823</v>
      </c>
      <c r="B5923" t="s">
        <v>12250</v>
      </c>
      <c r="C5923" t="s">
        <v>7416</v>
      </c>
      <c r="D5923" t="s">
        <v>7427</v>
      </c>
      <c r="E5923">
        <v>19656.2</v>
      </c>
      <c r="G5923" s="35"/>
      <c r="H5923" s="36">
        <f t="shared" si="278"/>
        <v>12383.406000000001</v>
      </c>
      <c r="I5923" s="37">
        <f t="shared" si="276"/>
        <v>12383.406000000001</v>
      </c>
      <c r="J5923" s="4"/>
      <c r="K5923" s="38">
        <f t="shared" si="277"/>
        <v>0</v>
      </c>
    </row>
    <row r="5924" spans="1:11">
      <c r="A5924" t="s">
        <v>1824</v>
      </c>
      <c r="B5924" t="s">
        <v>12250</v>
      </c>
      <c r="C5924" t="s">
        <v>7416</v>
      </c>
      <c r="D5924" t="s">
        <v>7428</v>
      </c>
      <c r="E5924">
        <v>29229.83</v>
      </c>
      <c r="G5924" s="35"/>
      <c r="H5924" s="36">
        <f t="shared" si="278"/>
        <v>18414.7929</v>
      </c>
      <c r="I5924" s="37">
        <f t="shared" si="276"/>
        <v>18414.7929</v>
      </c>
      <c r="J5924" s="4"/>
      <c r="K5924" s="38">
        <f t="shared" si="277"/>
        <v>0</v>
      </c>
    </row>
    <row r="5925" spans="1:11">
      <c r="A5925" t="s">
        <v>1825</v>
      </c>
      <c r="B5925" t="s">
        <v>12250</v>
      </c>
      <c r="C5925" t="s">
        <v>7416</v>
      </c>
      <c r="D5925" t="s">
        <v>7429</v>
      </c>
      <c r="E5925">
        <v>17496.61</v>
      </c>
      <c r="G5925" s="35"/>
      <c r="H5925" s="36">
        <f t="shared" si="278"/>
        <v>11022.864300000001</v>
      </c>
      <c r="I5925" s="37">
        <f t="shared" si="276"/>
        <v>11022.864300000001</v>
      </c>
      <c r="J5925" s="4"/>
      <c r="K5925" s="38">
        <f t="shared" si="277"/>
        <v>0</v>
      </c>
    </row>
    <row r="5926" spans="1:11">
      <c r="A5926" t="s">
        <v>1826</v>
      </c>
      <c r="B5926" t="s">
        <v>12250</v>
      </c>
      <c r="C5926" t="s">
        <v>7416</v>
      </c>
      <c r="D5926" t="s">
        <v>12451</v>
      </c>
      <c r="E5926">
        <v>14649.28</v>
      </c>
      <c r="G5926" s="35"/>
      <c r="H5926" s="36">
        <f t="shared" si="278"/>
        <v>9229.0464000000011</v>
      </c>
      <c r="I5926" s="37">
        <f t="shared" si="276"/>
        <v>9229.0464000000011</v>
      </c>
      <c r="J5926" s="4"/>
      <c r="K5926" s="38">
        <f t="shared" si="277"/>
        <v>0</v>
      </c>
    </row>
    <row r="5927" spans="1:11">
      <c r="A5927" t="s">
        <v>1827</v>
      </c>
      <c r="B5927" t="s">
        <v>12250</v>
      </c>
      <c r="C5927" t="s">
        <v>7416</v>
      </c>
      <c r="D5927" t="s">
        <v>7430</v>
      </c>
      <c r="E5927">
        <v>16602.52</v>
      </c>
      <c r="G5927" s="35"/>
      <c r="H5927" s="36">
        <f t="shared" si="278"/>
        <v>10459.587600000001</v>
      </c>
      <c r="I5927" s="37">
        <f t="shared" si="276"/>
        <v>10459.587600000001</v>
      </c>
      <c r="J5927" s="4"/>
      <c r="K5927" s="38">
        <f t="shared" si="277"/>
        <v>0</v>
      </c>
    </row>
    <row r="5928" spans="1:11">
      <c r="A5928" t="s">
        <v>1828</v>
      </c>
      <c r="B5928" t="s">
        <v>12250</v>
      </c>
      <c r="C5928" t="s">
        <v>7416</v>
      </c>
      <c r="D5928" t="s">
        <v>7431</v>
      </c>
      <c r="E5928">
        <v>15309.55</v>
      </c>
      <c r="G5928" s="35"/>
      <c r="H5928" s="36">
        <f t="shared" si="278"/>
        <v>9645.0164999999997</v>
      </c>
      <c r="I5928" s="37">
        <f t="shared" si="276"/>
        <v>9645.0164999999997</v>
      </c>
      <c r="J5928" s="4"/>
      <c r="K5928" s="38">
        <f t="shared" si="277"/>
        <v>0</v>
      </c>
    </row>
    <row r="5929" spans="1:11">
      <c r="A5929" t="s">
        <v>1829</v>
      </c>
      <c r="B5929" t="s">
        <v>12250</v>
      </c>
      <c r="C5929" t="s">
        <v>7416</v>
      </c>
      <c r="D5929" t="s">
        <v>7432</v>
      </c>
      <c r="E5929">
        <v>15502.1</v>
      </c>
      <c r="G5929" s="35"/>
      <c r="H5929" s="36">
        <f t="shared" si="278"/>
        <v>9766.3230000000003</v>
      </c>
      <c r="I5929" s="37">
        <f t="shared" si="276"/>
        <v>9766.3230000000003</v>
      </c>
      <c r="J5929" s="4"/>
      <c r="K5929" s="38">
        <f t="shared" si="277"/>
        <v>0</v>
      </c>
    </row>
    <row r="5930" spans="1:11">
      <c r="A5930" t="s">
        <v>1830</v>
      </c>
      <c r="B5930" t="s">
        <v>12250</v>
      </c>
      <c r="C5930" t="s">
        <v>7416</v>
      </c>
      <c r="D5930" t="s">
        <v>7433</v>
      </c>
      <c r="E5930">
        <v>24140.400000000001</v>
      </c>
      <c r="G5930" s="35"/>
      <c r="H5930" s="36">
        <f t="shared" si="278"/>
        <v>15208.452000000001</v>
      </c>
      <c r="I5930" s="37">
        <f t="shared" si="276"/>
        <v>15208.452000000001</v>
      </c>
      <c r="J5930" s="4"/>
      <c r="K5930" s="38">
        <f t="shared" si="277"/>
        <v>0</v>
      </c>
    </row>
    <row r="5931" spans="1:11">
      <c r="A5931" t="s">
        <v>1831</v>
      </c>
      <c r="B5931" t="s">
        <v>12250</v>
      </c>
      <c r="C5931" t="s">
        <v>7416</v>
      </c>
      <c r="D5931" t="s">
        <v>7434</v>
      </c>
      <c r="E5931">
        <v>42545.58</v>
      </c>
      <c r="G5931" s="35"/>
      <c r="H5931" s="36">
        <f t="shared" si="278"/>
        <v>26803.715400000001</v>
      </c>
      <c r="I5931" s="37">
        <f t="shared" si="276"/>
        <v>26803.715400000001</v>
      </c>
      <c r="J5931" s="4"/>
      <c r="K5931" s="38">
        <f t="shared" si="277"/>
        <v>0</v>
      </c>
    </row>
    <row r="5932" spans="1:11">
      <c r="A5932" t="s">
        <v>1832</v>
      </c>
      <c r="B5932" t="s">
        <v>12250</v>
      </c>
      <c r="C5932" t="s">
        <v>7416</v>
      </c>
      <c r="D5932" t="s">
        <v>7435</v>
      </c>
      <c r="E5932">
        <v>41334.300000000003</v>
      </c>
      <c r="G5932" s="35"/>
      <c r="H5932" s="36">
        <f t="shared" si="278"/>
        <v>26040.609</v>
      </c>
      <c r="I5932" s="37">
        <f t="shared" si="276"/>
        <v>26040.609</v>
      </c>
      <c r="J5932" s="4"/>
      <c r="K5932" s="38">
        <f t="shared" si="277"/>
        <v>0</v>
      </c>
    </row>
    <row r="5933" spans="1:11">
      <c r="A5933" t="s">
        <v>2100</v>
      </c>
      <c r="B5933" t="s">
        <v>12250</v>
      </c>
      <c r="C5933" t="s">
        <v>7669</v>
      </c>
      <c r="D5933" t="s">
        <v>11926</v>
      </c>
      <c r="E5933">
        <v>82166.83</v>
      </c>
      <c r="G5933" s="35"/>
      <c r="H5933" s="36">
        <f t="shared" si="278"/>
        <v>51765.102899999998</v>
      </c>
      <c r="I5933" s="37">
        <f t="shared" si="276"/>
        <v>51765.102899999998</v>
      </c>
      <c r="J5933" s="4"/>
      <c r="K5933" s="38">
        <f t="shared" si="277"/>
        <v>0</v>
      </c>
    </row>
    <row r="5934" spans="1:11">
      <c r="A5934" t="s">
        <v>11195</v>
      </c>
      <c r="B5934" t="s">
        <v>12250</v>
      </c>
      <c r="C5934" t="s">
        <v>7669</v>
      </c>
      <c r="D5934" t="s">
        <v>11196</v>
      </c>
      <c r="E5934">
        <v>109183.46</v>
      </c>
      <c r="G5934" s="35"/>
      <c r="H5934" s="36">
        <f t="shared" si="278"/>
        <v>68785.579800000007</v>
      </c>
      <c r="I5934" s="37">
        <f t="shared" si="276"/>
        <v>68785.579800000007</v>
      </c>
      <c r="J5934" s="4"/>
      <c r="K5934" s="38">
        <f t="shared" si="277"/>
        <v>0</v>
      </c>
    </row>
    <row r="5935" spans="1:11">
      <c r="A5935" t="s">
        <v>11285</v>
      </c>
      <c r="B5935" t="s">
        <v>12250</v>
      </c>
      <c r="C5935" t="s">
        <v>7669</v>
      </c>
      <c r="D5935" t="s">
        <v>11286</v>
      </c>
      <c r="E5935">
        <v>265054</v>
      </c>
      <c r="G5935" s="35"/>
      <c r="H5935" s="36">
        <f t="shared" si="278"/>
        <v>166984.01999999999</v>
      </c>
      <c r="I5935" s="37">
        <f t="shared" si="276"/>
        <v>166984.01999999999</v>
      </c>
      <c r="J5935" s="4"/>
      <c r="K5935" s="38">
        <f t="shared" si="277"/>
        <v>0</v>
      </c>
    </row>
    <row r="5936" spans="1:11">
      <c r="A5936" t="s">
        <v>1965</v>
      </c>
      <c r="B5936" t="s">
        <v>12250</v>
      </c>
      <c r="C5936" t="s">
        <v>7551</v>
      </c>
      <c r="D5936" t="s">
        <v>12311</v>
      </c>
      <c r="E5936">
        <v>38351.81</v>
      </c>
      <c r="G5936" s="35"/>
      <c r="H5936" s="36">
        <f t="shared" si="278"/>
        <v>24161.640299999999</v>
      </c>
      <c r="I5936" s="37">
        <f t="shared" si="276"/>
        <v>24161.640299999999</v>
      </c>
      <c r="J5936" s="4"/>
      <c r="K5936" s="38">
        <f t="shared" si="277"/>
        <v>0</v>
      </c>
    </row>
    <row r="5937" spans="1:11">
      <c r="A5937" t="s">
        <v>1966</v>
      </c>
      <c r="B5937" t="s">
        <v>12250</v>
      </c>
      <c r="C5937" t="s">
        <v>7551</v>
      </c>
      <c r="D5937" t="s">
        <v>7552</v>
      </c>
      <c r="E5937">
        <v>112269.77</v>
      </c>
      <c r="G5937" s="35"/>
      <c r="H5937" s="36">
        <f t="shared" si="278"/>
        <v>70729.955100000006</v>
      </c>
      <c r="I5937" s="37">
        <f t="shared" si="276"/>
        <v>70729.955100000006</v>
      </c>
      <c r="J5937" s="4"/>
      <c r="K5937" s="38">
        <f t="shared" si="277"/>
        <v>0</v>
      </c>
    </row>
    <row r="5938" spans="1:11">
      <c r="A5938" t="s">
        <v>12388</v>
      </c>
      <c r="B5938" t="s">
        <v>12250</v>
      </c>
      <c r="C5938" t="s">
        <v>12389</v>
      </c>
      <c r="D5938" t="s">
        <v>12390</v>
      </c>
      <c r="E5938">
        <v>327522.14</v>
      </c>
      <c r="G5938" s="35"/>
      <c r="H5938" s="36">
        <f t="shared" si="278"/>
        <v>206338.94820000001</v>
      </c>
      <c r="I5938" s="37">
        <f t="shared" si="276"/>
        <v>206338.94820000001</v>
      </c>
      <c r="J5938" s="4"/>
      <c r="K5938" s="38">
        <f t="shared" si="277"/>
        <v>0</v>
      </c>
    </row>
    <row r="5939" spans="1:11">
      <c r="A5939" t="s">
        <v>2165</v>
      </c>
      <c r="B5939" t="s">
        <v>12250</v>
      </c>
      <c r="C5939" t="s">
        <v>7723</v>
      </c>
      <c r="D5939" t="s">
        <v>7724</v>
      </c>
      <c r="E5939">
        <v>9528.6299999999992</v>
      </c>
      <c r="G5939" s="35"/>
      <c r="H5939" s="36">
        <f t="shared" si="278"/>
        <v>6003.0368999999992</v>
      </c>
      <c r="I5939" s="37">
        <f t="shared" si="276"/>
        <v>6003.0368999999992</v>
      </c>
      <c r="J5939" s="4"/>
      <c r="K5939" s="38">
        <f t="shared" si="277"/>
        <v>0</v>
      </c>
    </row>
    <row r="5940" spans="1:11">
      <c r="A5940" t="s">
        <v>2166</v>
      </c>
      <c r="B5940" t="s">
        <v>12250</v>
      </c>
      <c r="C5940" t="s">
        <v>7723</v>
      </c>
      <c r="D5940" t="s">
        <v>11739</v>
      </c>
      <c r="E5940">
        <v>27698.16</v>
      </c>
      <c r="G5940" s="35"/>
      <c r="H5940" s="36">
        <f t="shared" si="278"/>
        <v>17449.840800000002</v>
      </c>
      <c r="I5940" s="37">
        <f t="shared" si="276"/>
        <v>17449.840800000002</v>
      </c>
      <c r="J5940" s="4"/>
      <c r="K5940" s="38">
        <f t="shared" si="277"/>
        <v>0</v>
      </c>
    </row>
    <row r="5941" spans="1:11">
      <c r="A5941" t="s">
        <v>2167</v>
      </c>
      <c r="B5941" t="s">
        <v>12250</v>
      </c>
      <c r="C5941" t="s">
        <v>7723</v>
      </c>
      <c r="D5941" t="s">
        <v>12606</v>
      </c>
      <c r="E5941">
        <v>47047.09</v>
      </c>
      <c r="G5941" s="35"/>
      <c r="H5941" s="36">
        <f t="shared" si="278"/>
        <v>29639.666699999998</v>
      </c>
      <c r="I5941" s="37">
        <f t="shared" si="276"/>
        <v>29639.666699999998</v>
      </c>
      <c r="J5941" s="4"/>
      <c r="K5941" s="38">
        <f t="shared" si="277"/>
        <v>0</v>
      </c>
    </row>
    <row r="5942" spans="1:11">
      <c r="A5942" t="s">
        <v>2168</v>
      </c>
      <c r="B5942" t="s">
        <v>12250</v>
      </c>
      <c r="C5942" t="s">
        <v>7723</v>
      </c>
      <c r="D5942" t="s">
        <v>7725</v>
      </c>
      <c r="E5942">
        <v>5725.16</v>
      </c>
      <c r="G5942" s="35"/>
      <c r="H5942" s="36">
        <f t="shared" si="278"/>
        <v>3606.8507999999997</v>
      </c>
      <c r="I5942" s="37">
        <f t="shared" si="276"/>
        <v>3606.8507999999997</v>
      </c>
      <c r="J5942" s="4"/>
      <c r="K5942" s="38">
        <f t="shared" si="277"/>
        <v>0</v>
      </c>
    </row>
    <row r="5943" spans="1:11">
      <c r="A5943" t="s">
        <v>2169</v>
      </c>
      <c r="B5943" t="s">
        <v>12250</v>
      </c>
      <c r="C5943" t="s">
        <v>7723</v>
      </c>
      <c r="D5943" t="s">
        <v>7726</v>
      </c>
      <c r="E5943">
        <v>15227.38</v>
      </c>
      <c r="G5943" s="35"/>
      <c r="H5943" s="36">
        <f t="shared" si="278"/>
        <v>9593.2493999999988</v>
      </c>
      <c r="I5943" s="37">
        <f t="shared" si="276"/>
        <v>9593.2493999999988</v>
      </c>
      <c r="J5943" s="4"/>
      <c r="K5943" s="38">
        <f t="shared" si="277"/>
        <v>0</v>
      </c>
    </row>
    <row r="5944" spans="1:11">
      <c r="A5944" t="s">
        <v>2170</v>
      </c>
      <c r="B5944" t="s">
        <v>12250</v>
      </c>
      <c r="C5944" t="s">
        <v>7723</v>
      </c>
      <c r="D5944" t="s">
        <v>7727</v>
      </c>
      <c r="E5944">
        <v>9528.6299999999992</v>
      </c>
      <c r="G5944" s="35"/>
      <c r="H5944" s="36">
        <f t="shared" si="278"/>
        <v>6003.0368999999992</v>
      </c>
      <c r="I5944" s="37">
        <f t="shared" si="276"/>
        <v>6003.0368999999992</v>
      </c>
      <c r="J5944" s="4"/>
      <c r="K5944" s="38">
        <f t="shared" si="277"/>
        <v>0</v>
      </c>
    </row>
    <row r="5945" spans="1:11">
      <c r="A5945" t="s">
        <v>2171</v>
      </c>
      <c r="B5945" t="s">
        <v>12250</v>
      </c>
      <c r="C5945" t="s">
        <v>7723</v>
      </c>
      <c r="D5945" t="s">
        <v>7728</v>
      </c>
      <c r="E5945">
        <v>73088.66</v>
      </c>
      <c r="G5945" s="35"/>
      <c r="H5945" s="36">
        <f t="shared" si="278"/>
        <v>46045.855800000005</v>
      </c>
      <c r="I5945" s="37">
        <f t="shared" si="276"/>
        <v>46045.855800000005</v>
      </c>
      <c r="J5945" s="4"/>
      <c r="K5945" s="38">
        <f t="shared" si="277"/>
        <v>0</v>
      </c>
    </row>
    <row r="5946" spans="1:11">
      <c r="A5946" t="s">
        <v>2172</v>
      </c>
      <c r="B5946" t="s">
        <v>12250</v>
      </c>
      <c r="C5946" t="s">
        <v>7723</v>
      </c>
      <c r="D5946" t="s">
        <v>7729</v>
      </c>
      <c r="E5946">
        <v>53593.94</v>
      </c>
      <c r="G5946" s="35"/>
      <c r="H5946" s="36">
        <f t="shared" si="278"/>
        <v>33764.182200000003</v>
      </c>
      <c r="I5946" s="37">
        <f t="shared" si="276"/>
        <v>33764.182200000003</v>
      </c>
      <c r="J5946" s="4"/>
      <c r="K5946" s="38">
        <f t="shared" si="277"/>
        <v>0</v>
      </c>
    </row>
    <row r="5947" spans="1:11">
      <c r="A5947" t="s">
        <v>2173</v>
      </c>
      <c r="B5947" t="s">
        <v>12250</v>
      </c>
      <c r="C5947" t="s">
        <v>7723</v>
      </c>
      <c r="D5947" t="s">
        <v>11683</v>
      </c>
      <c r="E5947">
        <v>8521.4599999999991</v>
      </c>
      <c r="G5947" s="35"/>
      <c r="H5947" s="36">
        <f t="shared" si="278"/>
        <v>5368.5197999999991</v>
      </c>
      <c r="I5947" s="37">
        <f t="shared" si="276"/>
        <v>5368.5197999999991</v>
      </c>
      <c r="J5947" s="4"/>
      <c r="K5947" s="38">
        <f t="shared" si="277"/>
        <v>0</v>
      </c>
    </row>
    <row r="5948" spans="1:11">
      <c r="A5948" t="s">
        <v>2174</v>
      </c>
      <c r="B5948" t="s">
        <v>12250</v>
      </c>
      <c r="C5948" t="s">
        <v>7723</v>
      </c>
      <c r="D5948" t="s">
        <v>7730</v>
      </c>
      <c r="E5948">
        <v>15227.38</v>
      </c>
      <c r="G5948" s="35"/>
      <c r="H5948" s="36">
        <f t="shared" si="278"/>
        <v>9593.2493999999988</v>
      </c>
      <c r="I5948" s="37">
        <f t="shared" si="276"/>
        <v>9593.2493999999988</v>
      </c>
      <c r="J5948" s="4"/>
      <c r="K5948" s="38">
        <f t="shared" si="277"/>
        <v>0</v>
      </c>
    </row>
    <row r="5949" spans="1:11">
      <c r="A5949" t="s">
        <v>2175</v>
      </c>
      <c r="B5949" t="s">
        <v>12250</v>
      </c>
      <c r="C5949" t="s">
        <v>7723</v>
      </c>
      <c r="D5949" t="s">
        <v>11684</v>
      </c>
      <c r="E5949">
        <v>5725.16</v>
      </c>
      <c r="G5949" s="35"/>
      <c r="H5949" s="36">
        <f t="shared" si="278"/>
        <v>3606.8507999999997</v>
      </c>
      <c r="I5949" s="37">
        <f t="shared" si="276"/>
        <v>3606.8507999999997</v>
      </c>
      <c r="J5949" s="4"/>
      <c r="K5949" s="38">
        <f t="shared" si="277"/>
        <v>0</v>
      </c>
    </row>
    <row r="5950" spans="1:11">
      <c r="A5950" t="s">
        <v>2136</v>
      </c>
      <c r="B5950" t="s">
        <v>12250</v>
      </c>
      <c r="C5950" t="s">
        <v>7694</v>
      </c>
      <c r="D5950" t="s">
        <v>10569</v>
      </c>
      <c r="E5950">
        <v>124488.26</v>
      </c>
      <c r="G5950" s="35"/>
      <c r="H5950" s="36">
        <f t="shared" si="278"/>
        <v>78427.603799999997</v>
      </c>
      <c r="I5950" s="37">
        <f t="shared" si="276"/>
        <v>78427.603799999997</v>
      </c>
      <c r="J5950" s="4"/>
      <c r="K5950" s="38">
        <f t="shared" si="277"/>
        <v>0</v>
      </c>
    </row>
    <row r="5951" spans="1:11">
      <c r="A5951" t="s">
        <v>1953</v>
      </c>
      <c r="B5951" t="s">
        <v>12250</v>
      </c>
      <c r="C5951" t="s">
        <v>7539</v>
      </c>
      <c r="D5951" t="s">
        <v>11268</v>
      </c>
      <c r="E5951">
        <v>13053.67</v>
      </c>
      <c r="G5951" s="35"/>
      <c r="H5951" s="36">
        <f t="shared" si="278"/>
        <v>8223.812100000001</v>
      </c>
      <c r="I5951" s="37">
        <f t="shared" si="276"/>
        <v>8223.812100000001</v>
      </c>
      <c r="J5951" s="4"/>
      <c r="K5951" s="38">
        <f t="shared" si="277"/>
        <v>0</v>
      </c>
    </row>
    <row r="5952" spans="1:11">
      <c r="A5952" t="s">
        <v>1954</v>
      </c>
      <c r="B5952" t="s">
        <v>12250</v>
      </c>
      <c r="C5952" t="s">
        <v>7539</v>
      </c>
      <c r="D5952" t="s">
        <v>7540</v>
      </c>
      <c r="E5952">
        <v>19862.52</v>
      </c>
      <c r="G5952" s="35"/>
      <c r="H5952" s="36">
        <f t="shared" si="278"/>
        <v>12513.3876</v>
      </c>
      <c r="I5952" s="37">
        <f t="shared" si="276"/>
        <v>12513.3876</v>
      </c>
      <c r="J5952" s="4"/>
      <c r="K5952" s="38">
        <f t="shared" si="277"/>
        <v>0</v>
      </c>
    </row>
    <row r="5953" spans="1:11">
      <c r="A5953" t="s">
        <v>1955</v>
      </c>
      <c r="B5953" t="s">
        <v>12250</v>
      </c>
      <c r="C5953" t="s">
        <v>7539</v>
      </c>
      <c r="D5953" t="s">
        <v>7541</v>
      </c>
      <c r="E5953">
        <v>69477.59</v>
      </c>
      <c r="G5953" s="35"/>
      <c r="H5953" s="36">
        <f t="shared" si="278"/>
        <v>43770.881699999998</v>
      </c>
      <c r="I5953" s="37">
        <f t="shared" si="276"/>
        <v>43770.881699999998</v>
      </c>
      <c r="J5953" s="4"/>
      <c r="K5953" s="38">
        <f t="shared" si="277"/>
        <v>0</v>
      </c>
    </row>
    <row r="5954" spans="1:11">
      <c r="A5954" t="s">
        <v>2047</v>
      </c>
      <c r="B5954" t="s">
        <v>12250</v>
      </c>
      <c r="C5954" t="s">
        <v>7632</v>
      </c>
      <c r="D5954" t="s">
        <v>7633</v>
      </c>
      <c r="E5954">
        <v>276319.42</v>
      </c>
      <c r="G5954" s="35"/>
      <c r="H5954" s="36">
        <f t="shared" si="278"/>
        <v>174081.2346</v>
      </c>
      <c r="I5954" s="37">
        <f t="shared" si="276"/>
        <v>174081.2346</v>
      </c>
      <c r="J5954" s="4"/>
      <c r="K5954" s="38">
        <f t="shared" si="277"/>
        <v>0</v>
      </c>
    </row>
    <row r="5955" spans="1:11">
      <c r="A5955" t="s">
        <v>12257</v>
      </c>
      <c r="B5955" t="s">
        <v>12250</v>
      </c>
      <c r="C5955" t="s">
        <v>7632</v>
      </c>
      <c r="D5955" t="s">
        <v>12264</v>
      </c>
      <c r="E5955">
        <v>176708.23</v>
      </c>
      <c r="G5955" s="35"/>
      <c r="H5955" s="36">
        <f t="shared" si="278"/>
        <v>111326.18490000001</v>
      </c>
      <c r="I5955" s="37">
        <f t="shared" si="276"/>
        <v>111326.18490000001</v>
      </c>
      <c r="J5955" s="4"/>
      <c r="K5955" s="38">
        <f t="shared" si="277"/>
        <v>0</v>
      </c>
    </row>
    <row r="5956" spans="1:11">
      <c r="A5956" t="s">
        <v>1956</v>
      </c>
      <c r="B5956" t="s">
        <v>12250</v>
      </c>
      <c r="C5956" t="s">
        <v>7542</v>
      </c>
      <c r="D5956" t="s">
        <v>7543</v>
      </c>
      <c r="E5956">
        <v>12022.03</v>
      </c>
      <c r="G5956" s="35"/>
      <c r="H5956" s="36">
        <f t="shared" si="278"/>
        <v>7573.8789000000006</v>
      </c>
      <c r="I5956" s="37">
        <f t="shared" si="276"/>
        <v>7573.8789000000006</v>
      </c>
      <c r="J5956" s="4"/>
      <c r="K5956" s="38">
        <f t="shared" si="277"/>
        <v>0</v>
      </c>
    </row>
    <row r="5957" spans="1:11">
      <c r="A5957" t="s">
        <v>1957</v>
      </c>
      <c r="B5957" t="s">
        <v>12250</v>
      </c>
      <c r="C5957" t="s">
        <v>7542</v>
      </c>
      <c r="D5957" t="s">
        <v>7544</v>
      </c>
      <c r="E5957">
        <v>12365.98</v>
      </c>
      <c r="G5957" s="35"/>
      <c r="H5957" s="36">
        <f t="shared" si="278"/>
        <v>7790.5673999999999</v>
      </c>
      <c r="I5957" s="37">
        <f t="shared" si="276"/>
        <v>7790.5673999999999</v>
      </c>
      <c r="J5957" s="4"/>
      <c r="K5957" s="38">
        <f t="shared" si="277"/>
        <v>0</v>
      </c>
    </row>
    <row r="5958" spans="1:11">
      <c r="A5958" t="s">
        <v>1958</v>
      </c>
      <c r="B5958" t="s">
        <v>12250</v>
      </c>
      <c r="C5958" t="s">
        <v>7542</v>
      </c>
      <c r="D5958" t="s">
        <v>7545</v>
      </c>
      <c r="E5958">
        <v>12971.13</v>
      </c>
      <c r="G5958" s="35"/>
      <c r="H5958" s="36">
        <f t="shared" si="278"/>
        <v>8171.8118999999997</v>
      </c>
      <c r="I5958" s="37">
        <f t="shared" ref="I5958:I6021" si="279">H5958*$H$4</f>
        <v>8171.8118999999997</v>
      </c>
      <c r="J5958" s="4"/>
      <c r="K5958" s="38">
        <f t="shared" ref="K5958:K6021" si="280">J5958*I5958</f>
        <v>0</v>
      </c>
    </row>
    <row r="5959" spans="1:11">
      <c r="A5959" t="s">
        <v>1959</v>
      </c>
      <c r="B5959" t="s">
        <v>12250</v>
      </c>
      <c r="C5959" t="s">
        <v>7542</v>
      </c>
      <c r="D5959" t="s">
        <v>7546</v>
      </c>
      <c r="E5959">
        <v>22365.93</v>
      </c>
      <c r="G5959" s="35"/>
      <c r="H5959" s="36">
        <f t="shared" ref="H5959:H6022" si="281">+E5959*$H$1*(1-G5959)</f>
        <v>14090.535900000001</v>
      </c>
      <c r="I5959" s="37">
        <f t="shared" si="279"/>
        <v>14090.535900000001</v>
      </c>
      <c r="J5959" s="4"/>
      <c r="K5959" s="38">
        <f t="shared" si="280"/>
        <v>0</v>
      </c>
    </row>
    <row r="5960" spans="1:11">
      <c r="A5960" t="s">
        <v>1960</v>
      </c>
      <c r="B5960" t="s">
        <v>12250</v>
      </c>
      <c r="C5960" t="s">
        <v>7542</v>
      </c>
      <c r="D5960" t="s">
        <v>7547</v>
      </c>
      <c r="E5960">
        <v>19078.439999999999</v>
      </c>
      <c r="G5960" s="35"/>
      <c r="H5960" s="36">
        <f t="shared" si="281"/>
        <v>12019.4172</v>
      </c>
      <c r="I5960" s="37">
        <f t="shared" si="279"/>
        <v>12019.4172</v>
      </c>
      <c r="J5960" s="4"/>
      <c r="K5960" s="38">
        <f t="shared" si="280"/>
        <v>0</v>
      </c>
    </row>
    <row r="5961" spans="1:11">
      <c r="A5961" t="s">
        <v>1961</v>
      </c>
      <c r="B5961" t="s">
        <v>12250</v>
      </c>
      <c r="C5961" t="s">
        <v>7542</v>
      </c>
      <c r="D5961" t="s">
        <v>7548</v>
      </c>
      <c r="E5961">
        <v>30027.56</v>
      </c>
      <c r="G5961" s="35"/>
      <c r="H5961" s="36">
        <f t="shared" si="281"/>
        <v>18917.362800000003</v>
      </c>
      <c r="I5961" s="37">
        <f t="shared" si="279"/>
        <v>18917.362800000003</v>
      </c>
      <c r="J5961" s="4"/>
      <c r="K5961" s="38">
        <f t="shared" si="280"/>
        <v>0</v>
      </c>
    </row>
    <row r="5962" spans="1:11">
      <c r="A5962" t="s">
        <v>2101</v>
      </c>
      <c r="B5962" t="s">
        <v>12250</v>
      </c>
      <c r="C5962" t="s">
        <v>7670</v>
      </c>
      <c r="D5962" t="s">
        <v>12595</v>
      </c>
      <c r="E5962">
        <v>178922.55</v>
      </c>
      <c r="G5962" s="35"/>
      <c r="H5962" s="36">
        <f t="shared" si="281"/>
        <v>112721.2065</v>
      </c>
      <c r="I5962" s="37">
        <f t="shared" si="279"/>
        <v>112721.2065</v>
      </c>
      <c r="J5962" s="4"/>
      <c r="K5962" s="38">
        <f t="shared" si="280"/>
        <v>0</v>
      </c>
    </row>
    <row r="5963" spans="1:11">
      <c r="A5963" t="s">
        <v>2102</v>
      </c>
      <c r="B5963" t="s">
        <v>12250</v>
      </c>
      <c r="C5963" t="s">
        <v>7670</v>
      </c>
      <c r="D5963" t="s">
        <v>7671</v>
      </c>
      <c r="E5963">
        <v>216720.74</v>
      </c>
      <c r="G5963" s="35"/>
      <c r="H5963" s="36">
        <f t="shared" si="281"/>
        <v>136534.0662</v>
      </c>
      <c r="I5963" s="37">
        <f t="shared" si="279"/>
        <v>136534.0662</v>
      </c>
      <c r="J5963" s="4"/>
      <c r="K5963" s="38">
        <f t="shared" si="280"/>
        <v>0</v>
      </c>
    </row>
    <row r="5964" spans="1:11">
      <c r="A5964" t="s">
        <v>2103</v>
      </c>
      <c r="B5964" t="s">
        <v>12250</v>
      </c>
      <c r="C5964" t="s">
        <v>7670</v>
      </c>
      <c r="D5964" t="s">
        <v>12805</v>
      </c>
      <c r="E5964">
        <v>216726.67</v>
      </c>
      <c r="G5964" s="35"/>
      <c r="H5964" s="36">
        <f t="shared" si="281"/>
        <v>136537.8021</v>
      </c>
      <c r="I5964" s="37">
        <f t="shared" si="279"/>
        <v>136537.8021</v>
      </c>
      <c r="J5964" s="4"/>
      <c r="K5964" s="38">
        <f t="shared" si="280"/>
        <v>0</v>
      </c>
    </row>
    <row r="5965" spans="1:11">
      <c r="A5965" t="s">
        <v>2104</v>
      </c>
      <c r="B5965" t="s">
        <v>12250</v>
      </c>
      <c r="C5965" t="s">
        <v>7670</v>
      </c>
      <c r="D5965" t="s">
        <v>7672</v>
      </c>
      <c r="E5965">
        <v>243810.82</v>
      </c>
      <c r="G5965" s="35"/>
      <c r="H5965" s="36">
        <f t="shared" si="281"/>
        <v>153600.81659999999</v>
      </c>
      <c r="I5965" s="37">
        <f t="shared" si="279"/>
        <v>153600.81659999999</v>
      </c>
      <c r="J5965" s="4"/>
      <c r="K5965" s="38">
        <f t="shared" si="280"/>
        <v>0</v>
      </c>
    </row>
    <row r="5966" spans="1:11">
      <c r="A5966" t="s">
        <v>2105</v>
      </c>
      <c r="B5966" t="s">
        <v>12250</v>
      </c>
      <c r="C5966" t="s">
        <v>7670</v>
      </c>
      <c r="D5966" t="s">
        <v>7673</v>
      </c>
      <c r="E5966">
        <v>384328.34</v>
      </c>
      <c r="G5966" s="35"/>
      <c r="H5966" s="36">
        <f t="shared" si="281"/>
        <v>242126.85420000003</v>
      </c>
      <c r="I5966" s="37">
        <f t="shared" si="279"/>
        <v>242126.85420000003</v>
      </c>
      <c r="J5966" s="4"/>
      <c r="K5966" s="38">
        <f t="shared" si="280"/>
        <v>0</v>
      </c>
    </row>
    <row r="5967" spans="1:11">
      <c r="A5967" t="s">
        <v>10597</v>
      </c>
      <c r="B5967" t="s">
        <v>12250</v>
      </c>
      <c r="C5967" t="s">
        <v>7677</v>
      </c>
      <c r="D5967" t="s">
        <v>10598</v>
      </c>
      <c r="E5967">
        <v>163008.57999999999</v>
      </c>
      <c r="G5967" s="35"/>
      <c r="H5967" s="36">
        <f t="shared" si="281"/>
        <v>102695.40539999999</v>
      </c>
      <c r="I5967" s="37">
        <f t="shared" si="279"/>
        <v>102695.40539999999</v>
      </c>
      <c r="J5967" s="4"/>
      <c r="K5967" s="38">
        <f t="shared" si="280"/>
        <v>0</v>
      </c>
    </row>
    <row r="5968" spans="1:11">
      <c r="A5968" t="s">
        <v>2111</v>
      </c>
      <c r="B5968" t="s">
        <v>12250</v>
      </c>
      <c r="C5968" t="s">
        <v>7677</v>
      </c>
      <c r="D5968" t="s">
        <v>12596</v>
      </c>
      <c r="E5968">
        <v>328958.55</v>
      </c>
      <c r="G5968" s="35"/>
      <c r="H5968" s="36">
        <f t="shared" si="281"/>
        <v>207243.88649999999</v>
      </c>
      <c r="I5968" s="37">
        <f t="shared" si="279"/>
        <v>207243.88649999999</v>
      </c>
      <c r="J5968" s="4"/>
      <c r="K5968" s="38">
        <f t="shared" si="280"/>
        <v>0</v>
      </c>
    </row>
    <row r="5969" spans="1:11">
      <c r="A5969" t="s">
        <v>2112</v>
      </c>
      <c r="B5969" t="s">
        <v>12250</v>
      </c>
      <c r="C5969" t="s">
        <v>7677</v>
      </c>
      <c r="D5969" t="s">
        <v>11628</v>
      </c>
      <c r="E5969">
        <v>115299.27</v>
      </c>
      <c r="G5969" s="35"/>
      <c r="H5969" s="36">
        <f t="shared" si="281"/>
        <v>72638.540099999998</v>
      </c>
      <c r="I5969" s="37">
        <f t="shared" si="279"/>
        <v>72638.540099999998</v>
      </c>
      <c r="J5969" s="4"/>
      <c r="K5969" s="38">
        <f t="shared" si="280"/>
        <v>0</v>
      </c>
    </row>
    <row r="5970" spans="1:11">
      <c r="A5970" t="s">
        <v>2113</v>
      </c>
      <c r="B5970" t="s">
        <v>12250</v>
      </c>
      <c r="C5970" t="s">
        <v>7677</v>
      </c>
      <c r="D5970" t="s">
        <v>7678</v>
      </c>
      <c r="E5970">
        <v>54826.11</v>
      </c>
      <c r="G5970" s="35"/>
      <c r="H5970" s="36">
        <f t="shared" si="281"/>
        <v>34540.4493</v>
      </c>
      <c r="I5970" s="37">
        <f t="shared" si="279"/>
        <v>34540.4493</v>
      </c>
      <c r="J5970" s="4"/>
      <c r="K5970" s="38">
        <f t="shared" si="280"/>
        <v>0</v>
      </c>
    </row>
    <row r="5971" spans="1:11">
      <c r="A5971" t="s">
        <v>2114</v>
      </c>
      <c r="B5971" t="s">
        <v>12250</v>
      </c>
      <c r="C5971" t="s">
        <v>7677</v>
      </c>
      <c r="D5971" t="s">
        <v>12597</v>
      </c>
      <c r="E5971">
        <v>206742.13</v>
      </c>
      <c r="G5971" s="35"/>
      <c r="H5971" s="36">
        <f t="shared" si="281"/>
        <v>130247.54190000001</v>
      </c>
      <c r="I5971" s="37">
        <f t="shared" si="279"/>
        <v>130247.54190000001</v>
      </c>
      <c r="J5971" s="4"/>
      <c r="K5971" s="38">
        <f t="shared" si="280"/>
        <v>0</v>
      </c>
    </row>
    <row r="5972" spans="1:11">
      <c r="A5972" t="s">
        <v>2115</v>
      </c>
      <c r="B5972" t="s">
        <v>12250</v>
      </c>
      <c r="C5972" t="s">
        <v>7677</v>
      </c>
      <c r="D5972" t="s">
        <v>12598</v>
      </c>
      <c r="E5972">
        <v>310113.44</v>
      </c>
      <c r="G5972" s="35"/>
      <c r="H5972" s="36">
        <f t="shared" si="281"/>
        <v>195371.46720000001</v>
      </c>
      <c r="I5972" s="37">
        <f t="shared" si="279"/>
        <v>195371.46720000001</v>
      </c>
      <c r="J5972" s="4"/>
      <c r="K5972" s="38">
        <f t="shared" si="280"/>
        <v>0</v>
      </c>
    </row>
    <row r="5973" spans="1:11">
      <c r="A5973" t="s">
        <v>2116</v>
      </c>
      <c r="B5973" t="s">
        <v>12250</v>
      </c>
      <c r="C5973" t="s">
        <v>7677</v>
      </c>
      <c r="D5973" t="s">
        <v>11629</v>
      </c>
      <c r="E5973">
        <v>682514.1</v>
      </c>
      <c r="G5973" s="35"/>
      <c r="H5973" s="36">
        <f t="shared" si="281"/>
        <v>429983.88299999997</v>
      </c>
      <c r="I5973" s="37">
        <f t="shared" si="279"/>
        <v>429983.88299999997</v>
      </c>
      <c r="J5973" s="4"/>
      <c r="K5973" s="38">
        <f t="shared" si="280"/>
        <v>0</v>
      </c>
    </row>
    <row r="5974" spans="1:11">
      <c r="A5974" t="s">
        <v>2117</v>
      </c>
      <c r="B5974" t="s">
        <v>12250</v>
      </c>
      <c r="C5974" t="s">
        <v>7677</v>
      </c>
      <c r="D5974" t="s">
        <v>10591</v>
      </c>
      <c r="E5974">
        <v>343244.97</v>
      </c>
      <c r="G5974" s="35"/>
      <c r="H5974" s="36">
        <f t="shared" si="281"/>
        <v>216244.33109999998</v>
      </c>
      <c r="I5974" s="37">
        <f t="shared" si="279"/>
        <v>216244.33109999998</v>
      </c>
      <c r="J5974" s="4"/>
      <c r="K5974" s="38">
        <f t="shared" si="280"/>
        <v>0</v>
      </c>
    </row>
    <row r="5975" spans="1:11">
      <c r="A5975" t="s">
        <v>2118</v>
      </c>
      <c r="B5975" t="s">
        <v>12250</v>
      </c>
      <c r="C5975" t="s">
        <v>7677</v>
      </c>
      <c r="D5975" t="s">
        <v>7679</v>
      </c>
      <c r="E5975">
        <v>6427.6</v>
      </c>
      <c r="G5975" s="35"/>
      <c r="H5975" s="36">
        <f t="shared" si="281"/>
        <v>4049.3880000000004</v>
      </c>
      <c r="I5975" s="37">
        <f t="shared" si="279"/>
        <v>4049.3880000000004</v>
      </c>
      <c r="J5975" s="4"/>
      <c r="K5975" s="38">
        <f t="shared" si="280"/>
        <v>0</v>
      </c>
    </row>
    <row r="5976" spans="1:11">
      <c r="A5976" t="s">
        <v>2119</v>
      </c>
      <c r="B5976" t="s">
        <v>12250</v>
      </c>
      <c r="C5976" t="s">
        <v>7680</v>
      </c>
      <c r="D5976" t="s">
        <v>12599</v>
      </c>
      <c r="E5976">
        <v>127323.42</v>
      </c>
      <c r="G5976" s="35"/>
      <c r="H5976" s="36">
        <f t="shared" si="281"/>
        <v>80213.7546</v>
      </c>
      <c r="I5976" s="37">
        <f t="shared" si="279"/>
        <v>80213.7546</v>
      </c>
      <c r="J5976" s="4"/>
      <c r="K5976" s="38">
        <f t="shared" si="280"/>
        <v>0</v>
      </c>
    </row>
    <row r="5977" spans="1:11">
      <c r="A5977" t="s">
        <v>2120</v>
      </c>
      <c r="B5977" t="s">
        <v>12250</v>
      </c>
      <c r="C5977" t="s">
        <v>7680</v>
      </c>
      <c r="D5977" t="s">
        <v>11630</v>
      </c>
      <c r="E5977">
        <v>58681.57</v>
      </c>
      <c r="G5977" s="35"/>
      <c r="H5977" s="36">
        <f t="shared" si="281"/>
        <v>36969.3891</v>
      </c>
      <c r="I5977" s="37">
        <f t="shared" si="279"/>
        <v>36969.3891</v>
      </c>
      <c r="J5977" s="4"/>
      <c r="K5977" s="38">
        <f t="shared" si="280"/>
        <v>0</v>
      </c>
    </row>
    <row r="5978" spans="1:11">
      <c r="A5978" t="s">
        <v>2077</v>
      </c>
      <c r="B5978" t="s">
        <v>12250</v>
      </c>
      <c r="C5978" t="s">
        <v>7661</v>
      </c>
      <c r="D5978" t="s">
        <v>12433</v>
      </c>
      <c r="E5978">
        <v>71564.59</v>
      </c>
      <c r="G5978" s="35"/>
      <c r="H5978" s="36">
        <f t="shared" si="281"/>
        <v>45085.691699999996</v>
      </c>
      <c r="I5978" s="37">
        <f t="shared" si="279"/>
        <v>45085.691699999996</v>
      </c>
      <c r="J5978" s="4"/>
      <c r="K5978" s="38">
        <f t="shared" si="280"/>
        <v>0</v>
      </c>
    </row>
    <row r="5979" spans="1:11">
      <c r="A5979" t="s">
        <v>2078</v>
      </c>
      <c r="B5979" t="s">
        <v>12250</v>
      </c>
      <c r="C5979" t="s">
        <v>7661</v>
      </c>
      <c r="D5979" t="s">
        <v>9890</v>
      </c>
      <c r="E5979">
        <v>104696.44</v>
      </c>
      <c r="G5979" s="35"/>
      <c r="H5979" s="36">
        <f t="shared" si="281"/>
        <v>65958.757200000007</v>
      </c>
      <c r="I5979" s="37">
        <f t="shared" si="279"/>
        <v>65958.757200000007</v>
      </c>
      <c r="J5979" s="4"/>
      <c r="K5979" s="38">
        <f t="shared" si="280"/>
        <v>0</v>
      </c>
    </row>
    <row r="5980" spans="1:11">
      <c r="A5980" t="s">
        <v>2079</v>
      </c>
      <c r="B5980" t="s">
        <v>12250</v>
      </c>
      <c r="C5980" t="s">
        <v>7661</v>
      </c>
      <c r="D5980" t="s">
        <v>7662</v>
      </c>
      <c r="E5980">
        <v>169400.36</v>
      </c>
      <c r="G5980" s="35"/>
      <c r="H5980" s="36">
        <f t="shared" si="281"/>
        <v>106722.22679999999</v>
      </c>
      <c r="I5980" s="37">
        <f t="shared" si="279"/>
        <v>106722.22679999999</v>
      </c>
      <c r="J5980" s="4"/>
      <c r="K5980" s="38">
        <f t="shared" si="280"/>
        <v>0</v>
      </c>
    </row>
    <row r="5981" spans="1:11">
      <c r="A5981" t="s">
        <v>2080</v>
      </c>
      <c r="B5981" t="s">
        <v>12250</v>
      </c>
      <c r="C5981" t="s">
        <v>7661</v>
      </c>
      <c r="D5981" t="s">
        <v>11896</v>
      </c>
      <c r="E5981">
        <v>218404.52</v>
      </c>
      <c r="G5981" s="35"/>
      <c r="H5981" s="36">
        <f t="shared" si="281"/>
        <v>137594.84760000001</v>
      </c>
      <c r="I5981" s="37">
        <f t="shared" si="279"/>
        <v>137594.84760000001</v>
      </c>
      <c r="J5981" s="4"/>
      <c r="K5981" s="38">
        <f t="shared" si="280"/>
        <v>0</v>
      </c>
    </row>
    <row r="5982" spans="1:11">
      <c r="A5982" t="s">
        <v>12302</v>
      </c>
      <c r="B5982" t="s">
        <v>12250</v>
      </c>
      <c r="C5982" t="s">
        <v>7661</v>
      </c>
      <c r="D5982" t="s">
        <v>12303</v>
      </c>
      <c r="E5982">
        <v>90798.81</v>
      </c>
      <c r="G5982" s="35"/>
      <c r="H5982" s="36">
        <f t="shared" si="281"/>
        <v>57203.2503</v>
      </c>
      <c r="I5982" s="37">
        <f t="shared" si="279"/>
        <v>57203.2503</v>
      </c>
      <c r="J5982" s="4"/>
      <c r="K5982" s="38">
        <f t="shared" si="280"/>
        <v>0</v>
      </c>
    </row>
    <row r="5983" spans="1:11">
      <c r="A5983" t="s">
        <v>2081</v>
      </c>
      <c r="B5983" t="s">
        <v>12250</v>
      </c>
      <c r="C5983" t="s">
        <v>7661</v>
      </c>
      <c r="D5983" t="s">
        <v>7663</v>
      </c>
      <c r="E5983">
        <v>88792.77</v>
      </c>
      <c r="G5983" s="35"/>
      <c r="H5983" s="36">
        <f t="shared" si="281"/>
        <v>55939.445100000004</v>
      </c>
      <c r="I5983" s="37">
        <f t="shared" si="279"/>
        <v>55939.445100000004</v>
      </c>
      <c r="J5983" s="4"/>
      <c r="K5983" s="38">
        <f t="shared" si="280"/>
        <v>0</v>
      </c>
    </row>
    <row r="5984" spans="1:11">
      <c r="A5984" t="s">
        <v>10595</v>
      </c>
      <c r="B5984" t="s">
        <v>12250</v>
      </c>
      <c r="C5984" t="s">
        <v>7661</v>
      </c>
      <c r="D5984" t="s">
        <v>10596</v>
      </c>
      <c r="E5984">
        <v>312127.62</v>
      </c>
      <c r="G5984" s="35"/>
      <c r="H5984" s="36">
        <f t="shared" si="281"/>
        <v>196640.40059999999</v>
      </c>
      <c r="I5984" s="37">
        <f t="shared" si="279"/>
        <v>196640.40059999999</v>
      </c>
      <c r="J5984" s="4"/>
      <c r="K5984" s="38">
        <f t="shared" si="280"/>
        <v>0</v>
      </c>
    </row>
    <row r="5985" spans="1:11">
      <c r="A5985" t="s">
        <v>2082</v>
      </c>
      <c r="B5985" t="s">
        <v>12250</v>
      </c>
      <c r="C5985" t="s">
        <v>7661</v>
      </c>
      <c r="D5985" t="s">
        <v>12890</v>
      </c>
      <c r="E5985">
        <v>77787.199999999997</v>
      </c>
      <c r="G5985" s="35"/>
      <c r="H5985" s="36">
        <f t="shared" si="281"/>
        <v>49005.936000000002</v>
      </c>
      <c r="I5985" s="37">
        <f t="shared" si="279"/>
        <v>49005.936000000002</v>
      </c>
      <c r="J5985" s="4"/>
      <c r="K5985" s="38">
        <f t="shared" si="280"/>
        <v>0</v>
      </c>
    </row>
    <row r="5986" spans="1:11">
      <c r="A5986" t="s">
        <v>2083</v>
      </c>
      <c r="B5986" t="s">
        <v>12250</v>
      </c>
      <c r="C5986" t="s">
        <v>7661</v>
      </c>
      <c r="D5986" t="s">
        <v>13114</v>
      </c>
      <c r="E5986">
        <v>344860.05</v>
      </c>
      <c r="G5986" s="35"/>
      <c r="H5986" s="36">
        <f t="shared" si="281"/>
        <v>217261.8315</v>
      </c>
      <c r="I5986" s="37">
        <f t="shared" si="279"/>
        <v>217261.8315</v>
      </c>
      <c r="J5986" s="4"/>
      <c r="K5986" s="38">
        <f t="shared" si="280"/>
        <v>0</v>
      </c>
    </row>
    <row r="5987" spans="1:11">
      <c r="A5987" t="s">
        <v>2084</v>
      </c>
      <c r="B5987" t="s">
        <v>12250</v>
      </c>
      <c r="C5987" t="s">
        <v>7661</v>
      </c>
      <c r="D5987" t="s">
        <v>7664</v>
      </c>
      <c r="E5987">
        <v>231922.27</v>
      </c>
      <c r="G5987" s="35"/>
      <c r="H5987" s="36">
        <f t="shared" si="281"/>
        <v>146111.0301</v>
      </c>
      <c r="I5987" s="37">
        <f t="shared" si="279"/>
        <v>146111.0301</v>
      </c>
      <c r="J5987" s="4"/>
      <c r="K5987" s="38">
        <f t="shared" si="280"/>
        <v>0</v>
      </c>
    </row>
    <row r="5988" spans="1:11">
      <c r="A5988" t="s">
        <v>2085</v>
      </c>
      <c r="B5988" t="s">
        <v>12250</v>
      </c>
      <c r="C5988" t="s">
        <v>7661</v>
      </c>
      <c r="D5988" t="s">
        <v>11834</v>
      </c>
      <c r="E5988">
        <v>211380.59</v>
      </c>
      <c r="G5988" s="35"/>
      <c r="H5988" s="36">
        <f t="shared" si="281"/>
        <v>133169.77170000001</v>
      </c>
      <c r="I5988" s="37">
        <f t="shared" si="279"/>
        <v>133169.77170000001</v>
      </c>
      <c r="J5988" s="4"/>
      <c r="K5988" s="38">
        <f t="shared" si="280"/>
        <v>0</v>
      </c>
    </row>
    <row r="5989" spans="1:11">
      <c r="A5989" t="s">
        <v>2086</v>
      </c>
      <c r="B5989" t="s">
        <v>12250</v>
      </c>
      <c r="C5989" t="s">
        <v>7661</v>
      </c>
      <c r="D5989" t="s">
        <v>11897</v>
      </c>
      <c r="E5989">
        <v>129416.45</v>
      </c>
      <c r="G5989" s="35"/>
      <c r="H5989" s="36">
        <f t="shared" si="281"/>
        <v>81532.363499999992</v>
      </c>
      <c r="I5989" s="37">
        <f t="shared" si="279"/>
        <v>81532.363499999992</v>
      </c>
      <c r="J5989" s="4"/>
      <c r="K5989" s="38">
        <f t="shared" si="280"/>
        <v>0</v>
      </c>
    </row>
    <row r="5990" spans="1:11">
      <c r="A5990" t="s">
        <v>2087</v>
      </c>
      <c r="B5990" t="s">
        <v>12250</v>
      </c>
      <c r="C5990" t="s">
        <v>7661</v>
      </c>
      <c r="D5990" t="s">
        <v>12891</v>
      </c>
      <c r="E5990">
        <v>153064.28</v>
      </c>
      <c r="G5990" s="35"/>
      <c r="H5990" s="36">
        <f t="shared" si="281"/>
        <v>96430.496400000004</v>
      </c>
      <c r="I5990" s="37">
        <f t="shared" si="279"/>
        <v>96430.496400000004</v>
      </c>
      <c r="J5990" s="4"/>
      <c r="K5990" s="38">
        <f t="shared" si="280"/>
        <v>0</v>
      </c>
    </row>
    <row r="5991" spans="1:11">
      <c r="A5991" t="s">
        <v>11851</v>
      </c>
      <c r="B5991" t="s">
        <v>12250</v>
      </c>
      <c r="C5991" t="s">
        <v>7661</v>
      </c>
      <c r="D5991" t="s">
        <v>11852</v>
      </c>
      <c r="E5991">
        <v>231922.27</v>
      </c>
      <c r="G5991" s="35"/>
      <c r="H5991" s="36">
        <f t="shared" si="281"/>
        <v>146111.0301</v>
      </c>
      <c r="I5991" s="37">
        <f t="shared" si="279"/>
        <v>146111.0301</v>
      </c>
      <c r="J5991" s="4"/>
      <c r="K5991" s="38">
        <f t="shared" si="280"/>
        <v>0</v>
      </c>
    </row>
    <row r="5992" spans="1:11">
      <c r="A5992" t="s">
        <v>2088</v>
      </c>
      <c r="B5992" t="s">
        <v>12250</v>
      </c>
      <c r="C5992" t="s">
        <v>7661</v>
      </c>
      <c r="D5992" t="s">
        <v>11974</v>
      </c>
      <c r="E5992">
        <v>184233.3</v>
      </c>
      <c r="G5992" s="35"/>
      <c r="H5992" s="36">
        <f t="shared" si="281"/>
        <v>116066.97899999999</v>
      </c>
      <c r="I5992" s="37">
        <f t="shared" si="279"/>
        <v>116066.97899999999</v>
      </c>
      <c r="J5992" s="4"/>
      <c r="K5992" s="38">
        <f t="shared" si="280"/>
        <v>0</v>
      </c>
    </row>
    <row r="5993" spans="1:11">
      <c r="A5993" t="s">
        <v>12434</v>
      </c>
      <c r="B5993" t="s">
        <v>12250</v>
      </c>
      <c r="C5993" t="s">
        <v>7661</v>
      </c>
      <c r="D5993" t="s">
        <v>12435</v>
      </c>
      <c r="E5993">
        <v>395761.38</v>
      </c>
      <c r="G5993" s="35"/>
      <c r="H5993" s="36">
        <f t="shared" si="281"/>
        <v>249329.66940000001</v>
      </c>
      <c r="I5993" s="37">
        <f t="shared" si="279"/>
        <v>249329.66940000001</v>
      </c>
      <c r="J5993" s="4"/>
      <c r="K5993" s="38">
        <f t="shared" si="280"/>
        <v>0</v>
      </c>
    </row>
    <row r="5994" spans="1:11">
      <c r="A5994" t="s">
        <v>2089</v>
      </c>
      <c r="B5994" t="s">
        <v>12250</v>
      </c>
      <c r="C5994" t="s">
        <v>7661</v>
      </c>
      <c r="D5994" t="s">
        <v>12436</v>
      </c>
      <c r="E5994">
        <v>152206.01</v>
      </c>
      <c r="G5994" s="35"/>
      <c r="H5994" s="36">
        <f t="shared" si="281"/>
        <v>95889.786300000007</v>
      </c>
      <c r="I5994" s="37">
        <f t="shared" si="279"/>
        <v>95889.786300000007</v>
      </c>
      <c r="J5994" s="4"/>
      <c r="K5994" s="38">
        <f t="shared" si="280"/>
        <v>0</v>
      </c>
    </row>
    <row r="5995" spans="1:11">
      <c r="A5995" t="s">
        <v>12391</v>
      </c>
      <c r="B5995" t="s">
        <v>12250</v>
      </c>
      <c r="C5995" t="s">
        <v>7661</v>
      </c>
      <c r="D5995" t="s">
        <v>12819</v>
      </c>
      <c r="E5995">
        <v>631548.88</v>
      </c>
      <c r="G5995" s="35"/>
      <c r="H5995" s="36">
        <f t="shared" si="281"/>
        <v>397875.79440000001</v>
      </c>
      <c r="I5995" s="37">
        <f t="shared" si="279"/>
        <v>397875.79440000001</v>
      </c>
      <c r="J5995" s="4"/>
      <c r="K5995" s="38">
        <f t="shared" si="280"/>
        <v>0</v>
      </c>
    </row>
    <row r="5996" spans="1:11">
      <c r="A5996" t="s">
        <v>11849</v>
      </c>
      <c r="B5996" t="s">
        <v>12250</v>
      </c>
      <c r="C5996" t="s">
        <v>7661</v>
      </c>
      <c r="D5996" t="s">
        <v>11850</v>
      </c>
      <c r="E5996">
        <v>95528.55</v>
      </c>
      <c r="G5996" s="35"/>
      <c r="H5996" s="36">
        <f t="shared" si="281"/>
        <v>60182.986499999999</v>
      </c>
      <c r="I5996" s="37">
        <f t="shared" si="279"/>
        <v>60182.986499999999</v>
      </c>
      <c r="J5996" s="4"/>
      <c r="K5996" s="38">
        <f t="shared" si="280"/>
        <v>0</v>
      </c>
    </row>
    <row r="5997" spans="1:11">
      <c r="A5997" t="s">
        <v>2090</v>
      </c>
      <c r="B5997" t="s">
        <v>12250</v>
      </c>
      <c r="C5997" t="s">
        <v>7661</v>
      </c>
      <c r="D5997" t="s">
        <v>11785</v>
      </c>
      <c r="E5997">
        <v>384328.34</v>
      </c>
      <c r="G5997" s="35"/>
      <c r="H5997" s="36">
        <f t="shared" si="281"/>
        <v>242126.85420000003</v>
      </c>
      <c r="I5997" s="37">
        <f t="shared" si="279"/>
        <v>242126.85420000003</v>
      </c>
      <c r="J5997" s="4"/>
      <c r="K5997" s="38">
        <f t="shared" si="280"/>
        <v>0</v>
      </c>
    </row>
    <row r="5998" spans="1:11">
      <c r="A5998" t="s">
        <v>11617</v>
      </c>
      <c r="B5998" t="s">
        <v>12250</v>
      </c>
      <c r="C5998" t="s">
        <v>7661</v>
      </c>
      <c r="D5998" t="s">
        <v>12385</v>
      </c>
      <c r="E5998">
        <v>302960.62</v>
      </c>
      <c r="G5998" s="35"/>
      <c r="H5998" s="36">
        <f t="shared" si="281"/>
        <v>190865.1906</v>
      </c>
      <c r="I5998" s="37">
        <f t="shared" si="279"/>
        <v>190865.1906</v>
      </c>
      <c r="J5998" s="4"/>
      <c r="K5998" s="38">
        <f t="shared" si="280"/>
        <v>0</v>
      </c>
    </row>
    <row r="5999" spans="1:11">
      <c r="A5999" t="s">
        <v>11618</v>
      </c>
      <c r="B5999" t="s">
        <v>12250</v>
      </c>
      <c r="C5999" t="s">
        <v>7661</v>
      </c>
      <c r="D5999" t="s">
        <v>12614</v>
      </c>
      <c r="E5999">
        <v>152844.66</v>
      </c>
      <c r="G5999" s="35"/>
      <c r="H5999" s="36">
        <f t="shared" si="281"/>
        <v>96292.135800000004</v>
      </c>
      <c r="I5999" s="37">
        <f t="shared" si="279"/>
        <v>96292.135800000004</v>
      </c>
      <c r="J5999" s="4"/>
      <c r="K5999" s="38">
        <f t="shared" si="280"/>
        <v>0</v>
      </c>
    </row>
    <row r="6000" spans="1:11">
      <c r="A6000" t="s">
        <v>12304</v>
      </c>
      <c r="B6000" t="s">
        <v>12250</v>
      </c>
      <c r="C6000" t="s">
        <v>7661</v>
      </c>
      <c r="D6000" t="s">
        <v>12305</v>
      </c>
      <c r="E6000">
        <v>86664.3</v>
      </c>
      <c r="G6000" s="35"/>
      <c r="H6000" s="36">
        <f t="shared" si="281"/>
        <v>54598.509000000005</v>
      </c>
      <c r="I6000" s="37">
        <f t="shared" si="279"/>
        <v>54598.509000000005</v>
      </c>
      <c r="J6000" s="4"/>
      <c r="K6000" s="38">
        <f t="shared" si="280"/>
        <v>0</v>
      </c>
    </row>
    <row r="6001" spans="1:11">
      <c r="A6001" t="s">
        <v>12437</v>
      </c>
      <c r="B6001" t="s">
        <v>12250</v>
      </c>
      <c r="C6001" t="s">
        <v>7661</v>
      </c>
      <c r="D6001" t="s">
        <v>12438</v>
      </c>
      <c r="E6001">
        <v>410547.68</v>
      </c>
      <c r="G6001" s="35"/>
      <c r="H6001" s="36">
        <f t="shared" si="281"/>
        <v>258645.03839999999</v>
      </c>
      <c r="I6001" s="37">
        <f t="shared" si="279"/>
        <v>258645.03839999999</v>
      </c>
      <c r="J6001" s="4"/>
      <c r="K6001" s="38">
        <f t="shared" si="280"/>
        <v>0</v>
      </c>
    </row>
    <row r="6002" spans="1:11">
      <c r="A6002" t="s">
        <v>12452</v>
      </c>
      <c r="B6002" t="s">
        <v>12250</v>
      </c>
      <c r="C6002" t="s">
        <v>7661</v>
      </c>
      <c r="D6002" t="s">
        <v>12609</v>
      </c>
      <c r="E6002">
        <v>184465.45</v>
      </c>
      <c r="G6002" s="35"/>
      <c r="H6002" s="36">
        <f t="shared" si="281"/>
        <v>116213.2335</v>
      </c>
      <c r="I6002" s="37">
        <f t="shared" si="279"/>
        <v>116213.2335</v>
      </c>
      <c r="J6002" s="4"/>
      <c r="K6002" s="38">
        <f t="shared" si="280"/>
        <v>0</v>
      </c>
    </row>
    <row r="6003" spans="1:11">
      <c r="A6003" t="s">
        <v>12439</v>
      </c>
      <c r="B6003" t="s">
        <v>12250</v>
      </c>
      <c r="C6003" t="s">
        <v>7688</v>
      </c>
      <c r="D6003" t="s">
        <v>12440</v>
      </c>
      <c r="E6003">
        <v>68367.649999999994</v>
      </c>
      <c r="G6003" s="35"/>
      <c r="H6003" s="36">
        <f t="shared" si="281"/>
        <v>43071.619499999993</v>
      </c>
      <c r="I6003" s="37">
        <f t="shared" si="279"/>
        <v>43071.619499999993</v>
      </c>
      <c r="J6003" s="4"/>
      <c r="K6003" s="38">
        <f t="shared" si="280"/>
        <v>0</v>
      </c>
    </row>
    <row r="6004" spans="1:11">
      <c r="A6004" t="s">
        <v>2131</v>
      </c>
      <c r="B6004" t="s">
        <v>12250</v>
      </c>
      <c r="C6004" t="s">
        <v>7688</v>
      </c>
      <c r="D6004" t="s">
        <v>7689</v>
      </c>
      <c r="E6004">
        <v>186505.27</v>
      </c>
      <c r="G6004" s="35"/>
      <c r="H6004" s="36">
        <f t="shared" si="281"/>
        <v>117498.3201</v>
      </c>
      <c r="I6004" s="37">
        <f t="shared" si="279"/>
        <v>117498.3201</v>
      </c>
      <c r="J6004" s="4"/>
      <c r="K6004" s="38">
        <f t="shared" si="280"/>
        <v>0</v>
      </c>
    </row>
    <row r="6005" spans="1:11">
      <c r="A6005" t="s">
        <v>12800</v>
      </c>
      <c r="B6005" t="s">
        <v>12250</v>
      </c>
      <c r="C6005" t="s">
        <v>7688</v>
      </c>
      <c r="D6005" t="s">
        <v>12801</v>
      </c>
      <c r="E6005">
        <v>260015.9</v>
      </c>
      <c r="G6005" s="35"/>
      <c r="H6005" s="36">
        <f t="shared" si="281"/>
        <v>163810.01699999999</v>
      </c>
      <c r="I6005" s="37">
        <f t="shared" si="279"/>
        <v>163810.01699999999</v>
      </c>
      <c r="J6005" s="4"/>
      <c r="K6005" s="38">
        <f t="shared" si="280"/>
        <v>0</v>
      </c>
    </row>
    <row r="6006" spans="1:11">
      <c r="A6006" t="s">
        <v>9895</v>
      </c>
      <c r="B6006" t="s">
        <v>12250</v>
      </c>
      <c r="C6006" t="s">
        <v>7690</v>
      </c>
      <c r="D6006" t="s">
        <v>12600</v>
      </c>
      <c r="E6006">
        <v>71894.600000000006</v>
      </c>
      <c r="G6006" s="35"/>
      <c r="H6006" s="36">
        <f t="shared" si="281"/>
        <v>45293.598000000005</v>
      </c>
      <c r="I6006" s="37">
        <f t="shared" si="279"/>
        <v>45293.598000000005</v>
      </c>
      <c r="J6006" s="4"/>
      <c r="K6006" s="38">
        <f t="shared" si="280"/>
        <v>0</v>
      </c>
    </row>
    <row r="6007" spans="1:11">
      <c r="A6007" t="s">
        <v>2132</v>
      </c>
      <c r="B6007" t="s">
        <v>12250</v>
      </c>
      <c r="C6007" t="s">
        <v>7690</v>
      </c>
      <c r="D6007" t="s">
        <v>11289</v>
      </c>
      <c r="E6007">
        <v>96745.25</v>
      </c>
      <c r="G6007" s="35"/>
      <c r="H6007" s="36">
        <f t="shared" si="281"/>
        <v>60949.5075</v>
      </c>
      <c r="I6007" s="37">
        <f t="shared" si="279"/>
        <v>60949.5075</v>
      </c>
      <c r="J6007" s="4"/>
      <c r="K6007" s="38">
        <f t="shared" si="280"/>
        <v>0</v>
      </c>
    </row>
    <row r="6008" spans="1:11">
      <c r="A6008" t="s">
        <v>2541</v>
      </c>
      <c r="B6008" t="s">
        <v>12674</v>
      </c>
      <c r="C6008" t="s">
        <v>8064</v>
      </c>
      <c r="D6008" t="s">
        <v>8065</v>
      </c>
      <c r="E6008">
        <v>8916.92</v>
      </c>
      <c r="G6008" s="35"/>
      <c r="H6008" s="36">
        <f t="shared" si="281"/>
        <v>5617.6596</v>
      </c>
      <c r="I6008" s="37">
        <f t="shared" si="279"/>
        <v>5617.6596</v>
      </c>
      <c r="J6008" s="4"/>
      <c r="K6008" s="38">
        <f t="shared" si="280"/>
        <v>0</v>
      </c>
    </row>
    <row r="6009" spans="1:11">
      <c r="A6009" t="s">
        <v>2542</v>
      </c>
      <c r="B6009" t="s">
        <v>12674</v>
      </c>
      <c r="C6009" t="s">
        <v>8064</v>
      </c>
      <c r="D6009" t="s">
        <v>8066</v>
      </c>
      <c r="E6009">
        <v>8916.92</v>
      </c>
      <c r="G6009" s="35"/>
      <c r="H6009" s="36">
        <f t="shared" si="281"/>
        <v>5617.6596</v>
      </c>
      <c r="I6009" s="37">
        <f t="shared" si="279"/>
        <v>5617.6596</v>
      </c>
      <c r="J6009" s="4"/>
      <c r="K6009" s="38">
        <f t="shared" si="280"/>
        <v>0</v>
      </c>
    </row>
    <row r="6010" spans="1:11">
      <c r="A6010" t="s">
        <v>2543</v>
      </c>
      <c r="B6010" t="s">
        <v>12674</v>
      </c>
      <c r="C6010" t="s">
        <v>8064</v>
      </c>
      <c r="D6010" t="s">
        <v>8067</v>
      </c>
      <c r="E6010">
        <v>105206.66</v>
      </c>
      <c r="G6010" s="35"/>
      <c r="H6010" s="36">
        <f t="shared" si="281"/>
        <v>66280.195800000001</v>
      </c>
      <c r="I6010" s="37">
        <f t="shared" si="279"/>
        <v>66280.195800000001</v>
      </c>
      <c r="J6010" s="4"/>
      <c r="K6010" s="38">
        <f t="shared" si="280"/>
        <v>0</v>
      </c>
    </row>
    <row r="6011" spans="1:11">
      <c r="A6011" t="s">
        <v>2544</v>
      </c>
      <c r="B6011" t="s">
        <v>12674</v>
      </c>
      <c r="C6011" t="s">
        <v>8064</v>
      </c>
      <c r="D6011" t="s">
        <v>8068</v>
      </c>
      <c r="E6011">
        <v>99997.65</v>
      </c>
      <c r="G6011" s="35"/>
      <c r="H6011" s="36">
        <f t="shared" si="281"/>
        <v>62998.519499999995</v>
      </c>
      <c r="I6011" s="37">
        <f t="shared" si="279"/>
        <v>62998.519499999995</v>
      </c>
      <c r="J6011" s="4"/>
      <c r="K6011" s="38">
        <f t="shared" si="280"/>
        <v>0</v>
      </c>
    </row>
    <row r="6012" spans="1:11">
      <c r="A6012" t="s">
        <v>2545</v>
      </c>
      <c r="B6012" t="s">
        <v>12674</v>
      </c>
      <c r="C6012" t="s">
        <v>8064</v>
      </c>
      <c r="D6012" t="s">
        <v>8069</v>
      </c>
      <c r="E6012">
        <v>99997.74</v>
      </c>
      <c r="G6012" s="35"/>
      <c r="H6012" s="36">
        <f t="shared" si="281"/>
        <v>62998.576200000003</v>
      </c>
      <c r="I6012" s="37">
        <f t="shared" si="279"/>
        <v>62998.576200000003</v>
      </c>
      <c r="J6012" s="4"/>
      <c r="K6012" s="38">
        <f t="shared" si="280"/>
        <v>0</v>
      </c>
    </row>
    <row r="6013" spans="1:11">
      <c r="A6013" t="s">
        <v>2546</v>
      </c>
      <c r="B6013" t="s">
        <v>12674</v>
      </c>
      <c r="C6013" t="s">
        <v>8064</v>
      </c>
      <c r="D6013" t="s">
        <v>8070</v>
      </c>
      <c r="E6013">
        <v>29437.61</v>
      </c>
      <c r="G6013" s="35"/>
      <c r="H6013" s="36">
        <f t="shared" si="281"/>
        <v>18545.694299999999</v>
      </c>
      <c r="I6013" s="37">
        <f t="shared" si="279"/>
        <v>18545.694299999999</v>
      </c>
      <c r="J6013" s="4"/>
      <c r="K6013" s="38">
        <f t="shared" si="280"/>
        <v>0</v>
      </c>
    </row>
    <row r="6014" spans="1:11">
      <c r="A6014" t="s">
        <v>2547</v>
      </c>
      <c r="B6014" t="s">
        <v>12674</v>
      </c>
      <c r="C6014" t="s">
        <v>8064</v>
      </c>
      <c r="D6014" t="s">
        <v>8071</v>
      </c>
      <c r="E6014">
        <v>57671.5</v>
      </c>
      <c r="G6014" s="35"/>
      <c r="H6014" s="36">
        <f t="shared" si="281"/>
        <v>36333.044999999998</v>
      </c>
      <c r="I6014" s="37">
        <f t="shared" si="279"/>
        <v>36333.044999999998</v>
      </c>
      <c r="J6014" s="4"/>
      <c r="K6014" s="38">
        <f t="shared" si="280"/>
        <v>0</v>
      </c>
    </row>
    <row r="6015" spans="1:11">
      <c r="A6015" t="s">
        <v>2548</v>
      </c>
      <c r="B6015" t="s">
        <v>12674</v>
      </c>
      <c r="C6015" t="s">
        <v>8064</v>
      </c>
      <c r="D6015" t="s">
        <v>8072</v>
      </c>
      <c r="E6015">
        <v>67446.559999999998</v>
      </c>
      <c r="G6015" s="35"/>
      <c r="H6015" s="36">
        <f t="shared" si="281"/>
        <v>42491.332799999996</v>
      </c>
      <c r="I6015" s="37">
        <f t="shared" si="279"/>
        <v>42491.332799999996</v>
      </c>
      <c r="J6015" s="4"/>
      <c r="K6015" s="38">
        <f t="shared" si="280"/>
        <v>0</v>
      </c>
    </row>
    <row r="6016" spans="1:11">
      <c r="A6016" t="s">
        <v>2549</v>
      </c>
      <c r="B6016" t="s">
        <v>12674</v>
      </c>
      <c r="C6016" t="s">
        <v>8064</v>
      </c>
      <c r="D6016" t="s">
        <v>8073</v>
      </c>
      <c r="E6016">
        <v>273803.11</v>
      </c>
      <c r="G6016" s="35"/>
      <c r="H6016" s="36">
        <f t="shared" si="281"/>
        <v>172495.95929999999</v>
      </c>
      <c r="I6016" s="37">
        <f t="shared" si="279"/>
        <v>172495.95929999999</v>
      </c>
      <c r="J6016" s="4"/>
      <c r="K6016" s="38">
        <f t="shared" si="280"/>
        <v>0</v>
      </c>
    </row>
    <row r="6017" spans="1:11">
      <c r="A6017" t="s">
        <v>2550</v>
      </c>
      <c r="B6017" t="s">
        <v>12674</v>
      </c>
      <c r="C6017" t="s">
        <v>8064</v>
      </c>
      <c r="D6017" t="s">
        <v>8074</v>
      </c>
      <c r="E6017">
        <v>255527.56</v>
      </c>
      <c r="G6017" s="35"/>
      <c r="H6017" s="36">
        <f t="shared" si="281"/>
        <v>160982.3628</v>
      </c>
      <c r="I6017" s="37">
        <f t="shared" si="279"/>
        <v>160982.3628</v>
      </c>
      <c r="J6017" s="4"/>
      <c r="K6017" s="38">
        <f t="shared" si="280"/>
        <v>0</v>
      </c>
    </row>
    <row r="6018" spans="1:11">
      <c r="A6018" t="s">
        <v>2551</v>
      </c>
      <c r="B6018" t="s">
        <v>12674</v>
      </c>
      <c r="C6018" t="s">
        <v>8064</v>
      </c>
      <c r="D6018" t="s">
        <v>8075</v>
      </c>
      <c r="E6018">
        <v>191809.09</v>
      </c>
      <c r="G6018" s="35"/>
      <c r="H6018" s="36">
        <f t="shared" si="281"/>
        <v>120839.7267</v>
      </c>
      <c r="I6018" s="37">
        <f t="shared" si="279"/>
        <v>120839.7267</v>
      </c>
      <c r="J6018" s="4"/>
      <c r="K6018" s="38">
        <f t="shared" si="280"/>
        <v>0</v>
      </c>
    </row>
    <row r="6019" spans="1:11">
      <c r="A6019" t="s">
        <v>2552</v>
      </c>
      <c r="B6019" t="s">
        <v>12674</v>
      </c>
      <c r="C6019" t="s">
        <v>8064</v>
      </c>
      <c r="D6019" t="s">
        <v>8076</v>
      </c>
      <c r="E6019">
        <v>18260.43</v>
      </c>
      <c r="G6019" s="35"/>
      <c r="H6019" s="36">
        <f t="shared" si="281"/>
        <v>11504.070900000001</v>
      </c>
      <c r="I6019" s="37">
        <f t="shared" si="279"/>
        <v>11504.070900000001</v>
      </c>
      <c r="J6019" s="4"/>
      <c r="K6019" s="38">
        <f t="shared" si="280"/>
        <v>0</v>
      </c>
    </row>
    <row r="6020" spans="1:11">
      <c r="A6020" t="s">
        <v>2553</v>
      </c>
      <c r="B6020" t="s">
        <v>12674</v>
      </c>
      <c r="C6020" t="s">
        <v>8064</v>
      </c>
      <c r="D6020" t="s">
        <v>8077</v>
      </c>
      <c r="E6020">
        <v>20122.439999999999</v>
      </c>
      <c r="G6020" s="35"/>
      <c r="H6020" s="36">
        <f t="shared" si="281"/>
        <v>12677.137199999999</v>
      </c>
      <c r="I6020" s="37">
        <f t="shared" si="279"/>
        <v>12677.137199999999</v>
      </c>
      <c r="J6020" s="4"/>
      <c r="K6020" s="38">
        <f t="shared" si="280"/>
        <v>0</v>
      </c>
    </row>
    <row r="6021" spans="1:11">
      <c r="A6021" t="s">
        <v>2554</v>
      </c>
      <c r="B6021" t="s">
        <v>12674</v>
      </c>
      <c r="C6021" t="s">
        <v>8064</v>
      </c>
      <c r="D6021" t="s">
        <v>8078</v>
      </c>
      <c r="E6021">
        <v>60150.559999999998</v>
      </c>
      <c r="G6021" s="35"/>
      <c r="H6021" s="36">
        <f t="shared" si="281"/>
        <v>37894.852800000001</v>
      </c>
      <c r="I6021" s="37">
        <f t="shared" si="279"/>
        <v>37894.852800000001</v>
      </c>
      <c r="J6021" s="4"/>
      <c r="K6021" s="38">
        <f t="shared" si="280"/>
        <v>0</v>
      </c>
    </row>
    <row r="6022" spans="1:11">
      <c r="A6022" t="s">
        <v>2555</v>
      </c>
      <c r="B6022" t="s">
        <v>12674</v>
      </c>
      <c r="C6022" t="s">
        <v>8064</v>
      </c>
      <c r="D6022" t="s">
        <v>8079</v>
      </c>
      <c r="E6022">
        <v>153827.6</v>
      </c>
      <c r="G6022" s="35"/>
      <c r="H6022" s="36">
        <f t="shared" si="281"/>
        <v>96911.388000000006</v>
      </c>
      <c r="I6022" s="37">
        <f t="shared" ref="I6022:I6085" si="282">H6022*$H$4</f>
        <v>96911.388000000006</v>
      </c>
      <c r="J6022" s="4"/>
      <c r="K6022" s="38">
        <f t="shared" ref="K6022:K6085" si="283">J6022*I6022</f>
        <v>0</v>
      </c>
    </row>
    <row r="6023" spans="1:11">
      <c r="A6023" t="s">
        <v>2556</v>
      </c>
      <c r="B6023" t="s">
        <v>12674</v>
      </c>
      <c r="C6023" t="s">
        <v>8064</v>
      </c>
      <c r="D6023" t="s">
        <v>8080</v>
      </c>
      <c r="E6023">
        <v>21658.21</v>
      </c>
      <c r="G6023" s="35"/>
      <c r="H6023" s="36">
        <f t="shared" ref="H6023:H6086" si="284">+E6023*$H$1*(1-G6023)</f>
        <v>13644.6723</v>
      </c>
      <c r="I6023" s="37">
        <f t="shared" si="282"/>
        <v>13644.6723</v>
      </c>
      <c r="J6023" s="4"/>
      <c r="K6023" s="38">
        <f t="shared" si="283"/>
        <v>0</v>
      </c>
    </row>
    <row r="6024" spans="1:11">
      <c r="A6024" t="s">
        <v>2557</v>
      </c>
      <c r="B6024" t="s">
        <v>12674</v>
      </c>
      <c r="C6024" t="s">
        <v>8064</v>
      </c>
      <c r="D6024" t="s">
        <v>8081</v>
      </c>
      <c r="E6024">
        <v>150820.99</v>
      </c>
      <c r="G6024" s="35"/>
      <c r="H6024" s="36">
        <f t="shared" si="284"/>
        <v>95017.223699999988</v>
      </c>
      <c r="I6024" s="37">
        <f t="shared" si="282"/>
        <v>95017.223699999988</v>
      </c>
      <c r="J6024" s="4"/>
      <c r="K6024" s="38">
        <f t="shared" si="283"/>
        <v>0</v>
      </c>
    </row>
    <row r="6025" spans="1:11">
      <c r="A6025" t="s">
        <v>2558</v>
      </c>
      <c r="B6025" t="s">
        <v>12674</v>
      </c>
      <c r="C6025" t="s">
        <v>8064</v>
      </c>
      <c r="D6025" t="s">
        <v>8082</v>
      </c>
      <c r="E6025">
        <v>21658.21</v>
      </c>
      <c r="G6025" s="35"/>
      <c r="H6025" s="36">
        <f t="shared" si="284"/>
        <v>13644.6723</v>
      </c>
      <c r="I6025" s="37">
        <f t="shared" si="282"/>
        <v>13644.6723</v>
      </c>
      <c r="J6025" s="4"/>
      <c r="K6025" s="38">
        <f t="shared" si="283"/>
        <v>0</v>
      </c>
    </row>
    <row r="6026" spans="1:11">
      <c r="A6026" t="s">
        <v>2559</v>
      </c>
      <c r="B6026" t="s">
        <v>12674</v>
      </c>
      <c r="C6026" t="s">
        <v>8064</v>
      </c>
      <c r="D6026" t="s">
        <v>8083</v>
      </c>
      <c r="E6026">
        <v>131831.25</v>
      </c>
      <c r="G6026" s="35"/>
      <c r="H6026" s="36">
        <f t="shared" si="284"/>
        <v>83053.6875</v>
      </c>
      <c r="I6026" s="37">
        <f t="shared" si="282"/>
        <v>83053.6875</v>
      </c>
      <c r="J6026" s="4"/>
      <c r="K6026" s="38">
        <f t="shared" si="283"/>
        <v>0</v>
      </c>
    </row>
    <row r="6027" spans="1:11">
      <c r="A6027" t="s">
        <v>2560</v>
      </c>
      <c r="B6027" t="s">
        <v>12674</v>
      </c>
      <c r="C6027" t="s">
        <v>8064</v>
      </c>
      <c r="D6027" t="s">
        <v>8084</v>
      </c>
      <c r="E6027">
        <v>123759.89</v>
      </c>
      <c r="G6027" s="35"/>
      <c r="H6027" s="36">
        <f t="shared" si="284"/>
        <v>77968.7307</v>
      </c>
      <c r="I6027" s="37">
        <f t="shared" si="282"/>
        <v>77968.7307</v>
      </c>
      <c r="J6027" s="4"/>
      <c r="K6027" s="38">
        <f t="shared" si="283"/>
        <v>0</v>
      </c>
    </row>
    <row r="6028" spans="1:11">
      <c r="A6028" t="s">
        <v>218</v>
      </c>
      <c r="B6028" t="s">
        <v>12674</v>
      </c>
      <c r="C6028" t="s">
        <v>5803</v>
      </c>
      <c r="D6028" t="s">
        <v>11283</v>
      </c>
      <c r="E6028">
        <v>3299.28</v>
      </c>
      <c r="G6028" s="35"/>
      <c r="H6028" s="36">
        <f t="shared" si="284"/>
        <v>2078.5464000000002</v>
      </c>
      <c r="I6028" s="37">
        <f t="shared" si="282"/>
        <v>2078.5464000000002</v>
      </c>
      <c r="J6028" s="4"/>
      <c r="K6028" s="38">
        <f t="shared" si="283"/>
        <v>0</v>
      </c>
    </row>
    <row r="6029" spans="1:11">
      <c r="A6029" t="s">
        <v>219</v>
      </c>
      <c r="B6029" t="s">
        <v>12674</v>
      </c>
      <c r="C6029" t="s">
        <v>5803</v>
      </c>
      <c r="D6029" t="s">
        <v>5804</v>
      </c>
      <c r="E6029">
        <v>13093.42</v>
      </c>
      <c r="G6029" s="35"/>
      <c r="H6029" s="36">
        <f t="shared" si="284"/>
        <v>8248.8546000000006</v>
      </c>
      <c r="I6029" s="37">
        <f t="shared" si="282"/>
        <v>8248.8546000000006</v>
      </c>
      <c r="J6029" s="4"/>
      <c r="K6029" s="38">
        <f t="shared" si="283"/>
        <v>0</v>
      </c>
    </row>
    <row r="6030" spans="1:11">
      <c r="A6030" t="s">
        <v>220</v>
      </c>
      <c r="B6030" t="s">
        <v>12674</v>
      </c>
      <c r="C6030" t="s">
        <v>5803</v>
      </c>
      <c r="D6030" t="s">
        <v>5805</v>
      </c>
      <c r="E6030">
        <v>37693.769999999997</v>
      </c>
      <c r="G6030" s="35"/>
      <c r="H6030" s="36">
        <f t="shared" si="284"/>
        <v>23747.075099999998</v>
      </c>
      <c r="I6030" s="37">
        <f t="shared" si="282"/>
        <v>23747.075099999998</v>
      </c>
      <c r="J6030" s="4"/>
      <c r="K6030" s="38">
        <f t="shared" si="283"/>
        <v>0</v>
      </c>
    </row>
    <row r="6031" spans="1:11">
      <c r="A6031" t="s">
        <v>221</v>
      </c>
      <c r="B6031" t="s">
        <v>12674</v>
      </c>
      <c r="C6031" t="s">
        <v>5803</v>
      </c>
      <c r="D6031" t="s">
        <v>5806</v>
      </c>
      <c r="E6031">
        <v>67835.66</v>
      </c>
      <c r="G6031" s="35"/>
      <c r="H6031" s="36">
        <f t="shared" si="284"/>
        <v>42736.465800000005</v>
      </c>
      <c r="I6031" s="37">
        <f t="shared" si="282"/>
        <v>42736.465800000005</v>
      </c>
      <c r="J6031" s="4"/>
      <c r="K6031" s="38">
        <f t="shared" si="283"/>
        <v>0</v>
      </c>
    </row>
    <row r="6032" spans="1:11">
      <c r="A6032" t="s">
        <v>222</v>
      </c>
      <c r="B6032" t="s">
        <v>12674</v>
      </c>
      <c r="C6032" t="s">
        <v>5803</v>
      </c>
      <c r="D6032" t="s">
        <v>5807</v>
      </c>
      <c r="E6032">
        <v>90484.71</v>
      </c>
      <c r="G6032" s="35"/>
      <c r="H6032" s="36">
        <f t="shared" si="284"/>
        <v>57005.367300000005</v>
      </c>
      <c r="I6032" s="37">
        <f t="shared" si="282"/>
        <v>57005.367300000005</v>
      </c>
      <c r="J6032" s="4"/>
      <c r="K6032" s="38">
        <f t="shared" si="283"/>
        <v>0</v>
      </c>
    </row>
    <row r="6033" spans="1:11">
      <c r="A6033" t="s">
        <v>223</v>
      </c>
      <c r="B6033" t="s">
        <v>12674</v>
      </c>
      <c r="C6033" t="s">
        <v>5803</v>
      </c>
      <c r="D6033" t="s">
        <v>5808</v>
      </c>
      <c r="E6033">
        <v>37692.5</v>
      </c>
      <c r="G6033" s="35"/>
      <c r="H6033" s="36">
        <f t="shared" si="284"/>
        <v>23746.275000000001</v>
      </c>
      <c r="I6033" s="37">
        <f t="shared" si="282"/>
        <v>23746.275000000001</v>
      </c>
      <c r="J6033" s="4"/>
      <c r="K6033" s="38">
        <f t="shared" si="283"/>
        <v>0</v>
      </c>
    </row>
    <row r="6034" spans="1:11">
      <c r="A6034" t="s">
        <v>224</v>
      </c>
      <c r="B6034" t="s">
        <v>12674</v>
      </c>
      <c r="C6034" t="s">
        <v>5803</v>
      </c>
      <c r="D6034" t="s">
        <v>5809</v>
      </c>
      <c r="E6034">
        <v>67835.66</v>
      </c>
      <c r="G6034" s="35"/>
      <c r="H6034" s="36">
        <f t="shared" si="284"/>
        <v>42736.465800000005</v>
      </c>
      <c r="I6034" s="37">
        <f t="shared" si="282"/>
        <v>42736.465800000005</v>
      </c>
      <c r="J6034" s="4"/>
      <c r="K6034" s="38">
        <f t="shared" si="283"/>
        <v>0</v>
      </c>
    </row>
    <row r="6035" spans="1:11">
      <c r="A6035" t="s">
        <v>225</v>
      </c>
      <c r="B6035" t="s">
        <v>12674</v>
      </c>
      <c r="C6035" t="s">
        <v>5803</v>
      </c>
      <c r="D6035" t="s">
        <v>5810</v>
      </c>
      <c r="E6035">
        <v>90484.71</v>
      </c>
      <c r="G6035" s="35"/>
      <c r="H6035" s="36">
        <f t="shared" si="284"/>
        <v>57005.367300000005</v>
      </c>
      <c r="I6035" s="37">
        <f t="shared" si="282"/>
        <v>57005.367300000005</v>
      </c>
      <c r="J6035" s="4"/>
      <c r="K6035" s="38">
        <f t="shared" si="283"/>
        <v>0</v>
      </c>
    </row>
    <row r="6036" spans="1:11">
      <c r="A6036" t="s">
        <v>226</v>
      </c>
      <c r="B6036" t="s">
        <v>12674</v>
      </c>
      <c r="C6036" t="s">
        <v>5803</v>
      </c>
      <c r="D6036" t="s">
        <v>5811</v>
      </c>
      <c r="E6036">
        <v>37692.5</v>
      </c>
      <c r="G6036" s="35"/>
      <c r="H6036" s="36">
        <f t="shared" si="284"/>
        <v>23746.275000000001</v>
      </c>
      <c r="I6036" s="37">
        <f t="shared" si="282"/>
        <v>23746.275000000001</v>
      </c>
      <c r="J6036" s="4"/>
      <c r="K6036" s="38">
        <f t="shared" si="283"/>
        <v>0</v>
      </c>
    </row>
    <row r="6037" spans="1:11">
      <c r="A6037" t="s">
        <v>227</v>
      </c>
      <c r="B6037" t="s">
        <v>12674</v>
      </c>
      <c r="C6037" t="s">
        <v>5803</v>
      </c>
      <c r="D6037" t="s">
        <v>5812</v>
      </c>
      <c r="E6037">
        <v>67835.66</v>
      </c>
      <c r="G6037" s="35"/>
      <c r="H6037" s="36">
        <f t="shared" si="284"/>
        <v>42736.465800000005</v>
      </c>
      <c r="I6037" s="37">
        <f t="shared" si="282"/>
        <v>42736.465800000005</v>
      </c>
      <c r="J6037" s="4"/>
      <c r="K6037" s="38">
        <f t="shared" si="283"/>
        <v>0</v>
      </c>
    </row>
    <row r="6038" spans="1:11">
      <c r="A6038" t="s">
        <v>228</v>
      </c>
      <c r="B6038" t="s">
        <v>12674</v>
      </c>
      <c r="C6038" t="s">
        <v>5803</v>
      </c>
      <c r="D6038" t="s">
        <v>5813</v>
      </c>
      <c r="E6038">
        <v>90484.71</v>
      </c>
      <c r="G6038" s="35"/>
      <c r="H6038" s="36">
        <f t="shared" si="284"/>
        <v>57005.367300000005</v>
      </c>
      <c r="I6038" s="37">
        <f t="shared" si="282"/>
        <v>57005.367300000005</v>
      </c>
      <c r="J6038" s="4"/>
      <c r="K6038" s="38">
        <f t="shared" si="283"/>
        <v>0</v>
      </c>
    </row>
    <row r="6039" spans="1:11">
      <c r="A6039" t="s">
        <v>229</v>
      </c>
      <c r="B6039" t="s">
        <v>12674</v>
      </c>
      <c r="C6039" t="s">
        <v>5803</v>
      </c>
      <c r="D6039" t="s">
        <v>5814</v>
      </c>
      <c r="E6039">
        <v>148787.1</v>
      </c>
      <c r="G6039" s="35"/>
      <c r="H6039" s="36">
        <f t="shared" si="284"/>
        <v>93735.873000000007</v>
      </c>
      <c r="I6039" s="37">
        <f t="shared" si="282"/>
        <v>93735.873000000007</v>
      </c>
      <c r="J6039" s="4"/>
      <c r="K6039" s="38">
        <f t="shared" si="283"/>
        <v>0</v>
      </c>
    </row>
    <row r="6040" spans="1:11">
      <c r="A6040" t="s">
        <v>230</v>
      </c>
      <c r="B6040" t="s">
        <v>12674</v>
      </c>
      <c r="C6040" t="s">
        <v>5803</v>
      </c>
      <c r="D6040" t="s">
        <v>5815</v>
      </c>
      <c r="E6040">
        <v>198383.18</v>
      </c>
      <c r="G6040" s="35"/>
      <c r="H6040" s="36">
        <f t="shared" si="284"/>
        <v>124981.4034</v>
      </c>
      <c r="I6040" s="37">
        <f t="shared" si="282"/>
        <v>124981.4034</v>
      </c>
      <c r="J6040" s="4"/>
      <c r="K6040" s="38">
        <f t="shared" si="283"/>
        <v>0</v>
      </c>
    </row>
    <row r="6041" spans="1:11">
      <c r="A6041" t="s">
        <v>11656</v>
      </c>
      <c r="B6041" t="s">
        <v>12674</v>
      </c>
      <c r="C6041" t="s">
        <v>5803</v>
      </c>
      <c r="D6041" t="s">
        <v>11657</v>
      </c>
      <c r="E6041">
        <v>9915.1</v>
      </c>
      <c r="G6041" s="35"/>
      <c r="H6041" s="36">
        <f t="shared" si="284"/>
        <v>6246.5129999999999</v>
      </c>
      <c r="I6041" s="37">
        <f t="shared" si="282"/>
        <v>6246.5129999999999</v>
      </c>
      <c r="J6041" s="4"/>
      <c r="K6041" s="38">
        <f t="shared" si="283"/>
        <v>0</v>
      </c>
    </row>
    <row r="6042" spans="1:11">
      <c r="A6042" t="s">
        <v>231</v>
      </c>
      <c r="B6042" t="s">
        <v>12674</v>
      </c>
      <c r="C6042" t="s">
        <v>5803</v>
      </c>
      <c r="D6042" t="s">
        <v>11797</v>
      </c>
      <c r="E6042">
        <v>57638.05</v>
      </c>
      <c r="G6042" s="35"/>
      <c r="H6042" s="36">
        <f t="shared" si="284"/>
        <v>36311.9715</v>
      </c>
      <c r="I6042" s="37">
        <f t="shared" si="282"/>
        <v>36311.9715</v>
      </c>
      <c r="J6042" s="4"/>
      <c r="K6042" s="38">
        <f t="shared" si="283"/>
        <v>0</v>
      </c>
    </row>
    <row r="6043" spans="1:11">
      <c r="A6043" t="s">
        <v>232</v>
      </c>
      <c r="B6043" t="s">
        <v>12674</v>
      </c>
      <c r="C6043" t="s">
        <v>5803</v>
      </c>
      <c r="D6043" t="s">
        <v>5816</v>
      </c>
      <c r="E6043">
        <v>11868.69</v>
      </c>
      <c r="G6043" s="35"/>
      <c r="H6043" s="36">
        <f t="shared" si="284"/>
        <v>7477.2746999999999</v>
      </c>
      <c r="I6043" s="37">
        <f t="shared" si="282"/>
        <v>7477.2746999999999</v>
      </c>
      <c r="J6043" s="4"/>
      <c r="K6043" s="38">
        <f t="shared" si="283"/>
        <v>0</v>
      </c>
    </row>
    <row r="6044" spans="1:11">
      <c r="A6044" t="s">
        <v>233</v>
      </c>
      <c r="B6044" t="s">
        <v>12674</v>
      </c>
      <c r="C6044" t="s">
        <v>5803</v>
      </c>
      <c r="D6044" t="s">
        <v>5817</v>
      </c>
      <c r="E6044">
        <v>19383.46</v>
      </c>
      <c r="G6044" s="35"/>
      <c r="H6044" s="36">
        <f t="shared" si="284"/>
        <v>12211.5798</v>
      </c>
      <c r="I6044" s="37">
        <f t="shared" si="282"/>
        <v>12211.5798</v>
      </c>
      <c r="J6044" s="4"/>
      <c r="K6044" s="38">
        <f t="shared" si="283"/>
        <v>0</v>
      </c>
    </row>
    <row r="6045" spans="1:11">
      <c r="A6045" t="s">
        <v>234</v>
      </c>
      <c r="B6045" t="s">
        <v>12674</v>
      </c>
      <c r="C6045" t="s">
        <v>5803</v>
      </c>
      <c r="D6045" t="s">
        <v>5818</v>
      </c>
      <c r="E6045">
        <v>18750.34</v>
      </c>
      <c r="G6045" s="35"/>
      <c r="H6045" s="36">
        <f t="shared" si="284"/>
        <v>11812.7142</v>
      </c>
      <c r="I6045" s="37">
        <f t="shared" si="282"/>
        <v>11812.7142</v>
      </c>
      <c r="J6045" s="4"/>
      <c r="K6045" s="38">
        <f t="shared" si="283"/>
        <v>0</v>
      </c>
    </row>
    <row r="6046" spans="1:11">
      <c r="A6046" t="s">
        <v>235</v>
      </c>
      <c r="B6046" t="s">
        <v>12674</v>
      </c>
      <c r="C6046" t="s">
        <v>5803</v>
      </c>
      <c r="D6046" t="s">
        <v>5819</v>
      </c>
      <c r="E6046">
        <v>52539.82</v>
      </c>
      <c r="G6046" s="35"/>
      <c r="H6046" s="36">
        <f t="shared" si="284"/>
        <v>33100.086600000002</v>
      </c>
      <c r="I6046" s="37">
        <f t="shared" si="282"/>
        <v>33100.086600000002</v>
      </c>
      <c r="J6046" s="4"/>
      <c r="K6046" s="38">
        <f t="shared" si="283"/>
        <v>0</v>
      </c>
    </row>
    <row r="6047" spans="1:11">
      <c r="A6047" t="s">
        <v>236</v>
      </c>
      <c r="B6047" t="s">
        <v>12674</v>
      </c>
      <c r="C6047" t="s">
        <v>5803</v>
      </c>
      <c r="D6047" t="s">
        <v>5820</v>
      </c>
      <c r="E6047">
        <v>78966.5</v>
      </c>
      <c r="G6047" s="35"/>
      <c r="H6047" s="36">
        <f t="shared" si="284"/>
        <v>49748.894999999997</v>
      </c>
      <c r="I6047" s="37">
        <f t="shared" si="282"/>
        <v>49748.894999999997</v>
      </c>
      <c r="J6047" s="4"/>
      <c r="K6047" s="38">
        <f t="shared" si="283"/>
        <v>0</v>
      </c>
    </row>
    <row r="6048" spans="1:11">
      <c r="A6048" t="s">
        <v>237</v>
      </c>
      <c r="B6048" t="s">
        <v>12674</v>
      </c>
      <c r="C6048" t="s">
        <v>5803</v>
      </c>
      <c r="D6048" t="s">
        <v>5821</v>
      </c>
      <c r="E6048">
        <v>117654</v>
      </c>
      <c r="G6048" s="35"/>
      <c r="H6048" s="36">
        <f t="shared" si="284"/>
        <v>74122.02</v>
      </c>
      <c r="I6048" s="37">
        <f t="shared" si="282"/>
        <v>74122.02</v>
      </c>
      <c r="J6048" s="4"/>
      <c r="K6048" s="38">
        <f t="shared" si="283"/>
        <v>0</v>
      </c>
    </row>
    <row r="6049" spans="1:11">
      <c r="A6049" t="s">
        <v>10403</v>
      </c>
      <c r="B6049" t="s">
        <v>12674</v>
      </c>
      <c r="C6049" t="s">
        <v>5803</v>
      </c>
      <c r="D6049" t="s">
        <v>10404</v>
      </c>
      <c r="E6049">
        <v>43104.67</v>
      </c>
      <c r="G6049" s="35"/>
      <c r="H6049" s="36">
        <f t="shared" si="284"/>
        <v>27155.9421</v>
      </c>
      <c r="I6049" s="37">
        <f t="shared" si="282"/>
        <v>27155.9421</v>
      </c>
      <c r="J6049" s="4"/>
      <c r="K6049" s="38">
        <f t="shared" si="283"/>
        <v>0</v>
      </c>
    </row>
    <row r="6050" spans="1:11">
      <c r="A6050" t="s">
        <v>238</v>
      </c>
      <c r="B6050" t="s">
        <v>12674</v>
      </c>
      <c r="C6050" t="s">
        <v>5803</v>
      </c>
      <c r="D6050" t="s">
        <v>11881</v>
      </c>
      <c r="E6050">
        <v>31043.74</v>
      </c>
      <c r="G6050" s="35"/>
      <c r="H6050" s="36">
        <f t="shared" si="284"/>
        <v>19557.556200000003</v>
      </c>
      <c r="I6050" s="37">
        <f t="shared" si="282"/>
        <v>19557.556200000003</v>
      </c>
      <c r="J6050" s="4"/>
      <c r="K6050" s="38">
        <f t="shared" si="283"/>
        <v>0</v>
      </c>
    </row>
    <row r="6051" spans="1:11">
      <c r="A6051" t="s">
        <v>239</v>
      </c>
      <c r="B6051" t="s">
        <v>12674</v>
      </c>
      <c r="C6051" t="s">
        <v>5803</v>
      </c>
      <c r="D6051" t="s">
        <v>5822</v>
      </c>
      <c r="E6051">
        <v>43106.37</v>
      </c>
      <c r="G6051" s="35"/>
      <c r="H6051" s="36">
        <f t="shared" si="284"/>
        <v>27157.0131</v>
      </c>
      <c r="I6051" s="37">
        <f t="shared" si="282"/>
        <v>27157.0131</v>
      </c>
      <c r="J6051" s="4"/>
      <c r="K6051" s="38">
        <f t="shared" si="283"/>
        <v>0</v>
      </c>
    </row>
    <row r="6052" spans="1:11">
      <c r="A6052" t="s">
        <v>240</v>
      </c>
      <c r="B6052" t="s">
        <v>12674</v>
      </c>
      <c r="C6052" t="s">
        <v>5803</v>
      </c>
      <c r="D6052" t="s">
        <v>5823</v>
      </c>
      <c r="E6052">
        <v>65104.25</v>
      </c>
      <c r="G6052" s="35"/>
      <c r="H6052" s="36">
        <f t="shared" si="284"/>
        <v>41015.677499999998</v>
      </c>
      <c r="I6052" s="37">
        <f t="shared" si="282"/>
        <v>41015.677499999998</v>
      </c>
      <c r="J6052" s="4"/>
      <c r="K6052" s="38">
        <f t="shared" si="283"/>
        <v>0</v>
      </c>
    </row>
    <row r="6053" spans="1:11">
      <c r="A6053" t="s">
        <v>241</v>
      </c>
      <c r="B6053" t="s">
        <v>12674</v>
      </c>
      <c r="C6053" t="s">
        <v>5803</v>
      </c>
      <c r="D6053" t="s">
        <v>5824</v>
      </c>
      <c r="E6053">
        <v>148787.1</v>
      </c>
      <c r="G6053" s="35"/>
      <c r="H6053" s="36">
        <f t="shared" si="284"/>
        <v>93735.873000000007</v>
      </c>
      <c r="I6053" s="37">
        <f t="shared" si="282"/>
        <v>93735.873000000007</v>
      </c>
      <c r="J6053" s="4"/>
      <c r="K6053" s="38">
        <f t="shared" si="283"/>
        <v>0</v>
      </c>
    </row>
    <row r="6054" spans="1:11">
      <c r="A6054" t="s">
        <v>242</v>
      </c>
      <c r="B6054" t="s">
        <v>12674</v>
      </c>
      <c r="C6054" t="s">
        <v>5803</v>
      </c>
      <c r="D6054" t="s">
        <v>5825</v>
      </c>
      <c r="E6054">
        <v>8404.89</v>
      </c>
      <c r="G6054" s="35"/>
      <c r="H6054" s="36">
        <f t="shared" si="284"/>
        <v>5295.0806999999995</v>
      </c>
      <c r="I6054" s="37">
        <f t="shared" si="282"/>
        <v>5295.0806999999995</v>
      </c>
      <c r="J6054" s="4"/>
      <c r="K6054" s="38">
        <f t="shared" si="283"/>
        <v>0</v>
      </c>
    </row>
    <row r="6055" spans="1:11">
      <c r="A6055" t="s">
        <v>243</v>
      </c>
      <c r="B6055" t="s">
        <v>12674</v>
      </c>
      <c r="C6055" t="s">
        <v>5803</v>
      </c>
      <c r="D6055" t="s">
        <v>5826</v>
      </c>
      <c r="E6055">
        <v>13218.8</v>
      </c>
      <c r="G6055" s="35"/>
      <c r="H6055" s="36">
        <f t="shared" si="284"/>
        <v>8327.8439999999991</v>
      </c>
      <c r="I6055" s="37">
        <f t="shared" si="282"/>
        <v>8327.8439999999991</v>
      </c>
      <c r="J6055" s="4"/>
      <c r="K6055" s="38">
        <f t="shared" si="283"/>
        <v>0</v>
      </c>
    </row>
    <row r="6056" spans="1:11">
      <c r="A6056" t="s">
        <v>244</v>
      </c>
      <c r="B6056" t="s">
        <v>12674</v>
      </c>
      <c r="C6056" t="s">
        <v>5803</v>
      </c>
      <c r="D6056" t="s">
        <v>5827</v>
      </c>
      <c r="E6056">
        <v>985.11</v>
      </c>
      <c r="G6056" s="35"/>
      <c r="H6056" s="36">
        <f t="shared" si="284"/>
        <v>620.61930000000007</v>
      </c>
      <c r="I6056" s="37">
        <f t="shared" si="282"/>
        <v>620.61930000000007</v>
      </c>
      <c r="J6056" s="4"/>
      <c r="K6056" s="38">
        <f t="shared" si="283"/>
        <v>0</v>
      </c>
    </row>
    <row r="6057" spans="1:11">
      <c r="A6057" t="s">
        <v>245</v>
      </c>
      <c r="B6057" t="s">
        <v>12674</v>
      </c>
      <c r="C6057" t="s">
        <v>5803</v>
      </c>
      <c r="D6057" t="s">
        <v>5828</v>
      </c>
      <c r="E6057">
        <v>1565.9</v>
      </c>
      <c r="G6057" s="35"/>
      <c r="H6057" s="36">
        <f t="shared" si="284"/>
        <v>986.51700000000005</v>
      </c>
      <c r="I6057" s="37">
        <f t="shared" si="282"/>
        <v>986.51700000000005</v>
      </c>
      <c r="J6057" s="4"/>
      <c r="K6057" s="38">
        <f t="shared" si="283"/>
        <v>0</v>
      </c>
    </row>
    <row r="6058" spans="1:11">
      <c r="A6058" t="s">
        <v>9754</v>
      </c>
      <c r="B6058" t="s">
        <v>12674</v>
      </c>
      <c r="C6058" t="s">
        <v>5803</v>
      </c>
      <c r="D6058" t="s">
        <v>9755</v>
      </c>
      <c r="E6058">
        <v>1257.26</v>
      </c>
      <c r="G6058" s="35"/>
      <c r="H6058" s="36">
        <f t="shared" si="284"/>
        <v>792.07380000000001</v>
      </c>
      <c r="I6058" s="37">
        <f t="shared" si="282"/>
        <v>792.07380000000001</v>
      </c>
      <c r="J6058" s="4"/>
      <c r="K6058" s="38">
        <f t="shared" si="283"/>
        <v>0</v>
      </c>
    </row>
    <row r="6059" spans="1:11">
      <c r="A6059" t="s">
        <v>246</v>
      </c>
      <c r="B6059" t="s">
        <v>12674</v>
      </c>
      <c r="C6059" t="s">
        <v>5803</v>
      </c>
      <c r="D6059" t="s">
        <v>11798</v>
      </c>
      <c r="E6059">
        <v>17395.95</v>
      </c>
      <c r="G6059" s="35"/>
      <c r="H6059" s="36">
        <f t="shared" si="284"/>
        <v>10959.4485</v>
      </c>
      <c r="I6059" s="37">
        <f t="shared" si="282"/>
        <v>10959.4485</v>
      </c>
      <c r="J6059" s="4"/>
      <c r="K6059" s="38">
        <f t="shared" si="283"/>
        <v>0</v>
      </c>
    </row>
    <row r="6060" spans="1:11">
      <c r="A6060" t="s">
        <v>247</v>
      </c>
      <c r="B6060" t="s">
        <v>12674</v>
      </c>
      <c r="C6060" t="s">
        <v>5803</v>
      </c>
      <c r="D6060" t="s">
        <v>11799</v>
      </c>
      <c r="E6060">
        <v>5873.09</v>
      </c>
      <c r="G6060" s="35"/>
      <c r="H6060" s="36">
        <f t="shared" si="284"/>
        <v>3700.0467000000003</v>
      </c>
      <c r="I6060" s="37">
        <f t="shared" si="282"/>
        <v>3700.0467000000003</v>
      </c>
      <c r="J6060" s="4"/>
      <c r="K6060" s="38">
        <f t="shared" si="283"/>
        <v>0</v>
      </c>
    </row>
    <row r="6061" spans="1:11">
      <c r="A6061" t="s">
        <v>248</v>
      </c>
      <c r="B6061" t="s">
        <v>12674</v>
      </c>
      <c r="C6061" t="s">
        <v>5803</v>
      </c>
      <c r="D6061" t="s">
        <v>11800</v>
      </c>
      <c r="E6061">
        <v>9806.9699999999993</v>
      </c>
      <c r="G6061" s="35"/>
      <c r="H6061" s="36">
        <f t="shared" si="284"/>
        <v>6178.3910999999998</v>
      </c>
      <c r="I6061" s="37">
        <f t="shared" si="282"/>
        <v>6178.3910999999998</v>
      </c>
      <c r="J6061" s="4"/>
      <c r="K6061" s="38">
        <f t="shared" si="283"/>
        <v>0</v>
      </c>
    </row>
    <row r="6062" spans="1:11">
      <c r="A6062" t="s">
        <v>249</v>
      </c>
      <c r="B6062" t="s">
        <v>12674</v>
      </c>
      <c r="C6062" t="s">
        <v>5803</v>
      </c>
      <c r="D6062" t="s">
        <v>11801</v>
      </c>
      <c r="E6062">
        <v>1645.36</v>
      </c>
      <c r="G6062" s="35"/>
      <c r="H6062" s="36">
        <f t="shared" si="284"/>
        <v>1036.5768</v>
      </c>
      <c r="I6062" s="37">
        <f t="shared" si="282"/>
        <v>1036.5768</v>
      </c>
      <c r="J6062" s="4"/>
      <c r="K6062" s="38">
        <f t="shared" si="283"/>
        <v>0</v>
      </c>
    </row>
    <row r="6063" spans="1:11">
      <c r="A6063" t="s">
        <v>250</v>
      </c>
      <c r="B6063" t="s">
        <v>12674</v>
      </c>
      <c r="C6063" t="s">
        <v>5803</v>
      </c>
      <c r="D6063" t="s">
        <v>12479</v>
      </c>
      <c r="E6063">
        <v>3338.68</v>
      </c>
      <c r="G6063" s="35"/>
      <c r="H6063" s="36">
        <f t="shared" si="284"/>
        <v>2103.3683999999998</v>
      </c>
      <c r="I6063" s="37">
        <f t="shared" si="282"/>
        <v>2103.3683999999998</v>
      </c>
      <c r="J6063" s="4"/>
      <c r="K6063" s="38">
        <f t="shared" si="283"/>
        <v>0</v>
      </c>
    </row>
    <row r="6064" spans="1:11">
      <c r="A6064" t="s">
        <v>251</v>
      </c>
      <c r="B6064" t="s">
        <v>12674</v>
      </c>
      <c r="C6064" t="s">
        <v>5803</v>
      </c>
      <c r="D6064" t="s">
        <v>11802</v>
      </c>
      <c r="E6064">
        <v>29828.97</v>
      </c>
      <c r="G6064" s="35"/>
      <c r="H6064" s="36">
        <f t="shared" si="284"/>
        <v>18792.251100000001</v>
      </c>
      <c r="I6064" s="37">
        <f t="shared" si="282"/>
        <v>18792.251100000001</v>
      </c>
      <c r="J6064" s="4"/>
      <c r="K6064" s="38">
        <f t="shared" si="283"/>
        <v>0</v>
      </c>
    </row>
    <row r="6065" spans="1:11">
      <c r="A6065" t="s">
        <v>252</v>
      </c>
      <c r="B6065" t="s">
        <v>12674</v>
      </c>
      <c r="C6065" t="s">
        <v>5803</v>
      </c>
      <c r="D6065" t="s">
        <v>5829</v>
      </c>
      <c r="E6065">
        <v>3433.2</v>
      </c>
      <c r="G6065" s="35"/>
      <c r="H6065" s="36">
        <f t="shared" si="284"/>
        <v>2162.9159999999997</v>
      </c>
      <c r="I6065" s="37">
        <f t="shared" si="282"/>
        <v>2162.9159999999997</v>
      </c>
      <c r="J6065" s="4"/>
      <c r="K6065" s="38">
        <f t="shared" si="283"/>
        <v>0</v>
      </c>
    </row>
    <row r="6066" spans="1:11">
      <c r="A6066" t="s">
        <v>253</v>
      </c>
      <c r="B6066" t="s">
        <v>12674</v>
      </c>
      <c r="C6066" t="s">
        <v>5803</v>
      </c>
      <c r="D6066" t="s">
        <v>11658</v>
      </c>
      <c r="E6066">
        <v>792.56</v>
      </c>
      <c r="G6066" s="35"/>
      <c r="H6066" s="36">
        <f t="shared" si="284"/>
        <v>499.31279999999998</v>
      </c>
      <c r="I6066" s="37">
        <f t="shared" si="282"/>
        <v>499.31279999999998</v>
      </c>
      <c r="J6066" s="4"/>
      <c r="K6066" s="38">
        <f t="shared" si="283"/>
        <v>0</v>
      </c>
    </row>
    <row r="6067" spans="1:11">
      <c r="A6067" t="s">
        <v>254</v>
      </c>
      <c r="B6067" t="s">
        <v>12674</v>
      </c>
      <c r="C6067" t="s">
        <v>5803</v>
      </c>
      <c r="D6067" t="s">
        <v>11803</v>
      </c>
      <c r="E6067">
        <v>1336</v>
      </c>
      <c r="G6067" s="35"/>
      <c r="H6067" s="36">
        <f t="shared" si="284"/>
        <v>841.68</v>
      </c>
      <c r="I6067" s="37">
        <f t="shared" si="282"/>
        <v>841.68</v>
      </c>
      <c r="J6067" s="4"/>
      <c r="K6067" s="38">
        <f t="shared" si="283"/>
        <v>0</v>
      </c>
    </row>
    <row r="6068" spans="1:11">
      <c r="A6068" t="s">
        <v>255</v>
      </c>
      <c r="B6068" t="s">
        <v>12674</v>
      </c>
      <c r="C6068" t="s">
        <v>5803</v>
      </c>
      <c r="D6068" t="s">
        <v>11804</v>
      </c>
      <c r="E6068">
        <v>1565.92</v>
      </c>
      <c r="G6068" s="35"/>
      <c r="H6068" s="36">
        <f t="shared" si="284"/>
        <v>986.52960000000007</v>
      </c>
      <c r="I6068" s="37">
        <f t="shared" si="282"/>
        <v>986.52960000000007</v>
      </c>
      <c r="J6068" s="4"/>
      <c r="K6068" s="38">
        <f t="shared" si="283"/>
        <v>0</v>
      </c>
    </row>
    <row r="6069" spans="1:11">
      <c r="A6069" t="s">
        <v>256</v>
      </c>
      <c r="B6069" t="s">
        <v>12674</v>
      </c>
      <c r="C6069" t="s">
        <v>5803</v>
      </c>
      <c r="D6069" t="s">
        <v>11805</v>
      </c>
      <c r="E6069">
        <v>3638.99</v>
      </c>
      <c r="G6069" s="35"/>
      <c r="H6069" s="36">
        <f t="shared" si="284"/>
        <v>2292.5636999999997</v>
      </c>
      <c r="I6069" s="37">
        <f t="shared" si="282"/>
        <v>2292.5636999999997</v>
      </c>
      <c r="J6069" s="4"/>
      <c r="K6069" s="38">
        <f t="shared" si="283"/>
        <v>0</v>
      </c>
    </row>
    <row r="6070" spans="1:11">
      <c r="A6070" t="s">
        <v>257</v>
      </c>
      <c r="B6070" t="s">
        <v>12674</v>
      </c>
      <c r="C6070" t="s">
        <v>5803</v>
      </c>
      <c r="D6070" t="s">
        <v>5830</v>
      </c>
      <c r="E6070">
        <v>677.69</v>
      </c>
      <c r="G6070" s="35"/>
      <c r="H6070" s="36">
        <f t="shared" si="284"/>
        <v>426.94470000000001</v>
      </c>
      <c r="I6070" s="37">
        <f t="shared" si="282"/>
        <v>426.94470000000001</v>
      </c>
      <c r="J6070" s="4"/>
      <c r="K6070" s="38">
        <f t="shared" si="283"/>
        <v>0</v>
      </c>
    </row>
    <row r="6071" spans="1:11">
      <c r="A6071" t="s">
        <v>258</v>
      </c>
      <c r="B6071" t="s">
        <v>12674</v>
      </c>
      <c r="C6071" t="s">
        <v>5803</v>
      </c>
      <c r="D6071" t="s">
        <v>11806</v>
      </c>
      <c r="E6071">
        <v>1007.34</v>
      </c>
      <c r="G6071" s="35"/>
      <c r="H6071" s="36">
        <f t="shared" si="284"/>
        <v>634.62419999999997</v>
      </c>
      <c r="I6071" s="37">
        <f t="shared" si="282"/>
        <v>634.62419999999997</v>
      </c>
      <c r="J6071" s="4"/>
      <c r="K6071" s="38">
        <f t="shared" si="283"/>
        <v>0</v>
      </c>
    </row>
    <row r="6072" spans="1:11">
      <c r="A6072" t="s">
        <v>259</v>
      </c>
      <c r="B6072" t="s">
        <v>12674</v>
      </c>
      <c r="C6072" t="s">
        <v>5803</v>
      </c>
      <c r="D6072" t="s">
        <v>11807</v>
      </c>
      <c r="E6072">
        <v>2819.77</v>
      </c>
      <c r="G6072" s="35"/>
      <c r="H6072" s="36">
        <f t="shared" si="284"/>
        <v>1776.4550999999999</v>
      </c>
      <c r="I6072" s="37">
        <f t="shared" si="282"/>
        <v>1776.4550999999999</v>
      </c>
      <c r="J6072" s="4"/>
      <c r="K6072" s="38">
        <f t="shared" si="283"/>
        <v>0</v>
      </c>
    </row>
    <row r="6073" spans="1:11">
      <c r="A6073" t="s">
        <v>260</v>
      </c>
      <c r="B6073" t="s">
        <v>12674</v>
      </c>
      <c r="C6073" t="s">
        <v>5803</v>
      </c>
      <c r="D6073" t="s">
        <v>11808</v>
      </c>
      <c r="E6073">
        <v>3196.48</v>
      </c>
      <c r="G6073" s="35"/>
      <c r="H6073" s="36">
        <f t="shared" si="284"/>
        <v>2013.7824000000001</v>
      </c>
      <c r="I6073" s="37">
        <f t="shared" si="282"/>
        <v>2013.7824000000001</v>
      </c>
      <c r="J6073" s="4"/>
      <c r="K6073" s="38">
        <f t="shared" si="283"/>
        <v>0</v>
      </c>
    </row>
    <row r="6074" spans="1:11">
      <c r="A6074" t="s">
        <v>261</v>
      </c>
      <c r="B6074" t="s">
        <v>12674</v>
      </c>
      <c r="C6074" t="s">
        <v>5803</v>
      </c>
      <c r="D6074" t="s">
        <v>5831</v>
      </c>
      <c r="E6074">
        <v>13093.42</v>
      </c>
      <c r="G6074" s="35"/>
      <c r="H6074" s="36">
        <f t="shared" si="284"/>
        <v>8248.8546000000006</v>
      </c>
      <c r="I6074" s="37">
        <f t="shared" si="282"/>
        <v>8248.8546000000006</v>
      </c>
      <c r="J6074" s="4"/>
      <c r="K6074" s="38">
        <f t="shared" si="283"/>
        <v>0</v>
      </c>
    </row>
    <row r="6075" spans="1:11">
      <c r="A6075" t="s">
        <v>262</v>
      </c>
      <c r="B6075" t="s">
        <v>12674</v>
      </c>
      <c r="C6075" t="s">
        <v>5803</v>
      </c>
      <c r="D6075" t="s">
        <v>12310</v>
      </c>
      <c r="E6075">
        <v>5101.25</v>
      </c>
      <c r="G6075" s="35"/>
      <c r="H6075" s="36">
        <f t="shared" si="284"/>
        <v>3213.7874999999999</v>
      </c>
      <c r="I6075" s="37">
        <f t="shared" si="282"/>
        <v>3213.7874999999999</v>
      </c>
      <c r="J6075" s="4"/>
      <c r="K6075" s="38">
        <f t="shared" si="283"/>
        <v>0</v>
      </c>
    </row>
    <row r="6076" spans="1:11">
      <c r="A6076" t="s">
        <v>12306</v>
      </c>
      <c r="B6076" t="s">
        <v>12674</v>
      </c>
      <c r="C6076" t="s">
        <v>5803</v>
      </c>
      <c r="D6076" t="s">
        <v>12307</v>
      </c>
      <c r="E6076">
        <v>6481.38</v>
      </c>
      <c r="G6076" s="35"/>
      <c r="H6076" s="36">
        <f t="shared" si="284"/>
        <v>4083.2694000000001</v>
      </c>
      <c r="I6076" s="37">
        <f t="shared" si="282"/>
        <v>4083.2694000000001</v>
      </c>
      <c r="J6076" s="4"/>
      <c r="K6076" s="38">
        <f t="shared" si="283"/>
        <v>0</v>
      </c>
    </row>
    <row r="6077" spans="1:11">
      <c r="A6077" t="s">
        <v>12308</v>
      </c>
      <c r="B6077" t="s">
        <v>12674</v>
      </c>
      <c r="C6077" t="s">
        <v>5803</v>
      </c>
      <c r="D6077" t="s">
        <v>12309</v>
      </c>
      <c r="E6077">
        <v>7333.07</v>
      </c>
      <c r="G6077" s="35"/>
      <c r="H6077" s="36">
        <f t="shared" si="284"/>
        <v>4619.8341</v>
      </c>
      <c r="I6077" s="37">
        <f t="shared" si="282"/>
        <v>4619.8341</v>
      </c>
      <c r="J6077" s="4"/>
      <c r="K6077" s="38">
        <f t="shared" si="283"/>
        <v>0</v>
      </c>
    </row>
    <row r="6078" spans="1:11">
      <c r="A6078" t="s">
        <v>263</v>
      </c>
      <c r="B6078" t="s">
        <v>12674</v>
      </c>
      <c r="C6078" t="s">
        <v>5803</v>
      </c>
      <c r="D6078" t="s">
        <v>9841</v>
      </c>
      <c r="E6078">
        <v>38233.31</v>
      </c>
      <c r="G6078" s="35"/>
      <c r="H6078" s="36">
        <f t="shared" si="284"/>
        <v>24086.9853</v>
      </c>
      <c r="I6078" s="37">
        <f t="shared" si="282"/>
        <v>24086.9853</v>
      </c>
      <c r="J6078" s="4"/>
      <c r="K6078" s="38">
        <f t="shared" si="283"/>
        <v>0</v>
      </c>
    </row>
    <row r="6079" spans="1:11">
      <c r="A6079" t="s">
        <v>264</v>
      </c>
      <c r="B6079" t="s">
        <v>12674</v>
      </c>
      <c r="C6079" t="s">
        <v>5803</v>
      </c>
      <c r="D6079" t="s">
        <v>11809</v>
      </c>
      <c r="E6079">
        <v>57638.05</v>
      </c>
      <c r="G6079" s="35"/>
      <c r="H6079" s="36">
        <f t="shared" si="284"/>
        <v>36311.9715</v>
      </c>
      <c r="I6079" s="37">
        <f t="shared" si="282"/>
        <v>36311.9715</v>
      </c>
      <c r="J6079" s="4"/>
      <c r="K6079" s="38">
        <f t="shared" si="283"/>
        <v>0</v>
      </c>
    </row>
    <row r="6080" spans="1:11">
      <c r="A6080" t="s">
        <v>265</v>
      </c>
      <c r="B6080" t="s">
        <v>12674</v>
      </c>
      <c r="C6080" t="s">
        <v>5803</v>
      </c>
      <c r="D6080" t="s">
        <v>5832</v>
      </c>
      <c r="E6080">
        <v>11737.25</v>
      </c>
      <c r="G6080" s="35"/>
      <c r="H6080" s="36">
        <f t="shared" si="284"/>
        <v>7394.4674999999997</v>
      </c>
      <c r="I6080" s="37">
        <f t="shared" si="282"/>
        <v>7394.4674999999997</v>
      </c>
      <c r="J6080" s="4"/>
      <c r="K6080" s="38">
        <f t="shared" si="283"/>
        <v>0</v>
      </c>
    </row>
    <row r="6081" spans="1:11">
      <c r="A6081" t="s">
        <v>266</v>
      </c>
      <c r="B6081" t="s">
        <v>12674</v>
      </c>
      <c r="C6081" t="s">
        <v>5803</v>
      </c>
      <c r="D6081" t="s">
        <v>5833</v>
      </c>
      <c r="E6081">
        <v>12132.14</v>
      </c>
      <c r="G6081" s="35"/>
      <c r="H6081" s="36">
        <f t="shared" si="284"/>
        <v>7643.2482</v>
      </c>
      <c r="I6081" s="37">
        <f t="shared" si="282"/>
        <v>7643.2482</v>
      </c>
      <c r="J6081" s="4"/>
      <c r="K6081" s="38">
        <f t="shared" si="283"/>
        <v>0</v>
      </c>
    </row>
    <row r="6082" spans="1:11">
      <c r="A6082" t="s">
        <v>267</v>
      </c>
      <c r="B6082" t="s">
        <v>12674</v>
      </c>
      <c r="C6082" t="s">
        <v>5803</v>
      </c>
      <c r="D6082" t="s">
        <v>5834</v>
      </c>
      <c r="E6082">
        <v>824.29</v>
      </c>
      <c r="G6082" s="35"/>
      <c r="H6082" s="36">
        <f t="shared" si="284"/>
        <v>519.30269999999996</v>
      </c>
      <c r="I6082" s="37">
        <f t="shared" si="282"/>
        <v>519.30269999999996</v>
      </c>
      <c r="J6082" s="4"/>
      <c r="K6082" s="38">
        <f t="shared" si="283"/>
        <v>0</v>
      </c>
    </row>
    <row r="6083" spans="1:11">
      <c r="A6083" t="s">
        <v>3770</v>
      </c>
      <c r="B6083" t="s">
        <v>12674</v>
      </c>
      <c r="C6083" t="s">
        <v>9250</v>
      </c>
      <c r="D6083" t="s">
        <v>9251</v>
      </c>
      <c r="E6083">
        <v>16393.009999999998</v>
      </c>
      <c r="G6083" s="35"/>
      <c r="H6083" s="36">
        <f t="shared" si="284"/>
        <v>10327.596299999999</v>
      </c>
      <c r="I6083" s="37">
        <f t="shared" si="282"/>
        <v>10327.596299999999</v>
      </c>
      <c r="J6083" s="4"/>
      <c r="K6083" s="38">
        <f t="shared" si="283"/>
        <v>0</v>
      </c>
    </row>
    <row r="6084" spans="1:11">
      <c r="A6084" t="s">
        <v>3771</v>
      </c>
      <c r="B6084" t="s">
        <v>12674</v>
      </c>
      <c r="C6084" t="s">
        <v>9250</v>
      </c>
      <c r="D6084" t="s">
        <v>9252</v>
      </c>
      <c r="E6084">
        <v>25499.42</v>
      </c>
      <c r="G6084" s="35"/>
      <c r="H6084" s="36">
        <f t="shared" si="284"/>
        <v>16064.634599999999</v>
      </c>
      <c r="I6084" s="37">
        <f t="shared" si="282"/>
        <v>16064.634599999999</v>
      </c>
      <c r="J6084" s="4"/>
      <c r="K6084" s="38">
        <f t="shared" si="283"/>
        <v>0</v>
      </c>
    </row>
    <row r="6085" spans="1:11">
      <c r="A6085" t="s">
        <v>3772</v>
      </c>
      <c r="B6085" t="s">
        <v>12674</v>
      </c>
      <c r="C6085" t="s">
        <v>9250</v>
      </c>
      <c r="D6085" t="s">
        <v>9253</v>
      </c>
      <c r="E6085">
        <v>20368.66</v>
      </c>
      <c r="G6085" s="35"/>
      <c r="H6085" s="36">
        <f t="shared" si="284"/>
        <v>12832.255800000001</v>
      </c>
      <c r="I6085" s="37">
        <f t="shared" si="282"/>
        <v>12832.255800000001</v>
      </c>
      <c r="J6085" s="4"/>
      <c r="K6085" s="38">
        <f t="shared" si="283"/>
        <v>0</v>
      </c>
    </row>
    <row r="6086" spans="1:11">
      <c r="A6086" t="s">
        <v>3773</v>
      </c>
      <c r="B6086" t="s">
        <v>12674</v>
      </c>
      <c r="C6086" t="s">
        <v>9250</v>
      </c>
      <c r="D6086" t="s">
        <v>9254</v>
      </c>
      <c r="E6086">
        <v>24189.81</v>
      </c>
      <c r="G6086" s="35"/>
      <c r="H6086" s="36">
        <f t="shared" si="284"/>
        <v>15239.580300000001</v>
      </c>
      <c r="I6086" s="37">
        <f t="shared" ref="I6086:I6149" si="285">H6086*$H$4</f>
        <v>15239.580300000001</v>
      </c>
      <c r="J6086" s="4"/>
      <c r="K6086" s="38">
        <f t="shared" ref="K6086:K6149" si="286">J6086*I6086</f>
        <v>0</v>
      </c>
    </row>
    <row r="6087" spans="1:11">
      <c r="A6087" t="s">
        <v>3774</v>
      </c>
      <c r="B6087" t="s">
        <v>12674</v>
      </c>
      <c r="C6087" t="s">
        <v>9250</v>
      </c>
      <c r="D6087" t="s">
        <v>9255</v>
      </c>
      <c r="E6087">
        <v>24514.880000000001</v>
      </c>
      <c r="G6087" s="35"/>
      <c r="H6087" s="36">
        <f t="shared" ref="H6087:H6150" si="287">+E6087*$H$1*(1-G6087)</f>
        <v>15444.374400000001</v>
      </c>
      <c r="I6087" s="37">
        <f t="shared" si="285"/>
        <v>15444.374400000001</v>
      </c>
      <c r="J6087" s="4"/>
      <c r="K6087" s="38">
        <f t="shared" si="286"/>
        <v>0</v>
      </c>
    </row>
    <row r="6088" spans="1:11">
      <c r="A6088" t="s">
        <v>3775</v>
      </c>
      <c r="B6088" t="s">
        <v>12674</v>
      </c>
      <c r="C6088" t="s">
        <v>9250</v>
      </c>
      <c r="D6088" t="s">
        <v>9256</v>
      </c>
      <c r="E6088">
        <v>8707.0300000000007</v>
      </c>
      <c r="G6088" s="35"/>
      <c r="H6088" s="36">
        <f t="shared" si="287"/>
        <v>5485.4289000000008</v>
      </c>
      <c r="I6088" s="37">
        <f t="shared" si="285"/>
        <v>5485.4289000000008</v>
      </c>
      <c r="J6088" s="4"/>
      <c r="K6088" s="38">
        <f t="shared" si="286"/>
        <v>0</v>
      </c>
    </row>
    <row r="6089" spans="1:11">
      <c r="A6089" t="s">
        <v>3776</v>
      </c>
      <c r="B6089" t="s">
        <v>12674</v>
      </c>
      <c r="C6089" t="s">
        <v>9250</v>
      </c>
      <c r="D6089" t="s">
        <v>9257</v>
      </c>
      <c r="E6089">
        <v>8122.28</v>
      </c>
      <c r="G6089" s="35"/>
      <c r="H6089" s="36">
        <f t="shared" si="287"/>
        <v>5117.0364</v>
      </c>
      <c r="I6089" s="37">
        <f t="shared" si="285"/>
        <v>5117.0364</v>
      </c>
      <c r="J6089" s="4"/>
      <c r="K6089" s="38">
        <f t="shared" si="286"/>
        <v>0</v>
      </c>
    </row>
    <row r="6090" spans="1:11">
      <c r="A6090" t="s">
        <v>662</v>
      </c>
      <c r="B6090" t="s">
        <v>12674</v>
      </c>
      <c r="C6090" t="s">
        <v>5916</v>
      </c>
      <c r="D6090" t="s">
        <v>6319</v>
      </c>
      <c r="E6090">
        <v>882.72</v>
      </c>
      <c r="G6090" s="35"/>
      <c r="H6090" s="36">
        <f t="shared" si="287"/>
        <v>556.11360000000002</v>
      </c>
      <c r="I6090" s="37">
        <f t="shared" si="285"/>
        <v>556.11360000000002</v>
      </c>
      <c r="J6090" s="4"/>
      <c r="K6090" s="38">
        <f t="shared" si="286"/>
        <v>0</v>
      </c>
    </row>
    <row r="6091" spans="1:11">
      <c r="A6091" t="s">
        <v>663</v>
      </c>
      <c r="B6091" t="s">
        <v>12674</v>
      </c>
      <c r="C6091" t="s">
        <v>5916</v>
      </c>
      <c r="D6091" t="s">
        <v>6320</v>
      </c>
      <c r="E6091">
        <v>246.06</v>
      </c>
      <c r="G6091" s="35"/>
      <c r="H6091" s="36">
        <f t="shared" si="287"/>
        <v>155.01779999999999</v>
      </c>
      <c r="I6091" s="37">
        <f t="shared" si="285"/>
        <v>155.01779999999999</v>
      </c>
      <c r="J6091" s="4"/>
      <c r="K6091" s="38">
        <f t="shared" si="286"/>
        <v>0</v>
      </c>
    </row>
    <row r="6092" spans="1:11">
      <c r="A6092" t="s">
        <v>11861</v>
      </c>
      <c r="B6092" t="s">
        <v>12674</v>
      </c>
      <c r="C6092" t="s">
        <v>11862</v>
      </c>
      <c r="D6092" t="s">
        <v>11863</v>
      </c>
      <c r="E6092">
        <v>10700.02</v>
      </c>
      <c r="G6092" s="35"/>
      <c r="H6092" s="36">
        <f t="shared" si="287"/>
        <v>6741.0126</v>
      </c>
      <c r="I6092" s="37">
        <f t="shared" si="285"/>
        <v>6741.0126</v>
      </c>
      <c r="J6092" s="4"/>
      <c r="K6092" s="38">
        <f t="shared" si="286"/>
        <v>0</v>
      </c>
    </row>
    <row r="6093" spans="1:11">
      <c r="A6093" t="s">
        <v>1429</v>
      </c>
      <c r="B6093" t="s">
        <v>12674</v>
      </c>
      <c r="C6093" t="s">
        <v>7008</v>
      </c>
      <c r="D6093" t="s">
        <v>7009</v>
      </c>
      <c r="E6093">
        <v>28078.32</v>
      </c>
      <c r="G6093" s="35"/>
      <c r="H6093" s="36">
        <f t="shared" si="287"/>
        <v>17689.3416</v>
      </c>
      <c r="I6093" s="37">
        <f t="shared" si="285"/>
        <v>17689.3416</v>
      </c>
      <c r="J6093" s="4"/>
      <c r="K6093" s="38">
        <f t="shared" si="286"/>
        <v>0</v>
      </c>
    </row>
    <row r="6094" spans="1:11">
      <c r="A6094" t="s">
        <v>1430</v>
      </c>
      <c r="B6094" t="s">
        <v>12674</v>
      </c>
      <c r="C6094" t="s">
        <v>7008</v>
      </c>
      <c r="D6094" t="s">
        <v>7010</v>
      </c>
      <c r="E6094">
        <v>1629.99</v>
      </c>
      <c r="G6094" s="35"/>
      <c r="H6094" s="36">
        <f t="shared" si="287"/>
        <v>1026.8937000000001</v>
      </c>
      <c r="I6094" s="37">
        <f t="shared" si="285"/>
        <v>1026.8937000000001</v>
      </c>
      <c r="J6094" s="4"/>
      <c r="K6094" s="38">
        <f t="shared" si="286"/>
        <v>0</v>
      </c>
    </row>
    <row r="6095" spans="1:11">
      <c r="A6095" t="s">
        <v>1431</v>
      </c>
      <c r="B6095" t="s">
        <v>12674</v>
      </c>
      <c r="C6095" t="s">
        <v>7008</v>
      </c>
      <c r="D6095" t="s">
        <v>7011</v>
      </c>
      <c r="E6095">
        <v>1808.46</v>
      </c>
      <c r="G6095" s="35"/>
      <c r="H6095" s="36">
        <f t="shared" si="287"/>
        <v>1139.3298</v>
      </c>
      <c r="I6095" s="37">
        <f t="shared" si="285"/>
        <v>1139.3298</v>
      </c>
      <c r="J6095" s="4"/>
      <c r="K6095" s="38">
        <f t="shared" si="286"/>
        <v>0</v>
      </c>
    </row>
    <row r="6096" spans="1:11">
      <c r="A6096" t="s">
        <v>1432</v>
      </c>
      <c r="B6096" t="s">
        <v>12674</v>
      </c>
      <c r="C6096" t="s">
        <v>7008</v>
      </c>
      <c r="D6096" t="s">
        <v>7012</v>
      </c>
      <c r="E6096">
        <v>43774.46</v>
      </c>
      <c r="G6096" s="35"/>
      <c r="H6096" s="36">
        <f t="shared" si="287"/>
        <v>27577.909800000001</v>
      </c>
      <c r="I6096" s="37">
        <f t="shared" si="285"/>
        <v>27577.909800000001</v>
      </c>
      <c r="J6096" s="4"/>
      <c r="K6096" s="38">
        <f t="shared" si="286"/>
        <v>0</v>
      </c>
    </row>
    <row r="6097" spans="1:11">
      <c r="A6097" t="s">
        <v>214</v>
      </c>
      <c r="B6097" t="s">
        <v>12674</v>
      </c>
      <c r="C6097" t="s">
        <v>5784</v>
      </c>
      <c r="D6097" t="s">
        <v>5785</v>
      </c>
      <c r="E6097">
        <v>4994.2299999999996</v>
      </c>
      <c r="G6097" s="35"/>
      <c r="H6097" s="36">
        <f t="shared" si="287"/>
        <v>3146.3648999999996</v>
      </c>
      <c r="I6097" s="37">
        <f t="shared" si="285"/>
        <v>3146.3648999999996</v>
      </c>
      <c r="J6097" s="4"/>
      <c r="K6097" s="38">
        <f t="shared" si="286"/>
        <v>0</v>
      </c>
    </row>
    <row r="6098" spans="1:11">
      <c r="A6098" t="s">
        <v>351</v>
      </c>
      <c r="B6098" t="s">
        <v>12674</v>
      </c>
      <c r="C6098" t="s">
        <v>6017</v>
      </c>
      <c r="D6098" t="s">
        <v>6018</v>
      </c>
      <c r="E6098">
        <v>2238.23</v>
      </c>
      <c r="G6098" s="35"/>
      <c r="H6098" s="36">
        <f t="shared" si="287"/>
        <v>1410.0849000000001</v>
      </c>
      <c r="I6098" s="37">
        <f t="shared" si="285"/>
        <v>1410.0849000000001</v>
      </c>
      <c r="J6098" s="4"/>
      <c r="K6098" s="38">
        <f t="shared" si="286"/>
        <v>0</v>
      </c>
    </row>
    <row r="6099" spans="1:11">
      <c r="A6099" t="s">
        <v>352</v>
      </c>
      <c r="B6099" t="s">
        <v>12674</v>
      </c>
      <c r="C6099" t="s">
        <v>6017</v>
      </c>
      <c r="D6099" t="s">
        <v>6019</v>
      </c>
      <c r="E6099">
        <v>2523.46</v>
      </c>
      <c r="G6099" s="35"/>
      <c r="H6099" s="36">
        <f t="shared" si="287"/>
        <v>1589.7798</v>
      </c>
      <c r="I6099" s="37">
        <f t="shared" si="285"/>
        <v>1589.7798</v>
      </c>
      <c r="J6099" s="4"/>
      <c r="K6099" s="38">
        <f t="shared" si="286"/>
        <v>0</v>
      </c>
    </row>
    <row r="6100" spans="1:11">
      <c r="A6100" t="s">
        <v>353</v>
      </c>
      <c r="B6100" t="s">
        <v>12674</v>
      </c>
      <c r="C6100" t="s">
        <v>6017</v>
      </c>
      <c r="D6100" t="s">
        <v>6020</v>
      </c>
      <c r="E6100">
        <v>2789.35</v>
      </c>
      <c r="G6100" s="35"/>
      <c r="H6100" s="36">
        <f t="shared" si="287"/>
        <v>1757.2905000000001</v>
      </c>
      <c r="I6100" s="37">
        <f t="shared" si="285"/>
        <v>1757.2905000000001</v>
      </c>
      <c r="J6100" s="4"/>
      <c r="K6100" s="38">
        <f t="shared" si="286"/>
        <v>0</v>
      </c>
    </row>
    <row r="6101" spans="1:11">
      <c r="A6101" t="s">
        <v>354</v>
      </c>
      <c r="B6101" t="s">
        <v>12674</v>
      </c>
      <c r="C6101" t="s">
        <v>6017</v>
      </c>
      <c r="D6101" t="s">
        <v>6021</v>
      </c>
      <c r="E6101">
        <v>3163.96</v>
      </c>
      <c r="G6101" s="35"/>
      <c r="H6101" s="36">
        <f t="shared" si="287"/>
        <v>1993.2948000000001</v>
      </c>
      <c r="I6101" s="37">
        <f t="shared" si="285"/>
        <v>1993.2948000000001</v>
      </c>
      <c r="J6101" s="4"/>
      <c r="K6101" s="38">
        <f t="shared" si="286"/>
        <v>0</v>
      </c>
    </row>
    <row r="6102" spans="1:11">
      <c r="A6102" t="s">
        <v>3777</v>
      </c>
      <c r="B6102" t="s">
        <v>12674</v>
      </c>
      <c r="C6102" t="s">
        <v>9258</v>
      </c>
      <c r="D6102" t="s">
        <v>9259</v>
      </c>
      <c r="E6102">
        <v>14721.63</v>
      </c>
      <c r="G6102" s="35"/>
      <c r="H6102" s="36">
        <f t="shared" si="287"/>
        <v>9274.6268999999993</v>
      </c>
      <c r="I6102" s="37">
        <f t="shared" si="285"/>
        <v>9274.6268999999993</v>
      </c>
      <c r="J6102" s="4"/>
      <c r="K6102" s="38">
        <f t="shared" si="286"/>
        <v>0</v>
      </c>
    </row>
    <row r="6103" spans="1:11">
      <c r="A6103" t="s">
        <v>3778</v>
      </c>
      <c r="B6103" t="s">
        <v>12674</v>
      </c>
      <c r="C6103" t="s">
        <v>9258</v>
      </c>
      <c r="D6103" t="s">
        <v>9260</v>
      </c>
      <c r="E6103">
        <v>11520.74</v>
      </c>
      <c r="G6103" s="35"/>
      <c r="H6103" s="36">
        <f t="shared" si="287"/>
        <v>7258.0662000000002</v>
      </c>
      <c r="I6103" s="37">
        <f t="shared" si="285"/>
        <v>7258.0662000000002</v>
      </c>
      <c r="J6103" s="4"/>
      <c r="K6103" s="38">
        <f t="shared" si="286"/>
        <v>0</v>
      </c>
    </row>
    <row r="6104" spans="1:11">
      <c r="A6104" t="s">
        <v>3779</v>
      </c>
      <c r="B6104" t="s">
        <v>12674</v>
      </c>
      <c r="C6104" t="s">
        <v>9258</v>
      </c>
      <c r="D6104" t="s">
        <v>9261</v>
      </c>
      <c r="E6104">
        <v>11520.74</v>
      </c>
      <c r="G6104" s="35"/>
      <c r="H6104" s="36">
        <f t="shared" si="287"/>
        <v>7258.0662000000002</v>
      </c>
      <c r="I6104" s="37">
        <f t="shared" si="285"/>
        <v>7258.0662000000002</v>
      </c>
      <c r="J6104" s="4"/>
      <c r="K6104" s="38">
        <f t="shared" si="286"/>
        <v>0</v>
      </c>
    </row>
    <row r="6105" spans="1:11">
      <c r="A6105" t="s">
        <v>3880</v>
      </c>
      <c r="B6105" t="s">
        <v>12674</v>
      </c>
      <c r="C6105" t="s">
        <v>9350</v>
      </c>
      <c r="D6105" t="s">
        <v>11832</v>
      </c>
      <c r="E6105">
        <v>985.11</v>
      </c>
      <c r="G6105" s="35"/>
      <c r="H6105" s="36">
        <f t="shared" si="287"/>
        <v>620.61930000000007</v>
      </c>
      <c r="I6105" s="37">
        <f t="shared" si="285"/>
        <v>620.61930000000007</v>
      </c>
      <c r="J6105" s="4"/>
      <c r="K6105" s="38">
        <f t="shared" si="286"/>
        <v>0</v>
      </c>
    </row>
    <row r="6106" spans="1:11">
      <c r="A6106" t="s">
        <v>3881</v>
      </c>
      <c r="B6106" t="s">
        <v>12674</v>
      </c>
      <c r="C6106" t="s">
        <v>9350</v>
      </c>
      <c r="D6106" t="s">
        <v>11725</v>
      </c>
      <c r="E6106">
        <v>1426.43</v>
      </c>
      <c r="G6106" s="35"/>
      <c r="H6106" s="36">
        <f t="shared" si="287"/>
        <v>898.65090000000009</v>
      </c>
      <c r="I6106" s="37">
        <f t="shared" si="285"/>
        <v>898.65090000000009</v>
      </c>
      <c r="J6106" s="4"/>
      <c r="K6106" s="38">
        <f t="shared" si="286"/>
        <v>0</v>
      </c>
    </row>
    <row r="6107" spans="1:11">
      <c r="A6107" t="s">
        <v>3882</v>
      </c>
      <c r="B6107" t="s">
        <v>12674</v>
      </c>
      <c r="C6107" t="s">
        <v>9350</v>
      </c>
      <c r="D6107" t="s">
        <v>11833</v>
      </c>
      <c r="E6107">
        <v>1142.8499999999999</v>
      </c>
      <c r="G6107" s="35"/>
      <c r="H6107" s="36">
        <f t="shared" si="287"/>
        <v>719.99549999999999</v>
      </c>
      <c r="I6107" s="37">
        <f t="shared" si="285"/>
        <v>719.99549999999999</v>
      </c>
      <c r="J6107" s="4"/>
      <c r="K6107" s="38">
        <f t="shared" si="286"/>
        <v>0</v>
      </c>
    </row>
    <row r="6108" spans="1:11">
      <c r="A6108" t="s">
        <v>3883</v>
      </c>
      <c r="B6108" t="s">
        <v>12674</v>
      </c>
      <c r="C6108" t="s">
        <v>9350</v>
      </c>
      <c r="D6108" t="s">
        <v>11726</v>
      </c>
      <c r="E6108">
        <v>1786.9</v>
      </c>
      <c r="G6108" s="35"/>
      <c r="H6108" s="36">
        <f t="shared" si="287"/>
        <v>1125.7470000000001</v>
      </c>
      <c r="I6108" s="37">
        <f t="shared" si="285"/>
        <v>1125.7470000000001</v>
      </c>
      <c r="J6108" s="4"/>
      <c r="K6108" s="38">
        <f t="shared" si="286"/>
        <v>0</v>
      </c>
    </row>
    <row r="6109" spans="1:11">
      <c r="A6109" t="s">
        <v>3884</v>
      </c>
      <c r="B6109" t="s">
        <v>12674</v>
      </c>
      <c r="C6109" t="s">
        <v>9350</v>
      </c>
      <c r="D6109" t="s">
        <v>9351</v>
      </c>
      <c r="E6109">
        <v>3611.81</v>
      </c>
      <c r="G6109" s="35"/>
      <c r="H6109" s="36">
        <f t="shared" si="287"/>
        <v>2275.4403000000002</v>
      </c>
      <c r="I6109" s="37">
        <f t="shared" si="285"/>
        <v>2275.4403000000002</v>
      </c>
      <c r="J6109" s="4"/>
      <c r="K6109" s="38">
        <f t="shared" si="286"/>
        <v>0</v>
      </c>
    </row>
    <row r="6110" spans="1:11">
      <c r="A6110" t="s">
        <v>3885</v>
      </c>
      <c r="B6110" t="s">
        <v>12674</v>
      </c>
      <c r="C6110" t="s">
        <v>9350</v>
      </c>
      <c r="D6110" t="s">
        <v>9847</v>
      </c>
      <c r="E6110">
        <v>3611.81</v>
      </c>
      <c r="G6110" s="35"/>
      <c r="H6110" s="36">
        <f t="shared" si="287"/>
        <v>2275.4403000000002</v>
      </c>
      <c r="I6110" s="37">
        <f t="shared" si="285"/>
        <v>2275.4403000000002</v>
      </c>
      <c r="J6110" s="4"/>
      <c r="K6110" s="38">
        <f t="shared" si="286"/>
        <v>0</v>
      </c>
    </row>
    <row r="6111" spans="1:11">
      <c r="A6111" t="s">
        <v>1275</v>
      </c>
      <c r="B6111" t="s">
        <v>12674</v>
      </c>
      <c r="C6111" t="s">
        <v>6851</v>
      </c>
      <c r="D6111" t="s">
        <v>6852</v>
      </c>
      <c r="E6111">
        <v>23084.080000000002</v>
      </c>
      <c r="G6111" s="35"/>
      <c r="H6111" s="36">
        <f t="shared" si="287"/>
        <v>14542.970400000002</v>
      </c>
      <c r="I6111" s="37">
        <f t="shared" si="285"/>
        <v>14542.970400000002</v>
      </c>
      <c r="J6111" s="4"/>
      <c r="K6111" s="38">
        <f t="shared" si="286"/>
        <v>0</v>
      </c>
    </row>
    <row r="6112" spans="1:11">
      <c r="A6112" t="s">
        <v>1276</v>
      </c>
      <c r="B6112" t="s">
        <v>12674</v>
      </c>
      <c r="C6112" t="s">
        <v>6851</v>
      </c>
      <c r="D6112" t="s">
        <v>6853</v>
      </c>
      <c r="E6112">
        <v>107466.91</v>
      </c>
      <c r="G6112" s="35"/>
      <c r="H6112" s="36">
        <f t="shared" si="287"/>
        <v>67704.153300000005</v>
      </c>
      <c r="I6112" s="37">
        <f t="shared" si="285"/>
        <v>67704.153300000005</v>
      </c>
      <c r="J6112" s="4"/>
      <c r="K6112" s="38">
        <f t="shared" si="286"/>
        <v>0</v>
      </c>
    </row>
    <row r="6113" spans="1:11">
      <c r="A6113" t="s">
        <v>1277</v>
      </c>
      <c r="B6113" t="s">
        <v>12674</v>
      </c>
      <c r="C6113" t="s">
        <v>6851</v>
      </c>
      <c r="D6113" t="s">
        <v>6854</v>
      </c>
      <c r="E6113">
        <v>97873.48</v>
      </c>
      <c r="G6113" s="35"/>
      <c r="H6113" s="36">
        <f t="shared" si="287"/>
        <v>61660.292399999998</v>
      </c>
      <c r="I6113" s="37">
        <f t="shared" si="285"/>
        <v>61660.292399999998</v>
      </c>
      <c r="J6113" s="4"/>
      <c r="K6113" s="38">
        <f t="shared" si="286"/>
        <v>0</v>
      </c>
    </row>
    <row r="6114" spans="1:11">
      <c r="A6114" t="s">
        <v>1278</v>
      </c>
      <c r="B6114" t="s">
        <v>12674</v>
      </c>
      <c r="C6114" t="s">
        <v>6851</v>
      </c>
      <c r="D6114" t="s">
        <v>6855</v>
      </c>
      <c r="E6114">
        <v>26639.759999999998</v>
      </c>
      <c r="G6114" s="35"/>
      <c r="H6114" s="36">
        <f t="shared" si="287"/>
        <v>16783.0488</v>
      </c>
      <c r="I6114" s="37">
        <f t="shared" si="285"/>
        <v>16783.0488</v>
      </c>
      <c r="J6114" s="4"/>
      <c r="K6114" s="38">
        <f t="shared" si="286"/>
        <v>0</v>
      </c>
    </row>
    <row r="6115" spans="1:11">
      <c r="A6115" t="s">
        <v>1279</v>
      </c>
      <c r="B6115" t="s">
        <v>12674</v>
      </c>
      <c r="C6115" t="s">
        <v>6851</v>
      </c>
      <c r="D6115" t="s">
        <v>12903</v>
      </c>
      <c r="E6115">
        <v>41113.58</v>
      </c>
      <c r="G6115" s="35"/>
      <c r="H6115" s="36">
        <f t="shared" si="287"/>
        <v>25901.555400000001</v>
      </c>
      <c r="I6115" s="37">
        <f t="shared" si="285"/>
        <v>25901.555400000001</v>
      </c>
      <c r="J6115" s="4"/>
      <c r="K6115" s="38">
        <f t="shared" si="286"/>
        <v>0</v>
      </c>
    </row>
    <row r="6116" spans="1:11">
      <c r="A6116" t="s">
        <v>1280</v>
      </c>
      <c r="B6116" t="s">
        <v>12674</v>
      </c>
      <c r="C6116" t="s">
        <v>6851</v>
      </c>
      <c r="D6116" t="s">
        <v>6856</v>
      </c>
      <c r="E6116">
        <v>8700.39</v>
      </c>
      <c r="G6116" s="35"/>
      <c r="H6116" s="36">
        <f t="shared" si="287"/>
        <v>5481.2456999999995</v>
      </c>
      <c r="I6116" s="37">
        <f t="shared" si="285"/>
        <v>5481.2456999999995</v>
      </c>
      <c r="J6116" s="4"/>
      <c r="K6116" s="38">
        <f t="shared" si="286"/>
        <v>0</v>
      </c>
    </row>
    <row r="6117" spans="1:11">
      <c r="A6117" t="s">
        <v>1281</v>
      </c>
      <c r="B6117" t="s">
        <v>12674</v>
      </c>
      <c r="C6117" t="s">
        <v>6851</v>
      </c>
      <c r="D6117" t="s">
        <v>6857</v>
      </c>
      <c r="E6117">
        <v>11955.42</v>
      </c>
      <c r="G6117" s="35"/>
      <c r="H6117" s="36">
        <f t="shared" si="287"/>
        <v>7531.9146000000001</v>
      </c>
      <c r="I6117" s="37">
        <f t="shared" si="285"/>
        <v>7531.9146000000001</v>
      </c>
      <c r="J6117" s="4"/>
      <c r="K6117" s="38">
        <f t="shared" si="286"/>
        <v>0</v>
      </c>
    </row>
    <row r="6118" spans="1:11">
      <c r="A6118" t="s">
        <v>1282</v>
      </c>
      <c r="B6118" t="s">
        <v>12674</v>
      </c>
      <c r="C6118" t="s">
        <v>6851</v>
      </c>
      <c r="D6118" t="s">
        <v>6858</v>
      </c>
      <c r="E6118">
        <v>14128.91</v>
      </c>
      <c r="G6118" s="35"/>
      <c r="H6118" s="36">
        <f t="shared" si="287"/>
        <v>8901.2132999999994</v>
      </c>
      <c r="I6118" s="37">
        <f t="shared" si="285"/>
        <v>8901.2132999999994</v>
      </c>
      <c r="J6118" s="4"/>
      <c r="K6118" s="38">
        <f t="shared" si="286"/>
        <v>0</v>
      </c>
    </row>
    <row r="6119" spans="1:11">
      <c r="A6119" t="s">
        <v>1283</v>
      </c>
      <c r="B6119" t="s">
        <v>12674</v>
      </c>
      <c r="C6119" t="s">
        <v>6851</v>
      </c>
      <c r="D6119" t="s">
        <v>6859</v>
      </c>
      <c r="E6119">
        <v>91449.26</v>
      </c>
      <c r="G6119" s="35"/>
      <c r="H6119" s="36">
        <f t="shared" si="287"/>
        <v>57613.033799999997</v>
      </c>
      <c r="I6119" s="37">
        <f t="shared" si="285"/>
        <v>57613.033799999997</v>
      </c>
      <c r="J6119" s="4"/>
      <c r="K6119" s="38">
        <f t="shared" si="286"/>
        <v>0</v>
      </c>
    </row>
    <row r="6120" spans="1:11">
      <c r="A6120" t="s">
        <v>1284</v>
      </c>
      <c r="B6120" t="s">
        <v>12674</v>
      </c>
      <c r="C6120" t="s">
        <v>6851</v>
      </c>
      <c r="D6120" t="s">
        <v>6860</v>
      </c>
      <c r="E6120">
        <v>91449.26</v>
      </c>
      <c r="G6120" s="35"/>
      <c r="H6120" s="36">
        <f t="shared" si="287"/>
        <v>57613.033799999997</v>
      </c>
      <c r="I6120" s="37">
        <f t="shared" si="285"/>
        <v>57613.033799999997</v>
      </c>
      <c r="J6120" s="4"/>
      <c r="K6120" s="38">
        <f t="shared" si="286"/>
        <v>0</v>
      </c>
    </row>
    <row r="6121" spans="1:11">
      <c r="A6121" t="s">
        <v>1285</v>
      </c>
      <c r="B6121" t="s">
        <v>12674</v>
      </c>
      <c r="C6121" t="s">
        <v>6851</v>
      </c>
      <c r="D6121" t="s">
        <v>6861</v>
      </c>
      <c r="E6121">
        <v>64207.25</v>
      </c>
      <c r="G6121" s="35"/>
      <c r="H6121" s="36">
        <f t="shared" si="287"/>
        <v>40450.567499999997</v>
      </c>
      <c r="I6121" s="37">
        <f t="shared" si="285"/>
        <v>40450.567499999997</v>
      </c>
      <c r="J6121" s="4"/>
      <c r="K6121" s="38">
        <f t="shared" si="286"/>
        <v>0</v>
      </c>
    </row>
    <row r="6122" spans="1:11">
      <c r="A6122" t="s">
        <v>1286</v>
      </c>
      <c r="B6122" t="s">
        <v>12674</v>
      </c>
      <c r="C6122" t="s">
        <v>6851</v>
      </c>
      <c r="D6122" t="s">
        <v>6862</v>
      </c>
      <c r="E6122">
        <v>64207.25</v>
      </c>
      <c r="G6122" s="35"/>
      <c r="H6122" s="36">
        <f t="shared" si="287"/>
        <v>40450.567499999997</v>
      </c>
      <c r="I6122" s="37">
        <f t="shared" si="285"/>
        <v>40450.567499999997</v>
      </c>
      <c r="J6122" s="4"/>
      <c r="K6122" s="38">
        <f t="shared" si="286"/>
        <v>0</v>
      </c>
    </row>
    <row r="6123" spans="1:11">
      <c r="A6123" t="s">
        <v>1287</v>
      </c>
      <c r="B6123" t="s">
        <v>12674</v>
      </c>
      <c r="C6123" t="s">
        <v>6851</v>
      </c>
      <c r="D6123" t="s">
        <v>6863</v>
      </c>
      <c r="E6123">
        <v>69941.52</v>
      </c>
      <c r="G6123" s="35"/>
      <c r="H6123" s="36">
        <f t="shared" si="287"/>
        <v>44063.157600000006</v>
      </c>
      <c r="I6123" s="37">
        <f t="shared" si="285"/>
        <v>44063.157600000006</v>
      </c>
      <c r="J6123" s="4"/>
      <c r="K6123" s="38">
        <f t="shared" si="286"/>
        <v>0</v>
      </c>
    </row>
    <row r="6124" spans="1:11">
      <c r="A6124" t="s">
        <v>1288</v>
      </c>
      <c r="B6124" t="s">
        <v>12674</v>
      </c>
      <c r="C6124" t="s">
        <v>6851</v>
      </c>
      <c r="D6124" t="s">
        <v>6864</v>
      </c>
      <c r="E6124">
        <v>69941.52</v>
      </c>
      <c r="G6124" s="35"/>
      <c r="H6124" s="36">
        <f t="shared" si="287"/>
        <v>44063.157600000006</v>
      </c>
      <c r="I6124" s="37">
        <f t="shared" si="285"/>
        <v>44063.157600000006</v>
      </c>
      <c r="J6124" s="4"/>
      <c r="K6124" s="38">
        <f t="shared" si="286"/>
        <v>0</v>
      </c>
    </row>
    <row r="6125" spans="1:11">
      <c r="A6125" t="s">
        <v>1289</v>
      </c>
      <c r="B6125" t="s">
        <v>12674</v>
      </c>
      <c r="C6125" t="s">
        <v>6851</v>
      </c>
      <c r="D6125" t="s">
        <v>6865</v>
      </c>
      <c r="E6125">
        <v>43591.69</v>
      </c>
      <c r="G6125" s="35"/>
      <c r="H6125" s="36">
        <f t="shared" si="287"/>
        <v>27462.764700000003</v>
      </c>
      <c r="I6125" s="37">
        <f t="shared" si="285"/>
        <v>27462.764700000003</v>
      </c>
      <c r="J6125" s="4"/>
      <c r="K6125" s="38">
        <f t="shared" si="286"/>
        <v>0</v>
      </c>
    </row>
    <row r="6126" spans="1:11">
      <c r="A6126" t="s">
        <v>1290</v>
      </c>
      <c r="B6126" t="s">
        <v>12674</v>
      </c>
      <c r="C6126" t="s">
        <v>6851</v>
      </c>
      <c r="D6126" t="s">
        <v>6866</v>
      </c>
      <c r="E6126">
        <v>55541.49</v>
      </c>
      <c r="G6126" s="35"/>
      <c r="H6126" s="36">
        <f t="shared" si="287"/>
        <v>34991.138699999996</v>
      </c>
      <c r="I6126" s="37">
        <f t="shared" si="285"/>
        <v>34991.138699999996</v>
      </c>
      <c r="J6126" s="4"/>
      <c r="K6126" s="38">
        <f t="shared" si="286"/>
        <v>0</v>
      </c>
    </row>
    <row r="6127" spans="1:11">
      <c r="A6127" t="s">
        <v>10020</v>
      </c>
      <c r="B6127" t="s">
        <v>12674</v>
      </c>
      <c r="C6127" t="s">
        <v>6851</v>
      </c>
      <c r="D6127" t="s">
        <v>10021</v>
      </c>
      <c r="E6127">
        <v>91883.35</v>
      </c>
      <c r="G6127" s="35"/>
      <c r="H6127" s="36">
        <f t="shared" si="287"/>
        <v>57886.510500000004</v>
      </c>
      <c r="I6127" s="37">
        <f t="shared" si="285"/>
        <v>57886.510500000004</v>
      </c>
      <c r="J6127" s="4"/>
      <c r="K6127" s="38">
        <f t="shared" si="286"/>
        <v>0</v>
      </c>
    </row>
    <row r="6128" spans="1:11">
      <c r="A6128" t="s">
        <v>1291</v>
      </c>
      <c r="B6128" t="s">
        <v>12674</v>
      </c>
      <c r="C6128" t="s">
        <v>6851</v>
      </c>
      <c r="D6128" t="s">
        <v>6867</v>
      </c>
      <c r="E6128">
        <v>31230.11</v>
      </c>
      <c r="G6128" s="35"/>
      <c r="H6128" s="36">
        <f t="shared" si="287"/>
        <v>19674.969300000001</v>
      </c>
      <c r="I6128" s="37">
        <f t="shared" si="285"/>
        <v>19674.969300000001</v>
      </c>
      <c r="J6128" s="4"/>
      <c r="K6128" s="38">
        <f t="shared" si="286"/>
        <v>0</v>
      </c>
    </row>
    <row r="6129" spans="1:11">
      <c r="A6129" t="s">
        <v>1292</v>
      </c>
      <c r="B6129" t="s">
        <v>12674</v>
      </c>
      <c r="C6129" t="s">
        <v>6851</v>
      </c>
      <c r="D6129" t="s">
        <v>6868</v>
      </c>
      <c r="E6129">
        <v>125401.37</v>
      </c>
      <c r="G6129" s="35"/>
      <c r="H6129" s="36">
        <f t="shared" si="287"/>
        <v>79002.863100000002</v>
      </c>
      <c r="I6129" s="37">
        <f t="shared" si="285"/>
        <v>79002.863100000002</v>
      </c>
      <c r="J6129" s="4"/>
      <c r="K6129" s="38">
        <f t="shared" si="286"/>
        <v>0</v>
      </c>
    </row>
    <row r="6130" spans="1:11">
      <c r="A6130" t="s">
        <v>1293</v>
      </c>
      <c r="B6130" t="s">
        <v>12674</v>
      </c>
      <c r="C6130" t="s">
        <v>6851</v>
      </c>
      <c r="D6130" t="s">
        <v>6869</v>
      </c>
      <c r="E6130">
        <v>125401.37</v>
      </c>
      <c r="G6130" s="35"/>
      <c r="H6130" s="36">
        <f t="shared" si="287"/>
        <v>79002.863100000002</v>
      </c>
      <c r="I6130" s="37">
        <f t="shared" si="285"/>
        <v>79002.863100000002</v>
      </c>
      <c r="J6130" s="4"/>
      <c r="K6130" s="38">
        <f t="shared" si="286"/>
        <v>0</v>
      </c>
    </row>
    <row r="6131" spans="1:11">
      <c r="A6131" t="s">
        <v>1294</v>
      </c>
      <c r="B6131" t="s">
        <v>12674</v>
      </c>
      <c r="C6131" t="s">
        <v>6851</v>
      </c>
      <c r="D6131" t="s">
        <v>6870</v>
      </c>
      <c r="E6131">
        <v>90012.49</v>
      </c>
      <c r="G6131" s="35"/>
      <c r="H6131" s="36">
        <f t="shared" si="287"/>
        <v>56707.868700000006</v>
      </c>
      <c r="I6131" s="37">
        <f t="shared" si="285"/>
        <v>56707.868700000006</v>
      </c>
      <c r="J6131" s="4"/>
      <c r="K6131" s="38">
        <f t="shared" si="286"/>
        <v>0</v>
      </c>
    </row>
    <row r="6132" spans="1:11">
      <c r="A6132" t="s">
        <v>1295</v>
      </c>
      <c r="B6132" t="s">
        <v>12674</v>
      </c>
      <c r="C6132" t="s">
        <v>6851</v>
      </c>
      <c r="D6132" t="s">
        <v>6871</v>
      </c>
      <c r="E6132">
        <v>90012.49</v>
      </c>
      <c r="G6132" s="35"/>
      <c r="H6132" s="36">
        <f t="shared" si="287"/>
        <v>56707.868700000006</v>
      </c>
      <c r="I6132" s="37">
        <f t="shared" si="285"/>
        <v>56707.868700000006</v>
      </c>
      <c r="J6132" s="4"/>
      <c r="K6132" s="38">
        <f t="shared" si="286"/>
        <v>0</v>
      </c>
    </row>
    <row r="6133" spans="1:11">
      <c r="A6133" t="s">
        <v>1296</v>
      </c>
      <c r="B6133" t="s">
        <v>12674</v>
      </c>
      <c r="C6133" t="s">
        <v>6851</v>
      </c>
      <c r="D6133" t="s">
        <v>6872</v>
      </c>
      <c r="E6133">
        <v>243743.85</v>
      </c>
      <c r="G6133" s="35"/>
      <c r="H6133" s="36">
        <f t="shared" si="287"/>
        <v>153558.62549999999</v>
      </c>
      <c r="I6133" s="37">
        <f t="shared" si="285"/>
        <v>153558.62549999999</v>
      </c>
      <c r="J6133" s="4"/>
      <c r="K6133" s="38">
        <f t="shared" si="286"/>
        <v>0</v>
      </c>
    </row>
    <row r="6134" spans="1:11">
      <c r="A6134" t="s">
        <v>1297</v>
      </c>
      <c r="B6134" t="s">
        <v>12674</v>
      </c>
      <c r="C6134" t="s">
        <v>6851</v>
      </c>
      <c r="D6134" t="s">
        <v>6873</v>
      </c>
      <c r="E6134">
        <v>244143.49</v>
      </c>
      <c r="G6134" s="35"/>
      <c r="H6134" s="36">
        <f t="shared" si="287"/>
        <v>153810.39869999999</v>
      </c>
      <c r="I6134" s="37">
        <f t="shared" si="285"/>
        <v>153810.39869999999</v>
      </c>
      <c r="J6134" s="4"/>
      <c r="K6134" s="38">
        <f t="shared" si="286"/>
        <v>0</v>
      </c>
    </row>
    <row r="6135" spans="1:11">
      <c r="A6135" t="s">
        <v>1447</v>
      </c>
      <c r="B6135" t="s">
        <v>12674</v>
      </c>
      <c r="C6135" t="s">
        <v>7029</v>
      </c>
      <c r="D6135" t="s">
        <v>7030</v>
      </c>
      <c r="E6135">
        <v>203892.22</v>
      </c>
      <c r="G6135" s="35"/>
      <c r="H6135" s="36">
        <f t="shared" si="287"/>
        <v>128452.0986</v>
      </c>
      <c r="I6135" s="37">
        <f t="shared" si="285"/>
        <v>128452.0986</v>
      </c>
      <c r="J6135" s="4"/>
      <c r="K6135" s="38">
        <f t="shared" si="286"/>
        <v>0</v>
      </c>
    </row>
    <row r="6136" spans="1:11">
      <c r="A6136" t="s">
        <v>1448</v>
      </c>
      <c r="B6136" t="s">
        <v>12674</v>
      </c>
      <c r="C6136" t="s">
        <v>7029</v>
      </c>
      <c r="D6136" t="s">
        <v>7031</v>
      </c>
      <c r="E6136">
        <v>203892.22</v>
      </c>
      <c r="G6136" s="35"/>
      <c r="H6136" s="36">
        <f t="shared" si="287"/>
        <v>128452.0986</v>
      </c>
      <c r="I6136" s="37">
        <f t="shared" si="285"/>
        <v>128452.0986</v>
      </c>
      <c r="J6136" s="4"/>
      <c r="K6136" s="38">
        <f t="shared" si="286"/>
        <v>0</v>
      </c>
    </row>
    <row r="6137" spans="1:11">
      <c r="A6137" t="s">
        <v>1449</v>
      </c>
      <c r="B6137" t="s">
        <v>12674</v>
      </c>
      <c r="C6137" t="s">
        <v>7029</v>
      </c>
      <c r="D6137" t="s">
        <v>7032</v>
      </c>
      <c r="E6137">
        <v>203892.22</v>
      </c>
      <c r="G6137" s="35"/>
      <c r="H6137" s="36">
        <f t="shared" si="287"/>
        <v>128452.0986</v>
      </c>
      <c r="I6137" s="37">
        <f t="shared" si="285"/>
        <v>128452.0986</v>
      </c>
      <c r="J6137" s="4"/>
      <c r="K6137" s="38">
        <f t="shared" si="286"/>
        <v>0</v>
      </c>
    </row>
    <row r="6138" spans="1:11">
      <c r="A6138" t="s">
        <v>1450</v>
      </c>
      <c r="B6138" t="s">
        <v>12674</v>
      </c>
      <c r="C6138" t="s">
        <v>7029</v>
      </c>
      <c r="D6138" t="s">
        <v>7033</v>
      </c>
      <c r="E6138">
        <v>203892.22</v>
      </c>
      <c r="G6138" s="35"/>
      <c r="H6138" s="36">
        <f t="shared" si="287"/>
        <v>128452.0986</v>
      </c>
      <c r="I6138" s="37">
        <f t="shared" si="285"/>
        <v>128452.0986</v>
      </c>
      <c r="J6138" s="4"/>
      <c r="K6138" s="38">
        <f t="shared" si="286"/>
        <v>0</v>
      </c>
    </row>
    <row r="6139" spans="1:11">
      <c r="A6139" t="s">
        <v>1451</v>
      </c>
      <c r="B6139" t="s">
        <v>12674</v>
      </c>
      <c r="C6139" t="s">
        <v>7029</v>
      </c>
      <c r="D6139" t="s">
        <v>7034</v>
      </c>
      <c r="E6139">
        <v>43669.79</v>
      </c>
      <c r="G6139" s="35"/>
      <c r="H6139" s="36">
        <f t="shared" si="287"/>
        <v>27511.967700000001</v>
      </c>
      <c r="I6139" s="37">
        <f t="shared" si="285"/>
        <v>27511.967700000001</v>
      </c>
      <c r="J6139" s="4"/>
      <c r="K6139" s="38">
        <f t="shared" si="286"/>
        <v>0</v>
      </c>
    </row>
    <row r="6140" spans="1:11">
      <c r="A6140" t="s">
        <v>1452</v>
      </c>
      <c r="B6140" t="s">
        <v>12674</v>
      </c>
      <c r="C6140" t="s">
        <v>7029</v>
      </c>
      <c r="D6140" t="s">
        <v>7035</v>
      </c>
      <c r="E6140">
        <v>203892.22</v>
      </c>
      <c r="G6140" s="35"/>
      <c r="H6140" s="36">
        <f t="shared" si="287"/>
        <v>128452.0986</v>
      </c>
      <c r="I6140" s="37">
        <f t="shared" si="285"/>
        <v>128452.0986</v>
      </c>
      <c r="J6140" s="4"/>
      <c r="K6140" s="38">
        <f t="shared" si="286"/>
        <v>0</v>
      </c>
    </row>
    <row r="6141" spans="1:11">
      <c r="A6141" t="s">
        <v>12491</v>
      </c>
      <c r="B6141" t="s">
        <v>12674</v>
      </c>
      <c r="C6141" t="s">
        <v>7029</v>
      </c>
      <c r="D6141" t="s">
        <v>12492</v>
      </c>
      <c r="E6141">
        <v>45870.45</v>
      </c>
      <c r="G6141" s="35"/>
      <c r="H6141" s="36">
        <f t="shared" si="287"/>
        <v>28898.3835</v>
      </c>
      <c r="I6141" s="37">
        <f t="shared" si="285"/>
        <v>28898.3835</v>
      </c>
      <c r="J6141" s="4"/>
      <c r="K6141" s="38">
        <f t="shared" si="286"/>
        <v>0</v>
      </c>
    </row>
    <row r="6142" spans="1:11">
      <c r="A6142" t="s">
        <v>12493</v>
      </c>
      <c r="B6142" t="s">
        <v>12674</v>
      </c>
      <c r="C6142" t="s">
        <v>7029</v>
      </c>
      <c r="D6142" t="s">
        <v>12494</v>
      </c>
      <c r="E6142">
        <v>68907.63</v>
      </c>
      <c r="G6142" s="35"/>
      <c r="H6142" s="36">
        <f t="shared" si="287"/>
        <v>43411.806900000003</v>
      </c>
      <c r="I6142" s="37">
        <f t="shared" si="285"/>
        <v>43411.806900000003</v>
      </c>
      <c r="J6142" s="4"/>
      <c r="K6142" s="38">
        <f t="shared" si="286"/>
        <v>0</v>
      </c>
    </row>
    <row r="6143" spans="1:11">
      <c r="A6143" t="s">
        <v>12495</v>
      </c>
      <c r="B6143" t="s">
        <v>12674</v>
      </c>
      <c r="C6143" t="s">
        <v>7029</v>
      </c>
      <c r="D6143" t="s">
        <v>12496</v>
      </c>
      <c r="E6143">
        <v>45870.43</v>
      </c>
      <c r="G6143" s="35"/>
      <c r="H6143" s="36">
        <f t="shared" si="287"/>
        <v>28898.370900000002</v>
      </c>
      <c r="I6143" s="37">
        <f t="shared" si="285"/>
        <v>28898.370900000002</v>
      </c>
      <c r="J6143" s="4"/>
      <c r="K6143" s="38">
        <f t="shared" si="286"/>
        <v>0</v>
      </c>
    </row>
    <row r="6144" spans="1:11">
      <c r="A6144" t="s">
        <v>12497</v>
      </c>
      <c r="B6144" t="s">
        <v>12674</v>
      </c>
      <c r="C6144" t="s">
        <v>7029</v>
      </c>
      <c r="D6144" t="s">
        <v>12498</v>
      </c>
      <c r="E6144">
        <v>68907.649999999994</v>
      </c>
      <c r="G6144" s="35"/>
      <c r="H6144" s="36">
        <f t="shared" si="287"/>
        <v>43411.819499999998</v>
      </c>
      <c r="I6144" s="37">
        <f t="shared" si="285"/>
        <v>43411.819499999998</v>
      </c>
      <c r="J6144" s="4"/>
      <c r="K6144" s="38">
        <f t="shared" si="286"/>
        <v>0</v>
      </c>
    </row>
    <row r="6145" spans="1:11">
      <c r="A6145" t="s">
        <v>12499</v>
      </c>
      <c r="B6145" t="s">
        <v>12674</v>
      </c>
      <c r="C6145" t="s">
        <v>7029</v>
      </c>
      <c r="D6145" t="s">
        <v>12500</v>
      </c>
      <c r="E6145">
        <v>55044.53</v>
      </c>
      <c r="G6145" s="35"/>
      <c r="H6145" s="36">
        <f t="shared" si="287"/>
        <v>34678.053899999999</v>
      </c>
      <c r="I6145" s="37">
        <f t="shared" si="285"/>
        <v>34678.053899999999</v>
      </c>
      <c r="J6145" s="4"/>
      <c r="K6145" s="38">
        <f t="shared" si="286"/>
        <v>0</v>
      </c>
    </row>
    <row r="6146" spans="1:11">
      <c r="A6146" t="s">
        <v>12501</v>
      </c>
      <c r="B6146" t="s">
        <v>12674</v>
      </c>
      <c r="C6146" t="s">
        <v>7029</v>
      </c>
      <c r="D6146" t="s">
        <v>12502</v>
      </c>
      <c r="E6146">
        <v>82689.179999999993</v>
      </c>
      <c r="G6146" s="35"/>
      <c r="H6146" s="36">
        <f t="shared" si="287"/>
        <v>52094.183399999994</v>
      </c>
      <c r="I6146" s="37">
        <f t="shared" si="285"/>
        <v>52094.183399999994</v>
      </c>
      <c r="J6146" s="4"/>
      <c r="K6146" s="38">
        <f t="shared" si="286"/>
        <v>0</v>
      </c>
    </row>
    <row r="6147" spans="1:11">
      <c r="A6147" t="s">
        <v>12503</v>
      </c>
      <c r="B6147" t="s">
        <v>12674</v>
      </c>
      <c r="C6147" t="s">
        <v>7029</v>
      </c>
      <c r="D6147" t="s">
        <v>12504</v>
      </c>
      <c r="E6147">
        <v>55044.53</v>
      </c>
      <c r="G6147" s="35"/>
      <c r="H6147" s="36">
        <f t="shared" si="287"/>
        <v>34678.053899999999</v>
      </c>
      <c r="I6147" s="37">
        <f t="shared" si="285"/>
        <v>34678.053899999999</v>
      </c>
      <c r="J6147" s="4"/>
      <c r="K6147" s="38">
        <f t="shared" si="286"/>
        <v>0</v>
      </c>
    </row>
    <row r="6148" spans="1:11">
      <c r="A6148" t="s">
        <v>12505</v>
      </c>
      <c r="B6148" t="s">
        <v>12674</v>
      </c>
      <c r="C6148" t="s">
        <v>7029</v>
      </c>
      <c r="D6148" t="s">
        <v>12506</v>
      </c>
      <c r="E6148">
        <v>82689.179999999993</v>
      </c>
      <c r="G6148" s="35"/>
      <c r="H6148" s="36">
        <f t="shared" si="287"/>
        <v>52094.183399999994</v>
      </c>
      <c r="I6148" s="37">
        <f t="shared" si="285"/>
        <v>52094.183399999994</v>
      </c>
      <c r="J6148" s="4"/>
      <c r="K6148" s="38">
        <f t="shared" si="286"/>
        <v>0</v>
      </c>
    </row>
    <row r="6149" spans="1:11">
      <c r="A6149" t="s">
        <v>12507</v>
      </c>
      <c r="B6149" t="s">
        <v>12674</v>
      </c>
      <c r="C6149" t="s">
        <v>7029</v>
      </c>
      <c r="D6149" t="s">
        <v>12508</v>
      </c>
      <c r="E6149">
        <v>55044.53</v>
      </c>
      <c r="G6149" s="35"/>
      <c r="H6149" s="36">
        <f t="shared" si="287"/>
        <v>34678.053899999999</v>
      </c>
      <c r="I6149" s="37">
        <f t="shared" si="285"/>
        <v>34678.053899999999</v>
      </c>
      <c r="J6149" s="4"/>
      <c r="K6149" s="38">
        <f t="shared" si="286"/>
        <v>0</v>
      </c>
    </row>
    <row r="6150" spans="1:11">
      <c r="A6150" t="s">
        <v>12509</v>
      </c>
      <c r="B6150" t="s">
        <v>12674</v>
      </c>
      <c r="C6150" t="s">
        <v>7029</v>
      </c>
      <c r="D6150" t="s">
        <v>12510</v>
      </c>
      <c r="E6150">
        <v>82689.179999999993</v>
      </c>
      <c r="G6150" s="35"/>
      <c r="H6150" s="36">
        <f t="shared" si="287"/>
        <v>52094.183399999994</v>
      </c>
      <c r="I6150" s="37">
        <f t="shared" ref="I6150:I6213" si="288">H6150*$H$4</f>
        <v>52094.183399999994</v>
      </c>
      <c r="J6150" s="4"/>
      <c r="K6150" s="38">
        <f t="shared" ref="K6150:K6213" si="289">J6150*I6150</f>
        <v>0</v>
      </c>
    </row>
    <row r="6151" spans="1:11">
      <c r="A6151" t="s">
        <v>12511</v>
      </c>
      <c r="B6151" t="s">
        <v>12674</v>
      </c>
      <c r="C6151" t="s">
        <v>7029</v>
      </c>
      <c r="D6151" t="s">
        <v>12512</v>
      </c>
      <c r="E6151">
        <v>55044.53</v>
      </c>
      <c r="G6151" s="35"/>
      <c r="H6151" s="36">
        <f t="shared" ref="H6151:H6214" si="290">+E6151*$H$1*(1-G6151)</f>
        <v>34678.053899999999</v>
      </c>
      <c r="I6151" s="37">
        <f t="shared" si="288"/>
        <v>34678.053899999999</v>
      </c>
      <c r="J6151" s="4"/>
      <c r="K6151" s="38">
        <f t="shared" si="289"/>
        <v>0</v>
      </c>
    </row>
    <row r="6152" spans="1:11">
      <c r="A6152" t="s">
        <v>12513</v>
      </c>
      <c r="B6152" t="s">
        <v>12674</v>
      </c>
      <c r="C6152" t="s">
        <v>7029</v>
      </c>
      <c r="D6152" t="s">
        <v>12514</v>
      </c>
      <c r="E6152">
        <v>82689.179999999993</v>
      </c>
      <c r="G6152" s="35"/>
      <c r="H6152" s="36">
        <f t="shared" si="290"/>
        <v>52094.183399999994</v>
      </c>
      <c r="I6152" s="37">
        <f t="shared" si="288"/>
        <v>52094.183399999994</v>
      </c>
      <c r="J6152" s="4"/>
      <c r="K6152" s="38">
        <f t="shared" si="289"/>
        <v>0</v>
      </c>
    </row>
    <row r="6153" spans="1:11">
      <c r="A6153" t="s">
        <v>1298</v>
      </c>
      <c r="B6153" t="s">
        <v>12674</v>
      </c>
      <c r="C6153" t="s">
        <v>6874</v>
      </c>
      <c r="D6153" t="s">
        <v>6875</v>
      </c>
      <c r="E6153">
        <v>2844.49</v>
      </c>
      <c r="G6153" s="35"/>
      <c r="H6153" s="36">
        <f t="shared" si="290"/>
        <v>1792.0286999999998</v>
      </c>
      <c r="I6153" s="37">
        <f t="shared" si="288"/>
        <v>1792.0286999999998</v>
      </c>
      <c r="J6153" s="4"/>
      <c r="K6153" s="38">
        <f t="shared" si="289"/>
        <v>0</v>
      </c>
    </row>
    <row r="6154" spans="1:11">
      <c r="A6154" t="s">
        <v>1299</v>
      </c>
      <c r="B6154" t="s">
        <v>12674</v>
      </c>
      <c r="C6154" t="s">
        <v>6874</v>
      </c>
      <c r="D6154" t="s">
        <v>6876</v>
      </c>
      <c r="E6154">
        <v>3421.46</v>
      </c>
      <c r="G6154" s="35"/>
      <c r="H6154" s="36">
        <f t="shared" si="290"/>
        <v>2155.5198</v>
      </c>
      <c r="I6154" s="37">
        <f t="shared" si="288"/>
        <v>2155.5198</v>
      </c>
      <c r="J6154" s="4"/>
      <c r="K6154" s="38">
        <f t="shared" si="289"/>
        <v>0</v>
      </c>
    </row>
    <row r="6155" spans="1:11">
      <c r="A6155" t="s">
        <v>1300</v>
      </c>
      <c r="B6155" t="s">
        <v>12674</v>
      </c>
      <c r="C6155" t="s">
        <v>6874</v>
      </c>
      <c r="D6155" t="s">
        <v>6877</v>
      </c>
      <c r="E6155">
        <v>2895</v>
      </c>
      <c r="G6155" s="35"/>
      <c r="H6155" s="36">
        <f t="shared" si="290"/>
        <v>1823.85</v>
      </c>
      <c r="I6155" s="37">
        <f t="shared" si="288"/>
        <v>1823.85</v>
      </c>
      <c r="J6155" s="4"/>
      <c r="K6155" s="38">
        <f t="shared" si="289"/>
        <v>0</v>
      </c>
    </row>
    <row r="6156" spans="1:11">
      <c r="A6156" t="s">
        <v>1301</v>
      </c>
      <c r="B6156" t="s">
        <v>12674</v>
      </c>
      <c r="C6156" t="s">
        <v>6874</v>
      </c>
      <c r="D6156" t="s">
        <v>6878</v>
      </c>
      <c r="E6156">
        <v>2842.85</v>
      </c>
      <c r="G6156" s="35"/>
      <c r="H6156" s="36">
        <f t="shared" si="290"/>
        <v>1790.9955</v>
      </c>
      <c r="I6156" s="37">
        <f t="shared" si="288"/>
        <v>1790.9955</v>
      </c>
      <c r="J6156" s="4"/>
      <c r="K6156" s="38">
        <f t="shared" si="289"/>
        <v>0</v>
      </c>
    </row>
    <row r="6157" spans="1:11">
      <c r="A6157" t="s">
        <v>216</v>
      </c>
      <c r="B6157" t="s">
        <v>12674</v>
      </c>
      <c r="C6157" t="s">
        <v>5799</v>
      </c>
      <c r="D6157" t="s">
        <v>5800</v>
      </c>
      <c r="E6157">
        <v>4376.24</v>
      </c>
      <c r="G6157" s="35"/>
      <c r="H6157" s="36">
        <f t="shared" si="290"/>
        <v>2757.0311999999999</v>
      </c>
      <c r="I6157" s="37">
        <f t="shared" si="288"/>
        <v>2757.0311999999999</v>
      </c>
      <c r="J6157" s="4"/>
      <c r="K6157" s="38">
        <f t="shared" si="289"/>
        <v>0</v>
      </c>
    </row>
    <row r="6158" spans="1:11">
      <c r="A6158" t="s">
        <v>217</v>
      </c>
      <c r="B6158" t="s">
        <v>12674</v>
      </c>
      <c r="C6158" t="s">
        <v>5799</v>
      </c>
      <c r="D6158" t="s">
        <v>5801</v>
      </c>
      <c r="E6158">
        <v>6102.2</v>
      </c>
      <c r="G6158" s="35"/>
      <c r="H6158" s="36">
        <f t="shared" si="290"/>
        <v>3844.386</v>
      </c>
      <c r="I6158" s="37">
        <f t="shared" si="288"/>
        <v>3844.386</v>
      </c>
      <c r="J6158" s="4"/>
      <c r="K6158" s="38">
        <f t="shared" si="289"/>
        <v>0</v>
      </c>
    </row>
    <row r="6159" spans="1:11">
      <c r="A6159" t="s">
        <v>12252</v>
      </c>
      <c r="B6159" t="s">
        <v>12674</v>
      </c>
      <c r="C6159" t="s">
        <v>12516</v>
      </c>
      <c r="D6159" t="s">
        <v>12259</v>
      </c>
      <c r="E6159">
        <v>28667.919999999998</v>
      </c>
      <c r="G6159" s="35"/>
      <c r="H6159" s="36">
        <f t="shared" si="290"/>
        <v>18060.7896</v>
      </c>
      <c r="I6159" s="37">
        <f t="shared" si="288"/>
        <v>18060.7896</v>
      </c>
      <c r="J6159" s="4"/>
      <c r="K6159" s="38">
        <f t="shared" si="289"/>
        <v>0</v>
      </c>
    </row>
    <row r="6160" spans="1:11">
      <c r="A6160" t="s">
        <v>12253</v>
      </c>
      <c r="B6160" t="s">
        <v>12674</v>
      </c>
      <c r="C6160" t="s">
        <v>12516</v>
      </c>
      <c r="D6160" t="s">
        <v>12260</v>
      </c>
      <c r="E6160">
        <v>35368.32</v>
      </c>
      <c r="G6160" s="35"/>
      <c r="H6160" s="36">
        <f t="shared" si="290"/>
        <v>22282.0416</v>
      </c>
      <c r="I6160" s="37">
        <f t="shared" si="288"/>
        <v>22282.0416</v>
      </c>
      <c r="J6160" s="4"/>
      <c r="K6160" s="38">
        <f t="shared" si="289"/>
        <v>0</v>
      </c>
    </row>
    <row r="6161" spans="1:11">
      <c r="A6161" t="s">
        <v>12517</v>
      </c>
      <c r="B6161" t="s">
        <v>12674</v>
      </c>
      <c r="C6161" t="s">
        <v>12516</v>
      </c>
      <c r="D6161" t="s">
        <v>12518</v>
      </c>
      <c r="E6161">
        <v>21277.96</v>
      </c>
      <c r="G6161" s="35"/>
      <c r="H6161" s="36">
        <f t="shared" si="290"/>
        <v>13405.114799999999</v>
      </c>
      <c r="I6161" s="37">
        <f t="shared" si="288"/>
        <v>13405.114799999999</v>
      </c>
      <c r="J6161" s="4"/>
      <c r="K6161" s="38">
        <f t="shared" si="289"/>
        <v>0</v>
      </c>
    </row>
    <row r="6162" spans="1:11">
      <c r="A6162" t="s">
        <v>12519</v>
      </c>
      <c r="B6162" t="s">
        <v>12674</v>
      </c>
      <c r="C6162" t="s">
        <v>12516</v>
      </c>
      <c r="D6162" t="s">
        <v>12520</v>
      </c>
      <c r="E6162">
        <v>22748.560000000001</v>
      </c>
      <c r="G6162" s="35"/>
      <c r="H6162" s="36">
        <f t="shared" si="290"/>
        <v>14331.5928</v>
      </c>
      <c r="I6162" s="37">
        <f t="shared" si="288"/>
        <v>14331.5928</v>
      </c>
      <c r="J6162" s="4"/>
      <c r="K6162" s="38">
        <f t="shared" si="289"/>
        <v>0</v>
      </c>
    </row>
    <row r="6163" spans="1:11">
      <c r="A6163" t="s">
        <v>12254</v>
      </c>
      <c r="B6163" t="s">
        <v>12674</v>
      </c>
      <c r="C6163" t="s">
        <v>12516</v>
      </c>
      <c r="D6163" t="s">
        <v>12261</v>
      </c>
      <c r="E6163">
        <v>21143.15</v>
      </c>
      <c r="G6163" s="35"/>
      <c r="H6163" s="36">
        <f t="shared" si="290"/>
        <v>13320.184500000001</v>
      </c>
      <c r="I6163" s="37">
        <f t="shared" si="288"/>
        <v>13320.184500000001</v>
      </c>
      <c r="J6163" s="4"/>
      <c r="K6163" s="38">
        <f t="shared" si="289"/>
        <v>0</v>
      </c>
    </row>
    <row r="6164" spans="1:11">
      <c r="A6164" t="s">
        <v>12521</v>
      </c>
      <c r="B6164" t="s">
        <v>12674</v>
      </c>
      <c r="C6164" t="s">
        <v>12516</v>
      </c>
      <c r="D6164" t="s">
        <v>12522</v>
      </c>
      <c r="E6164">
        <v>33120.120000000003</v>
      </c>
      <c r="G6164" s="35"/>
      <c r="H6164" s="36">
        <f t="shared" si="290"/>
        <v>20865.675600000002</v>
      </c>
      <c r="I6164" s="37">
        <f t="shared" si="288"/>
        <v>20865.675600000002</v>
      </c>
      <c r="J6164" s="4"/>
      <c r="K6164" s="38">
        <f t="shared" si="289"/>
        <v>0</v>
      </c>
    </row>
    <row r="6165" spans="1:11">
      <c r="A6165" t="s">
        <v>12255</v>
      </c>
      <c r="B6165" t="s">
        <v>12674</v>
      </c>
      <c r="C6165" t="s">
        <v>12516</v>
      </c>
      <c r="D6165" t="s">
        <v>12262</v>
      </c>
      <c r="E6165">
        <v>38820.17</v>
      </c>
      <c r="G6165" s="35"/>
      <c r="H6165" s="36">
        <f t="shared" si="290"/>
        <v>24456.7071</v>
      </c>
      <c r="I6165" s="37">
        <f t="shared" si="288"/>
        <v>24456.7071</v>
      </c>
      <c r="J6165" s="4"/>
      <c r="K6165" s="38">
        <f t="shared" si="289"/>
        <v>0</v>
      </c>
    </row>
    <row r="6166" spans="1:11">
      <c r="A6166" t="s">
        <v>12256</v>
      </c>
      <c r="B6166" t="s">
        <v>12674</v>
      </c>
      <c r="C6166" t="s">
        <v>12516</v>
      </c>
      <c r="D6166" t="s">
        <v>12263</v>
      </c>
      <c r="E6166">
        <v>52123.59</v>
      </c>
      <c r="G6166" s="35"/>
      <c r="H6166" s="36">
        <f t="shared" si="290"/>
        <v>32837.861700000001</v>
      </c>
      <c r="I6166" s="37">
        <f t="shared" si="288"/>
        <v>32837.861700000001</v>
      </c>
      <c r="J6166" s="4"/>
      <c r="K6166" s="38">
        <f t="shared" si="289"/>
        <v>0</v>
      </c>
    </row>
    <row r="6167" spans="1:11">
      <c r="A6167" t="s">
        <v>12523</v>
      </c>
      <c r="B6167" t="s">
        <v>12674</v>
      </c>
      <c r="C6167" t="s">
        <v>12516</v>
      </c>
      <c r="D6167" t="s">
        <v>12524</v>
      </c>
      <c r="E6167">
        <v>22573.62</v>
      </c>
      <c r="G6167" s="35"/>
      <c r="H6167" s="36">
        <f t="shared" si="290"/>
        <v>14221.380599999999</v>
      </c>
      <c r="I6167" s="37">
        <f t="shared" si="288"/>
        <v>14221.380599999999</v>
      </c>
      <c r="J6167" s="4"/>
      <c r="K6167" s="38">
        <f t="shared" si="289"/>
        <v>0</v>
      </c>
    </row>
    <row r="6168" spans="1:11">
      <c r="A6168" t="s">
        <v>1407</v>
      </c>
      <c r="B6168" t="s">
        <v>12674</v>
      </c>
      <c r="C6168" t="s">
        <v>6991</v>
      </c>
      <c r="D6168" t="s">
        <v>6984</v>
      </c>
      <c r="E6168">
        <v>5523.35</v>
      </c>
      <c r="G6168" s="35"/>
      <c r="H6168" s="36">
        <f t="shared" si="290"/>
        <v>3479.7105000000001</v>
      </c>
      <c r="I6168" s="37">
        <f t="shared" si="288"/>
        <v>3479.7105000000001</v>
      </c>
      <c r="J6168" s="4"/>
      <c r="K6168" s="38">
        <f t="shared" si="289"/>
        <v>0</v>
      </c>
    </row>
    <row r="6169" spans="1:11">
      <c r="A6169" t="s">
        <v>1408</v>
      </c>
      <c r="B6169" t="s">
        <v>12674</v>
      </c>
      <c r="C6169" t="s">
        <v>6991</v>
      </c>
      <c r="D6169" t="s">
        <v>6985</v>
      </c>
      <c r="E6169">
        <v>5744.29</v>
      </c>
      <c r="G6169" s="35"/>
      <c r="H6169" s="36">
        <f t="shared" si="290"/>
        <v>3618.9027000000001</v>
      </c>
      <c r="I6169" s="37">
        <f t="shared" si="288"/>
        <v>3618.9027000000001</v>
      </c>
      <c r="J6169" s="4"/>
      <c r="K6169" s="38">
        <f t="shared" si="289"/>
        <v>0</v>
      </c>
    </row>
    <row r="6170" spans="1:11">
      <c r="A6170" t="s">
        <v>1409</v>
      </c>
      <c r="B6170" t="s">
        <v>12674</v>
      </c>
      <c r="C6170" t="s">
        <v>6991</v>
      </c>
      <c r="D6170" t="s">
        <v>6986</v>
      </c>
      <c r="E6170">
        <v>5956.84</v>
      </c>
      <c r="G6170" s="35"/>
      <c r="H6170" s="36">
        <f t="shared" si="290"/>
        <v>3752.8092000000001</v>
      </c>
      <c r="I6170" s="37">
        <f t="shared" si="288"/>
        <v>3752.8092000000001</v>
      </c>
      <c r="J6170" s="4"/>
      <c r="K6170" s="38">
        <f t="shared" si="289"/>
        <v>0</v>
      </c>
    </row>
    <row r="6171" spans="1:11">
      <c r="A6171" t="s">
        <v>1410</v>
      </c>
      <c r="B6171" t="s">
        <v>12674</v>
      </c>
      <c r="C6171" t="s">
        <v>6991</v>
      </c>
      <c r="D6171" t="s">
        <v>6987</v>
      </c>
      <c r="E6171">
        <v>6248.83</v>
      </c>
      <c r="G6171" s="35"/>
      <c r="H6171" s="36">
        <f t="shared" si="290"/>
        <v>3936.7629000000002</v>
      </c>
      <c r="I6171" s="37">
        <f t="shared" si="288"/>
        <v>3936.7629000000002</v>
      </c>
      <c r="J6171" s="4"/>
      <c r="K6171" s="38">
        <f t="shared" si="289"/>
        <v>0</v>
      </c>
    </row>
    <row r="6172" spans="1:11">
      <c r="A6172" t="s">
        <v>1411</v>
      </c>
      <c r="B6172" t="s">
        <v>12674</v>
      </c>
      <c r="C6172" t="s">
        <v>6991</v>
      </c>
      <c r="D6172" t="s">
        <v>6988</v>
      </c>
      <c r="E6172">
        <v>6463.87</v>
      </c>
      <c r="G6172" s="35"/>
      <c r="H6172" s="36">
        <f t="shared" si="290"/>
        <v>4072.2381</v>
      </c>
      <c r="I6172" s="37">
        <f t="shared" si="288"/>
        <v>4072.2381</v>
      </c>
      <c r="J6172" s="4"/>
      <c r="K6172" s="38">
        <f t="shared" si="289"/>
        <v>0</v>
      </c>
    </row>
    <row r="6173" spans="1:11">
      <c r="A6173" t="s">
        <v>1412</v>
      </c>
      <c r="B6173" t="s">
        <v>12674</v>
      </c>
      <c r="C6173" t="s">
        <v>6991</v>
      </c>
      <c r="D6173" t="s">
        <v>6989</v>
      </c>
      <c r="E6173">
        <v>6980.06</v>
      </c>
      <c r="G6173" s="35"/>
      <c r="H6173" s="36">
        <f t="shared" si="290"/>
        <v>4397.4378000000006</v>
      </c>
      <c r="I6173" s="37">
        <f t="shared" si="288"/>
        <v>4397.4378000000006</v>
      </c>
      <c r="J6173" s="4"/>
      <c r="K6173" s="38">
        <f t="shared" si="289"/>
        <v>0</v>
      </c>
    </row>
    <row r="6174" spans="1:11">
      <c r="A6174" t="s">
        <v>1413</v>
      </c>
      <c r="B6174" t="s">
        <v>12674</v>
      </c>
      <c r="C6174" t="s">
        <v>6991</v>
      </c>
      <c r="D6174" t="s">
        <v>6990</v>
      </c>
      <c r="E6174">
        <v>7498.02</v>
      </c>
      <c r="G6174" s="35"/>
      <c r="H6174" s="36">
        <f t="shared" si="290"/>
        <v>4723.7526000000007</v>
      </c>
      <c r="I6174" s="37">
        <f t="shared" si="288"/>
        <v>4723.7526000000007</v>
      </c>
      <c r="J6174" s="4"/>
      <c r="K6174" s="38">
        <f t="shared" si="289"/>
        <v>0</v>
      </c>
    </row>
    <row r="6175" spans="1:11">
      <c r="A6175" t="s">
        <v>12525</v>
      </c>
      <c r="B6175" t="s">
        <v>12674</v>
      </c>
      <c r="C6175" t="s">
        <v>12526</v>
      </c>
      <c r="D6175" t="s">
        <v>12527</v>
      </c>
      <c r="E6175">
        <v>22005.58</v>
      </c>
      <c r="G6175" s="35"/>
      <c r="H6175" s="36">
        <f t="shared" si="290"/>
        <v>13863.515400000002</v>
      </c>
      <c r="I6175" s="37">
        <f t="shared" si="288"/>
        <v>13863.515400000002</v>
      </c>
      <c r="J6175" s="4"/>
      <c r="K6175" s="38">
        <f t="shared" si="289"/>
        <v>0</v>
      </c>
    </row>
    <row r="6176" spans="1:11">
      <c r="A6176" t="s">
        <v>12528</v>
      </c>
      <c r="B6176" t="s">
        <v>12674</v>
      </c>
      <c r="C6176" t="s">
        <v>12526</v>
      </c>
      <c r="D6176" t="s">
        <v>12529</v>
      </c>
      <c r="E6176">
        <v>42550.7</v>
      </c>
      <c r="G6176" s="35"/>
      <c r="H6176" s="36">
        <f t="shared" si="290"/>
        <v>26806.940999999999</v>
      </c>
      <c r="I6176" s="37">
        <f t="shared" si="288"/>
        <v>26806.940999999999</v>
      </c>
      <c r="J6176" s="4"/>
      <c r="K6176" s="38">
        <f t="shared" si="289"/>
        <v>0</v>
      </c>
    </row>
    <row r="6177" spans="1:11">
      <c r="A6177" t="s">
        <v>1414</v>
      </c>
      <c r="B6177" t="s">
        <v>12674</v>
      </c>
      <c r="C6177" t="s">
        <v>12530</v>
      </c>
      <c r="D6177" t="s">
        <v>6992</v>
      </c>
      <c r="E6177">
        <v>7804.33</v>
      </c>
      <c r="G6177" s="35"/>
      <c r="H6177" s="36">
        <f t="shared" si="290"/>
        <v>4916.7278999999999</v>
      </c>
      <c r="I6177" s="37">
        <f t="shared" si="288"/>
        <v>4916.7278999999999</v>
      </c>
      <c r="J6177" s="4"/>
      <c r="K6177" s="38">
        <f t="shared" si="289"/>
        <v>0</v>
      </c>
    </row>
    <row r="6178" spans="1:11">
      <c r="A6178" t="s">
        <v>1415</v>
      </c>
      <c r="B6178" t="s">
        <v>12674</v>
      </c>
      <c r="C6178" t="s">
        <v>12530</v>
      </c>
      <c r="D6178" t="s">
        <v>6993</v>
      </c>
      <c r="E6178">
        <v>9732.64</v>
      </c>
      <c r="G6178" s="35"/>
      <c r="H6178" s="36">
        <f t="shared" si="290"/>
        <v>6131.5631999999996</v>
      </c>
      <c r="I6178" s="37">
        <f t="shared" si="288"/>
        <v>6131.5631999999996</v>
      </c>
      <c r="J6178" s="4"/>
      <c r="K6178" s="38">
        <f t="shared" si="289"/>
        <v>0</v>
      </c>
    </row>
    <row r="6179" spans="1:11">
      <c r="A6179" t="s">
        <v>1416</v>
      </c>
      <c r="B6179" t="s">
        <v>12674</v>
      </c>
      <c r="C6179" t="s">
        <v>12530</v>
      </c>
      <c r="D6179" t="s">
        <v>6994</v>
      </c>
      <c r="E6179">
        <v>10987.65</v>
      </c>
      <c r="G6179" s="35"/>
      <c r="H6179" s="36">
        <f t="shared" si="290"/>
        <v>6922.2195000000002</v>
      </c>
      <c r="I6179" s="37">
        <f t="shared" si="288"/>
        <v>6922.2195000000002</v>
      </c>
      <c r="J6179" s="4"/>
      <c r="K6179" s="38">
        <f t="shared" si="289"/>
        <v>0</v>
      </c>
    </row>
    <row r="6180" spans="1:11">
      <c r="A6180" t="s">
        <v>1417</v>
      </c>
      <c r="B6180" t="s">
        <v>12674</v>
      </c>
      <c r="C6180" t="s">
        <v>12530</v>
      </c>
      <c r="D6180" t="s">
        <v>6995</v>
      </c>
      <c r="E6180">
        <v>11954.14</v>
      </c>
      <c r="G6180" s="35"/>
      <c r="H6180" s="36">
        <f t="shared" si="290"/>
        <v>7531.1081999999997</v>
      </c>
      <c r="I6180" s="37">
        <f t="shared" si="288"/>
        <v>7531.1081999999997</v>
      </c>
      <c r="J6180" s="4"/>
      <c r="K6180" s="38">
        <f t="shared" si="289"/>
        <v>0</v>
      </c>
    </row>
    <row r="6181" spans="1:11">
      <c r="A6181" t="s">
        <v>1418</v>
      </c>
      <c r="B6181" t="s">
        <v>12674</v>
      </c>
      <c r="C6181" t="s">
        <v>12530</v>
      </c>
      <c r="D6181" t="s">
        <v>6996</v>
      </c>
      <c r="E6181">
        <v>12913.79</v>
      </c>
      <c r="G6181" s="35"/>
      <c r="H6181" s="36">
        <f t="shared" si="290"/>
        <v>8135.6877000000004</v>
      </c>
      <c r="I6181" s="37">
        <f t="shared" si="288"/>
        <v>8135.6877000000004</v>
      </c>
      <c r="J6181" s="4"/>
      <c r="K6181" s="38">
        <f t="shared" si="289"/>
        <v>0</v>
      </c>
    </row>
    <row r="6182" spans="1:11">
      <c r="A6182" t="s">
        <v>1419</v>
      </c>
      <c r="B6182" t="s">
        <v>12674</v>
      </c>
      <c r="C6182" t="s">
        <v>12530</v>
      </c>
      <c r="D6182" t="s">
        <v>6997</v>
      </c>
      <c r="E6182">
        <v>14770.78</v>
      </c>
      <c r="G6182" s="35"/>
      <c r="H6182" s="36">
        <f t="shared" si="290"/>
        <v>9305.5914000000012</v>
      </c>
      <c r="I6182" s="37">
        <f t="shared" si="288"/>
        <v>9305.5914000000012</v>
      </c>
      <c r="J6182" s="4"/>
      <c r="K6182" s="38">
        <f t="shared" si="289"/>
        <v>0</v>
      </c>
    </row>
    <row r="6183" spans="1:11">
      <c r="A6183" t="s">
        <v>1420</v>
      </c>
      <c r="B6183" t="s">
        <v>12674</v>
      </c>
      <c r="C6183" t="s">
        <v>12530</v>
      </c>
      <c r="D6183" t="s">
        <v>6998</v>
      </c>
      <c r="E6183">
        <v>16612.95</v>
      </c>
      <c r="G6183" s="35"/>
      <c r="H6183" s="36">
        <f t="shared" si="290"/>
        <v>10466.158500000001</v>
      </c>
      <c r="I6183" s="37">
        <f t="shared" si="288"/>
        <v>10466.158500000001</v>
      </c>
      <c r="J6183" s="4"/>
      <c r="K6183" s="38">
        <f t="shared" si="289"/>
        <v>0</v>
      </c>
    </row>
    <row r="6184" spans="1:11">
      <c r="A6184" t="s">
        <v>1421</v>
      </c>
      <c r="B6184" t="s">
        <v>12674</v>
      </c>
      <c r="C6184" t="s">
        <v>12530</v>
      </c>
      <c r="D6184" t="s">
        <v>6999</v>
      </c>
      <c r="E6184">
        <v>18919.849999999999</v>
      </c>
      <c r="G6184" s="35"/>
      <c r="H6184" s="36">
        <f t="shared" si="290"/>
        <v>11919.505499999999</v>
      </c>
      <c r="I6184" s="37">
        <f t="shared" si="288"/>
        <v>11919.505499999999</v>
      </c>
      <c r="J6184" s="4"/>
      <c r="K6184" s="38">
        <f t="shared" si="289"/>
        <v>0</v>
      </c>
    </row>
    <row r="6185" spans="1:11">
      <c r="A6185" t="s">
        <v>1422</v>
      </c>
      <c r="B6185" t="s">
        <v>12674</v>
      </c>
      <c r="C6185" t="s">
        <v>12530</v>
      </c>
      <c r="D6185" t="s">
        <v>7000</v>
      </c>
      <c r="E6185">
        <v>12730.02</v>
      </c>
      <c r="G6185" s="35"/>
      <c r="H6185" s="36">
        <f t="shared" si="290"/>
        <v>8019.9126000000006</v>
      </c>
      <c r="I6185" s="37">
        <f t="shared" si="288"/>
        <v>8019.9126000000006</v>
      </c>
      <c r="J6185" s="4"/>
      <c r="K6185" s="38">
        <f t="shared" si="289"/>
        <v>0</v>
      </c>
    </row>
    <row r="6186" spans="1:11">
      <c r="A6186" t="s">
        <v>1423</v>
      </c>
      <c r="B6186" t="s">
        <v>12674</v>
      </c>
      <c r="C6186" t="s">
        <v>12530</v>
      </c>
      <c r="D6186" t="s">
        <v>7001</v>
      </c>
      <c r="E6186">
        <v>14288.96</v>
      </c>
      <c r="G6186" s="35"/>
      <c r="H6186" s="36">
        <f t="shared" si="290"/>
        <v>9002.0447999999997</v>
      </c>
      <c r="I6186" s="37">
        <f t="shared" si="288"/>
        <v>9002.0447999999997</v>
      </c>
      <c r="J6186" s="4"/>
      <c r="K6186" s="38">
        <f t="shared" si="289"/>
        <v>0</v>
      </c>
    </row>
    <row r="6187" spans="1:11">
      <c r="A6187" t="s">
        <v>1424</v>
      </c>
      <c r="B6187" t="s">
        <v>12674</v>
      </c>
      <c r="C6187" t="s">
        <v>12530</v>
      </c>
      <c r="D6187" t="s">
        <v>7002</v>
      </c>
      <c r="E6187">
        <v>15393.19</v>
      </c>
      <c r="G6187" s="35"/>
      <c r="H6187" s="36">
        <f t="shared" si="290"/>
        <v>9697.7097000000012</v>
      </c>
      <c r="I6187" s="37">
        <f t="shared" si="288"/>
        <v>9697.7097000000012</v>
      </c>
      <c r="J6187" s="4"/>
      <c r="K6187" s="38">
        <f t="shared" si="289"/>
        <v>0</v>
      </c>
    </row>
    <row r="6188" spans="1:11">
      <c r="A6188" t="s">
        <v>1425</v>
      </c>
      <c r="B6188" t="s">
        <v>12674</v>
      </c>
      <c r="C6188" t="s">
        <v>12530</v>
      </c>
      <c r="D6188" t="s">
        <v>7003</v>
      </c>
      <c r="E6188">
        <v>16959.5</v>
      </c>
      <c r="G6188" s="35"/>
      <c r="H6188" s="36">
        <f t="shared" si="290"/>
        <v>10684.485000000001</v>
      </c>
      <c r="I6188" s="37">
        <f t="shared" si="288"/>
        <v>10684.485000000001</v>
      </c>
      <c r="J6188" s="4"/>
      <c r="K6188" s="38">
        <f t="shared" si="289"/>
        <v>0</v>
      </c>
    </row>
    <row r="6189" spans="1:11">
      <c r="A6189" t="s">
        <v>1426</v>
      </c>
      <c r="B6189" t="s">
        <v>12674</v>
      </c>
      <c r="C6189" t="s">
        <v>12530</v>
      </c>
      <c r="D6189" t="s">
        <v>7004</v>
      </c>
      <c r="E6189">
        <v>17816.27</v>
      </c>
      <c r="G6189" s="35"/>
      <c r="H6189" s="36">
        <f t="shared" si="290"/>
        <v>11224.250100000001</v>
      </c>
      <c r="I6189" s="37">
        <f t="shared" si="288"/>
        <v>11224.250100000001</v>
      </c>
      <c r="J6189" s="4"/>
      <c r="K6189" s="38">
        <f t="shared" si="289"/>
        <v>0</v>
      </c>
    </row>
    <row r="6190" spans="1:11">
      <c r="A6190" t="s">
        <v>1427</v>
      </c>
      <c r="B6190" t="s">
        <v>12674</v>
      </c>
      <c r="C6190" t="s">
        <v>12530</v>
      </c>
      <c r="D6190" t="s">
        <v>7005</v>
      </c>
      <c r="E6190">
        <v>21905.74</v>
      </c>
      <c r="G6190" s="35"/>
      <c r="H6190" s="36">
        <f t="shared" si="290"/>
        <v>13800.6162</v>
      </c>
      <c r="I6190" s="37">
        <f t="shared" si="288"/>
        <v>13800.6162</v>
      </c>
      <c r="J6190" s="4"/>
      <c r="K6190" s="38">
        <f t="shared" si="289"/>
        <v>0</v>
      </c>
    </row>
    <row r="6191" spans="1:11">
      <c r="A6191" t="s">
        <v>11601</v>
      </c>
      <c r="B6191" t="s">
        <v>12674</v>
      </c>
      <c r="C6191" t="s">
        <v>12530</v>
      </c>
      <c r="D6191" t="s">
        <v>11602</v>
      </c>
      <c r="E6191">
        <v>25979.94</v>
      </c>
      <c r="G6191" s="35"/>
      <c r="H6191" s="36">
        <f t="shared" si="290"/>
        <v>16367.3622</v>
      </c>
      <c r="I6191" s="37">
        <f t="shared" si="288"/>
        <v>16367.3622</v>
      </c>
      <c r="J6191" s="4"/>
      <c r="K6191" s="38">
        <f t="shared" si="289"/>
        <v>0</v>
      </c>
    </row>
    <row r="6192" spans="1:11">
      <c r="A6192" t="s">
        <v>1465</v>
      </c>
      <c r="B6192" t="s">
        <v>12674</v>
      </c>
      <c r="C6192" t="s">
        <v>12531</v>
      </c>
      <c r="D6192" t="s">
        <v>7049</v>
      </c>
      <c r="E6192">
        <v>14161.05</v>
      </c>
      <c r="G6192" s="35"/>
      <c r="H6192" s="36">
        <f t="shared" si="290"/>
        <v>8921.4614999999994</v>
      </c>
      <c r="I6192" s="37">
        <f t="shared" si="288"/>
        <v>8921.4614999999994</v>
      </c>
      <c r="J6192" s="4"/>
      <c r="K6192" s="38">
        <f t="shared" si="289"/>
        <v>0</v>
      </c>
    </row>
    <row r="6193" spans="1:11">
      <c r="A6193" t="s">
        <v>1466</v>
      </c>
      <c r="B6193" t="s">
        <v>12674</v>
      </c>
      <c r="C6193" t="s">
        <v>12531</v>
      </c>
      <c r="D6193" t="s">
        <v>7050</v>
      </c>
      <c r="E6193">
        <v>15068.89</v>
      </c>
      <c r="G6193" s="35"/>
      <c r="H6193" s="36">
        <f t="shared" si="290"/>
        <v>9493.4007000000001</v>
      </c>
      <c r="I6193" s="37">
        <f t="shared" si="288"/>
        <v>9493.4007000000001</v>
      </c>
      <c r="J6193" s="4"/>
      <c r="K6193" s="38">
        <f t="shared" si="289"/>
        <v>0</v>
      </c>
    </row>
    <row r="6194" spans="1:11">
      <c r="A6194" t="s">
        <v>2363</v>
      </c>
      <c r="B6194" t="s">
        <v>12674</v>
      </c>
      <c r="C6194" t="s">
        <v>7906</v>
      </c>
      <c r="D6194" t="s">
        <v>7054</v>
      </c>
      <c r="E6194">
        <v>199714.92</v>
      </c>
      <c r="G6194" s="35"/>
      <c r="H6194" s="36">
        <f t="shared" si="290"/>
        <v>125820.3996</v>
      </c>
      <c r="I6194" s="37">
        <f t="shared" si="288"/>
        <v>125820.3996</v>
      </c>
      <c r="J6194" s="4"/>
      <c r="K6194" s="38">
        <f t="shared" si="289"/>
        <v>0</v>
      </c>
    </row>
    <row r="6195" spans="1:11">
      <c r="A6195" t="s">
        <v>2364</v>
      </c>
      <c r="B6195" t="s">
        <v>12674</v>
      </c>
      <c r="C6195" t="s">
        <v>7906</v>
      </c>
      <c r="D6195" t="s">
        <v>7055</v>
      </c>
      <c r="E6195">
        <v>219685.85</v>
      </c>
      <c r="G6195" s="35"/>
      <c r="H6195" s="36">
        <f t="shared" si="290"/>
        <v>138402.08550000002</v>
      </c>
      <c r="I6195" s="37">
        <f t="shared" si="288"/>
        <v>138402.08550000002</v>
      </c>
      <c r="J6195" s="4"/>
      <c r="K6195" s="38">
        <f t="shared" si="289"/>
        <v>0</v>
      </c>
    </row>
    <row r="6196" spans="1:11">
      <c r="A6196" t="s">
        <v>2365</v>
      </c>
      <c r="B6196" t="s">
        <v>12674</v>
      </c>
      <c r="C6196" t="s">
        <v>7906</v>
      </c>
      <c r="D6196" t="s">
        <v>7836</v>
      </c>
      <c r="E6196">
        <v>266287.90999999997</v>
      </c>
      <c r="G6196" s="35"/>
      <c r="H6196" s="36">
        <f t="shared" si="290"/>
        <v>167761.38329999999</v>
      </c>
      <c r="I6196" s="37">
        <f t="shared" si="288"/>
        <v>167761.38329999999</v>
      </c>
      <c r="J6196" s="4"/>
      <c r="K6196" s="38">
        <f t="shared" si="289"/>
        <v>0</v>
      </c>
    </row>
    <row r="6197" spans="1:11">
      <c r="A6197" t="s">
        <v>2366</v>
      </c>
      <c r="B6197" t="s">
        <v>12674</v>
      </c>
      <c r="C6197" t="s">
        <v>7906</v>
      </c>
      <c r="D6197" t="s">
        <v>7246</v>
      </c>
      <c r="E6197">
        <v>199714.92</v>
      </c>
      <c r="G6197" s="35"/>
      <c r="H6197" s="36">
        <f t="shared" si="290"/>
        <v>125820.3996</v>
      </c>
      <c r="I6197" s="37">
        <f t="shared" si="288"/>
        <v>125820.3996</v>
      </c>
      <c r="J6197" s="4"/>
      <c r="K6197" s="38">
        <f t="shared" si="289"/>
        <v>0</v>
      </c>
    </row>
    <row r="6198" spans="1:11">
      <c r="A6198" t="s">
        <v>2367</v>
      </c>
      <c r="B6198" t="s">
        <v>12674</v>
      </c>
      <c r="C6198" t="s">
        <v>7906</v>
      </c>
      <c r="D6198" t="s">
        <v>7858</v>
      </c>
      <c r="E6198">
        <v>292918.02</v>
      </c>
      <c r="G6198" s="35"/>
      <c r="H6198" s="36">
        <f t="shared" si="290"/>
        <v>184538.35260000001</v>
      </c>
      <c r="I6198" s="37">
        <f t="shared" si="288"/>
        <v>184538.35260000001</v>
      </c>
      <c r="J6198" s="4"/>
      <c r="K6198" s="38">
        <f t="shared" si="289"/>
        <v>0</v>
      </c>
    </row>
    <row r="6199" spans="1:11">
      <c r="A6199" t="s">
        <v>2368</v>
      </c>
      <c r="B6199" t="s">
        <v>12674</v>
      </c>
      <c r="C6199" t="s">
        <v>7906</v>
      </c>
      <c r="D6199" t="s">
        <v>7907</v>
      </c>
      <c r="E6199">
        <v>66571.509999999995</v>
      </c>
      <c r="G6199" s="35"/>
      <c r="H6199" s="36">
        <f t="shared" si="290"/>
        <v>41940.051299999999</v>
      </c>
      <c r="I6199" s="37">
        <f t="shared" si="288"/>
        <v>41940.051299999999</v>
      </c>
      <c r="J6199" s="4"/>
      <c r="K6199" s="38">
        <f t="shared" si="289"/>
        <v>0</v>
      </c>
    </row>
    <row r="6200" spans="1:11">
      <c r="A6200" t="s">
        <v>2369</v>
      </c>
      <c r="B6200" t="s">
        <v>12674</v>
      </c>
      <c r="C6200" t="s">
        <v>7906</v>
      </c>
      <c r="D6200" t="s">
        <v>7839</v>
      </c>
      <c r="E6200">
        <v>219686.28</v>
      </c>
      <c r="G6200" s="35"/>
      <c r="H6200" s="36">
        <f t="shared" si="290"/>
        <v>138402.35639999999</v>
      </c>
      <c r="I6200" s="37">
        <f t="shared" si="288"/>
        <v>138402.35639999999</v>
      </c>
      <c r="J6200" s="4"/>
      <c r="K6200" s="38">
        <f t="shared" si="289"/>
        <v>0</v>
      </c>
    </row>
    <row r="6201" spans="1:11">
      <c r="A6201" t="s">
        <v>2318</v>
      </c>
      <c r="B6201" t="s">
        <v>12674</v>
      </c>
      <c r="C6201" t="s">
        <v>7868</v>
      </c>
      <c r="D6201" t="s">
        <v>7330</v>
      </c>
      <c r="E6201">
        <v>271751.28000000003</v>
      </c>
      <c r="G6201" s="35"/>
      <c r="H6201" s="36">
        <f t="shared" si="290"/>
        <v>171203.30640000003</v>
      </c>
      <c r="I6201" s="37">
        <f t="shared" si="288"/>
        <v>171203.30640000003</v>
      </c>
      <c r="J6201" s="4"/>
      <c r="K6201" s="38">
        <f t="shared" si="289"/>
        <v>0</v>
      </c>
    </row>
    <row r="6202" spans="1:11">
      <c r="A6202" t="s">
        <v>2319</v>
      </c>
      <c r="B6202" t="s">
        <v>12674</v>
      </c>
      <c r="C6202" t="s">
        <v>7868</v>
      </c>
      <c r="D6202" t="s">
        <v>7328</v>
      </c>
      <c r="E6202">
        <v>247046.17</v>
      </c>
      <c r="G6202" s="35"/>
      <c r="H6202" s="36">
        <f t="shared" si="290"/>
        <v>155639.0871</v>
      </c>
      <c r="I6202" s="37">
        <f t="shared" si="288"/>
        <v>155639.0871</v>
      </c>
      <c r="J6202" s="4"/>
      <c r="K6202" s="38">
        <f t="shared" si="289"/>
        <v>0</v>
      </c>
    </row>
    <row r="6203" spans="1:11">
      <c r="A6203" t="s">
        <v>2320</v>
      </c>
      <c r="B6203" t="s">
        <v>12674</v>
      </c>
      <c r="C6203" t="s">
        <v>7868</v>
      </c>
      <c r="D6203" t="s">
        <v>7331</v>
      </c>
      <c r="E6203">
        <v>247047.03</v>
      </c>
      <c r="G6203" s="35"/>
      <c r="H6203" s="36">
        <f t="shared" si="290"/>
        <v>155639.62890000001</v>
      </c>
      <c r="I6203" s="37">
        <f t="shared" si="288"/>
        <v>155639.62890000001</v>
      </c>
      <c r="J6203" s="4"/>
      <c r="K6203" s="38">
        <f t="shared" si="289"/>
        <v>0</v>
      </c>
    </row>
    <row r="6204" spans="1:11">
      <c r="A6204" t="s">
        <v>2321</v>
      </c>
      <c r="B6204" t="s">
        <v>12674</v>
      </c>
      <c r="C6204" t="s">
        <v>7868</v>
      </c>
      <c r="D6204" t="s">
        <v>7332</v>
      </c>
      <c r="E6204">
        <v>271751.95</v>
      </c>
      <c r="G6204" s="35"/>
      <c r="H6204" s="36">
        <f t="shared" si="290"/>
        <v>171203.7285</v>
      </c>
      <c r="I6204" s="37">
        <f t="shared" si="288"/>
        <v>171203.7285</v>
      </c>
      <c r="J6204" s="4"/>
      <c r="K6204" s="38">
        <f t="shared" si="289"/>
        <v>0</v>
      </c>
    </row>
    <row r="6205" spans="1:11">
      <c r="A6205" t="s">
        <v>2322</v>
      </c>
      <c r="B6205" t="s">
        <v>12674</v>
      </c>
      <c r="C6205" t="s">
        <v>7868</v>
      </c>
      <c r="D6205" t="s">
        <v>7869</v>
      </c>
      <c r="E6205">
        <v>329400.76</v>
      </c>
      <c r="G6205" s="35"/>
      <c r="H6205" s="36">
        <f t="shared" si="290"/>
        <v>207522.47880000001</v>
      </c>
      <c r="I6205" s="37">
        <f t="shared" si="288"/>
        <v>207522.47880000001</v>
      </c>
      <c r="J6205" s="4"/>
      <c r="K6205" s="38">
        <f t="shared" si="289"/>
        <v>0</v>
      </c>
    </row>
    <row r="6206" spans="1:11">
      <c r="A6206" t="s">
        <v>2323</v>
      </c>
      <c r="B6206" t="s">
        <v>12674</v>
      </c>
      <c r="C6206" t="s">
        <v>7868</v>
      </c>
      <c r="D6206" t="s">
        <v>7870</v>
      </c>
      <c r="E6206">
        <v>416720.96</v>
      </c>
      <c r="G6206" s="35"/>
      <c r="H6206" s="36">
        <f t="shared" si="290"/>
        <v>262534.20480000001</v>
      </c>
      <c r="I6206" s="37">
        <f t="shared" si="288"/>
        <v>262534.20480000001</v>
      </c>
      <c r="J6206" s="4"/>
      <c r="K6206" s="38">
        <f t="shared" si="289"/>
        <v>0</v>
      </c>
    </row>
    <row r="6207" spans="1:11">
      <c r="A6207" t="s">
        <v>2324</v>
      </c>
      <c r="B6207" t="s">
        <v>12674</v>
      </c>
      <c r="C6207" t="s">
        <v>7868</v>
      </c>
      <c r="D6207" t="s">
        <v>7871</v>
      </c>
      <c r="E6207">
        <v>247046.17</v>
      </c>
      <c r="G6207" s="35"/>
      <c r="H6207" s="36">
        <f t="shared" si="290"/>
        <v>155639.0871</v>
      </c>
      <c r="I6207" s="37">
        <f t="shared" si="288"/>
        <v>155639.0871</v>
      </c>
      <c r="J6207" s="4"/>
      <c r="K6207" s="38">
        <f t="shared" si="289"/>
        <v>0</v>
      </c>
    </row>
    <row r="6208" spans="1:11">
      <c r="A6208" t="s">
        <v>2325</v>
      </c>
      <c r="B6208" t="s">
        <v>12674</v>
      </c>
      <c r="C6208" t="s">
        <v>7868</v>
      </c>
      <c r="D6208" t="s">
        <v>7872</v>
      </c>
      <c r="E6208">
        <v>271751.95</v>
      </c>
      <c r="G6208" s="35"/>
      <c r="H6208" s="36">
        <f t="shared" si="290"/>
        <v>171203.7285</v>
      </c>
      <c r="I6208" s="37">
        <f t="shared" si="288"/>
        <v>171203.7285</v>
      </c>
      <c r="J6208" s="4"/>
      <c r="K6208" s="38">
        <f t="shared" si="289"/>
        <v>0</v>
      </c>
    </row>
    <row r="6209" spans="1:11">
      <c r="A6209" t="s">
        <v>2326</v>
      </c>
      <c r="B6209" t="s">
        <v>12674</v>
      </c>
      <c r="C6209" t="s">
        <v>7868</v>
      </c>
      <c r="D6209" t="s">
        <v>7325</v>
      </c>
      <c r="E6209">
        <v>247046.38</v>
      </c>
      <c r="G6209" s="35"/>
      <c r="H6209" s="36">
        <f t="shared" si="290"/>
        <v>155639.2194</v>
      </c>
      <c r="I6209" s="37">
        <f t="shared" si="288"/>
        <v>155639.2194</v>
      </c>
      <c r="J6209" s="4"/>
      <c r="K6209" s="38">
        <f t="shared" si="289"/>
        <v>0</v>
      </c>
    </row>
    <row r="6210" spans="1:11">
      <c r="A6210" t="s">
        <v>2327</v>
      </c>
      <c r="B6210" t="s">
        <v>12674</v>
      </c>
      <c r="C6210" t="s">
        <v>7868</v>
      </c>
      <c r="D6210" t="s">
        <v>7326</v>
      </c>
      <c r="E6210">
        <v>271751.28000000003</v>
      </c>
      <c r="G6210" s="35"/>
      <c r="H6210" s="36">
        <f t="shared" si="290"/>
        <v>171203.30640000003</v>
      </c>
      <c r="I6210" s="37">
        <f t="shared" si="288"/>
        <v>171203.30640000003</v>
      </c>
      <c r="J6210" s="4"/>
      <c r="K6210" s="38">
        <f t="shared" si="289"/>
        <v>0</v>
      </c>
    </row>
    <row r="6211" spans="1:11">
      <c r="A6211" t="s">
        <v>2328</v>
      </c>
      <c r="B6211" t="s">
        <v>12674</v>
      </c>
      <c r="C6211" t="s">
        <v>7868</v>
      </c>
      <c r="D6211" t="s">
        <v>7873</v>
      </c>
      <c r="E6211">
        <v>329421.56</v>
      </c>
      <c r="G6211" s="35"/>
      <c r="H6211" s="36">
        <f t="shared" si="290"/>
        <v>207535.5828</v>
      </c>
      <c r="I6211" s="37">
        <f t="shared" si="288"/>
        <v>207535.5828</v>
      </c>
      <c r="J6211" s="4"/>
      <c r="K6211" s="38">
        <f t="shared" si="289"/>
        <v>0</v>
      </c>
    </row>
    <row r="6212" spans="1:11">
      <c r="A6212" t="s">
        <v>2329</v>
      </c>
      <c r="B6212" t="s">
        <v>12674</v>
      </c>
      <c r="C6212" t="s">
        <v>7868</v>
      </c>
      <c r="D6212" t="s">
        <v>7874</v>
      </c>
      <c r="E6212">
        <v>416719.72</v>
      </c>
      <c r="G6212" s="35"/>
      <c r="H6212" s="36">
        <f t="shared" si="290"/>
        <v>262533.42359999998</v>
      </c>
      <c r="I6212" s="37">
        <f t="shared" si="288"/>
        <v>262533.42359999998</v>
      </c>
      <c r="J6212" s="4"/>
      <c r="K6212" s="38">
        <f t="shared" si="289"/>
        <v>0</v>
      </c>
    </row>
    <row r="6213" spans="1:11">
      <c r="A6213" t="s">
        <v>2330</v>
      </c>
      <c r="B6213" t="s">
        <v>12674</v>
      </c>
      <c r="C6213" t="s">
        <v>7868</v>
      </c>
      <c r="D6213" t="s">
        <v>7875</v>
      </c>
      <c r="E6213">
        <v>215794.57</v>
      </c>
      <c r="G6213" s="35"/>
      <c r="H6213" s="36">
        <f t="shared" si="290"/>
        <v>135950.5791</v>
      </c>
      <c r="I6213" s="37">
        <f t="shared" si="288"/>
        <v>135950.5791</v>
      </c>
      <c r="J6213" s="4"/>
      <c r="K6213" s="38">
        <f t="shared" si="289"/>
        <v>0</v>
      </c>
    </row>
    <row r="6214" spans="1:11">
      <c r="A6214" t="s">
        <v>2331</v>
      </c>
      <c r="B6214" t="s">
        <v>12674</v>
      </c>
      <c r="C6214" t="s">
        <v>7868</v>
      </c>
      <c r="D6214" t="s">
        <v>7876</v>
      </c>
      <c r="E6214">
        <v>237374.66</v>
      </c>
      <c r="G6214" s="35"/>
      <c r="H6214" s="36">
        <f t="shared" si="290"/>
        <v>149546.03580000001</v>
      </c>
      <c r="I6214" s="37">
        <f t="shared" ref="I6214:I6277" si="291">H6214*$H$4</f>
        <v>149546.03580000001</v>
      </c>
      <c r="J6214" s="4"/>
      <c r="K6214" s="38">
        <f t="shared" ref="K6214:K6277" si="292">J6214*I6214</f>
        <v>0</v>
      </c>
    </row>
    <row r="6215" spans="1:11">
      <c r="A6215" t="s">
        <v>2332</v>
      </c>
      <c r="B6215" t="s">
        <v>12674</v>
      </c>
      <c r="C6215" t="s">
        <v>7868</v>
      </c>
      <c r="D6215" t="s">
        <v>7877</v>
      </c>
      <c r="E6215">
        <v>293105.90999999997</v>
      </c>
      <c r="G6215" s="35"/>
      <c r="H6215" s="36">
        <f t="shared" ref="H6215:H6278" si="293">+E6215*$H$1*(1-G6215)</f>
        <v>184656.72329999998</v>
      </c>
      <c r="I6215" s="37">
        <f t="shared" si="291"/>
        <v>184656.72329999998</v>
      </c>
      <c r="J6215" s="4"/>
      <c r="K6215" s="38">
        <f t="shared" si="292"/>
        <v>0</v>
      </c>
    </row>
    <row r="6216" spans="1:11">
      <c r="A6216" t="s">
        <v>1782</v>
      </c>
      <c r="B6216" t="s">
        <v>12674</v>
      </c>
      <c r="C6216" t="s">
        <v>7380</v>
      </c>
      <c r="D6216" t="s">
        <v>7381</v>
      </c>
      <c r="E6216">
        <v>108125.73</v>
      </c>
      <c r="G6216" s="35"/>
      <c r="H6216" s="36">
        <f t="shared" si="293"/>
        <v>68119.209900000002</v>
      </c>
      <c r="I6216" s="37">
        <f t="shared" si="291"/>
        <v>68119.209900000002</v>
      </c>
      <c r="J6216" s="4"/>
      <c r="K6216" s="38">
        <f t="shared" si="292"/>
        <v>0</v>
      </c>
    </row>
    <row r="6217" spans="1:11">
      <c r="A6217" t="s">
        <v>1783</v>
      </c>
      <c r="B6217" t="s">
        <v>12674</v>
      </c>
      <c r="C6217" t="s">
        <v>7380</v>
      </c>
      <c r="D6217" t="s">
        <v>7382</v>
      </c>
      <c r="E6217">
        <v>108125.73</v>
      </c>
      <c r="G6217" s="35"/>
      <c r="H6217" s="36">
        <f t="shared" si="293"/>
        <v>68119.209900000002</v>
      </c>
      <c r="I6217" s="37">
        <f t="shared" si="291"/>
        <v>68119.209900000002</v>
      </c>
      <c r="J6217" s="4"/>
      <c r="K6217" s="38">
        <f t="shared" si="292"/>
        <v>0</v>
      </c>
    </row>
    <row r="6218" spans="1:11">
      <c r="A6218" t="s">
        <v>1784</v>
      </c>
      <c r="B6218" t="s">
        <v>12674</v>
      </c>
      <c r="C6218" t="s">
        <v>7380</v>
      </c>
      <c r="D6218" t="s">
        <v>7383</v>
      </c>
      <c r="E6218">
        <v>132005.49</v>
      </c>
      <c r="G6218" s="35"/>
      <c r="H6218" s="36">
        <f t="shared" si="293"/>
        <v>83163.458699999988</v>
      </c>
      <c r="I6218" s="37">
        <f t="shared" si="291"/>
        <v>83163.458699999988</v>
      </c>
      <c r="J6218" s="4"/>
      <c r="K6218" s="38">
        <f t="shared" si="292"/>
        <v>0</v>
      </c>
    </row>
    <row r="6219" spans="1:11">
      <c r="A6219" t="s">
        <v>1785</v>
      </c>
      <c r="B6219" t="s">
        <v>12674</v>
      </c>
      <c r="C6219" t="s">
        <v>7380</v>
      </c>
      <c r="D6219" t="s">
        <v>7384</v>
      </c>
      <c r="E6219">
        <v>160334.73000000001</v>
      </c>
      <c r="G6219" s="35"/>
      <c r="H6219" s="36">
        <f t="shared" si="293"/>
        <v>101010.87990000001</v>
      </c>
      <c r="I6219" s="37">
        <f t="shared" si="291"/>
        <v>101010.87990000001</v>
      </c>
      <c r="J6219" s="4"/>
      <c r="K6219" s="38">
        <f t="shared" si="292"/>
        <v>0</v>
      </c>
    </row>
    <row r="6220" spans="1:11">
      <c r="A6220" t="s">
        <v>1752</v>
      </c>
      <c r="B6220" t="s">
        <v>12674</v>
      </c>
      <c r="C6220" t="s">
        <v>7347</v>
      </c>
      <c r="D6220" t="s">
        <v>7348</v>
      </c>
      <c r="E6220">
        <v>122931.58</v>
      </c>
      <c r="G6220" s="35"/>
      <c r="H6220" s="36">
        <f t="shared" si="293"/>
        <v>77446.895400000009</v>
      </c>
      <c r="I6220" s="37">
        <f t="shared" si="291"/>
        <v>77446.895400000009</v>
      </c>
      <c r="J6220" s="4"/>
      <c r="K6220" s="38">
        <f t="shared" si="292"/>
        <v>0</v>
      </c>
    </row>
    <row r="6221" spans="1:11">
      <c r="A6221" t="s">
        <v>1753</v>
      </c>
      <c r="B6221" t="s">
        <v>12674</v>
      </c>
      <c r="C6221" t="s">
        <v>7347</v>
      </c>
      <c r="D6221" t="s">
        <v>7349</v>
      </c>
      <c r="E6221">
        <v>151630.96</v>
      </c>
      <c r="G6221" s="35"/>
      <c r="H6221" s="36">
        <f t="shared" si="293"/>
        <v>95527.504799999995</v>
      </c>
      <c r="I6221" s="37">
        <f t="shared" si="291"/>
        <v>95527.504799999995</v>
      </c>
      <c r="J6221" s="4"/>
      <c r="K6221" s="38">
        <f t="shared" si="292"/>
        <v>0</v>
      </c>
    </row>
    <row r="6222" spans="1:11">
      <c r="A6222" t="s">
        <v>1754</v>
      </c>
      <c r="B6222" t="s">
        <v>12674</v>
      </c>
      <c r="C6222" t="s">
        <v>7347</v>
      </c>
      <c r="D6222" t="s">
        <v>7350</v>
      </c>
      <c r="E6222">
        <v>182798.8</v>
      </c>
      <c r="G6222" s="35"/>
      <c r="H6222" s="36">
        <f t="shared" si="293"/>
        <v>115163.24399999999</v>
      </c>
      <c r="I6222" s="37">
        <f t="shared" si="291"/>
        <v>115163.24399999999</v>
      </c>
      <c r="J6222" s="4"/>
      <c r="K6222" s="38">
        <f t="shared" si="292"/>
        <v>0</v>
      </c>
    </row>
    <row r="6223" spans="1:11">
      <c r="A6223" t="s">
        <v>1755</v>
      </c>
      <c r="B6223" t="s">
        <v>12674</v>
      </c>
      <c r="C6223" t="s">
        <v>7347</v>
      </c>
      <c r="D6223" t="s">
        <v>7351</v>
      </c>
      <c r="E6223">
        <v>159377.10999999999</v>
      </c>
      <c r="G6223" s="35"/>
      <c r="H6223" s="36">
        <f t="shared" si="293"/>
        <v>100407.5793</v>
      </c>
      <c r="I6223" s="37">
        <f t="shared" si="291"/>
        <v>100407.5793</v>
      </c>
      <c r="J6223" s="4"/>
      <c r="K6223" s="38">
        <f t="shared" si="292"/>
        <v>0</v>
      </c>
    </row>
    <row r="6224" spans="1:11">
      <c r="A6224" t="s">
        <v>1756</v>
      </c>
      <c r="B6224" t="s">
        <v>12674</v>
      </c>
      <c r="C6224" t="s">
        <v>7347</v>
      </c>
      <c r="D6224" t="s">
        <v>7352</v>
      </c>
      <c r="E6224">
        <v>191582.4</v>
      </c>
      <c r="G6224" s="35"/>
      <c r="H6224" s="36">
        <f t="shared" si="293"/>
        <v>120696.912</v>
      </c>
      <c r="I6224" s="37">
        <f t="shared" si="291"/>
        <v>120696.912</v>
      </c>
      <c r="J6224" s="4"/>
      <c r="K6224" s="38">
        <f t="shared" si="292"/>
        <v>0</v>
      </c>
    </row>
    <row r="6225" spans="1:11">
      <c r="A6225" t="s">
        <v>2404</v>
      </c>
      <c r="B6225" t="s">
        <v>12674</v>
      </c>
      <c r="C6225" t="s">
        <v>7926</v>
      </c>
      <c r="D6225" t="s">
        <v>7054</v>
      </c>
      <c r="E6225">
        <v>94552.67</v>
      </c>
      <c r="G6225" s="35"/>
      <c r="H6225" s="36">
        <f t="shared" si="293"/>
        <v>59568.182099999998</v>
      </c>
      <c r="I6225" s="37">
        <f t="shared" si="291"/>
        <v>59568.182099999998</v>
      </c>
      <c r="J6225" s="4"/>
      <c r="K6225" s="38">
        <f t="shared" si="292"/>
        <v>0</v>
      </c>
    </row>
    <row r="6226" spans="1:11">
      <c r="A6226" t="s">
        <v>2405</v>
      </c>
      <c r="B6226" t="s">
        <v>12674</v>
      </c>
      <c r="C6226" t="s">
        <v>7926</v>
      </c>
      <c r="D6226" t="s">
        <v>7055</v>
      </c>
      <c r="E6226">
        <v>122137.64</v>
      </c>
      <c r="G6226" s="35"/>
      <c r="H6226" s="36">
        <f t="shared" si="293"/>
        <v>76946.713199999998</v>
      </c>
      <c r="I6226" s="37">
        <f t="shared" si="291"/>
        <v>76946.713199999998</v>
      </c>
      <c r="J6226" s="4"/>
      <c r="K6226" s="38">
        <f t="shared" si="292"/>
        <v>0</v>
      </c>
    </row>
    <row r="6227" spans="1:11">
      <c r="A6227" t="s">
        <v>2406</v>
      </c>
      <c r="B6227" t="s">
        <v>12674</v>
      </c>
      <c r="C6227" t="s">
        <v>7926</v>
      </c>
      <c r="D6227" t="s">
        <v>7836</v>
      </c>
      <c r="E6227">
        <v>137107.37</v>
      </c>
      <c r="G6227" s="35"/>
      <c r="H6227" s="36">
        <f t="shared" si="293"/>
        <v>86377.643100000001</v>
      </c>
      <c r="I6227" s="37">
        <f t="shared" si="291"/>
        <v>86377.643100000001</v>
      </c>
      <c r="J6227" s="4"/>
      <c r="K6227" s="38">
        <f t="shared" si="292"/>
        <v>0</v>
      </c>
    </row>
    <row r="6228" spans="1:11">
      <c r="A6228" t="s">
        <v>2407</v>
      </c>
      <c r="B6228" t="s">
        <v>12674</v>
      </c>
      <c r="C6228" t="s">
        <v>7926</v>
      </c>
      <c r="D6228" t="s">
        <v>7858</v>
      </c>
      <c r="E6228">
        <v>173450.99</v>
      </c>
      <c r="G6228" s="35"/>
      <c r="H6228" s="36">
        <f t="shared" si="293"/>
        <v>109274.1237</v>
      </c>
      <c r="I6228" s="37">
        <f t="shared" si="291"/>
        <v>109274.1237</v>
      </c>
      <c r="J6228" s="4"/>
      <c r="K6228" s="38">
        <f t="shared" si="292"/>
        <v>0</v>
      </c>
    </row>
    <row r="6229" spans="1:11">
      <c r="A6229" t="s">
        <v>2408</v>
      </c>
      <c r="B6229" t="s">
        <v>12674</v>
      </c>
      <c r="C6229" t="s">
        <v>7926</v>
      </c>
      <c r="D6229" t="s">
        <v>7839</v>
      </c>
      <c r="E6229">
        <v>104006.9</v>
      </c>
      <c r="G6229" s="35"/>
      <c r="H6229" s="36">
        <f t="shared" si="293"/>
        <v>65524.346999999994</v>
      </c>
      <c r="I6229" s="37">
        <f t="shared" si="291"/>
        <v>65524.346999999994</v>
      </c>
      <c r="J6229" s="4"/>
      <c r="K6229" s="38">
        <f t="shared" si="292"/>
        <v>0</v>
      </c>
    </row>
    <row r="6230" spans="1:11">
      <c r="A6230" t="s">
        <v>2267</v>
      </c>
      <c r="B6230" t="s">
        <v>12674</v>
      </c>
      <c r="C6230" t="s">
        <v>7826</v>
      </c>
      <c r="D6230" t="s">
        <v>7054</v>
      </c>
      <c r="E6230">
        <v>381897.71</v>
      </c>
      <c r="G6230" s="35"/>
      <c r="H6230" s="36">
        <f t="shared" si="293"/>
        <v>240595.55730000001</v>
      </c>
      <c r="I6230" s="37">
        <f t="shared" si="291"/>
        <v>240595.55730000001</v>
      </c>
      <c r="J6230" s="4"/>
      <c r="K6230" s="38">
        <f t="shared" si="292"/>
        <v>0</v>
      </c>
    </row>
    <row r="6231" spans="1:11">
      <c r="A6231" t="s">
        <v>2268</v>
      </c>
      <c r="B6231" t="s">
        <v>12674</v>
      </c>
      <c r="C6231" t="s">
        <v>7826</v>
      </c>
      <c r="D6231" t="s">
        <v>7055</v>
      </c>
      <c r="E6231">
        <v>381897.71</v>
      </c>
      <c r="G6231" s="35"/>
      <c r="H6231" s="36">
        <f t="shared" si="293"/>
        <v>240595.55730000001</v>
      </c>
      <c r="I6231" s="37">
        <f t="shared" si="291"/>
        <v>240595.55730000001</v>
      </c>
      <c r="J6231" s="4"/>
      <c r="K6231" s="38">
        <f t="shared" si="292"/>
        <v>0</v>
      </c>
    </row>
    <row r="6232" spans="1:11">
      <c r="A6232" t="s">
        <v>2269</v>
      </c>
      <c r="B6232" t="s">
        <v>12674</v>
      </c>
      <c r="C6232" t="s">
        <v>7826</v>
      </c>
      <c r="D6232" t="s">
        <v>7827</v>
      </c>
      <c r="E6232">
        <v>509196.76</v>
      </c>
      <c r="G6232" s="35"/>
      <c r="H6232" s="36">
        <f t="shared" si="293"/>
        <v>320793.95880000002</v>
      </c>
      <c r="I6232" s="37">
        <f t="shared" si="291"/>
        <v>320793.95880000002</v>
      </c>
      <c r="J6232" s="4"/>
      <c r="K6232" s="38">
        <f t="shared" si="292"/>
        <v>0</v>
      </c>
    </row>
    <row r="6233" spans="1:11">
      <c r="A6233" t="s">
        <v>2378</v>
      </c>
      <c r="B6233" t="s">
        <v>12674</v>
      </c>
      <c r="C6233" t="s">
        <v>7911</v>
      </c>
      <c r="D6233" t="s">
        <v>7054</v>
      </c>
      <c r="E6233">
        <v>184679.49</v>
      </c>
      <c r="G6233" s="35"/>
      <c r="H6233" s="36">
        <f t="shared" si="293"/>
        <v>116348.0787</v>
      </c>
      <c r="I6233" s="37">
        <f t="shared" si="291"/>
        <v>116348.0787</v>
      </c>
      <c r="J6233" s="4"/>
      <c r="K6233" s="38">
        <f t="shared" si="292"/>
        <v>0</v>
      </c>
    </row>
    <row r="6234" spans="1:11">
      <c r="A6234" t="s">
        <v>2379</v>
      </c>
      <c r="B6234" t="s">
        <v>12674</v>
      </c>
      <c r="C6234" t="s">
        <v>7911</v>
      </c>
      <c r="D6234" t="s">
        <v>7055</v>
      </c>
      <c r="E6234">
        <v>216686.8</v>
      </c>
      <c r="G6234" s="35"/>
      <c r="H6234" s="36">
        <f t="shared" si="293"/>
        <v>136512.68399999998</v>
      </c>
      <c r="I6234" s="37">
        <f t="shared" si="291"/>
        <v>136512.68399999998</v>
      </c>
      <c r="J6234" s="4"/>
      <c r="K6234" s="38">
        <f t="shared" si="292"/>
        <v>0</v>
      </c>
    </row>
    <row r="6235" spans="1:11">
      <c r="A6235" t="s">
        <v>2380</v>
      </c>
      <c r="B6235" t="s">
        <v>12674</v>
      </c>
      <c r="C6235" t="s">
        <v>7911</v>
      </c>
      <c r="D6235" t="s">
        <v>7857</v>
      </c>
      <c r="E6235">
        <v>233933.89</v>
      </c>
      <c r="G6235" s="35"/>
      <c r="H6235" s="36">
        <f t="shared" si="293"/>
        <v>147378.35070000001</v>
      </c>
      <c r="I6235" s="37">
        <f t="shared" si="291"/>
        <v>147378.35070000001</v>
      </c>
      <c r="J6235" s="4"/>
      <c r="K6235" s="38">
        <f t="shared" si="292"/>
        <v>0</v>
      </c>
    </row>
    <row r="6236" spans="1:11">
      <c r="A6236" t="s">
        <v>2381</v>
      </c>
      <c r="B6236" t="s">
        <v>12674</v>
      </c>
      <c r="C6236" t="s">
        <v>7911</v>
      </c>
      <c r="D6236" t="s">
        <v>7246</v>
      </c>
      <c r="E6236">
        <v>184679.49</v>
      </c>
      <c r="G6236" s="35"/>
      <c r="H6236" s="36">
        <f t="shared" si="293"/>
        <v>116348.0787</v>
      </c>
      <c r="I6236" s="37">
        <f t="shared" si="291"/>
        <v>116348.0787</v>
      </c>
      <c r="J6236" s="4"/>
      <c r="K6236" s="38">
        <f t="shared" si="292"/>
        <v>0</v>
      </c>
    </row>
    <row r="6237" spans="1:11">
      <c r="A6237" t="s">
        <v>2382</v>
      </c>
      <c r="B6237" t="s">
        <v>12674</v>
      </c>
      <c r="C6237" t="s">
        <v>7911</v>
      </c>
      <c r="D6237" t="s">
        <v>7858</v>
      </c>
      <c r="E6237">
        <v>295950.68</v>
      </c>
      <c r="G6237" s="35"/>
      <c r="H6237" s="36">
        <f t="shared" si="293"/>
        <v>186448.9284</v>
      </c>
      <c r="I6237" s="37">
        <f t="shared" si="291"/>
        <v>186448.9284</v>
      </c>
      <c r="J6237" s="4"/>
      <c r="K6237" s="38">
        <f t="shared" si="292"/>
        <v>0</v>
      </c>
    </row>
    <row r="6238" spans="1:11">
      <c r="A6238" t="s">
        <v>2383</v>
      </c>
      <c r="B6238" t="s">
        <v>12674</v>
      </c>
      <c r="C6238" t="s">
        <v>7911</v>
      </c>
      <c r="D6238" t="s">
        <v>7907</v>
      </c>
      <c r="E6238">
        <v>61559.83</v>
      </c>
      <c r="G6238" s="35"/>
      <c r="H6238" s="36">
        <f t="shared" si="293"/>
        <v>38782.692900000002</v>
      </c>
      <c r="I6238" s="37">
        <f t="shared" si="291"/>
        <v>38782.692900000002</v>
      </c>
      <c r="J6238" s="4"/>
      <c r="K6238" s="38">
        <f t="shared" si="292"/>
        <v>0</v>
      </c>
    </row>
    <row r="6239" spans="1:11">
      <c r="A6239" t="s">
        <v>2384</v>
      </c>
      <c r="B6239" t="s">
        <v>12674</v>
      </c>
      <c r="C6239" t="s">
        <v>7911</v>
      </c>
      <c r="D6239" t="s">
        <v>7839</v>
      </c>
      <c r="E6239">
        <v>203148.06</v>
      </c>
      <c r="G6239" s="35"/>
      <c r="H6239" s="36">
        <f t="shared" si="293"/>
        <v>127983.2778</v>
      </c>
      <c r="I6239" s="37">
        <f t="shared" si="291"/>
        <v>127983.2778</v>
      </c>
      <c r="J6239" s="4"/>
      <c r="K6239" s="38">
        <f t="shared" si="292"/>
        <v>0</v>
      </c>
    </row>
    <row r="6240" spans="1:11">
      <c r="A6240" t="s">
        <v>1797</v>
      </c>
      <c r="B6240" t="s">
        <v>12674</v>
      </c>
      <c r="C6240" t="s">
        <v>7083</v>
      </c>
      <c r="D6240" t="s">
        <v>7399</v>
      </c>
      <c r="E6240">
        <v>103638.35</v>
      </c>
      <c r="G6240" s="35"/>
      <c r="H6240" s="36">
        <f t="shared" si="293"/>
        <v>65292.160500000005</v>
      </c>
      <c r="I6240" s="37">
        <f t="shared" si="291"/>
        <v>65292.160500000005</v>
      </c>
      <c r="J6240" s="4"/>
      <c r="K6240" s="38">
        <f t="shared" si="292"/>
        <v>0</v>
      </c>
    </row>
    <row r="6241" spans="1:11">
      <c r="A6241" t="s">
        <v>1798</v>
      </c>
      <c r="B6241" t="s">
        <v>12674</v>
      </c>
      <c r="C6241" t="s">
        <v>7083</v>
      </c>
      <c r="D6241" t="s">
        <v>7400</v>
      </c>
      <c r="E6241">
        <v>103638.35</v>
      </c>
      <c r="G6241" s="35"/>
      <c r="H6241" s="36">
        <f t="shared" si="293"/>
        <v>65292.160500000005</v>
      </c>
      <c r="I6241" s="37">
        <f t="shared" si="291"/>
        <v>65292.160500000005</v>
      </c>
      <c r="J6241" s="4"/>
      <c r="K6241" s="38">
        <f t="shared" si="292"/>
        <v>0</v>
      </c>
    </row>
    <row r="6242" spans="1:11">
      <c r="A6242" t="s">
        <v>1799</v>
      </c>
      <c r="B6242" t="s">
        <v>12674</v>
      </c>
      <c r="C6242" t="s">
        <v>7083</v>
      </c>
      <c r="D6242" t="s">
        <v>7401</v>
      </c>
      <c r="E6242">
        <v>95237.06</v>
      </c>
      <c r="G6242" s="35"/>
      <c r="H6242" s="36">
        <f t="shared" si="293"/>
        <v>59999.347799999996</v>
      </c>
      <c r="I6242" s="37">
        <f t="shared" si="291"/>
        <v>59999.347799999996</v>
      </c>
      <c r="J6242" s="4"/>
      <c r="K6242" s="38">
        <f t="shared" si="292"/>
        <v>0</v>
      </c>
    </row>
    <row r="6243" spans="1:11">
      <c r="A6243" t="s">
        <v>1800</v>
      </c>
      <c r="B6243" t="s">
        <v>12674</v>
      </c>
      <c r="C6243" t="s">
        <v>7083</v>
      </c>
      <c r="D6243" t="s">
        <v>7402</v>
      </c>
      <c r="E6243">
        <v>74321.98</v>
      </c>
      <c r="G6243" s="35"/>
      <c r="H6243" s="36">
        <f t="shared" si="293"/>
        <v>46822.847399999999</v>
      </c>
      <c r="I6243" s="37">
        <f t="shared" si="291"/>
        <v>46822.847399999999</v>
      </c>
      <c r="J6243" s="4"/>
      <c r="K6243" s="38">
        <f t="shared" si="292"/>
        <v>0</v>
      </c>
    </row>
    <row r="6244" spans="1:11">
      <c r="A6244" t="s">
        <v>1801</v>
      </c>
      <c r="B6244" t="s">
        <v>12674</v>
      </c>
      <c r="C6244" t="s">
        <v>7083</v>
      </c>
      <c r="D6244" t="s">
        <v>7403</v>
      </c>
      <c r="E6244">
        <v>87410.98</v>
      </c>
      <c r="G6244" s="35"/>
      <c r="H6244" s="36">
        <f t="shared" si="293"/>
        <v>55068.917399999998</v>
      </c>
      <c r="I6244" s="37">
        <f t="shared" si="291"/>
        <v>55068.917399999998</v>
      </c>
      <c r="J6244" s="4"/>
      <c r="K6244" s="38">
        <f t="shared" si="292"/>
        <v>0</v>
      </c>
    </row>
    <row r="6245" spans="1:11">
      <c r="A6245" t="s">
        <v>1802</v>
      </c>
      <c r="B6245" t="s">
        <v>12674</v>
      </c>
      <c r="C6245" t="s">
        <v>7083</v>
      </c>
      <c r="D6245" t="s">
        <v>7404</v>
      </c>
      <c r="E6245">
        <v>86192.42</v>
      </c>
      <c r="G6245" s="35"/>
      <c r="H6245" s="36">
        <f t="shared" si="293"/>
        <v>54301.224600000001</v>
      </c>
      <c r="I6245" s="37">
        <f t="shared" si="291"/>
        <v>54301.224600000001</v>
      </c>
      <c r="J6245" s="4"/>
      <c r="K6245" s="38">
        <f t="shared" si="292"/>
        <v>0</v>
      </c>
    </row>
    <row r="6246" spans="1:11">
      <c r="A6246" t="s">
        <v>1803</v>
      </c>
      <c r="B6246" t="s">
        <v>12674</v>
      </c>
      <c r="C6246" t="s">
        <v>7083</v>
      </c>
      <c r="D6246" t="s">
        <v>7405</v>
      </c>
      <c r="E6246">
        <v>65919.58</v>
      </c>
      <c r="G6246" s="35"/>
      <c r="H6246" s="36">
        <f t="shared" si="293"/>
        <v>41529.335400000004</v>
      </c>
      <c r="I6246" s="37">
        <f t="shared" si="291"/>
        <v>41529.335400000004</v>
      </c>
      <c r="J6246" s="4"/>
      <c r="K6246" s="38">
        <f t="shared" si="292"/>
        <v>0</v>
      </c>
    </row>
    <row r="6247" spans="1:11">
      <c r="A6247" t="s">
        <v>1804</v>
      </c>
      <c r="B6247" t="s">
        <v>12674</v>
      </c>
      <c r="C6247" t="s">
        <v>7083</v>
      </c>
      <c r="D6247" t="s">
        <v>7406</v>
      </c>
      <c r="E6247">
        <v>77211.37</v>
      </c>
      <c r="G6247" s="35"/>
      <c r="H6247" s="36">
        <f t="shared" si="293"/>
        <v>48643.163099999998</v>
      </c>
      <c r="I6247" s="37">
        <f t="shared" si="291"/>
        <v>48643.163099999998</v>
      </c>
      <c r="J6247" s="4"/>
      <c r="K6247" s="38">
        <f t="shared" si="292"/>
        <v>0</v>
      </c>
    </row>
    <row r="6248" spans="1:11">
      <c r="A6248" t="s">
        <v>1805</v>
      </c>
      <c r="B6248" t="s">
        <v>12674</v>
      </c>
      <c r="C6248" t="s">
        <v>7083</v>
      </c>
      <c r="D6248" t="s">
        <v>7407</v>
      </c>
      <c r="E6248">
        <v>77572.38</v>
      </c>
      <c r="G6248" s="35"/>
      <c r="H6248" s="36">
        <f t="shared" si="293"/>
        <v>48870.599400000006</v>
      </c>
      <c r="I6248" s="37">
        <f t="shared" si="291"/>
        <v>48870.599400000006</v>
      </c>
      <c r="J6248" s="4"/>
      <c r="K6248" s="38">
        <f t="shared" si="292"/>
        <v>0</v>
      </c>
    </row>
    <row r="6249" spans="1:11">
      <c r="A6249" t="s">
        <v>1806</v>
      </c>
      <c r="B6249" t="s">
        <v>12674</v>
      </c>
      <c r="C6249" t="s">
        <v>7083</v>
      </c>
      <c r="D6249" t="s">
        <v>7408</v>
      </c>
      <c r="E6249">
        <v>66813.929999999993</v>
      </c>
      <c r="G6249" s="35"/>
      <c r="H6249" s="36">
        <f t="shared" si="293"/>
        <v>42092.775899999993</v>
      </c>
      <c r="I6249" s="37">
        <f t="shared" si="291"/>
        <v>42092.775899999993</v>
      </c>
      <c r="J6249" s="4"/>
      <c r="K6249" s="38">
        <f t="shared" si="292"/>
        <v>0</v>
      </c>
    </row>
    <row r="6250" spans="1:11">
      <c r="A6250" t="s">
        <v>1807</v>
      </c>
      <c r="B6250" t="s">
        <v>12674</v>
      </c>
      <c r="C6250" t="s">
        <v>7083</v>
      </c>
      <c r="D6250" t="s">
        <v>7409</v>
      </c>
      <c r="E6250">
        <v>68127.95</v>
      </c>
      <c r="G6250" s="35"/>
      <c r="H6250" s="36">
        <f t="shared" si="293"/>
        <v>42920.608500000002</v>
      </c>
      <c r="I6250" s="37">
        <f t="shared" si="291"/>
        <v>42920.608500000002</v>
      </c>
      <c r="J6250" s="4"/>
      <c r="K6250" s="38">
        <f t="shared" si="292"/>
        <v>0</v>
      </c>
    </row>
    <row r="6251" spans="1:11">
      <c r="A6251" t="s">
        <v>1808</v>
      </c>
      <c r="B6251" t="s">
        <v>12674</v>
      </c>
      <c r="C6251" t="s">
        <v>7083</v>
      </c>
      <c r="D6251" t="s">
        <v>7410</v>
      </c>
      <c r="E6251">
        <v>93396.04</v>
      </c>
      <c r="G6251" s="35"/>
      <c r="H6251" s="36">
        <f t="shared" si="293"/>
        <v>58839.5052</v>
      </c>
      <c r="I6251" s="37">
        <f t="shared" si="291"/>
        <v>58839.5052</v>
      </c>
      <c r="J6251" s="4"/>
      <c r="K6251" s="38">
        <f t="shared" si="292"/>
        <v>0</v>
      </c>
    </row>
    <row r="6252" spans="1:11">
      <c r="A6252" t="s">
        <v>1809</v>
      </c>
      <c r="B6252" t="s">
        <v>12674</v>
      </c>
      <c r="C6252" t="s">
        <v>7083</v>
      </c>
      <c r="D6252" t="s">
        <v>7411</v>
      </c>
      <c r="E6252">
        <v>77211.37</v>
      </c>
      <c r="G6252" s="35"/>
      <c r="H6252" s="36">
        <f t="shared" si="293"/>
        <v>48643.163099999998</v>
      </c>
      <c r="I6252" s="37">
        <f t="shared" si="291"/>
        <v>48643.163099999998</v>
      </c>
      <c r="J6252" s="4"/>
      <c r="K6252" s="38">
        <f t="shared" si="292"/>
        <v>0</v>
      </c>
    </row>
    <row r="6253" spans="1:11">
      <c r="A6253" t="s">
        <v>1810</v>
      </c>
      <c r="B6253" t="s">
        <v>12674</v>
      </c>
      <c r="C6253" t="s">
        <v>7083</v>
      </c>
      <c r="D6253" t="s">
        <v>7412</v>
      </c>
      <c r="E6253">
        <v>77572.38</v>
      </c>
      <c r="G6253" s="35"/>
      <c r="H6253" s="36">
        <f t="shared" si="293"/>
        <v>48870.599400000006</v>
      </c>
      <c r="I6253" s="37">
        <f t="shared" si="291"/>
        <v>48870.599400000006</v>
      </c>
      <c r="J6253" s="4"/>
      <c r="K6253" s="38">
        <f t="shared" si="292"/>
        <v>0</v>
      </c>
    </row>
    <row r="6254" spans="1:11">
      <c r="A6254" t="s">
        <v>1811</v>
      </c>
      <c r="B6254" t="s">
        <v>12674</v>
      </c>
      <c r="C6254" t="s">
        <v>7083</v>
      </c>
      <c r="D6254" t="s">
        <v>7413</v>
      </c>
      <c r="E6254">
        <v>68127.95</v>
      </c>
      <c r="G6254" s="35"/>
      <c r="H6254" s="36">
        <f t="shared" si="293"/>
        <v>42920.608500000002</v>
      </c>
      <c r="I6254" s="37">
        <f t="shared" si="291"/>
        <v>42920.608500000002</v>
      </c>
      <c r="J6254" s="4"/>
      <c r="K6254" s="38">
        <f t="shared" si="292"/>
        <v>0</v>
      </c>
    </row>
    <row r="6255" spans="1:11">
      <c r="A6255" t="s">
        <v>2387</v>
      </c>
      <c r="B6255" t="s">
        <v>12674</v>
      </c>
      <c r="C6255" t="s">
        <v>7915</v>
      </c>
      <c r="D6255" t="s">
        <v>7054</v>
      </c>
      <c r="E6255">
        <v>158345.39000000001</v>
      </c>
      <c r="G6255" s="35"/>
      <c r="H6255" s="36">
        <f t="shared" si="293"/>
        <v>99757.595700000005</v>
      </c>
      <c r="I6255" s="37">
        <f t="shared" si="291"/>
        <v>99757.595700000005</v>
      </c>
      <c r="J6255" s="4"/>
      <c r="K6255" s="38">
        <f t="shared" si="292"/>
        <v>0</v>
      </c>
    </row>
    <row r="6256" spans="1:11">
      <c r="A6256" t="s">
        <v>2388</v>
      </c>
      <c r="B6256" t="s">
        <v>12674</v>
      </c>
      <c r="C6256" t="s">
        <v>7915</v>
      </c>
      <c r="D6256" t="s">
        <v>7055</v>
      </c>
      <c r="E6256">
        <v>174179.68</v>
      </c>
      <c r="G6256" s="35"/>
      <c r="H6256" s="36">
        <f t="shared" si="293"/>
        <v>109733.19839999999</v>
      </c>
      <c r="I6256" s="37">
        <f t="shared" si="291"/>
        <v>109733.19839999999</v>
      </c>
      <c r="J6256" s="4"/>
      <c r="K6256" s="38">
        <f t="shared" si="292"/>
        <v>0</v>
      </c>
    </row>
    <row r="6257" spans="1:11">
      <c r="A6257" t="s">
        <v>2389</v>
      </c>
      <c r="B6257" t="s">
        <v>12674</v>
      </c>
      <c r="C6257" t="s">
        <v>7915</v>
      </c>
      <c r="D6257" t="s">
        <v>7836</v>
      </c>
      <c r="E6257">
        <v>211132.37</v>
      </c>
      <c r="G6257" s="35"/>
      <c r="H6257" s="36">
        <f t="shared" si="293"/>
        <v>133013.39309999999</v>
      </c>
      <c r="I6257" s="37">
        <f t="shared" si="291"/>
        <v>133013.39309999999</v>
      </c>
      <c r="J6257" s="4"/>
      <c r="K6257" s="38">
        <f t="shared" si="292"/>
        <v>0</v>
      </c>
    </row>
    <row r="6258" spans="1:11">
      <c r="A6258" t="s">
        <v>2390</v>
      </c>
      <c r="B6258" t="s">
        <v>12674</v>
      </c>
      <c r="C6258" t="s">
        <v>7915</v>
      </c>
      <c r="D6258" t="s">
        <v>7246</v>
      </c>
      <c r="E6258">
        <v>158345.63</v>
      </c>
      <c r="G6258" s="35"/>
      <c r="H6258" s="36">
        <f t="shared" si="293"/>
        <v>99757.746899999998</v>
      </c>
      <c r="I6258" s="37">
        <f t="shared" si="291"/>
        <v>99757.746899999998</v>
      </c>
      <c r="J6258" s="4"/>
      <c r="K6258" s="38">
        <f t="shared" si="292"/>
        <v>0</v>
      </c>
    </row>
    <row r="6259" spans="1:11">
      <c r="A6259" t="s">
        <v>2391</v>
      </c>
      <c r="B6259" t="s">
        <v>12674</v>
      </c>
      <c r="C6259" t="s">
        <v>7915</v>
      </c>
      <c r="D6259" t="s">
        <v>7858</v>
      </c>
      <c r="E6259">
        <v>267103.12</v>
      </c>
      <c r="G6259" s="35"/>
      <c r="H6259" s="36">
        <f t="shared" si="293"/>
        <v>168274.9656</v>
      </c>
      <c r="I6259" s="37">
        <f t="shared" si="291"/>
        <v>168274.9656</v>
      </c>
      <c r="J6259" s="4"/>
      <c r="K6259" s="38">
        <f t="shared" si="292"/>
        <v>0</v>
      </c>
    </row>
    <row r="6260" spans="1:11">
      <c r="A6260" t="s">
        <v>2392</v>
      </c>
      <c r="B6260" t="s">
        <v>12674</v>
      </c>
      <c r="C6260" t="s">
        <v>7915</v>
      </c>
      <c r="D6260" t="s">
        <v>7907</v>
      </c>
      <c r="E6260">
        <v>52781.65</v>
      </c>
      <c r="G6260" s="35"/>
      <c r="H6260" s="36">
        <f t="shared" si="293"/>
        <v>33252.4395</v>
      </c>
      <c r="I6260" s="37">
        <f t="shared" si="291"/>
        <v>33252.4395</v>
      </c>
      <c r="J6260" s="4"/>
      <c r="K6260" s="38">
        <f t="shared" si="292"/>
        <v>0</v>
      </c>
    </row>
    <row r="6261" spans="1:11">
      <c r="A6261" t="s">
        <v>2393</v>
      </c>
      <c r="B6261" t="s">
        <v>12674</v>
      </c>
      <c r="C6261" t="s">
        <v>7915</v>
      </c>
      <c r="D6261" t="s">
        <v>7839</v>
      </c>
      <c r="E6261">
        <v>174179.23</v>
      </c>
      <c r="G6261" s="35"/>
      <c r="H6261" s="36">
        <f t="shared" si="293"/>
        <v>109732.9149</v>
      </c>
      <c r="I6261" s="37">
        <f t="shared" si="291"/>
        <v>109732.9149</v>
      </c>
      <c r="J6261" s="4"/>
      <c r="K6261" s="38">
        <f t="shared" si="292"/>
        <v>0</v>
      </c>
    </row>
    <row r="6262" spans="1:11">
      <c r="A6262" t="s">
        <v>2394</v>
      </c>
      <c r="B6262" t="s">
        <v>12674</v>
      </c>
      <c r="C6262" t="s">
        <v>7915</v>
      </c>
      <c r="D6262" t="s">
        <v>7916</v>
      </c>
      <c r="E6262">
        <v>200320.89</v>
      </c>
      <c r="G6262" s="35"/>
      <c r="H6262" s="36">
        <f t="shared" si="293"/>
        <v>126202.16070000001</v>
      </c>
      <c r="I6262" s="37">
        <f t="shared" si="291"/>
        <v>126202.16070000001</v>
      </c>
      <c r="J6262" s="4"/>
      <c r="K6262" s="38">
        <f t="shared" si="292"/>
        <v>0</v>
      </c>
    </row>
    <row r="6263" spans="1:11">
      <c r="A6263" t="s">
        <v>2276</v>
      </c>
      <c r="B6263" t="s">
        <v>12674</v>
      </c>
      <c r="C6263" t="s">
        <v>7835</v>
      </c>
      <c r="D6263" t="s">
        <v>7054</v>
      </c>
      <c r="E6263">
        <v>412114.53</v>
      </c>
      <c r="G6263" s="35"/>
      <c r="H6263" s="36">
        <f t="shared" si="293"/>
        <v>259632.15390000003</v>
      </c>
      <c r="I6263" s="37">
        <f t="shared" si="291"/>
        <v>259632.15390000003</v>
      </c>
      <c r="J6263" s="4"/>
      <c r="K6263" s="38">
        <f t="shared" si="292"/>
        <v>0</v>
      </c>
    </row>
    <row r="6264" spans="1:11">
      <c r="A6264" t="s">
        <v>2277</v>
      </c>
      <c r="B6264" t="s">
        <v>12674</v>
      </c>
      <c r="C6264" t="s">
        <v>7835</v>
      </c>
      <c r="D6264" t="s">
        <v>7055</v>
      </c>
      <c r="E6264">
        <v>412114.53</v>
      </c>
      <c r="G6264" s="35"/>
      <c r="H6264" s="36">
        <f t="shared" si="293"/>
        <v>259632.15390000003</v>
      </c>
      <c r="I6264" s="37">
        <f t="shared" si="291"/>
        <v>259632.15390000003</v>
      </c>
      <c r="J6264" s="4"/>
      <c r="K6264" s="38">
        <f t="shared" si="292"/>
        <v>0</v>
      </c>
    </row>
    <row r="6265" spans="1:11">
      <c r="A6265" t="s">
        <v>2278</v>
      </c>
      <c r="B6265" t="s">
        <v>12674</v>
      </c>
      <c r="C6265" t="s">
        <v>7835</v>
      </c>
      <c r="D6265" t="s">
        <v>7836</v>
      </c>
      <c r="E6265">
        <v>549486.02</v>
      </c>
      <c r="G6265" s="35"/>
      <c r="H6265" s="36">
        <f t="shared" si="293"/>
        <v>346176.19260000001</v>
      </c>
      <c r="I6265" s="37">
        <f t="shared" si="291"/>
        <v>346176.19260000001</v>
      </c>
      <c r="J6265" s="4"/>
      <c r="K6265" s="38">
        <f t="shared" si="292"/>
        <v>0</v>
      </c>
    </row>
    <row r="6266" spans="1:11">
      <c r="A6266" t="s">
        <v>2308</v>
      </c>
      <c r="B6266" t="s">
        <v>12674</v>
      </c>
      <c r="C6266" t="s">
        <v>7862</v>
      </c>
      <c r="D6266" t="s">
        <v>7054</v>
      </c>
      <c r="E6266">
        <v>125185.08</v>
      </c>
      <c r="G6266" s="35"/>
      <c r="H6266" s="36">
        <f t="shared" si="293"/>
        <v>78866.600399999996</v>
      </c>
      <c r="I6266" s="37">
        <f t="shared" si="291"/>
        <v>78866.600399999996</v>
      </c>
      <c r="J6266" s="4"/>
      <c r="K6266" s="38">
        <f t="shared" si="292"/>
        <v>0</v>
      </c>
    </row>
    <row r="6267" spans="1:11">
      <c r="A6267" t="s">
        <v>2309</v>
      </c>
      <c r="B6267" t="s">
        <v>12674</v>
      </c>
      <c r="C6267" t="s">
        <v>7862</v>
      </c>
      <c r="D6267" t="s">
        <v>7055</v>
      </c>
      <c r="E6267">
        <v>137704.10999999999</v>
      </c>
      <c r="G6267" s="35"/>
      <c r="H6267" s="36">
        <f t="shared" si="293"/>
        <v>86753.589299999992</v>
      </c>
      <c r="I6267" s="37">
        <f t="shared" si="291"/>
        <v>86753.589299999992</v>
      </c>
      <c r="J6267" s="4"/>
      <c r="K6267" s="38">
        <f t="shared" si="292"/>
        <v>0</v>
      </c>
    </row>
    <row r="6268" spans="1:11">
      <c r="A6268" t="s">
        <v>2310</v>
      </c>
      <c r="B6268" t="s">
        <v>12674</v>
      </c>
      <c r="C6268" t="s">
        <v>7862</v>
      </c>
      <c r="D6268" t="s">
        <v>7857</v>
      </c>
      <c r="E6268">
        <v>166919.44</v>
      </c>
      <c r="G6268" s="35"/>
      <c r="H6268" s="36">
        <f t="shared" si="293"/>
        <v>105159.2472</v>
      </c>
      <c r="I6268" s="37">
        <f t="shared" si="291"/>
        <v>105159.2472</v>
      </c>
      <c r="J6268" s="4"/>
      <c r="K6268" s="38">
        <f t="shared" si="292"/>
        <v>0</v>
      </c>
    </row>
    <row r="6269" spans="1:11">
      <c r="A6269" t="s">
        <v>2311</v>
      </c>
      <c r="B6269" t="s">
        <v>12674</v>
      </c>
      <c r="C6269" t="s">
        <v>7862</v>
      </c>
      <c r="D6269" t="s">
        <v>7246</v>
      </c>
      <c r="E6269">
        <v>125185.32</v>
      </c>
      <c r="G6269" s="35"/>
      <c r="H6269" s="36">
        <f t="shared" si="293"/>
        <v>78866.751600000003</v>
      </c>
      <c r="I6269" s="37">
        <f t="shared" si="291"/>
        <v>78866.751600000003</v>
      </c>
      <c r="J6269" s="4"/>
      <c r="K6269" s="38">
        <f t="shared" si="292"/>
        <v>0</v>
      </c>
    </row>
    <row r="6270" spans="1:11">
      <c r="A6270" t="s">
        <v>2312</v>
      </c>
      <c r="B6270" t="s">
        <v>12674</v>
      </c>
      <c r="C6270" t="s">
        <v>7862</v>
      </c>
      <c r="D6270" t="s">
        <v>7858</v>
      </c>
      <c r="E6270">
        <v>211168.38</v>
      </c>
      <c r="G6270" s="35"/>
      <c r="H6270" s="36">
        <f t="shared" si="293"/>
        <v>133036.07940000002</v>
      </c>
      <c r="I6270" s="37">
        <f t="shared" si="291"/>
        <v>133036.07940000002</v>
      </c>
      <c r="J6270" s="4"/>
      <c r="K6270" s="38">
        <f t="shared" si="292"/>
        <v>0</v>
      </c>
    </row>
    <row r="6271" spans="1:11">
      <c r="A6271" t="s">
        <v>2313</v>
      </c>
      <c r="B6271" t="s">
        <v>12674</v>
      </c>
      <c r="C6271" t="s">
        <v>7862</v>
      </c>
      <c r="D6271" t="s">
        <v>7839</v>
      </c>
      <c r="E6271">
        <v>137703.45000000001</v>
      </c>
      <c r="G6271" s="35"/>
      <c r="H6271" s="36">
        <f t="shared" si="293"/>
        <v>86753.173500000004</v>
      </c>
      <c r="I6271" s="37">
        <f t="shared" si="291"/>
        <v>86753.173500000004</v>
      </c>
      <c r="J6271" s="4"/>
      <c r="K6271" s="38">
        <f t="shared" si="292"/>
        <v>0</v>
      </c>
    </row>
    <row r="6272" spans="1:11">
      <c r="A6272" t="s">
        <v>2446</v>
      </c>
      <c r="B6272" t="s">
        <v>12674</v>
      </c>
      <c r="C6272" t="s">
        <v>7968</v>
      </c>
      <c r="D6272" t="s">
        <v>7969</v>
      </c>
      <c r="E6272">
        <v>1462028.32</v>
      </c>
      <c r="G6272" s="35"/>
      <c r="H6272" s="36">
        <f t="shared" si="293"/>
        <v>921077.84160000004</v>
      </c>
      <c r="I6272" s="37">
        <f t="shared" si="291"/>
        <v>921077.84160000004</v>
      </c>
      <c r="J6272" s="4"/>
      <c r="K6272" s="38">
        <f t="shared" si="292"/>
        <v>0</v>
      </c>
    </row>
    <row r="6273" spans="1:11">
      <c r="A6273" t="s">
        <v>2447</v>
      </c>
      <c r="B6273" t="s">
        <v>12674</v>
      </c>
      <c r="C6273" t="s">
        <v>7968</v>
      </c>
      <c r="D6273" t="s">
        <v>7970</v>
      </c>
      <c r="E6273">
        <v>435882.29</v>
      </c>
      <c r="G6273" s="35"/>
      <c r="H6273" s="36">
        <f t="shared" si="293"/>
        <v>274605.84269999998</v>
      </c>
      <c r="I6273" s="37">
        <f t="shared" si="291"/>
        <v>274605.84269999998</v>
      </c>
      <c r="J6273" s="4"/>
      <c r="K6273" s="38">
        <f t="shared" si="292"/>
        <v>0</v>
      </c>
    </row>
    <row r="6274" spans="1:11">
      <c r="A6274" t="s">
        <v>2282</v>
      </c>
      <c r="B6274" t="s">
        <v>12674</v>
      </c>
      <c r="C6274" t="s">
        <v>7838</v>
      </c>
      <c r="D6274" t="s">
        <v>7054</v>
      </c>
      <c r="E6274">
        <v>150364.81</v>
      </c>
      <c r="G6274" s="35"/>
      <c r="H6274" s="36">
        <f t="shared" si="293"/>
        <v>94729.830300000001</v>
      </c>
      <c r="I6274" s="37">
        <f t="shared" si="291"/>
        <v>94729.830300000001</v>
      </c>
      <c r="J6274" s="4"/>
      <c r="K6274" s="38">
        <f t="shared" si="292"/>
        <v>0</v>
      </c>
    </row>
    <row r="6275" spans="1:11">
      <c r="A6275" t="s">
        <v>2283</v>
      </c>
      <c r="B6275" t="s">
        <v>12674</v>
      </c>
      <c r="C6275" t="s">
        <v>7838</v>
      </c>
      <c r="D6275" t="s">
        <v>7055</v>
      </c>
      <c r="E6275">
        <v>171845.44</v>
      </c>
      <c r="G6275" s="35"/>
      <c r="H6275" s="36">
        <f t="shared" si="293"/>
        <v>108262.6272</v>
      </c>
      <c r="I6275" s="37">
        <f t="shared" si="291"/>
        <v>108262.6272</v>
      </c>
      <c r="J6275" s="4"/>
      <c r="K6275" s="38">
        <f t="shared" si="292"/>
        <v>0</v>
      </c>
    </row>
    <row r="6276" spans="1:11">
      <c r="A6276" t="s">
        <v>2284</v>
      </c>
      <c r="B6276" t="s">
        <v>12674</v>
      </c>
      <c r="C6276" t="s">
        <v>7838</v>
      </c>
      <c r="D6276" t="s">
        <v>7836</v>
      </c>
      <c r="E6276">
        <v>214806.74</v>
      </c>
      <c r="G6276" s="35"/>
      <c r="H6276" s="36">
        <f t="shared" si="293"/>
        <v>135328.24619999999</v>
      </c>
      <c r="I6276" s="37">
        <f t="shared" si="291"/>
        <v>135328.24619999999</v>
      </c>
      <c r="J6276" s="4"/>
      <c r="K6276" s="38">
        <f t="shared" si="292"/>
        <v>0</v>
      </c>
    </row>
    <row r="6277" spans="1:11">
      <c r="A6277" t="s">
        <v>2285</v>
      </c>
      <c r="B6277" t="s">
        <v>12674</v>
      </c>
      <c r="C6277" t="s">
        <v>7838</v>
      </c>
      <c r="D6277" t="s">
        <v>7246</v>
      </c>
      <c r="E6277">
        <v>150364.81</v>
      </c>
      <c r="G6277" s="35"/>
      <c r="H6277" s="36">
        <f t="shared" si="293"/>
        <v>94729.830300000001</v>
      </c>
      <c r="I6277" s="37">
        <f t="shared" si="291"/>
        <v>94729.830300000001</v>
      </c>
      <c r="J6277" s="4"/>
      <c r="K6277" s="38">
        <f t="shared" si="292"/>
        <v>0</v>
      </c>
    </row>
    <row r="6278" spans="1:11">
      <c r="A6278" t="s">
        <v>2286</v>
      </c>
      <c r="B6278" t="s">
        <v>12674</v>
      </c>
      <c r="C6278" t="s">
        <v>7838</v>
      </c>
      <c r="D6278" t="s">
        <v>7839</v>
      </c>
      <c r="E6278">
        <v>165400.81</v>
      </c>
      <c r="G6278" s="35"/>
      <c r="H6278" s="36">
        <f t="shared" si="293"/>
        <v>104202.51029999999</v>
      </c>
      <c r="I6278" s="37">
        <f t="shared" ref="I6278:I6312" si="294">H6278*$H$4</f>
        <v>104202.51029999999</v>
      </c>
      <c r="J6278" s="4"/>
      <c r="K6278" s="38">
        <f t="shared" ref="K6278:K6312" si="295">J6278*I6278</f>
        <v>0</v>
      </c>
    </row>
    <row r="6279" spans="1:11">
      <c r="A6279" t="s">
        <v>2287</v>
      </c>
      <c r="B6279" t="s">
        <v>12674</v>
      </c>
      <c r="C6279" t="s">
        <v>7838</v>
      </c>
      <c r="D6279" t="s">
        <v>7840</v>
      </c>
      <c r="E6279">
        <v>138631.73000000001</v>
      </c>
      <c r="G6279" s="35"/>
      <c r="H6279" s="36">
        <f t="shared" ref="H6279:H6342" si="296">+E6279*$H$1*(1-G6279)</f>
        <v>87337.9899</v>
      </c>
      <c r="I6279" s="37">
        <f t="shared" si="294"/>
        <v>87337.9899</v>
      </c>
      <c r="J6279" s="4"/>
      <c r="K6279" s="38">
        <f t="shared" si="295"/>
        <v>0</v>
      </c>
    </row>
    <row r="6280" spans="1:11">
      <c r="A6280" t="s">
        <v>2288</v>
      </c>
      <c r="B6280" t="s">
        <v>12674</v>
      </c>
      <c r="C6280" t="s">
        <v>7838</v>
      </c>
      <c r="D6280" t="s">
        <v>7841</v>
      </c>
      <c r="E6280">
        <v>158435.64000000001</v>
      </c>
      <c r="G6280" s="35"/>
      <c r="H6280" s="36">
        <f t="shared" si="296"/>
        <v>99814.453200000004</v>
      </c>
      <c r="I6280" s="37">
        <f t="shared" si="294"/>
        <v>99814.453200000004</v>
      </c>
      <c r="J6280" s="4"/>
      <c r="K6280" s="38">
        <f t="shared" si="295"/>
        <v>0</v>
      </c>
    </row>
    <row r="6281" spans="1:11">
      <c r="A6281" t="s">
        <v>2289</v>
      </c>
      <c r="B6281" t="s">
        <v>12674</v>
      </c>
      <c r="C6281" t="s">
        <v>7838</v>
      </c>
      <c r="D6281" t="s">
        <v>7842</v>
      </c>
      <c r="E6281">
        <v>198045.47</v>
      </c>
      <c r="G6281" s="35"/>
      <c r="H6281" s="36">
        <f t="shared" si="296"/>
        <v>124768.6461</v>
      </c>
      <c r="I6281" s="37">
        <f t="shared" si="294"/>
        <v>124768.6461</v>
      </c>
      <c r="J6281" s="4"/>
      <c r="K6281" s="38">
        <f t="shared" si="295"/>
        <v>0</v>
      </c>
    </row>
    <row r="6282" spans="1:11">
      <c r="A6282" t="s">
        <v>2290</v>
      </c>
      <c r="B6282" t="s">
        <v>12674</v>
      </c>
      <c r="C6282" t="s">
        <v>7838</v>
      </c>
      <c r="D6282" t="s">
        <v>7843</v>
      </c>
      <c r="E6282">
        <v>199233.17</v>
      </c>
      <c r="G6282" s="35"/>
      <c r="H6282" s="36">
        <f t="shared" si="296"/>
        <v>125516.8971</v>
      </c>
      <c r="I6282" s="37">
        <f t="shared" si="294"/>
        <v>125516.8971</v>
      </c>
      <c r="J6282" s="4"/>
      <c r="K6282" s="38">
        <f t="shared" si="295"/>
        <v>0</v>
      </c>
    </row>
    <row r="6283" spans="1:11">
      <c r="A6283" t="s">
        <v>2291</v>
      </c>
      <c r="B6283" t="s">
        <v>12674</v>
      </c>
      <c r="C6283" t="s">
        <v>7838</v>
      </c>
      <c r="D6283" t="s">
        <v>7844</v>
      </c>
      <c r="E6283">
        <v>227695.16</v>
      </c>
      <c r="G6283" s="35"/>
      <c r="H6283" s="36">
        <f t="shared" si="296"/>
        <v>143447.95079999999</v>
      </c>
      <c r="I6283" s="37">
        <f t="shared" si="294"/>
        <v>143447.95079999999</v>
      </c>
      <c r="J6283" s="4"/>
      <c r="K6283" s="38">
        <f t="shared" si="295"/>
        <v>0</v>
      </c>
    </row>
    <row r="6284" spans="1:11">
      <c r="A6284" t="s">
        <v>2292</v>
      </c>
      <c r="B6284" t="s">
        <v>12674</v>
      </c>
      <c r="C6284" t="s">
        <v>7838</v>
      </c>
      <c r="D6284" t="s">
        <v>7845</v>
      </c>
      <c r="E6284">
        <v>284619.11</v>
      </c>
      <c r="G6284" s="35"/>
      <c r="H6284" s="36">
        <f t="shared" si="296"/>
        <v>179310.0393</v>
      </c>
      <c r="I6284" s="37">
        <f t="shared" si="294"/>
        <v>179310.0393</v>
      </c>
      <c r="J6284" s="4"/>
      <c r="K6284" s="38">
        <f t="shared" si="295"/>
        <v>0</v>
      </c>
    </row>
    <row r="6285" spans="1:11">
      <c r="A6285" t="s">
        <v>2293</v>
      </c>
      <c r="B6285" t="s">
        <v>12674</v>
      </c>
      <c r="C6285" t="s">
        <v>7838</v>
      </c>
      <c r="D6285" t="s">
        <v>7846</v>
      </c>
      <c r="E6285">
        <v>199233.17</v>
      </c>
      <c r="G6285" s="35"/>
      <c r="H6285" s="36">
        <f t="shared" si="296"/>
        <v>125516.8971</v>
      </c>
      <c r="I6285" s="37">
        <f t="shared" si="294"/>
        <v>125516.8971</v>
      </c>
      <c r="J6285" s="4"/>
      <c r="K6285" s="38">
        <f t="shared" si="295"/>
        <v>0</v>
      </c>
    </row>
    <row r="6286" spans="1:11">
      <c r="A6286" t="s">
        <v>2294</v>
      </c>
      <c r="B6286" t="s">
        <v>12674</v>
      </c>
      <c r="C6286" t="s">
        <v>7838</v>
      </c>
      <c r="D6286" t="s">
        <v>7847</v>
      </c>
      <c r="E6286">
        <v>219156.14</v>
      </c>
      <c r="G6286" s="35"/>
      <c r="H6286" s="36">
        <f t="shared" si="296"/>
        <v>138068.3682</v>
      </c>
      <c r="I6286" s="37">
        <f t="shared" si="294"/>
        <v>138068.3682</v>
      </c>
      <c r="J6286" s="4"/>
      <c r="K6286" s="38">
        <f t="shared" si="295"/>
        <v>0</v>
      </c>
    </row>
    <row r="6287" spans="1:11">
      <c r="A6287" t="s">
        <v>2295</v>
      </c>
      <c r="B6287" t="s">
        <v>12674</v>
      </c>
      <c r="C6287" t="s">
        <v>7838</v>
      </c>
      <c r="D6287" t="s">
        <v>7848</v>
      </c>
      <c r="E6287">
        <v>171845.44</v>
      </c>
      <c r="G6287" s="35"/>
      <c r="H6287" s="36">
        <f t="shared" si="296"/>
        <v>108262.6272</v>
      </c>
      <c r="I6287" s="37">
        <f t="shared" si="294"/>
        <v>108262.6272</v>
      </c>
      <c r="J6287" s="4"/>
      <c r="K6287" s="38">
        <f t="shared" si="295"/>
        <v>0</v>
      </c>
    </row>
    <row r="6288" spans="1:11">
      <c r="A6288" t="s">
        <v>2296</v>
      </c>
      <c r="B6288" t="s">
        <v>12674</v>
      </c>
      <c r="C6288" t="s">
        <v>7838</v>
      </c>
      <c r="D6288" t="s">
        <v>7849</v>
      </c>
      <c r="E6288">
        <v>214806.74</v>
      </c>
      <c r="G6288" s="35"/>
      <c r="H6288" s="36">
        <f t="shared" si="296"/>
        <v>135328.24619999999</v>
      </c>
      <c r="I6288" s="37">
        <f t="shared" si="294"/>
        <v>135328.24619999999</v>
      </c>
      <c r="J6288" s="4"/>
      <c r="K6288" s="38">
        <f t="shared" si="295"/>
        <v>0</v>
      </c>
    </row>
    <row r="6289" spans="1:11">
      <c r="A6289" t="s">
        <v>2297</v>
      </c>
      <c r="B6289" t="s">
        <v>12674</v>
      </c>
      <c r="C6289" t="s">
        <v>7838</v>
      </c>
      <c r="D6289" t="s">
        <v>7850</v>
      </c>
      <c r="E6289">
        <v>165400.81</v>
      </c>
      <c r="G6289" s="35"/>
      <c r="H6289" s="36">
        <f t="shared" si="296"/>
        <v>104202.51029999999</v>
      </c>
      <c r="I6289" s="37">
        <f t="shared" si="294"/>
        <v>104202.51029999999</v>
      </c>
      <c r="J6289" s="4"/>
      <c r="K6289" s="38">
        <f t="shared" si="295"/>
        <v>0</v>
      </c>
    </row>
    <row r="6290" spans="1:11">
      <c r="A6290" t="s">
        <v>2438</v>
      </c>
      <c r="B6290" t="s">
        <v>12674</v>
      </c>
      <c r="C6290" t="s">
        <v>7959</v>
      </c>
      <c r="D6290" t="s">
        <v>7960</v>
      </c>
      <c r="E6290">
        <v>143507.78</v>
      </c>
      <c r="G6290" s="35"/>
      <c r="H6290" s="36">
        <f t="shared" si="296"/>
        <v>90409.901400000002</v>
      </c>
      <c r="I6290" s="37">
        <f t="shared" si="294"/>
        <v>90409.901400000002</v>
      </c>
      <c r="J6290" s="4"/>
      <c r="K6290" s="38">
        <f t="shared" si="295"/>
        <v>0</v>
      </c>
    </row>
    <row r="6291" spans="1:11">
      <c r="A6291" t="s">
        <v>2439</v>
      </c>
      <c r="B6291" t="s">
        <v>12674</v>
      </c>
      <c r="C6291" t="s">
        <v>7959</v>
      </c>
      <c r="D6291" t="s">
        <v>7961</v>
      </c>
      <c r="E6291">
        <v>173006.88</v>
      </c>
      <c r="G6291" s="35"/>
      <c r="H6291" s="36">
        <f t="shared" si="296"/>
        <v>108994.33440000001</v>
      </c>
      <c r="I6291" s="37">
        <f t="shared" si="294"/>
        <v>108994.33440000001</v>
      </c>
      <c r="J6291" s="4"/>
      <c r="K6291" s="38">
        <f t="shared" si="295"/>
        <v>0</v>
      </c>
    </row>
    <row r="6292" spans="1:11">
      <c r="A6292" t="s">
        <v>2440</v>
      </c>
      <c r="B6292" t="s">
        <v>12674</v>
      </c>
      <c r="C6292" t="s">
        <v>7959</v>
      </c>
      <c r="D6292" t="s">
        <v>7962</v>
      </c>
      <c r="E6292">
        <v>150838.76999999999</v>
      </c>
      <c r="G6292" s="35"/>
      <c r="H6292" s="36">
        <f t="shared" si="296"/>
        <v>95028.425099999993</v>
      </c>
      <c r="I6292" s="37">
        <f t="shared" si="294"/>
        <v>95028.425099999993</v>
      </c>
      <c r="J6292" s="4"/>
      <c r="K6292" s="38">
        <f t="shared" si="295"/>
        <v>0</v>
      </c>
    </row>
    <row r="6293" spans="1:11">
      <c r="A6293" t="s">
        <v>2441</v>
      </c>
      <c r="B6293" t="s">
        <v>12674</v>
      </c>
      <c r="C6293" t="s">
        <v>7959</v>
      </c>
      <c r="D6293" t="s">
        <v>7963</v>
      </c>
      <c r="E6293">
        <v>181318.99</v>
      </c>
      <c r="G6293" s="35"/>
      <c r="H6293" s="36">
        <f t="shared" si="296"/>
        <v>114230.96369999999</v>
      </c>
      <c r="I6293" s="37">
        <f t="shared" si="294"/>
        <v>114230.96369999999</v>
      </c>
      <c r="J6293" s="4"/>
      <c r="K6293" s="38">
        <f t="shared" si="295"/>
        <v>0</v>
      </c>
    </row>
    <row r="6294" spans="1:11">
      <c r="A6294" t="s">
        <v>2442</v>
      </c>
      <c r="B6294" t="s">
        <v>12674</v>
      </c>
      <c r="C6294" t="s">
        <v>7959</v>
      </c>
      <c r="D6294" t="s">
        <v>7964</v>
      </c>
      <c r="E6294">
        <v>479757.61</v>
      </c>
      <c r="G6294" s="35"/>
      <c r="H6294" s="36">
        <f t="shared" si="296"/>
        <v>302247.29430000001</v>
      </c>
      <c r="I6294" s="37">
        <f t="shared" si="294"/>
        <v>302247.29430000001</v>
      </c>
      <c r="J6294" s="4"/>
      <c r="K6294" s="38">
        <f t="shared" si="295"/>
        <v>0</v>
      </c>
    </row>
    <row r="6295" spans="1:11">
      <c r="A6295" t="s">
        <v>2443</v>
      </c>
      <c r="B6295" t="s">
        <v>12674</v>
      </c>
      <c r="C6295" t="s">
        <v>7959</v>
      </c>
      <c r="D6295" t="s">
        <v>7965</v>
      </c>
      <c r="E6295">
        <v>456518.56</v>
      </c>
      <c r="G6295" s="35"/>
      <c r="H6295" s="36">
        <f t="shared" si="296"/>
        <v>287606.69280000002</v>
      </c>
      <c r="I6295" s="37">
        <f t="shared" si="294"/>
        <v>287606.69280000002</v>
      </c>
      <c r="J6295" s="4"/>
      <c r="K6295" s="38">
        <f t="shared" si="295"/>
        <v>0</v>
      </c>
    </row>
    <row r="6296" spans="1:11">
      <c r="A6296" t="s">
        <v>2420</v>
      </c>
      <c r="B6296" t="s">
        <v>12674</v>
      </c>
      <c r="C6296" t="s">
        <v>7941</v>
      </c>
      <c r="D6296" t="s">
        <v>7942</v>
      </c>
      <c r="E6296">
        <v>258439.28</v>
      </c>
      <c r="G6296" s="35"/>
      <c r="H6296" s="36">
        <f t="shared" si="296"/>
        <v>162816.7464</v>
      </c>
      <c r="I6296" s="37">
        <f t="shared" si="294"/>
        <v>162816.7464</v>
      </c>
      <c r="J6296" s="4"/>
      <c r="K6296" s="38">
        <f t="shared" si="295"/>
        <v>0</v>
      </c>
    </row>
    <row r="6297" spans="1:11">
      <c r="A6297" t="s">
        <v>2421</v>
      </c>
      <c r="B6297" t="s">
        <v>12674</v>
      </c>
      <c r="C6297" t="s">
        <v>7941</v>
      </c>
      <c r="D6297" t="s">
        <v>7943</v>
      </c>
      <c r="E6297">
        <v>67414.09</v>
      </c>
      <c r="G6297" s="35"/>
      <c r="H6297" s="36">
        <f t="shared" si="296"/>
        <v>42470.876700000001</v>
      </c>
      <c r="I6297" s="37">
        <f t="shared" si="294"/>
        <v>42470.876700000001</v>
      </c>
      <c r="J6297" s="4"/>
      <c r="K6297" s="38">
        <f t="shared" si="295"/>
        <v>0</v>
      </c>
    </row>
    <row r="6298" spans="1:11">
      <c r="A6298" t="s">
        <v>2422</v>
      </c>
      <c r="B6298" t="s">
        <v>12674</v>
      </c>
      <c r="C6298" t="s">
        <v>7941</v>
      </c>
      <c r="D6298" t="s">
        <v>7944</v>
      </c>
      <c r="E6298">
        <v>67414.09</v>
      </c>
      <c r="G6298" s="35"/>
      <c r="H6298" s="36">
        <f t="shared" si="296"/>
        <v>42470.876700000001</v>
      </c>
      <c r="I6298" s="37">
        <f t="shared" si="294"/>
        <v>42470.876700000001</v>
      </c>
      <c r="J6298" s="4"/>
      <c r="K6298" s="38">
        <f t="shared" si="295"/>
        <v>0</v>
      </c>
    </row>
    <row r="6299" spans="1:11">
      <c r="A6299" t="s">
        <v>2423</v>
      </c>
      <c r="B6299" t="s">
        <v>12674</v>
      </c>
      <c r="C6299" t="s">
        <v>7941</v>
      </c>
      <c r="D6299" t="s">
        <v>7945</v>
      </c>
      <c r="E6299">
        <v>89885.48</v>
      </c>
      <c r="G6299" s="35"/>
      <c r="H6299" s="36">
        <f t="shared" si="296"/>
        <v>56627.852399999996</v>
      </c>
      <c r="I6299" s="37">
        <f t="shared" si="294"/>
        <v>56627.852399999996</v>
      </c>
      <c r="J6299" s="4"/>
      <c r="K6299" s="38">
        <f t="shared" si="295"/>
        <v>0</v>
      </c>
    </row>
    <row r="6300" spans="1:11">
      <c r="A6300" t="s">
        <v>1790</v>
      </c>
      <c r="B6300" t="s">
        <v>12674</v>
      </c>
      <c r="C6300" t="s">
        <v>7391</v>
      </c>
      <c r="D6300" t="s">
        <v>7392</v>
      </c>
      <c r="E6300">
        <v>174682.26</v>
      </c>
      <c r="G6300" s="35"/>
      <c r="H6300" s="36">
        <f t="shared" si="296"/>
        <v>110049.82380000001</v>
      </c>
      <c r="I6300" s="37">
        <f t="shared" si="294"/>
        <v>110049.82380000001</v>
      </c>
      <c r="J6300" s="4"/>
      <c r="K6300" s="38">
        <f t="shared" si="295"/>
        <v>0</v>
      </c>
    </row>
    <row r="6301" spans="1:11">
      <c r="A6301" t="s">
        <v>1791</v>
      </c>
      <c r="B6301" t="s">
        <v>12674</v>
      </c>
      <c r="C6301" t="s">
        <v>7391</v>
      </c>
      <c r="D6301" t="s">
        <v>7393</v>
      </c>
      <c r="E6301">
        <v>173486.34</v>
      </c>
      <c r="G6301" s="35"/>
      <c r="H6301" s="36">
        <f t="shared" si="296"/>
        <v>109296.3942</v>
      </c>
      <c r="I6301" s="37">
        <f t="shared" si="294"/>
        <v>109296.3942</v>
      </c>
      <c r="J6301" s="4"/>
      <c r="K6301" s="38">
        <f t="shared" si="295"/>
        <v>0</v>
      </c>
    </row>
    <row r="6302" spans="1:11">
      <c r="A6302" t="s">
        <v>1792</v>
      </c>
      <c r="B6302" t="s">
        <v>12674</v>
      </c>
      <c r="C6302" t="s">
        <v>7391</v>
      </c>
      <c r="D6302" t="s">
        <v>7394</v>
      </c>
      <c r="E6302">
        <v>158157.48000000001</v>
      </c>
      <c r="G6302" s="35"/>
      <c r="H6302" s="36">
        <f t="shared" si="296"/>
        <v>99639.212400000004</v>
      </c>
      <c r="I6302" s="37">
        <f t="shared" si="294"/>
        <v>99639.212400000004</v>
      </c>
      <c r="J6302" s="4"/>
      <c r="K6302" s="38">
        <f t="shared" si="295"/>
        <v>0</v>
      </c>
    </row>
    <row r="6303" spans="1:11">
      <c r="A6303" t="s">
        <v>1793</v>
      </c>
      <c r="B6303" t="s">
        <v>12674</v>
      </c>
      <c r="C6303" t="s">
        <v>7391</v>
      </c>
      <c r="D6303" t="s">
        <v>7395</v>
      </c>
      <c r="E6303">
        <v>88164.82</v>
      </c>
      <c r="G6303" s="35"/>
      <c r="H6303" s="36">
        <f t="shared" si="296"/>
        <v>55543.836600000002</v>
      </c>
      <c r="I6303" s="37">
        <f t="shared" si="294"/>
        <v>55543.836600000002</v>
      </c>
      <c r="J6303" s="4"/>
      <c r="K6303" s="38">
        <f t="shared" si="295"/>
        <v>0</v>
      </c>
    </row>
    <row r="6304" spans="1:11">
      <c r="A6304" t="s">
        <v>1794</v>
      </c>
      <c r="B6304" t="s">
        <v>12674</v>
      </c>
      <c r="C6304" t="s">
        <v>7391</v>
      </c>
      <c r="D6304" t="s">
        <v>7396</v>
      </c>
      <c r="E6304">
        <v>456726.12</v>
      </c>
      <c r="G6304" s="35"/>
      <c r="H6304" s="36">
        <f t="shared" si="296"/>
        <v>287737.45559999999</v>
      </c>
      <c r="I6304" s="37">
        <f t="shared" si="294"/>
        <v>287737.45559999999</v>
      </c>
      <c r="J6304" s="4"/>
      <c r="K6304" s="38">
        <f t="shared" si="295"/>
        <v>0</v>
      </c>
    </row>
    <row r="6305" spans="1:11">
      <c r="A6305" t="s">
        <v>1795</v>
      </c>
      <c r="B6305" t="s">
        <v>12674</v>
      </c>
      <c r="C6305" t="s">
        <v>7391</v>
      </c>
      <c r="D6305" t="s">
        <v>7397</v>
      </c>
      <c r="E6305">
        <v>272349.56</v>
      </c>
      <c r="G6305" s="35"/>
      <c r="H6305" s="36">
        <f t="shared" si="296"/>
        <v>171580.22279999999</v>
      </c>
      <c r="I6305" s="37">
        <f t="shared" si="294"/>
        <v>171580.22279999999</v>
      </c>
      <c r="J6305" s="4"/>
      <c r="K6305" s="38">
        <f t="shared" si="295"/>
        <v>0</v>
      </c>
    </row>
    <row r="6306" spans="1:11">
      <c r="A6306" t="s">
        <v>1796</v>
      </c>
      <c r="B6306" t="s">
        <v>12674</v>
      </c>
      <c r="C6306" t="s">
        <v>7391</v>
      </c>
      <c r="D6306" t="s">
        <v>7398</v>
      </c>
      <c r="E6306">
        <v>222756.86</v>
      </c>
      <c r="G6306" s="35"/>
      <c r="H6306" s="36">
        <f t="shared" si="296"/>
        <v>140336.82180000001</v>
      </c>
      <c r="I6306" s="37">
        <f t="shared" si="294"/>
        <v>140336.82180000001</v>
      </c>
      <c r="J6306" s="4"/>
      <c r="K6306" s="38">
        <f t="shared" si="295"/>
        <v>0</v>
      </c>
    </row>
    <row r="6307" spans="1:11">
      <c r="A6307" t="s">
        <v>1652</v>
      </c>
      <c r="B6307" t="s">
        <v>12674</v>
      </c>
      <c r="C6307" t="s">
        <v>7244</v>
      </c>
      <c r="D6307" t="s">
        <v>7054</v>
      </c>
      <c r="E6307">
        <v>62569.46</v>
      </c>
      <c r="G6307" s="35"/>
      <c r="H6307" s="36">
        <f t="shared" si="296"/>
        <v>39418.7598</v>
      </c>
      <c r="I6307" s="37">
        <f t="shared" si="294"/>
        <v>39418.7598</v>
      </c>
      <c r="J6307" s="4"/>
      <c r="K6307" s="38">
        <f t="shared" si="295"/>
        <v>0</v>
      </c>
    </row>
    <row r="6308" spans="1:11">
      <c r="A6308" t="s">
        <v>1653</v>
      </c>
      <c r="B6308" t="s">
        <v>12674</v>
      </c>
      <c r="C6308" t="s">
        <v>7244</v>
      </c>
      <c r="D6308" t="s">
        <v>7055</v>
      </c>
      <c r="E6308">
        <v>62569.46</v>
      </c>
      <c r="G6308" s="35"/>
      <c r="H6308" s="36">
        <f t="shared" si="296"/>
        <v>39418.7598</v>
      </c>
      <c r="I6308" s="37">
        <f t="shared" si="294"/>
        <v>39418.7598</v>
      </c>
      <c r="J6308" s="4"/>
      <c r="K6308" s="38">
        <f t="shared" si="295"/>
        <v>0</v>
      </c>
    </row>
    <row r="6309" spans="1:11">
      <c r="A6309" t="s">
        <v>1654</v>
      </c>
      <c r="B6309" t="s">
        <v>12674</v>
      </c>
      <c r="C6309" t="s">
        <v>7244</v>
      </c>
      <c r="D6309" t="s">
        <v>7245</v>
      </c>
      <c r="E6309">
        <v>83435.55</v>
      </c>
      <c r="G6309" s="35"/>
      <c r="H6309" s="36">
        <f t="shared" si="296"/>
        <v>52564.396500000003</v>
      </c>
      <c r="I6309" s="37">
        <f t="shared" si="294"/>
        <v>52564.396500000003</v>
      </c>
      <c r="J6309" s="4"/>
      <c r="K6309" s="38">
        <f t="shared" si="295"/>
        <v>0</v>
      </c>
    </row>
    <row r="6310" spans="1:11">
      <c r="A6310" t="s">
        <v>1655</v>
      </c>
      <c r="B6310" t="s">
        <v>12674</v>
      </c>
      <c r="C6310" t="s">
        <v>7244</v>
      </c>
      <c r="D6310" t="s">
        <v>7246</v>
      </c>
      <c r="E6310">
        <v>62569.46</v>
      </c>
      <c r="G6310" s="35"/>
      <c r="H6310" s="36">
        <f t="shared" si="296"/>
        <v>39418.7598</v>
      </c>
      <c r="I6310" s="37">
        <f t="shared" si="294"/>
        <v>39418.7598</v>
      </c>
      <c r="J6310" s="4"/>
      <c r="K6310" s="38">
        <f t="shared" si="295"/>
        <v>0</v>
      </c>
    </row>
    <row r="6311" spans="1:11">
      <c r="A6311" t="s">
        <v>1729</v>
      </c>
      <c r="B6311" t="s">
        <v>12674</v>
      </c>
      <c r="C6311" t="s">
        <v>7323</v>
      </c>
      <c r="D6311" t="s">
        <v>7313</v>
      </c>
      <c r="E6311">
        <v>49312.63</v>
      </c>
      <c r="G6311" s="35"/>
      <c r="H6311" s="36">
        <f t="shared" si="296"/>
        <v>31066.956899999997</v>
      </c>
      <c r="I6311" s="37">
        <f t="shared" si="294"/>
        <v>31066.956899999997</v>
      </c>
      <c r="J6311" s="4"/>
      <c r="K6311" s="38">
        <f t="shared" si="295"/>
        <v>0</v>
      </c>
    </row>
    <row r="6312" spans="1:11">
      <c r="A6312" t="s">
        <v>1730</v>
      </c>
      <c r="B6312" t="s">
        <v>12674</v>
      </c>
      <c r="C6312" t="s">
        <v>7323</v>
      </c>
      <c r="D6312" t="s">
        <v>7314</v>
      </c>
      <c r="E6312">
        <v>49312.63</v>
      </c>
      <c r="G6312" s="35"/>
      <c r="H6312" s="36">
        <f t="shared" si="296"/>
        <v>31066.956899999997</v>
      </c>
      <c r="I6312" s="37">
        <f t="shared" si="294"/>
        <v>31066.956899999997</v>
      </c>
      <c r="J6312" s="4"/>
      <c r="K6312" s="38">
        <f t="shared" si="295"/>
        <v>0</v>
      </c>
    </row>
    <row r="6313" spans="1:11">
      <c r="A6313" t="s">
        <v>1731</v>
      </c>
      <c r="B6313" t="s">
        <v>12674</v>
      </c>
      <c r="C6313" t="s">
        <v>7323</v>
      </c>
      <c r="D6313" t="s">
        <v>7315</v>
      </c>
      <c r="E6313">
        <v>65749.88</v>
      </c>
      <c r="G6313" s="35"/>
      <c r="H6313" s="36">
        <f t="shared" si="296"/>
        <v>41422.424400000004</v>
      </c>
      <c r="I6313" s="37">
        <f t="shared" ref="I6313" si="297">H6313*$H$4</f>
        <v>41422.424400000004</v>
      </c>
      <c r="J6313" s="4"/>
      <c r="K6313" s="38">
        <f t="shared" ref="K6313" si="298">J6313*I6313</f>
        <v>0</v>
      </c>
    </row>
    <row r="6314" spans="1:11">
      <c r="A6314" t="s">
        <v>2279</v>
      </c>
      <c r="B6314" t="s">
        <v>12674</v>
      </c>
      <c r="C6314" t="s">
        <v>7837</v>
      </c>
      <c r="D6314" t="s">
        <v>7054</v>
      </c>
      <c r="E6314">
        <v>438635.1</v>
      </c>
      <c r="G6314" s="35"/>
      <c r="H6314" s="36">
        <f t="shared" si="296"/>
        <v>276340.11300000001</v>
      </c>
      <c r="I6314" s="37">
        <f t="shared" ref="I6314:I6315" si="299">H6314*$H$4</f>
        <v>276340.11300000001</v>
      </c>
      <c r="J6314" s="4"/>
      <c r="K6314" s="38">
        <f t="shared" ref="K6314:K6315" si="300">J6314*I6314</f>
        <v>0</v>
      </c>
    </row>
    <row r="6315" spans="1:11">
      <c r="A6315" t="s">
        <v>2280</v>
      </c>
      <c r="B6315" t="s">
        <v>12674</v>
      </c>
      <c r="C6315" t="s">
        <v>7837</v>
      </c>
      <c r="D6315" t="s">
        <v>7055</v>
      </c>
      <c r="E6315">
        <v>438635.1</v>
      </c>
      <c r="G6315" s="35"/>
      <c r="H6315" s="36">
        <f t="shared" si="296"/>
        <v>276340.11300000001</v>
      </c>
      <c r="I6315" s="37">
        <f t="shared" si="299"/>
        <v>276340.11300000001</v>
      </c>
      <c r="J6315" s="4"/>
      <c r="K6315" s="38">
        <f t="shared" si="300"/>
        <v>0</v>
      </c>
    </row>
    <row r="6316" spans="1:11">
      <c r="A6316" t="s">
        <v>2281</v>
      </c>
      <c r="B6316" t="s">
        <v>12674</v>
      </c>
      <c r="C6316" t="s">
        <v>7837</v>
      </c>
      <c r="D6316" t="s">
        <v>7836</v>
      </c>
      <c r="E6316">
        <v>584846.87</v>
      </c>
      <c r="G6316" s="35"/>
      <c r="H6316" s="36">
        <f t="shared" si="296"/>
        <v>368453.5281</v>
      </c>
      <c r="I6316" s="37">
        <f t="shared" ref="I6316:I6320" si="301">H6316*$H$4</f>
        <v>368453.5281</v>
      </c>
      <c r="J6316" s="4"/>
      <c r="K6316" s="38">
        <f t="shared" ref="K6316:K6320" si="302">J6316*I6316</f>
        <v>0</v>
      </c>
    </row>
    <row r="6317" spans="1:11">
      <c r="A6317" t="s">
        <v>2301</v>
      </c>
      <c r="B6317" t="s">
        <v>12674</v>
      </c>
      <c r="C6317" t="s">
        <v>7856</v>
      </c>
      <c r="D6317" t="s">
        <v>7054</v>
      </c>
      <c r="E6317">
        <v>145774.43</v>
      </c>
      <c r="G6317" s="35"/>
      <c r="H6317" s="36">
        <f t="shared" si="296"/>
        <v>91837.890899999999</v>
      </c>
      <c r="I6317" s="37">
        <f t="shared" si="301"/>
        <v>91837.890899999999</v>
      </c>
      <c r="J6317" s="4"/>
      <c r="K6317" s="38">
        <f t="shared" si="302"/>
        <v>0</v>
      </c>
    </row>
    <row r="6318" spans="1:11">
      <c r="A6318" t="s">
        <v>2302</v>
      </c>
      <c r="B6318" t="s">
        <v>12674</v>
      </c>
      <c r="C6318" t="s">
        <v>7856</v>
      </c>
      <c r="D6318" t="s">
        <v>7055</v>
      </c>
      <c r="E6318">
        <v>160351.66</v>
      </c>
      <c r="G6318" s="35"/>
      <c r="H6318" s="36">
        <f t="shared" si="296"/>
        <v>101021.54580000001</v>
      </c>
      <c r="I6318" s="37">
        <f t="shared" si="301"/>
        <v>101021.54580000001</v>
      </c>
      <c r="J6318" s="4"/>
      <c r="K6318" s="38">
        <f t="shared" si="302"/>
        <v>0</v>
      </c>
    </row>
    <row r="6319" spans="1:11">
      <c r="A6319" t="s">
        <v>2303</v>
      </c>
      <c r="B6319" t="s">
        <v>12674</v>
      </c>
      <c r="C6319" t="s">
        <v>7856</v>
      </c>
      <c r="D6319" t="s">
        <v>7857</v>
      </c>
      <c r="E6319">
        <v>187943.65</v>
      </c>
      <c r="G6319" s="35"/>
      <c r="H6319" s="36">
        <f t="shared" si="296"/>
        <v>118404.49949999999</v>
      </c>
      <c r="I6319" s="37">
        <f t="shared" si="301"/>
        <v>118404.49949999999</v>
      </c>
      <c r="J6319" s="4"/>
      <c r="K6319" s="38">
        <f t="shared" si="302"/>
        <v>0</v>
      </c>
    </row>
    <row r="6320" spans="1:11">
      <c r="A6320" t="s">
        <v>2304</v>
      </c>
      <c r="B6320" t="s">
        <v>12674</v>
      </c>
      <c r="C6320" t="s">
        <v>7856</v>
      </c>
      <c r="D6320" t="s">
        <v>7858</v>
      </c>
      <c r="E6320">
        <v>237765.3</v>
      </c>
      <c r="G6320" s="35"/>
      <c r="H6320" s="36">
        <f t="shared" si="296"/>
        <v>149792.139</v>
      </c>
      <c r="I6320" s="37">
        <f t="shared" si="301"/>
        <v>149792.139</v>
      </c>
      <c r="J6320" s="4"/>
      <c r="K6320" s="38">
        <f t="shared" si="302"/>
        <v>0</v>
      </c>
    </row>
    <row r="6321" spans="1:11">
      <c r="A6321" t="s">
        <v>2305</v>
      </c>
      <c r="B6321" t="s">
        <v>12674</v>
      </c>
      <c r="C6321" t="s">
        <v>7856</v>
      </c>
      <c r="D6321" t="s">
        <v>7839</v>
      </c>
      <c r="E6321">
        <v>160351.87</v>
      </c>
      <c r="G6321" s="35"/>
      <c r="H6321" s="36">
        <f t="shared" si="296"/>
        <v>101021.6781</v>
      </c>
      <c r="I6321" s="37">
        <f t="shared" ref="I6321:I6331" si="303">H6321*$H$4</f>
        <v>101021.6781</v>
      </c>
      <c r="J6321" s="4"/>
      <c r="K6321" s="38">
        <f t="shared" ref="K6321:K6331" si="304">J6321*I6321</f>
        <v>0</v>
      </c>
    </row>
    <row r="6322" spans="1:11">
      <c r="A6322" t="s">
        <v>2370</v>
      </c>
      <c r="B6322" t="s">
        <v>12674</v>
      </c>
      <c r="C6322" t="s">
        <v>7908</v>
      </c>
      <c r="D6322" t="s">
        <v>7054</v>
      </c>
      <c r="E6322">
        <v>173652.75</v>
      </c>
      <c r="G6322" s="35"/>
      <c r="H6322" s="36">
        <f t="shared" si="296"/>
        <v>109401.2325</v>
      </c>
      <c r="I6322" s="37">
        <f t="shared" si="303"/>
        <v>109401.2325</v>
      </c>
      <c r="J6322" s="4"/>
      <c r="K6322" s="38">
        <f t="shared" si="304"/>
        <v>0</v>
      </c>
    </row>
    <row r="6323" spans="1:11">
      <c r="A6323" t="s">
        <v>2371</v>
      </c>
      <c r="B6323" t="s">
        <v>12674</v>
      </c>
      <c r="C6323" t="s">
        <v>7908</v>
      </c>
      <c r="D6323" t="s">
        <v>7055</v>
      </c>
      <c r="E6323">
        <v>191017.53</v>
      </c>
      <c r="G6323" s="35"/>
      <c r="H6323" s="36">
        <f t="shared" si="296"/>
        <v>120341.0439</v>
      </c>
      <c r="I6323" s="37">
        <f t="shared" si="303"/>
        <v>120341.0439</v>
      </c>
      <c r="J6323" s="4"/>
      <c r="K6323" s="38">
        <f t="shared" si="304"/>
        <v>0</v>
      </c>
    </row>
    <row r="6324" spans="1:11">
      <c r="A6324" t="s">
        <v>2372</v>
      </c>
      <c r="B6324" t="s">
        <v>12674</v>
      </c>
      <c r="C6324" t="s">
        <v>7908</v>
      </c>
      <c r="D6324" t="s">
        <v>7857</v>
      </c>
      <c r="E6324">
        <v>231538.21</v>
      </c>
      <c r="G6324" s="35"/>
      <c r="H6324" s="36">
        <f t="shared" si="296"/>
        <v>145869.0723</v>
      </c>
      <c r="I6324" s="37">
        <f t="shared" si="303"/>
        <v>145869.0723</v>
      </c>
      <c r="J6324" s="4"/>
      <c r="K6324" s="38">
        <f t="shared" si="304"/>
        <v>0</v>
      </c>
    </row>
    <row r="6325" spans="1:11">
      <c r="A6325" t="s">
        <v>2373</v>
      </c>
      <c r="B6325" t="s">
        <v>12674</v>
      </c>
      <c r="C6325" t="s">
        <v>7908</v>
      </c>
      <c r="D6325" t="s">
        <v>7246</v>
      </c>
      <c r="E6325">
        <v>173652.75</v>
      </c>
      <c r="G6325" s="35"/>
      <c r="H6325" s="36">
        <f t="shared" si="296"/>
        <v>109401.2325</v>
      </c>
      <c r="I6325" s="37">
        <f t="shared" si="303"/>
        <v>109401.2325</v>
      </c>
      <c r="J6325" s="4"/>
      <c r="K6325" s="38">
        <f t="shared" si="304"/>
        <v>0</v>
      </c>
    </row>
    <row r="6326" spans="1:11">
      <c r="A6326" t="s">
        <v>2374</v>
      </c>
      <c r="B6326" t="s">
        <v>12674</v>
      </c>
      <c r="C6326" t="s">
        <v>7908</v>
      </c>
      <c r="D6326" t="s">
        <v>7858</v>
      </c>
      <c r="E6326">
        <v>292918.02</v>
      </c>
      <c r="G6326" s="35"/>
      <c r="H6326" s="36">
        <f t="shared" si="296"/>
        <v>184538.35260000001</v>
      </c>
      <c r="I6326" s="37">
        <f t="shared" si="303"/>
        <v>184538.35260000001</v>
      </c>
      <c r="J6326" s="4"/>
      <c r="K6326" s="38">
        <f t="shared" si="304"/>
        <v>0</v>
      </c>
    </row>
    <row r="6327" spans="1:11">
      <c r="A6327" t="s">
        <v>2375</v>
      </c>
      <c r="B6327" t="s">
        <v>12674</v>
      </c>
      <c r="C6327" t="s">
        <v>7908</v>
      </c>
      <c r="D6327" t="s">
        <v>7907</v>
      </c>
      <c r="E6327">
        <v>66571.509999999995</v>
      </c>
      <c r="G6327" s="35"/>
      <c r="H6327" s="36">
        <f t="shared" si="296"/>
        <v>41940.051299999999</v>
      </c>
      <c r="I6327" s="37">
        <f t="shared" si="303"/>
        <v>41940.051299999999</v>
      </c>
      <c r="J6327" s="4"/>
      <c r="K6327" s="38">
        <f t="shared" si="304"/>
        <v>0</v>
      </c>
    </row>
    <row r="6328" spans="1:11">
      <c r="A6328" t="s">
        <v>2376</v>
      </c>
      <c r="B6328" t="s">
        <v>12674</v>
      </c>
      <c r="C6328" t="s">
        <v>7908</v>
      </c>
      <c r="D6328" t="s">
        <v>7839</v>
      </c>
      <c r="E6328">
        <v>191017.97</v>
      </c>
      <c r="G6328" s="35"/>
      <c r="H6328" s="36">
        <f t="shared" si="296"/>
        <v>120341.3211</v>
      </c>
      <c r="I6328" s="37">
        <f t="shared" si="303"/>
        <v>120341.3211</v>
      </c>
      <c r="J6328" s="4"/>
      <c r="K6328" s="38">
        <f t="shared" si="304"/>
        <v>0</v>
      </c>
    </row>
    <row r="6329" spans="1:11">
      <c r="A6329" t="s">
        <v>2333</v>
      </c>
      <c r="B6329" t="s">
        <v>12674</v>
      </c>
      <c r="C6329" t="s">
        <v>7878</v>
      </c>
      <c r="D6329" t="s">
        <v>7879</v>
      </c>
      <c r="E6329">
        <v>176870.64</v>
      </c>
      <c r="G6329" s="35"/>
      <c r="H6329" s="36">
        <f t="shared" si="296"/>
        <v>111428.50320000001</v>
      </c>
      <c r="I6329" s="37">
        <f t="shared" si="303"/>
        <v>111428.50320000001</v>
      </c>
      <c r="J6329" s="4"/>
      <c r="K6329" s="38">
        <f t="shared" si="304"/>
        <v>0</v>
      </c>
    </row>
    <row r="6330" spans="1:11">
      <c r="A6330" t="s">
        <v>2334</v>
      </c>
      <c r="B6330" t="s">
        <v>12674</v>
      </c>
      <c r="C6330" t="s">
        <v>7878</v>
      </c>
      <c r="D6330" t="s">
        <v>7326</v>
      </c>
      <c r="E6330">
        <v>194556.59</v>
      </c>
      <c r="G6330" s="35"/>
      <c r="H6330" s="36">
        <f t="shared" si="296"/>
        <v>122570.6517</v>
      </c>
      <c r="I6330" s="37">
        <f t="shared" si="303"/>
        <v>122570.6517</v>
      </c>
      <c r="J6330" s="4"/>
      <c r="K6330" s="38">
        <f t="shared" si="304"/>
        <v>0</v>
      </c>
    </row>
    <row r="6331" spans="1:11">
      <c r="A6331" t="s">
        <v>2335</v>
      </c>
      <c r="B6331" t="s">
        <v>12674</v>
      </c>
      <c r="C6331" t="s">
        <v>7878</v>
      </c>
      <c r="D6331" t="s">
        <v>7880</v>
      </c>
      <c r="E6331">
        <v>235826.57</v>
      </c>
      <c r="G6331" s="35"/>
      <c r="H6331" s="36">
        <f t="shared" si="296"/>
        <v>148570.73910000001</v>
      </c>
      <c r="I6331" s="37">
        <f t="shared" si="303"/>
        <v>148570.73910000001</v>
      </c>
      <c r="J6331" s="4"/>
      <c r="K6331" s="38">
        <f t="shared" si="304"/>
        <v>0</v>
      </c>
    </row>
    <row r="6332" spans="1:11">
      <c r="A6332" t="s">
        <v>2336</v>
      </c>
      <c r="B6332" t="s">
        <v>12674</v>
      </c>
      <c r="C6332" t="s">
        <v>7878</v>
      </c>
      <c r="D6332" t="s">
        <v>7328</v>
      </c>
      <c r="E6332">
        <v>203415.49</v>
      </c>
      <c r="G6332" s="35"/>
      <c r="H6332" s="36">
        <f t="shared" si="296"/>
        <v>128151.75869999999</v>
      </c>
      <c r="I6332" s="37">
        <f t="shared" ref="I6332:I6342" si="305">H6332*$H$4</f>
        <v>128151.75869999999</v>
      </c>
      <c r="J6332" s="4"/>
      <c r="K6332" s="38">
        <f t="shared" ref="K6332:K6342" si="306">J6332*I6332</f>
        <v>0</v>
      </c>
    </row>
    <row r="6333" spans="1:11">
      <c r="A6333" t="s">
        <v>2337</v>
      </c>
      <c r="B6333" t="s">
        <v>12674</v>
      </c>
      <c r="C6333" t="s">
        <v>7878</v>
      </c>
      <c r="D6333" t="s">
        <v>7329</v>
      </c>
      <c r="E6333">
        <v>298342.64</v>
      </c>
      <c r="G6333" s="35"/>
      <c r="H6333" s="36">
        <f t="shared" si="296"/>
        <v>187955.86320000002</v>
      </c>
      <c r="I6333" s="37">
        <f t="shared" si="305"/>
        <v>187955.86320000002</v>
      </c>
      <c r="J6333" s="4"/>
      <c r="K6333" s="38">
        <f t="shared" si="306"/>
        <v>0</v>
      </c>
    </row>
    <row r="6334" spans="1:11">
      <c r="A6334" t="s">
        <v>2338</v>
      </c>
      <c r="B6334" t="s">
        <v>12674</v>
      </c>
      <c r="C6334" t="s">
        <v>7878</v>
      </c>
      <c r="D6334" t="s">
        <v>7881</v>
      </c>
      <c r="E6334">
        <v>67805.03</v>
      </c>
      <c r="G6334" s="35"/>
      <c r="H6334" s="36">
        <f t="shared" si="296"/>
        <v>42717.168899999997</v>
      </c>
      <c r="I6334" s="37">
        <f t="shared" si="305"/>
        <v>42717.168899999997</v>
      </c>
      <c r="J6334" s="4"/>
      <c r="K6334" s="38">
        <f t="shared" si="306"/>
        <v>0</v>
      </c>
    </row>
    <row r="6335" spans="1:11">
      <c r="A6335" t="s">
        <v>2339</v>
      </c>
      <c r="B6335" t="s">
        <v>12674</v>
      </c>
      <c r="C6335" t="s">
        <v>7878</v>
      </c>
      <c r="D6335" t="s">
        <v>7330</v>
      </c>
      <c r="E6335">
        <v>194556.14</v>
      </c>
      <c r="G6335" s="35"/>
      <c r="H6335" s="36">
        <f t="shared" si="296"/>
        <v>122570.36820000001</v>
      </c>
      <c r="I6335" s="37">
        <f t="shared" si="305"/>
        <v>122570.36820000001</v>
      </c>
      <c r="J6335" s="4"/>
      <c r="K6335" s="38">
        <f t="shared" si="306"/>
        <v>0</v>
      </c>
    </row>
    <row r="6336" spans="1:11">
      <c r="A6336" t="s">
        <v>2346</v>
      </c>
      <c r="B6336" t="s">
        <v>12674</v>
      </c>
      <c r="C6336" t="s">
        <v>7888</v>
      </c>
      <c r="D6336" t="s">
        <v>7889</v>
      </c>
      <c r="E6336">
        <v>203415.84</v>
      </c>
      <c r="G6336" s="35"/>
      <c r="H6336" s="36">
        <f t="shared" si="296"/>
        <v>128151.9792</v>
      </c>
      <c r="I6336" s="37">
        <f t="shared" si="305"/>
        <v>128151.9792</v>
      </c>
      <c r="J6336" s="4"/>
      <c r="K6336" s="38">
        <f t="shared" si="306"/>
        <v>0</v>
      </c>
    </row>
    <row r="6337" spans="1:11">
      <c r="A6337" t="s">
        <v>2347</v>
      </c>
      <c r="B6337" t="s">
        <v>12674</v>
      </c>
      <c r="C6337" t="s">
        <v>7888</v>
      </c>
      <c r="D6337" t="s">
        <v>7890</v>
      </c>
      <c r="E6337">
        <v>223756.02</v>
      </c>
      <c r="G6337" s="35"/>
      <c r="H6337" s="36">
        <f t="shared" si="296"/>
        <v>140966.29259999999</v>
      </c>
      <c r="I6337" s="37">
        <f t="shared" si="305"/>
        <v>140966.29259999999</v>
      </c>
      <c r="J6337" s="4"/>
      <c r="K6337" s="38">
        <f t="shared" si="306"/>
        <v>0</v>
      </c>
    </row>
    <row r="6338" spans="1:11">
      <c r="A6338" t="s">
        <v>2348</v>
      </c>
      <c r="B6338" t="s">
        <v>12674</v>
      </c>
      <c r="C6338" t="s">
        <v>7888</v>
      </c>
      <c r="D6338" t="s">
        <v>7891</v>
      </c>
      <c r="E6338">
        <v>271219.88</v>
      </c>
      <c r="G6338" s="35"/>
      <c r="H6338" s="36">
        <f t="shared" si="296"/>
        <v>170868.52439999999</v>
      </c>
      <c r="I6338" s="37">
        <f t="shared" si="305"/>
        <v>170868.52439999999</v>
      </c>
      <c r="J6338" s="4"/>
      <c r="K6338" s="38">
        <f t="shared" si="306"/>
        <v>0</v>
      </c>
    </row>
    <row r="6339" spans="1:11">
      <c r="A6339" t="s">
        <v>2349</v>
      </c>
      <c r="B6339" t="s">
        <v>12674</v>
      </c>
      <c r="C6339" t="s">
        <v>7888</v>
      </c>
      <c r="D6339" t="s">
        <v>7892</v>
      </c>
      <c r="E6339">
        <v>203415.49</v>
      </c>
      <c r="G6339" s="35"/>
      <c r="H6339" s="36">
        <f t="shared" si="296"/>
        <v>128151.75869999999</v>
      </c>
      <c r="I6339" s="37">
        <f t="shared" si="305"/>
        <v>128151.75869999999</v>
      </c>
      <c r="J6339" s="4"/>
      <c r="K6339" s="38">
        <f t="shared" si="306"/>
        <v>0</v>
      </c>
    </row>
    <row r="6340" spans="1:11">
      <c r="A6340" t="s">
        <v>2350</v>
      </c>
      <c r="B6340" t="s">
        <v>12674</v>
      </c>
      <c r="C6340" t="s">
        <v>7888</v>
      </c>
      <c r="D6340" t="s">
        <v>7893</v>
      </c>
      <c r="E6340">
        <v>298342.64</v>
      </c>
      <c r="G6340" s="35"/>
      <c r="H6340" s="36">
        <f t="shared" si="296"/>
        <v>187955.86320000002</v>
      </c>
      <c r="I6340" s="37">
        <f t="shared" si="305"/>
        <v>187955.86320000002</v>
      </c>
      <c r="J6340" s="4"/>
      <c r="K6340" s="38">
        <f t="shared" si="306"/>
        <v>0</v>
      </c>
    </row>
    <row r="6341" spans="1:11">
      <c r="A6341" t="s">
        <v>2351</v>
      </c>
      <c r="B6341" t="s">
        <v>12674</v>
      </c>
      <c r="C6341" t="s">
        <v>7888</v>
      </c>
      <c r="D6341" t="s">
        <v>7894</v>
      </c>
      <c r="E6341">
        <v>221257.12</v>
      </c>
      <c r="G6341" s="35"/>
      <c r="H6341" s="36">
        <f t="shared" si="296"/>
        <v>139391.98559999999</v>
      </c>
      <c r="I6341" s="37">
        <f t="shared" si="305"/>
        <v>139391.98559999999</v>
      </c>
      <c r="J6341" s="4"/>
      <c r="K6341" s="38">
        <f t="shared" si="306"/>
        <v>0</v>
      </c>
    </row>
    <row r="6342" spans="1:11">
      <c r="A6342" t="s">
        <v>1732</v>
      </c>
      <c r="B6342" t="s">
        <v>12674</v>
      </c>
      <c r="C6342" t="s">
        <v>7324</v>
      </c>
      <c r="D6342" t="s">
        <v>7325</v>
      </c>
      <c r="E6342">
        <v>106493.83</v>
      </c>
      <c r="G6342" s="35"/>
      <c r="H6342" s="36">
        <f t="shared" si="296"/>
        <v>67091.112900000007</v>
      </c>
      <c r="I6342" s="37">
        <f t="shared" si="305"/>
        <v>67091.112900000007</v>
      </c>
      <c r="J6342" s="4"/>
      <c r="K6342" s="38">
        <f t="shared" si="306"/>
        <v>0</v>
      </c>
    </row>
    <row r="6343" spans="1:11">
      <c r="A6343" t="s">
        <v>1733</v>
      </c>
      <c r="B6343" t="s">
        <v>12674</v>
      </c>
      <c r="C6343" t="s">
        <v>7324</v>
      </c>
      <c r="D6343" t="s">
        <v>7326</v>
      </c>
      <c r="E6343">
        <v>117143.53</v>
      </c>
      <c r="G6343" s="35"/>
      <c r="H6343" s="36">
        <f t="shared" ref="H6343:H6406" si="307">+E6343*$H$1*(1-G6343)</f>
        <v>73800.423899999994</v>
      </c>
      <c r="I6343" s="37">
        <f t="shared" ref="I6343:I6356" si="308">H6343*$H$4</f>
        <v>73800.423899999994</v>
      </c>
      <c r="J6343" s="4"/>
      <c r="K6343" s="38">
        <f t="shared" ref="K6343:K6356" si="309">J6343*I6343</f>
        <v>0</v>
      </c>
    </row>
    <row r="6344" spans="1:11">
      <c r="A6344" t="s">
        <v>1734</v>
      </c>
      <c r="B6344" t="s">
        <v>12674</v>
      </c>
      <c r="C6344" t="s">
        <v>7324</v>
      </c>
      <c r="D6344" t="s">
        <v>7327</v>
      </c>
      <c r="E6344">
        <v>141996.9</v>
      </c>
      <c r="G6344" s="35"/>
      <c r="H6344" s="36">
        <f t="shared" si="307"/>
        <v>89458.046999999991</v>
      </c>
      <c r="I6344" s="37">
        <f t="shared" si="308"/>
        <v>89458.046999999991</v>
      </c>
      <c r="J6344" s="4"/>
      <c r="K6344" s="38">
        <f t="shared" si="309"/>
        <v>0</v>
      </c>
    </row>
    <row r="6345" spans="1:11">
      <c r="A6345" t="s">
        <v>1735</v>
      </c>
      <c r="B6345" t="s">
        <v>12674</v>
      </c>
      <c r="C6345" t="s">
        <v>7324</v>
      </c>
      <c r="D6345" t="s">
        <v>7328</v>
      </c>
      <c r="E6345">
        <v>106494.04</v>
      </c>
      <c r="G6345" s="35"/>
      <c r="H6345" s="36">
        <f t="shared" si="307"/>
        <v>67091.24519999999</v>
      </c>
      <c r="I6345" s="37">
        <f t="shared" si="308"/>
        <v>67091.24519999999</v>
      </c>
      <c r="J6345" s="4"/>
      <c r="K6345" s="38">
        <f t="shared" si="309"/>
        <v>0</v>
      </c>
    </row>
    <row r="6346" spans="1:11">
      <c r="A6346" t="s">
        <v>1736</v>
      </c>
      <c r="B6346" t="s">
        <v>12674</v>
      </c>
      <c r="C6346" t="s">
        <v>7324</v>
      </c>
      <c r="D6346" t="s">
        <v>7329</v>
      </c>
      <c r="E6346">
        <v>179639.69</v>
      </c>
      <c r="G6346" s="35"/>
      <c r="H6346" s="36">
        <f t="shared" si="307"/>
        <v>113173.0047</v>
      </c>
      <c r="I6346" s="37">
        <f t="shared" si="308"/>
        <v>113173.0047</v>
      </c>
      <c r="J6346" s="4"/>
      <c r="K6346" s="38">
        <f t="shared" si="309"/>
        <v>0</v>
      </c>
    </row>
    <row r="6347" spans="1:11">
      <c r="A6347" t="s">
        <v>1737</v>
      </c>
      <c r="B6347" t="s">
        <v>12674</v>
      </c>
      <c r="C6347" t="s">
        <v>7324</v>
      </c>
      <c r="D6347" t="s">
        <v>7330</v>
      </c>
      <c r="E6347">
        <v>117143.53</v>
      </c>
      <c r="G6347" s="35"/>
      <c r="H6347" s="36">
        <f t="shared" si="307"/>
        <v>73800.423899999994</v>
      </c>
      <c r="I6347" s="37">
        <f t="shared" si="308"/>
        <v>73800.423899999994</v>
      </c>
      <c r="J6347" s="4"/>
      <c r="K6347" s="38">
        <f t="shared" si="309"/>
        <v>0</v>
      </c>
    </row>
    <row r="6348" spans="1:11">
      <c r="A6348" t="s">
        <v>1738</v>
      </c>
      <c r="B6348" t="s">
        <v>12674</v>
      </c>
      <c r="C6348" t="s">
        <v>7324</v>
      </c>
      <c r="D6348" t="s">
        <v>7331</v>
      </c>
      <c r="E6348">
        <v>106493.83</v>
      </c>
      <c r="G6348" s="35"/>
      <c r="H6348" s="36">
        <f t="shared" si="307"/>
        <v>67091.112900000007</v>
      </c>
      <c r="I6348" s="37">
        <f t="shared" si="308"/>
        <v>67091.112900000007</v>
      </c>
      <c r="J6348" s="4"/>
      <c r="K6348" s="38">
        <f t="shared" si="309"/>
        <v>0</v>
      </c>
    </row>
    <row r="6349" spans="1:11">
      <c r="A6349" t="s">
        <v>1739</v>
      </c>
      <c r="B6349" t="s">
        <v>12674</v>
      </c>
      <c r="C6349" t="s">
        <v>7324</v>
      </c>
      <c r="D6349" t="s">
        <v>7332</v>
      </c>
      <c r="E6349">
        <v>117143.53</v>
      </c>
      <c r="G6349" s="35"/>
      <c r="H6349" s="36">
        <f t="shared" si="307"/>
        <v>73800.423899999994</v>
      </c>
      <c r="I6349" s="37">
        <f t="shared" si="308"/>
        <v>73800.423899999994</v>
      </c>
      <c r="J6349" s="4"/>
      <c r="K6349" s="38">
        <f t="shared" si="309"/>
        <v>0</v>
      </c>
    </row>
    <row r="6350" spans="1:11">
      <c r="A6350" t="s">
        <v>1740</v>
      </c>
      <c r="B6350" t="s">
        <v>12674</v>
      </c>
      <c r="C6350" t="s">
        <v>7324</v>
      </c>
      <c r="D6350" t="s">
        <v>7333</v>
      </c>
      <c r="E6350">
        <v>141996.9</v>
      </c>
      <c r="G6350" s="35"/>
      <c r="H6350" s="36">
        <f t="shared" si="307"/>
        <v>89458.046999999991</v>
      </c>
      <c r="I6350" s="37">
        <f t="shared" si="308"/>
        <v>89458.046999999991</v>
      </c>
      <c r="J6350" s="4"/>
      <c r="K6350" s="38">
        <f t="shared" si="309"/>
        <v>0</v>
      </c>
    </row>
    <row r="6351" spans="1:11">
      <c r="A6351" t="s">
        <v>1741</v>
      </c>
      <c r="B6351" t="s">
        <v>12674</v>
      </c>
      <c r="C6351" t="s">
        <v>7324</v>
      </c>
      <c r="D6351" t="s">
        <v>7334</v>
      </c>
      <c r="E6351">
        <v>106494.04</v>
      </c>
      <c r="G6351" s="35"/>
      <c r="H6351" s="36">
        <f t="shared" si="307"/>
        <v>67091.24519999999</v>
      </c>
      <c r="I6351" s="37">
        <f t="shared" si="308"/>
        <v>67091.24519999999</v>
      </c>
      <c r="J6351" s="4"/>
      <c r="K6351" s="38">
        <f t="shared" si="309"/>
        <v>0</v>
      </c>
    </row>
    <row r="6352" spans="1:11">
      <c r="A6352" t="s">
        <v>1742</v>
      </c>
      <c r="B6352" t="s">
        <v>12674</v>
      </c>
      <c r="C6352" t="s">
        <v>7324</v>
      </c>
      <c r="D6352" t="s">
        <v>7335</v>
      </c>
      <c r="E6352">
        <v>179639.69</v>
      </c>
      <c r="G6352" s="35"/>
      <c r="H6352" s="36">
        <f t="shared" si="307"/>
        <v>113173.0047</v>
      </c>
      <c r="I6352" s="37">
        <f t="shared" si="308"/>
        <v>113173.0047</v>
      </c>
      <c r="J6352" s="4"/>
      <c r="K6352" s="38">
        <f t="shared" si="309"/>
        <v>0</v>
      </c>
    </row>
    <row r="6353" spans="1:11">
      <c r="A6353" t="s">
        <v>1743</v>
      </c>
      <c r="B6353" t="s">
        <v>12674</v>
      </c>
      <c r="C6353" t="s">
        <v>7324</v>
      </c>
      <c r="D6353" t="s">
        <v>7336</v>
      </c>
      <c r="E6353">
        <v>117143.53</v>
      </c>
      <c r="G6353" s="35"/>
      <c r="H6353" s="36">
        <f t="shared" si="307"/>
        <v>73800.423899999994</v>
      </c>
      <c r="I6353" s="37">
        <f t="shared" si="308"/>
        <v>73800.423899999994</v>
      </c>
      <c r="J6353" s="4"/>
      <c r="K6353" s="38">
        <f t="shared" si="309"/>
        <v>0</v>
      </c>
    </row>
    <row r="6354" spans="1:11">
      <c r="A6354" t="s">
        <v>1744</v>
      </c>
      <c r="B6354" t="s">
        <v>12674</v>
      </c>
      <c r="C6354" t="s">
        <v>7337</v>
      </c>
      <c r="D6354" t="s">
        <v>7338</v>
      </c>
      <c r="E6354">
        <v>69388.91</v>
      </c>
      <c r="G6354" s="35"/>
      <c r="H6354" s="36">
        <f t="shared" si="307"/>
        <v>43715.013300000006</v>
      </c>
      <c r="I6354" s="37">
        <f t="shared" si="308"/>
        <v>43715.013300000006</v>
      </c>
      <c r="J6354" s="4"/>
      <c r="K6354" s="38">
        <f t="shared" si="309"/>
        <v>0</v>
      </c>
    </row>
    <row r="6355" spans="1:11">
      <c r="A6355" t="s">
        <v>1745</v>
      </c>
      <c r="B6355" t="s">
        <v>12674</v>
      </c>
      <c r="C6355" t="s">
        <v>7337</v>
      </c>
      <c r="D6355" t="s">
        <v>7339</v>
      </c>
      <c r="E6355">
        <v>69388.91</v>
      </c>
      <c r="G6355" s="35"/>
      <c r="H6355" s="36">
        <f t="shared" si="307"/>
        <v>43715.013300000006</v>
      </c>
      <c r="I6355" s="37">
        <f t="shared" si="308"/>
        <v>43715.013300000006</v>
      </c>
      <c r="J6355" s="4"/>
      <c r="K6355" s="38">
        <f t="shared" si="309"/>
        <v>0</v>
      </c>
    </row>
    <row r="6356" spans="1:11">
      <c r="A6356" t="s">
        <v>1746</v>
      </c>
      <c r="B6356" t="s">
        <v>12674</v>
      </c>
      <c r="C6356" t="s">
        <v>7337</v>
      </c>
      <c r="D6356" t="s">
        <v>7340</v>
      </c>
      <c r="E6356">
        <v>92519.13</v>
      </c>
      <c r="G6356" s="35"/>
      <c r="H6356" s="36">
        <f t="shared" si="307"/>
        <v>58287.051900000006</v>
      </c>
      <c r="I6356" s="37">
        <f t="shared" si="308"/>
        <v>58287.051900000006</v>
      </c>
      <c r="J6356" s="4"/>
      <c r="K6356" s="38">
        <f t="shared" si="309"/>
        <v>0</v>
      </c>
    </row>
    <row r="6357" spans="1:11">
      <c r="A6357" t="s">
        <v>1747</v>
      </c>
      <c r="B6357" t="s">
        <v>12674</v>
      </c>
      <c r="C6357" t="s">
        <v>7337</v>
      </c>
      <c r="D6357" t="s">
        <v>7341</v>
      </c>
      <c r="E6357">
        <v>69388.91</v>
      </c>
      <c r="G6357" s="35"/>
      <c r="H6357" s="36">
        <f t="shared" si="307"/>
        <v>43715.013300000006</v>
      </c>
      <c r="I6357" s="37">
        <f t="shared" ref="I6357:I6364" si="310">H6357*$H$4</f>
        <v>43715.013300000006</v>
      </c>
      <c r="J6357" s="4"/>
      <c r="K6357" s="38">
        <f t="shared" ref="K6357:K6364" si="311">J6357*I6357</f>
        <v>0</v>
      </c>
    </row>
    <row r="6358" spans="1:11">
      <c r="A6358" t="s">
        <v>1748</v>
      </c>
      <c r="B6358" t="s">
        <v>12674</v>
      </c>
      <c r="C6358" t="s">
        <v>7337</v>
      </c>
      <c r="D6358" t="s">
        <v>7342</v>
      </c>
      <c r="E6358">
        <v>69388.91</v>
      </c>
      <c r="G6358" s="35"/>
      <c r="H6358" s="36">
        <f t="shared" si="307"/>
        <v>43715.013300000006</v>
      </c>
      <c r="I6358" s="37">
        <f t="shared" si="310"/>
        <v>43715.013300000006</v>
      </c>
      <c r="J6358" s="4"/>
      <c r="K6358" s="38">
        <f t="shared" si="311"/>
        <v>0</v>
      </c>
    </row>
    <row r="6359" spans="1:11">
      <c r="A6359" t="s">
        <v>1749</v>
      </c>
      <c r="B6359" t="s">
        <v>12674</v>
      </c>
      <c r="C6359" t="s">
        <v>7337</v>
      </c>
      <c r="D6359" t="s">
        <v>7343</v>
      </c>
      <c r="E6359">
        <v>92519.13</v>
      </c>
      <c r="G6359" s="35"/>
      <c r="H6359" s="36">
        <f t="shared" si="307"/>
        <v>58287.051900000006</v>
      </c>
      <c r="I6359" s="37">
        <f t="shared" si="310"/>
        <v>58287.051900000006</v>
      </c>
      <c r="J6359" s="4"/>
      <c r="K6359" s="38">
        <f t="shared" si="311"/>
        <v>0</v>
      </c>
    </row>
    <row r="6360" spans="1:11">
      <c r="A6360" t="s">
        <v>2431</v>
      </c>
      <c r="B6360" t="s">
        <v>12674</v>
      </c>
      <c r="C6360" t="s">
        <v>7954</v>
      </c>
      <c r="D6360" t="s">
        <v>7067</v>
      </c>
      <c r="E6360">
        <v>106202.38</v>
      </c>
      <c r="G6360" s="35"/>
      <c r="H6360" s="36">
        <f t="shared" si="307"/>
        <v>66907.499400000001</v>
      </c>
      <c r="I6360" s="37">
        <f t="shared" si="310"/>
        <v>66907.499400000001</v>
      </c>
      <c r="J6360" s="4"/>
      <c r="K6360" s="38">
        <f t="shared" si="311"/>
        <v>0</v>
      </c>
    </row>
    <row r="6361" spans="1:11">
      <c r="A6361" t="s">
        <v>2432</v>
      </c>
      <c r="B6361" t="s">
        <v>12674</v>
      </c>
      <c r="C6361" t="s">
        <v>7954</v>
      </c>
      <c r="D6361" t="s">
        <v>7068</v>
      </c>
      <c r="E6361">
        <v>140832.38</v>
      </c>
      <c r="G6361" s="35"/>
      <c r="H6361" s="36">
        <f t="shared" si="307"/>
        <v>88724.399400000009</v>
      </c>
      <c r="I6361" s="37">
        <f t="shared" si="310"/>
        <v>88724.399400000009</v>
      </c>
      <c r="J6361" s="4"/>
      <c r="K6361" s="38">
        <f t="shared" si="311"/>
        <v>0</v>
      </c>
    </row>
    <row r="6362" spans="1:11">
      <c r="A6362" t="s">
        <v>2433</v>
      </c>
      <c r="B6362" t="s">
        <v>12674</v>
      </c>
      <c r="C6362" t="s">
        <v>7954</v>
      </c>
      <c r="D6362" t="s">
        <v>7955</v>
      </c>
      <c r="E6362">
        <v>164132.48000000001</v>
      </c>
      <c r="G6362" s="35"/>
      <c r="H6362" s="36">
        <f t="shared" si="307"/>
        <v>103403.4624</v>
      </c>
      <c r="I6362" s="37">
        <f t="shared" si="310"/>
        <v>103403.4624</v>
      </c>
      <c r="J6362" s="4"/>
      <c r="K6362" s="38">
        <f t="shared" si="311"/>
        <v>0</v>
      </c>
    </row>
    <row r="6363" spans="1:11">
      <c r="A6363" t="s">
        <v>2434</v>
      </c>
      <c r="B6363" t="s">
        <v>12674</v>
      </c>
      <c r="C6363" t="s">
        <v>7954</v>
      </c>
      <c r="D6363" t="s">
        <v>7956</v>
      </c>
      <c r="E6363">
        <v>106203.9</v>
      </c>
      <c r="G6363" s="35"/>
      <c r="H6363" s="36">
        <f t="shared" si="307"/>
        <v>66908.456999999995</v>
      </c>
      <c r="I6363" s="37">
        <f t="shared" si="310"/>
        <v>66908.456999999995</v>
      </c>
      <c r="J6363" s="4"/>
      <c r="K6363" s="38">
        <f t="shared" si="311"/>
        <v>0</v>
      </c>
    </row>
    <row r="6364" spans="1:11">
      <c r="A6364" t="s">
        <v>2435</v>
      </c>
      <c r="B6364" t="s">
        <v>12674</v>
      </c>
      <c r="C6364" t="s">
        <v>7954</v>
      </c>
      <c r="D6364" t="s">
        <v>7957</v>
      </c>
      <c r="E6364">
        <v>4719</v>
      </c>
      <c r="G6364" s="35"/>
      <c r="H6364" s="36">
        <f t="shared" si="307"/>
        <v>2972.97</v>
      </c>
      <c r="I6364" s="37">
        <f t="shared" si="310"/>
        <v>2972.97</v>
      </c>
      <c r="J6364" s="4"/>
      <c r="K6364" s="38">
        <f t="shared" si="311"/>
        <v>0</v>
      </c>
    </row>
    <row r="6365" spans="1:11">
      <c r="A6365" t="s">
        <v>2436</v>
      </c>
      <c r="B6365" t="s">
        <v>12674</v>
      </c>
      <c r="C6365" t="s">
        <v>7954</v>
      </c>
      <c r="D6365" t="s">
        <v>6630</v>
      </c>
      <c r="E6365">
        <v>35400.720000000001</v>
      </c>
      <c r="G6365" s="35"/>
      <c r="H6365" s="36">
        <f t="shared" si="307"/>
        <v>22302.453600000001</v>
      </c>
      <c r="I6365" s="37">
        <f t="shared" ref="I6365" si="312">H6365*$H$4</f>
        <v>22302.453600000001</v>
      </c>
      <c r="J6365" s="4"/>
      <c r="K6365" s="38">
        <f t="shared" ref="K6365" si="313">J6365*I6365</f>
        <v>0</v>
      </c>
    </row>
    <row r="6366" spans="1:11">
      <c r="A6366" t="s">
        <v>2437</v>
      </c>
      <c r="B6366" t="s">
        <v>12674</v>
      </c>
      <c r="C6366" t="s">
        <v>7954</v>
      </c>
      <c r="D6366" t="s">
        <v>7958</v>
      </c>
      <c r="E6366">
        <v>116824.2</v>
      </c>
      <c r="G6366" s="35"/>
      <c r="H6366" s="36">
        <f t="shared" si="307"/>
        <v>73599.245999999999</v>
      </c>
      <c r="I6366" s="37">
        <f t="shared" ref="I6366:I6367" si="314">H6366*$H$4</f>
        <v>73599.245999999999</v>
      </c>
      <c r="J6366" s="4"/>
      <c r="K6366" s="38">
        <f t="shared" ref="K6366:K6367" si="315">J6366*I6366</f>
        <v>0</v>
      </c>
    </row>
    <row r="6367" spans="1:11">
      <c r="A6367" t="s">
        <v>1656</v>
      </c>
      <c r="B6367" t="s">
        <v>12674</v>
      </c>
      <c r="C6367" t="s">
        <v>7247</v>
      </c>
      <c r="D6367" t="s">
        <v>7054</v>
      </c>
      <c r="E6367">
        <v>62259.78</v>
      </c>
      <c r="G6367" s="35"/>
      <c r="H6367" s="36">
        <f t="shared" si="307"/>
        <v>39223.661399999997</v>
      </c>
      <c r="I6367" s="37">
        <f t="shared" si="314"/>
        <v>39223.661399999997</v>
      </c>
      <c r="J6367" s="4"/>
      <c r="K6367" s="38">
        <f t="shared" si="315"/>
        <v>0</v>
      </c>
    </row>
    <row r="6368" spans="1:11">
      <c r="A6368" t="s">
        <v>1657</v>
      </c>
      <c r="B6368" t="s">
        <v>12674</v>
      </c>
      <c r="C6368" t="s">
        <v>7247</v>
      </c>
      <c r="D6368" t="s">
        <v>7055</v>
      </c>
      <c r="E6368">
        <v>62259.78</v>
      </c>
      <c r="G6368" s="35"/>
      <c r="H6368" s="36">
        <f t="shared" si="307"/>
        <v>39223.661399999997</v>
      </c>
      <c r="I6368" s="37">
        <f t="shared" ref="I6368:I6381" si="316">H6368*$H$4</f>
        <v>39223.661399999997</v>
      </c>
      <c r="J6368" s="4"/>
      <c r="K6368" s="38">
        <f t="shared" ref="K6368:K6381" si="317">J6368*I6368</f>
        <v>0</v>
      </c>
    </row>
    <row r="6369" spans="1:11">
      <c r="A6369" t="s">
        <v>1658</v>
      </c>
      <c r="B6369" t="s">
        <v>12674</v>
      </c>
      <c r="C6369" t="s">
        <v>7247</v>
      </c>
      <c r="D6369" t="s">
        <v>7245</v>
      </c>
      <c r="E6369">
        <v>83013.179999999993</v>
      </c>
      <c r="G6369" s="35"/>
      <c r="H6369" s="36">
        <f t="shared" si="307"/>
        <v>52298.303399999997</v>
      </c>
      <c r="I6369" s="37">
        <f t="shared" si="316"/>
        <v>52298.303399999997</v>
      </c>
      <c r="J6369" s="4"/>
      <c r="K6369" s="38">
        <f t="shared" si="317"/>
        <v>0</v>
      </c>
    </row>
    <row r="6370" spans="1:11">
      <c r="A6370" t="s">
        <v>1659</v>
      </c>
      <c r="B6370" t="s">
        <v>12674</v>
      </c>
      <c r="C6370" t="s">
        <v>7247</v>
      </c>
      <c r="D6370" t="s">
        <v>7246</v>
      </c>
      <c r="E6370">
        <v>62259.78</v>
      </c>
      <c r="G6370" s="35"/>
      <c r="H6370" s="36">
        <f t="shared" si="307"/>
        <v>39223.661399999997</v>
      </c>
      <c r="I6370" s="37">
        <f t="shared" si="316"/>
        <v>39223.661399999997</v>
      </c>
      <c r="J6370" s="4"/>
      <c r="K6370" s="38">
        <f t="shared" si="317"/>
        <v>0</v>
      </c>
    </row>
    <row r="6371" spans="1:11">
      <c r="A6371" t="s">
        <v>1720</v>
      </c>
      <c r="B6371" t="s">
        <v>12674</v>
      </c>
      <c r="C6371" t="s">
        <v>7312</v>
      </c>
      <c r="D6371" t="s">
        <v>7313</v>
      </c>
      <c r="E6371">
        <v>71836.72</v>
      </c>
      <c r="G6371" s="35"/>
      <c r="H6371" s="36">
        <f t="shared" si="307"/>
        <v>45257.133600000001</v>
      </c>
      <c r="I6371" s="37">
        <f t="shared" si="316"/>
        <v>45257.133600000001</v>
      </c>
      <c r="J6371" s="4"/>
      <c r="K6371" s="38">
        <f t="shared" si="317"/>
        <v>0</v>
      </c>
    </row>
    <row r="6372" spans="1:11">
      <c r="A6372" t="s">
        <v>1721</v>
      </c>
      <c r="B6372" t="s">
        <v>12674</v>
      </c>
      <c r="C6372" t="s">
        <v>7312</v>
      </c>
      <c r="D6372" t="s">
        <v>7314</v>
      </c>
      <c r="E6372">
        <v>71837.649999999994</v>
      </c>
      <c r="G6372" s="35"/>
      <c r="H6372" s="36">
        <f t="shared" si="307"/>
        <v>45257.719499999999</v>
      </c>
      <c r="I6372" s="37">
        <f t="shared" si="316"/>
        <v>45257.719499999999</v>
      </c>
      <c r="J6372" s="4"/>
      <c r="K6372" s="38">
        <f t="shared" si="317"/>
        <v>0</v>
      </c>
    </row>
    <row r="6373" spans="1:11">
      <c r="A6373" t="s">
        <v>1722</v>
      </c>
      <c r="B6373" t="s">
        <v>12674</v>
      </c>
      <c r="C6373" t="s">
        <v>7312</v>
      </c>
      <c r="D6373" t="s">
        <v>7315</v>
      </c>
      <c r="E6373">
        <v>126955.49</v>
      </c>
      <c r="G6373" s="35"/>
      <c r="H6373" s="36">
        <f t="shared" si="307"/>
        <v>79981.958700000003</v>
      </c>
      <c r="I6373" s="37">
        <f t="shared" si="316"/>
        <v>79981.958700000003</v>
      </c>
      <c r="J6373" s="4"/>
      <c r="K6373" s="38">
        <f t="shared" si="317"/>
        <v>0</v>
      </c>
    </row>
    <row r="6374" spans="1:11">
      <c r="A6374" t="s">
        <v>576</v>
      </c>
      <c r="B6374" t="s">
        <v>12674</v>
      </c>
      <c r="C6374" t="s">
        <v>6229</v>
      </c>
      <c r="D6374" t="s">
        <v>6230</v>
      </c>
      <c r="E6374">
        <v>63771.68</v>
      </c>
      <c r="G6374" s="35"/>
      <c r="H6374" s="36">
        <f t="shared" si="307"/>
        <v>40176.1584</v>
      </c>
      <c r="I6374" s="37">
        <f t="shared" si="316"/>
        <v>40176.1584</v>
      </c>
      <c r="J6374" s="4"/>
      <c r="K6374" s="38">
        <f t="shared" si="317"/>
        <v>0</v>
      </c>
    </row>
    <row r="6375" spans="1:11">
      <c r="A6375" t="s">
        <v>577</v>
      </c>
      <c r="B6375" t="s">
        <v>12674</v>
      </c>
      <c r="C6375" t="s">
        <v>6229</v>
      </c>
      <c r="D6375" t="s">
        <v>6231</v>
      </c>
      <c r="E6375">
        <v>22059.03</v>
      </c>
      <c r="G6375" s="35"/>
      <c r="H6375" s="36">
        <f t="shared" si="307"/>
        <v>13897.188899999999</v>
      </c>
      <c r="I6375" s="37">
        <f t="shared" si="316"/>
        <v>13897.188899999999</v>
      </c>
      <c r="J6375" s="4"/>
      <c r="K6375" s="38">
        <f t="shared" si="317"/>
        <v>0</v>
      </c>
    </row>
    <row r="6376" spans="1:11">
      <c r="A6376" t="s">
        <v>578</v>
      </c>
      <c r="B6376" t="s">
        <v>12674</v>
      </c>
      <c r="C6376" t="s">
        <v>6229</v>
      </c>
      <c r="D6376" t="s">
        <v>6232</v>
      </c>
      <c r="E6376">
        <v>23857.919999999998</v>
      </c>
      <c r="G6376" s="35"/>
      <c r="H6376" s="36">
        <f t="shared" si="307"/>
        <v>15030.489599999999</v>
      </c>
      <c r="I6376" s="37">
        <f t="shared" si="316"/>
        <v>15030.489599999999</v>
      </c>
      <c r="J6376" s="4"/>
      <c r="K6376" s="38">
        <f t="shared" si="317"/>
        <v>0</v>
      </c>
    </row>
    <row r="6377" spans="1:11">
      <c r="A6377" t="s">
        <v>579</v>
      </c>
      <c r="B6377" t="s">
        <v>12674</v>
      </c>
      <c r="C6377" t="s">
        <v>6229</v>
      </c>
      <c r="D6377" t="s">
        <v>6233</v>
      </c>
      <c r="E6377">
        <v>42196.76</v>
      </c>
      <c r="G6377" s="35"/>
      <c r="H6377" s="36">
        <f t="shared" si="307"/>
        <v>26583.9588</v>
      </c>
      <c r="I6377" s="37">
        <f t="shared" si="316"/>
        <v>26583.9588</v>
      </c>
      <c r="J6377" s="4"/>
      <c r="K6377" s="38">
        <f t="shared" si="317"/>
        <v>0</v>
      </c>
    </row>
    <row r="6378" spans="1:11">
      <c r="A6378" t="s">
        <v>580</v>
      </c>
      <c r="B6378" t="s">
        <v>12674</v>
      </c>
      <c r="C6378" t="s">
        <v>6229</v>
      </c>
      <c r="D6378" t="s">
        <v>6234</v>
      </c>
      <c r="E6378">
        <v>28320.03</v>
      </c>
      <c r="G6378" s="35"/>
      <c r="H6378" s="36">
        <f t="shared" si="307"/>
        <v>17841.618899999998</v>
      </c>
      <c r="I6378" s="37">
        <f t="shared" si="316"/>
        <v>17841.618899999998</v>
      </c>
      <c r="J6378" s="4"/>
      <c r="K6378" s="38">
        <f t="shared" si="317"/>
        <v>0</v>
      </c>
    </row>
    <row r="6379" spans="1:11">
      <c r="A6379" t="s">
        <v>1759</v>
      </c>
      <c r="B6379" t="s">
        <v>12674</v>
      </c>
      <c r="C6379" t="s">
        <v>7356</v>
      </c>
      <c r="D6379" t="s">
        <v>7357</v>
      </c>
      <c r="E6379">
        <v>173865.25</v>
      </c>
      <c r="G6379" s="35"/>
      <c r="H6379" s="36">
        <f t="shared" si="307"/>
        <v>109535.1075</v>
      </c>
      <c r="I6379" s="37">
        <f t="shared" si="316"/>
        <v>109535.1075</v>
      </c>
      <c r="J6379" s="4"/>
      <c r="K6379" s="38">
        <f t="shared" si="317"/>
        <v>0</v>
      </c>
    </row>
    <row r="6380" spans="1:11">
      <c r="A6380" t="s">
        <v>1760</v>
      </c>
      <c r="B6380" t="s">
        <v>12674</v>
      </c>
      <c r="C6380" t="s">
        <v>7356</v>
      </c>
      <c r="D6380" t="s">
        <v>7358</v>
      </c>
      <c r="E6380">
        <v>271063.67999999999</v>
      </c>
      <c r="G6380" s="35"/>
      <c r="H6380" s="36">
        <f t="shared" si="307"/>
        <v>170770.11840000001</v>
      </c>
      <c r="I6380" s="37">
        <f t="shared" si="316"/>
        <v>170770.11840000001</v>
      </c>
      <c r="J6380" s="4"/>
      <c r="K6380" s="38">
        <f t="shared" si="317"/>
        <v>0</v>
      </c>
    </row>
    <row r="6381" spans="1:11">
      <c r="A6381" t="s">
        <v>1761</v>
      </c>
      <c r="B6381" t="s">
        <v>12674</v>
      </c>
      <c r="C6381" t="s">
        <v>7356</v>
      </c>
      <c r="D6381" t="s">
        <v>7359</v>
      </c>
      <c r="E6381">
        <v>214537.02</v>
      </c>
      <c r="G6381" s="35"/>
      <c r="H6381" s="36">
        <f t="shared" si="307"/>
        <v>135158.32259999998</v>
      </c>
      <c r="I6381" s="37">
        <f t="shared" si="316"/>
        <v>135158.32259999998</v>
      </c>
      <c r="J6381" s="4"/>
      <c r="K6381" s="38">
        <f t="shared" si="317"/>
        <v>0</v>
      </c>
    </row>
    <row r="6382" spans="1:11">
      <c r="A6382" t="s">
        <v>1762</v>
      </c>
      <c r="B6382" t="s">
        <v>12674</v>
      </c>
      <c r="C6382" t="s">
        <v>7356</v>
      </c>
      <c r="D6382" t="s">
        <v>7360</v>
      </c>
      <c r="E6382">
        <v>258637.06</v>
      </c>
      <c r="G6382" s="35"/>
      <c r="H6382" s="36">
        <f t="shared" si="307"/>
        <v>162941.34779999999</v>
      </c>
      <c r="I6382" s="37">
        <f t="shared" ref="I6382:I6390" si="318">H6382*$H$4</f>
        <v>162941.34779999999</v>
      </c>
      <c r="J6382" s="4"/>
      <c r="K6382" s="38">
        <f t="shared" ref="K6382:K6390" si="319">J6382*I6382</f>
        <v>0</v>
      </c>
    </row>
    <row r="6383" spans="1:11">
      <c r="A6383" t="s">
        <v>1763</v>
      </c>
      <c r="B6383" t="s">
        <v>12674</v>
      </c>
      <c r="C6383" t="s">
        <v>7356</v>
      </c>
      <c r="D6383" t="s">
        <v>10089</v>
      </c>
      <c r="E6383">
        <v>144820.31</v>
      </c>
      <c r="G6383" s="35"/>
      <c r="H6383" s="36">
        <f t="shared" si="307"/>
        <v>91236.795299999998</v>
      </c>
      <c r="I6383" s="37">
        <f t="shared" si="318"/>
        <v>91236.795299999998</v>
      </c>
      <c r="J6383" s="4"/>
      <c r="K6383" s="38">
        <f t="shared" si="319"/>
        <v>0</v>
      </c>
    </row>
    <row r="6384" spans="1:11">
      <c r="A6384" t="s">
        <v>1764</v>
      </c>
      <c r="B6384" t="s">
        <v>12674</v>
      </c>
      <c r="C6384" t="s">
        <v>7356</v>
      </c>
      <c r="D6384" t="s">
        <v>7361</v>
      </c>
      <c r="E6384">
        <v>131589.01999999999</v>
      </c>
      <c r="G6384" s="35"/>
      <c r="H6384" s="36">
        <f t="shared" si="307"/>
        <v>82901.082599999994</v>
      </c>
      <c r="I6384" s="37">
        <f t="shared" si="318"/>
        <v>82901.082599999994</v>
      </c>
      <c r="J6384" s="4"/>
      <c r="K6384" s="38">
        <f t="shared" si="319"/>
        <v>0</v>
      </c>
    </row>
    <row r="6385" spans="1:11">
      <c r="A6385" t="s">
        <v>1765</v>
      </c>
      <c r="B6385" t="s">
        <v>12674</v>
      </c>
      <c r="C6385" t="s">
        <v>7356</v>
      </c>
      <c r="D6385" t="s">
        <v>7362</v>
      </c>
      <c r="E6385">
        <v>131589.01999999999</v>
      </c>
      <c r="G6385" s="35"/>
      <c r="H6385" s="36">
        <f t="shared" si="307"/>
        <v>82901.082599999994</v>
      </c>
      <c r="I6385" s="37">
        <f t="shared" si="318"/>
        <v>82901.082599999994</v>
      </c>
      <c r="J6385" s="4"/>
      <c r="K6385" s="38">
        <f t="shared" si="319"/>
        <v>0</v>
      </c>
    </row>
    <row r="6386" spans="1:11">
      <c r="A6386" t="s">
        <v>1766</v>
      </c>
      <c r="B6386" t="s">
        <v>12674</v>
      </c>
      <c r="C6386" t="s">
        <v>7356</v>
      </c>
      <c r="D6386" t="s">
        <v>7363</v>
      </c>
      <c r="E6386">
        <v>175452.25</v>
      </c>
      <c r="G6386" s="35"/>
      <c r="H6386" s="36">
        <f t="shared" si="307"/>
        <v>110534.9175</v>
      </c>
      <c r="I6386" s="37">
        <f t="shared" si="318"/>
        <v>110534.9175</v>
      </c>
      <c r="J6386" s="4"/>
      <c r="K6386" s="38">
        <f t="shared" si="319"/>
        <v>0</v>
      </c>
    </row>
    <row r="6387" spans="1:11">
      <c r="A6387" t="s">
        <v>1767</v>
      </c>
      <c r="B6387" t="s">
        <v>12674</v>
      </c>
      <c r="C6387" t="s">
        <v>7356</v>
      </c>
      <c r="D6387" t="s">
        <v>7364</v>
      </c>
      <c r="E6387">
        <v>123379.97</v>
      </c>
      <c r="G6387" s="35"/>
      <c r="H6387" s="36">
        <f t="shared" si="307"/>
        <v>77729.381099999999</v>
      </c>
      <c r="I6387" s="37">
        <f t="shared" si="318"/>
        <v>77729.381099999999</v>
      </c>
      <c r="J6387" s="4"/>
      <c r="K6387" s="38">
        <f t="shared" si="319"/>
        <v>0</v>
      </c>
    </row>
    <row r="6388" spans="1:11">
      <c r="A6388" t="s">
        <v>1768</v>
      </c>
      <c r="B6388" t="s">
        <v>12674</v>
      </c>
      <c r="C6388" t="s">
        <v>7356</v>
      </c>
      <c r="D6388" t="s">
        <v>7365</v>
      </c>
      <c r="E6388">
        <v>123379.97</v>
      </c>
      <c r="G6388" s="35"/>
      <c r="H6388" s="36">
        <f t="shared" si="307"/>
        <v>77729.381099999999</v>
      </c>
      <c r="I6388" s="37">
        <f t="shared" si="318"/>
        <v>77729.381099999999</v>
      </c>
      <c r="J6388" s="4"/>
      <c r="K6388" s="38">
        <f t="shared" si="319"/>
        <v>0</v>
      </c>
    </row>
    <row r="6389" spans="1:11">
      <c r="A6389" t="s">
        <v>1769</v>
      </c>
      <c r="B6389" t="s">
        <v>12674</v>
      </c>
      <c r="C6389" t="s">
        <v>7356</v>
      </c>
      <c r="D6389" t="s">
        <v>7366</v>
      </c>
      <c r="E6389">
        <v>164506.70000000001</v>
      </c>
      <c r="G6389" s="35"/>
      <c r="H6389" s="36">
        <f t="shared" si="307"/>
        <v>103639.22100000001</v>
      </c>
      <c r="I6389" s="37">
        <f t="shared" si="318"/>
        <v>103639.22100000001</v>
      </c>
      <c r="J6389" s="4"/>
      <c r="K6389" s="38">
        <f t="shared" si="319"/>
        <v>0</v>
      </c>
    </row>
    <row r="6390" spans="1:11">
      <c r="A6390" t="s">
        <v>1770</v>
      </c>
      <c r="B6390" t="s">
        <v>12674</v>
      </c>
      <c r="C6390" t="s">
        <v>7356</v>
      </c>
      <c r="D6390" t="s">
        <v>7367</v>
      </c>
      <c r="E6390">
        <v>123379.97</v>
      </c>
      <c r="G6390" s="35"/>
      <c r="H6390" s="36">
        <f t="shared" si="307"/>
        <v>77729.381099999999</v>
      </c>
      <c r="I6390" s="37">
        <f t="shared" si="318"/>
        <v>77729.381099999999</v>
      </c>
      <c r="J6390" s="4"/>
      <c r="K6390" s="38">
        <f t="shared" si="319"/>
        <v>0</v>
      </c>
    </row>
    <row r="6391" spans="1:11">
      <c r="A6391" t="s">
        <v>1771</v>
      </c>
      <c r="B6391" t="s">
        <v>12674</v>
      </c>
      <c r="C6391" t="s">
        <v>7356</v>
      </c>
      <c r="D6391" t="s">
        <v>7368</v>
      </c>
      <c r="E6391">
        <v>123379.97</v>
      </c>
      <c r="G6391" s="35"/>
      <c r="H6391" s="36">
        <f t="shared" si="307"/>
        <v>77729.381099999999</v>
      </c>
      <c r="I6391" s="37">
        <f t="shared" ref="I6391:I6415" si="320">H6391*$H$4</f>
        <v>77729.381099999999</v>
      </c>
      <c r="J6391" s="4"/>
      <c r="K6391" s="38">
        <f t="shared" ref="K6391:K6415" si="321">J6391*I6391</f>
        <v>0</v>
      </c>
    </row>
    <row r="6392" spans="1:11">
      <c r="A6392" t="s">
        <v>1772</v>
      </c>
      <c r="B6392" t="s">
        <v>12674</v>
      </c>
      <c r="C6392" t="s">
        <v>7356</v>
      </c>
      <c r="D6392" t="s">
        <v>7369</v>
      </c>
      <c r="E6392">
        <v>164506.70000000001</v>
      </c>
      <c r="G6392" s="35"/>
      <c r="H6392" s="36">
        <f t="shared" si="307"/>
        <v>103639.22100000001</v>
      </c>
      <c r="I6392" s="37">
        <f t="shared" si="320"/>
        <v>103639.22100000001</v>
      </c>
      <c r="J6392" s="4"/>
      <c r="K6392" s="38">
        <f t="shared" si="321"/>
        <v>0</v>
      </c>
    </row>
    <row r="6393" spans="1:11">
      <c r="A6393" t="s">
        <v>1773</v>
      </c>
      <c r="B6393" t="s">
        <v>12674</v>
      </c>
      <c r="C6393" t="s">
        <v>7356</v>
      </c>
      <c r="D6393" t="s">
        <v>7370</v>
      </c>
      <c r="E6393">
        <v>224366.78</v>
      </c>
      <c r="G6393" s="35"/>
      <c r="H6393" s="36">
        <f t="shared" si="307"/>
        <v>141351.07139999999</v>
      </c>
      <c r="I6393" s="37">
        <f t="shared" si="320"/>
        <v>141351.07139999999</v>
      </c>
      <c r="J6393" s="4"/>
      <c r="K6393" s="38">
        <f t="shared" si="321"/>
        <v>0</v>
      </c>
    </row>
    <row r="6394" spans="1:11">
      <c r="A6394" t="s">
        <v>1774</v>
      </c>
      <c r="B6394" t="s">
        <v>12674</v>
      </c>
      <c r="C6394" t="s">
        <v>7356</v>
      </c>
      <c r="D6394" t="s">
        <v>7371</v>
      </c>
      <c r="E6394">
        <v>61841.56</v>
      </c>
      <c r="G6394" s="35"/>
      <c r="H6394" s="36">
        <f t="shared" si="307"/>
        <v>38960.182800000002</v>
      </c>
      <c r="I6394" s="37">
        <f t="shared" si="320"/>
        <v>38960.182800000002</v>
      </c>
      <c r="J6394" s="4"/>
      <c r="K6394" s="38">
        <f t="shared" si="321"/>
        <v>0</v>
      </c>
    </row>
    <row r="6395" spans="1:11">
      <c r="A6395" t="s">
        <v>9844</v>
      </c>
      <c r="B6395" t="s">
        <v>12674</v>
      </c>
      <c r="C6395" t="s">
        <v>6578</v>
      </c>
      <c r="D6395" t="s">
        <v>9845</v>
      </c>
      <c r="E6395">
        <v>9464.2900000000009</v>
      </c>
      <c r="G6395" s="35"/>
      <c r="H6395" s="36">
        <f t="shared" si="307"/>
        <v>5962.5027000000009</v>
      </c>
      <c r="I6395" s="37">
        <f t="shared" si="320"/>
        <v>5962.5027000000009</v>
      </c>
      <c r="J6395" s="4"/>
      <c r="K6395" s="38">
        <f t="shared" si="321"/>
        <v>0</v>
      </c>
    </row>
    <row r="6396" spans="1:11">
      <c r="A6396" t="s">
        <v>927</v>
      </c>
      <c r="B6396" t="s">
        <v>12674</v>
      </c>
      <c r="C6396" t="s">
        <v>6578</v>
      </c>
      <c r="D6396" t="s">
        <v>6579</v>
      </c>
      <c r="E6396">
        <v>14664.05</v>
      </c>
      <c r="G6396" s="35"/>
      <c r="H6396" s="36">
        <f t="shared" si="307"/>
        <v>9238.3514999999989</v>
      </c>
      <c r="I6396" s="37">
        <f t="shared" si="320"/>
        <v>9238.3514999999989</v>
      </c>
      <c r="J6396" s="4"/>
      <c r="K6396" s="38">
        <f t="shared" si="321"/>
        <v>0</v>
      </c>
    </row>
    <row r="6397" spans="1:11">
      <c r="A6397" t="s">
        <v>928</v>
      </c>
      <c r="B6397" t="s">
        <v>12674</v>
      </c>
      <c r="C6397" t="s">
        <v>6578</v>
      </c>
      <c r="D6397" t="s">
        <v>6580</v>
      </c>
      <c r="E6397">
        <v>14664.05</v>
      </c>
      <c r="G6397" s="35"/>
      <c r="H6397" s="36">
        <f t="shared" si="307"/>
        <v>9238.3514999999989</v>
      </c>
      <c r="I6397" s="37">
        <f t="shared" si="320"/>
        <v>9238.3514999999989</v>
      </c>
      <c r="J6397" s="4"/>
      <c r="K6397" s="38">
        <f t="shared" si="321"/>
        <v>0</v>
      </c>
    </row>
    <row r="6398" spans="1:11">
      <c r="A6398" t="s">
        <v>929</v>
      </c>
      <c r="B6398" t="s">
        <v>12674</v>
      </c>
      <c r="C6398" t="s">
        <v>6578</v>
      </c>
      <c r="D6398" t="s">
        <v>6581</v>
      </c>
      <c r="E6398">
        <v>23193.31</v>
      </c>
      <c r="G6398" s="35"/>
      <c r="H6398" s="36">
        <f t="shared" si="307"/>
        <v>14611.785300000001</v>
      </c>
      <c r="I6398" s="37">
        <f t="shared" si="320"/>
        <v>14611.785300000001</v>
      </c>
      <c r="J6398" s="4"/>
      <c r="K6398" s="38">
        <f t="shared" si="321"/>
        <v>0</v>
      </c>
    </row>
    <row r="6399" spans="1:11">
      <c r="A6399" t="s">
        <v>930</v>
      </c>
      <c r="B6399" t="s">
        <v>12674</v>
      </c>
      <c r="C6399" t="s">
        <v>6578</v>
      </c>
      <c r="D6399" t="s">
        <v>6582</v>
      </c>
      <c r="E6399">
        <v>27058.87</v>
      </c>
      <c r="G6399" s="35"/>
      <c r="H6399" s="36">
        <f t="shared" si="307"/>
        <v>17047.088100000001</v>
      </c>
      <c r="I6399" s="37">
        <f t="shared" si="320"/>
        <v>17047.088100000001</v>
      </c>
      <c r="J6399" s="4"/>
      <c r="K6399" s="38">
        <f t="shared" si="321"/>
        <v>0</v>
      </c>
    </row>
    <row r="6400" spans="1:11">
      <c r="A6400" t="s">
        <v>931</v>
      </c>
      <c r="B6400" t="s">
        <v>12674</v>
      </c>
      <c r="C6400" t="s">
        <v>6578</v>
      </c>
      <c r="D6400" t="s">
        <v>6583</v>
      </c>
      <c r="E6400">
        <v>35174.11</v>
      </c>
      <c r="G6400" s="35"/>
      <c r="H6400" s="36">
        <f t="shared" si="307"/>
        <v>22159.689300000002</v>
      </c>
      <c r="I6400" s="37">
        <f t="shared" si="320"/>
        <v>22159.689300000002</v>
      </c>
      <c r="J6400" s="4"/>
      <c r="K6400" s="38">
        <f t="shared" si="321"/>
        <v>0</v>
      </c>
    </row>
    <row r="6401" spans="1:11">
      <c r="A6401" t="s">
        <v>9750</v>
      </c>
      <c r="B6401" t="s">
        <v>12674</v>
      </c>
      <c r="C6401" t="s">
        <v>6578</v>
      </c>
      <c r="D6401" t="s">
        <v>9751</v>
      </c>
      <c r="E6401">
        <v>213635.3</v>
      </c>
      <c r="G6401" s="35"/>
      <c r="H6401" s="36">
        <f t="shared" si="307"/>
        <v>134590.239</v>
      </c>
      <c r="I6401" s="37">
        <f t="shared" si="320"/>
        <v>134590.239</v>
      </c>
      <c r="J6401" s="4"/>
      <c r="K6401" s="38">
        <f t="shared" si="321"/>
        <v>0</v>
      </c>
    </row>
    <row r="6402" spans="1:11">
      <c r="A6402" t="s">
        <v>932</v>
      </c>
      <c r="B6402" t="s">
        <v>12674</v>
      </c>
      <c r="C6402" t="s">
        <v>6578</v>
      </c>
      <c r="D6402" t="s">
        <v>6584</v>
      </c>
      <c r="E6402">
        <v>87149.81</v>
      </c>
      <c r="G6402" s="35"/>
      <c r="H6402" s="36">
        <f t="shared" si="307"/>
        <v>54904.380299999997</v>
      </c>
      <c r="I6402" s="37">
        <f t="shared" si="320"/>
        <v>54904.380299999997</v>
      </c>
      <c r="J6402" s="4"/>
      <c r="K6402" s="38">
        <f t="shared" si="321"/>
        <v>0</v>
      </c>
    </row>
    <row r="6403" spans="1:11">
      <c r="A6403" t="s">
        <v>933</v>
      </c>
      <c r="B6403" t="s">
        <v>12674</v>
      </c>
      <c r="C6403" t="s">
        <v>6578</v>
      </c>
      <c r="D6403" t="s">
        <v>6585</v>
      </c>
      <c r="E6403">
        <v>115306.64</v>
      </c>
      <c r="G6403" s="35"/>
      <c r="H6403" s="36">
        <f t="shared" si="307"/>
        <v>72643.183199999999</v>
      </c>
      <c r="I6403" s="37">
        <f t="shared" si="320"/>
        <v>72643.183199999999</v>
      </c>
      <c r="J6403" s="4"/>
      <c r="K6403" s="38">
        <f t="shared" si="321"/>
        <v>0</v>
      </c>
    </row>
    <row r="6404" spans="1:11">
      <c r="A6404" t="s">
        <v>934</v>
      </c>
      <c r="B6404" t="s">
        <v>12674</v>
      </c>
      <c r="C6404" t="s">
        <v>6578</v>
      </c>
      <c r="D6404" t="s">
        <v>6586</v>
      </c>
      <c r="E6404">
        <v>8112.23</v>
      </c>
      <c r="G6404" s="35"/>
      <c r="H6404" s="36">
        <f t="shared" si="307"/>
        <v>5110.7048999999997</v>
      </c>
      <c r="I6404" s="37">
        <f t="shared" si="320"/>
        <v>5110.7048999999997</v>
      </c>
      <c r="J6404" s="4"/>
      <c r="K6404" s="38">
        <f t="shared" si="321"/>
        <v>0</v>
      </c>
    </row>
    <row r="6405" spans="1:11">
      <c r="A6405" t="s">
        <v>1628</v>
      </c>
      <c r="B6405" t="s">
        <v>12674</v>
      </c>
      <c r="C6405" t="s">
        <v>7216</v>
      </c>
      <c r="D6405" t="s">
        <v>7217</v>
      </c>
      <c r="E6405">
        <v>1291</v>
      </c>
      <c r="G6405" s="35"/>
      <c r="H6405" s="36">
        <f t="shared" si="307"/>
        <v>813.33</v>
      </c>
      <c r="I6405" s="37">
        <f t="shared" si="320"/>
        <v>813.33</v>
      </c>
      <c r="J6405" s="4"/>
      <c r="K6405" s="38">
        <f t="shared" si="321"/>
        <v>0</v>
      </c>
    </row>
    <row r="6406" spans="1:11">
      <c r="A6406" t="s">
        <v>2648</v>
      </c>
      <c r="B6406" t="s">
        <v>12674</v>
      </c>
      <c r="C6406" t="s">
        <v>8170</v>
      </c>
      <c r="D6406" t="s">
        <v>8171</v>
      </c>
      <c r="E6406">
        <v>82011.77</v>
      </c>
      <c r="G6406" s="35"/>
      <c r="H6406" s="36">
        <f t="shared" si="307"/>
        <v>51667.415100000006</v>
      </c>
      <c r="I6406" s="37">
        <f t="shared" si="320"/>
        <v>51667.415100000006</v>
      </c>
      <c r="J6406" s="4"/>
      <c r="K6406" s="38">
        <f t="shared" si="321"/>
        <v>0</v>
      </c>
    </row>
    <row r="6407" spans="1:11">
      <c r="A6407" t="s">
        <v>2649</v>
      </c>
      <c r="B6407" t="s">
        <v>12674</v>
      </c>
      <c r="C6407" t="s">
        <v>8170</v>
      </c>
      <c r="D6407" t="s">
        <v>8172</v>
      </c>
      <c r="E6407">
        <v>116569.71</v>
      </c>
      <c r="G6407" s="35"/>
      <c r="H6407" s="36">
        <f t="shared" ref="H6407:H6470" si="322">+E6407*$H$1*(1-G6407)</f>
        <v>73438.917300000001</v>
      </c>
      <c r="I6407" s="37">
        <f t="shared" si="320"/>
        <v>73438.917300000001</v>
      </c>
      <c r="J6407" s="4"/>
      <c r="K6407" s="38">
        <f t="shared" si="321"/>
        <v>0</v>
      </c>
    </row>
    <row r="6408" spans="1:11">
      <c r="A6408" t="s">
        <v>11928</v>
      </c>
      <c r="B6408" t="s">
        <v>12674</v>
      </c>
      <c r="C6408" t="s">
        <v>8170</v>
      </c>
      <c r="D6408" t="s">
        <v>11929</v>
      </c>
      <c r="E6408">
        <v>40666.03</v>
      </c>
      <c r="G6408" s="35"/>
      <c r="H6408" s="36">
        <f t="shared" si="322"/>
        <v>25619.598900000001</v>
      </c>
      <c r="I6408" s="37">
        <f t="shared" si="320"/>
        <v>25619.598900000001</v>
      </c>
      <c r="J6408" s="4"/>
      <c r="K6408" s="38">
        <f t="shared" si="321"/>
        <v>0</v>
      </c>
    </row>
    <row r="6409" spans="1:11">
      <c r="A6409" t="s">
        <v>1667</v>
      </c>
      <c r="B6409" t="s">
        <v>12674</v>
      </c>
      <c r="C6409" t="s">
        <v>7256</v>
      </c>
      <c r="D6409" t="s">
        <v>7257</v>
      </c>
      <c r="E6409">
        <v>11356.84</v>
      </c>
      <c r="G6409" s="35"/>
      <c r="H6409" s="36">
        <f t="shared" si="322"/>
        <v>7154.8091999999997</v>
      </c>
      <c r="I6409" s="37">
        <f t="shared" si="320"/>
        <v>7154.8091999999997</v>
      </c>
      <c r="J6409" s="4"/>
      <c r="K6409" s="38">
        <f t="shared" si="321"/>
        <v>0</v>
      </c>
    </row>
    <row r="6410" spans="1:11">
      <c r="A6410" t="s">
        <v>1668</v>
      </c>
      <c r="B6410" t="s">
        <v>12674</v>
      </c>
      <c r="C6410" t="s">
        <v>7256</v>
      </c>
      <c r="D6410" t="s">
        <v>7258</v>
      </c>
      <c r="E6410">
        <v>14503.94</v>
      </c>
      <c r="G6410" s="35"/>
      <c r="H6410" s="36">
        <f t="shared" si="322"/>
        <v>9137.4822000000004</v>
      </c>
      <c r="I6410" s="37">
        <f t="shared" si="320"/>
        <v>9137.4822000000004</v>
      </c>
      <c r="J6410" s="4"/>
      <c r="K6410" s="38">
        <f t="shared" si="321"/>
        <v>0</v>
      </c>
    </row>
    <row r="6411" spans="1:11">
      <c r="A6411" t="s">
        <v>1669</v>
      </c>
      <c r="B6411" t="s">
        <v>12674</v>
      </c>
      <c r="C6411" t="s">
        <v>7256</v>
      </c>
      <c r="D6411" t="s">
        <v>7259</v>
      </c>
      <c r="E6411">
        <v>14503.94</v>
      </c>
      <c r="G6411" s="35"/>
      <c r="H6411" s="36">
        <f t="shared" si="322"/>
        <v>9137.4822000000004</v>
      </c>
      <c r="I6411" s="37">
        <f t="shared" si="320"/>
        <v>9137.4822000000004</v>
      </c>
      <c r="J6411" s="4"/>
      <c r="K6411" s="38">
        <f t="shared" si="321"/>
        <v>0</v>
      </c>
    </row>
    <row r="6412" spans="1:11">
      <c r="A6412" t="s">
        <v>1670</v>
      </c>
      <c r="B6412" t="s">
        <v>12674</v>
      </c>
      <c r="C6412" t="s">
        <v>7256</v>
      </c>
      <c r="D6412" t="s">
        <v>7260</v>
      </c>
      <c r="E6412">
        <v>29043.360000000001</v>
      </c>
      <c r="G6412" s="35"/>
      <c r="H6412" s="36">
        <f t="shared" si="322"/>
        <v>18297.316800000001</v>
      </c>
      <c r="I6412" s="37">
        <f t="shared" si="320"/>
        <v>18297.316800000001</v>
      </c>
      <c r="J6412" s="4"/>
      <c r="K6412" s="38">
        <f t="shared" si="321"/>
        <v>0</v>
      </c>
    </row>
    <row r="6413" spans="1:11">
      <c r="A6413" t="s">
        <v>1671</v>
      </c>
      <c r="B6413" t="s">
        <v>12674</v>
      </c>
      <c r="C6413" t="s">
        <v>7256</v>
      </c>
      <c r="D6413" t="s">
        <v>7261</v>
      </c>
      <c r="E6413">
        <v>29043.360000000001</v>
      </c>
      <c r="G6413" s="35"/>
      <c r="H6413" s="36">
        <f t="shared" si="322"/>
        <v>18297.316800000001</v>
      </c>
      <c r="I6413" s="37">
        <f t="shared" si="320"/>
        <v>18297.316800000001</v>
      </c>
      <c r="J6413" s="4"/>
      <c r="K6413" s="38">
        <f t="shared" si="321"/>
        <v>0</v>
      </c>
    </row>
    <row r="6414" spans="1:11">
      <c r="A6414" t="s">
        <v>1672</v>
      </c>
      <c r="B6414" t="s">
        <v>12674</v>
      </c>
      <c r="C6414" t="s">
        <v>7256</v>
      </c>
      <c r="D6414" t="s">
        <v>7262</v>
      </c>
      <c r="E6414">
        <v>27086.12</v>
      </c>
      <c r="G6414" s="35"/>
      <c r="H6414" s="36">
        <f t="shared" si="322"/>
        <v>17064.2556</v>
      </c>
      <c r="I6414" s="37">
        <f t="shared" si="320"/>
        <v>17064.2556</v>
      </c>
      <c r="J6414" s="4"/>
      <c r="K6414" s="38">
        <f t="shared" si="321"/>
        <v>0</v>
      </c>
    </row>
    <row r="6415" spans="1:11">
      <c r="A6415" t="s">
        <v>1673</v>
      </c>
      <c r="B6415" t="s">
        <v>12674</v>
      </c>
      <c r="C6415" t="s">
        <v>7256</v>
      </c>
      <c r="D6415" t="s">
        <v>7263</v>
      </c>
      <c r="E6415">
        <v>27086.12</v>
      </c>
      <c r="G6415" s="35"/>
      <c r="H6415" s="36">
        <f t="shared" si="322"/>
        <v>17064.2556</v>
      </c>
      <c r="I6415" s="37">
        <f t="shared" si="320"/>
        <v>17064.2556</v>
      </c>
      <c r="J6415" s="4"/>
      <c r="K6415" s="38">
        <f t="shared" si="321"/>
        <v>0</v>
      </c>
    </row>
    <row r="6416" spans="1:11">
      <c r="A6416" t="s">
        <v>1674</v>
      </c>
      <c r="B6416" t="s">
        <v>12674</v>
      </c>
      <c r="C6416" t="s">
        <v>7256</v>
      </c>
      <c r="D6416" t="s">
        <v>7264</v>
      </c>
      <c r="E6416">
        <v>27086.12</v>
      </c>
      <c r="G6416" s="35"/>
      <c r="H6416" s="36">
        <f t="shared" si="322"/>
        <v>17064.2556</v>
      </c>
      <c r="I6416" s="37">
        <f t="shared" ref="I6416:I6454" si="323">H6416*$H$4</f>
        <v>17064.2556</v>
      </c>
      <c r="J6416" s="4"/>
      <c r="K6416" s="38">
        <f t="shared" ref="K6416:K6454" si="324">J6416*I6416</f>
        <v>0</v>
      </c>
    </row>
    <row r="6417" spans="1:11">
      <c r="A6417" t="s">
        <v>1675</v>
      </c>
      <c r="B6417" t="s">
        <v>12674</v>
      </c>
      <c r="C6417" t="s">
        <v>7256</v>
      </c>
      <c r="D6417" t="s">
        <v>7265</v>
      </c>
      <c r="E6417">
        <v>27086.12</v>
      </c>
      <c r="G6417" s="35"/>
      <c r="H6417" s="36">
        <f t="shared" si="322"/>
        <v>17064.2556</v>
      </c>
      <c r="I6417" s="37">
        <f t="shared" si="323"/>
        <v>17064.2556</v>
      </c>
      <c r="J6417" s="4"/>
      <c r="K6417" s="38">
        <f t="shared" si="324"/>
        <v>0</v>
      </c>
    </row>
    <row r="6418" spans="1:11">
      <c r="A6418" t="s">
        <v>1676</v>
      </c>
      <c r="B6418" t="s">
        <v>12674</v>
      </c>
      <c r="C6418" t="s">
        <v>7256</v>
      </c>
      <c r="D6418" t="s">
        <v>7266</v>
      </c>
      <c r="E6418">
        <v>15956.57</v>
      </c>
      <c r="G6418" s="35"/>
      <c r="H6418" s="36">
        <f t="shared" si="322"/>
        <v>10052.6391</v>
      </c>
      <c r="I6418" s="37">
        <f t="shared" si="323"/>
        <v>10052.6391</v>
      </c>
      <c r="J6418" s="4"/>
      <c r="K6418" s="38">
        <f t="shared" si="324"/>
        <v>0</v>
      </c>
    </row>
    <row r="6419" spans="1:11">
      <c r="A6419" t="s">
        <v>1677</v>
      </c>
      <c r="B6419" t="s">
        <v>12674</v>
      </c>
      <c r="C6419" t="s">
        <v>7256</v>
      </c>
      <c r="D6419" t="s">
        <v>7267</v>
      </c>
      <c r="E6419">
        <v>14255.25</v>
      </c>
      <c r="G6419" s="35"/>
      <c r="H6419" s="36">
        <f t="shared" si="322"/>
        <v>8980.8075000000008</v>
      </c>
      <c r="I6419" s="37">
        <f t="shared" si="323"/>
        <v>8980.8075000000008</v>
      </c>
      <c r="J6419" s="4"/>
      <c r="K6419" s="38">
        <f t="shared" si="324"/>
        <v>0</v>
      </c>
    </row>
    <row r="6420" spans="1:11">
      <c r="A6420" t="s">
        <v>1678</v>
      </c>
      <c r="B6420" t="s">
        <v>12674</v>
      </c>
      <c r="C6420" t="s">
        <v>7256</v>
      </c>
      <c r="D6420" t="s">
        <v>7268</v>
      </c>
      <c r="E6420">
        <v>19338.64</v>
      </c>
      <c r="G6420" s="35"/>
      <c r="H6420" s="36">
        <f t="shared" si="322"/>
        <v>12183.343199999999</v>
      </c>
      <c r="I6420" s="37">
        <f t="shared" si="323"/>
        <v>12183.343199999999</v>
      </c>
      <c r="J6420" s="4"/>
      <c r="K6420" s="38">
        <f t="shared" si="324"/>
        <v>0</v>
      </c>
    </row>
    <row r="6421" spans="1:11">
      <c r="A6421" t="s">
        <v>1679</v>
      </c>
      <c r="B6421" t="s">
        <v>12674</v>
      </c>
      <c r="C6421" t="s">
        <v>7256</v>
      </c>
      <c r="D6421" t="s">
        <v>7269</v>
      </c>
      <c r="E6421">
        <v>19338.64</v>
      </c>
      <c r="G6421" s="35"/>
      <c r="H6421" s="36">
        <f t="shared" si="322"/>
        <v>12183.343199999999</v>
      </c>
      <c r="I6421" s="37">
        <f t="shared" si="323"/>
        <v>12183.343199999999</v>
      </c>
      <c r="J6421" s="4"/>
      <c r="K6421" s="38">
        <f t="shared" si="324"/>
        <v>0</v>
      </c>
    </row>
    <row r="6422" spans="1:11">
      <c r="A6422" t="s">
        <v>1680</v>
      </c>
      <c r="B6422" t="s">
        <v>12674</v>
      </c>
      <c r="C6422" t="s">
        <v>7256</v>
      </c>
      <c r="D6422" t="s">
        <v>7270</v>
      </c>
      <c r="E6422">
        <v>14503.94</v>
      </c>
      <c r="G6422" s="35"/>
      <c r="H6422" s="36">
        <f t="shared" si="322"/>
        <v>9137.4822000000004</v>
      </c>
      <c r="I6422" s="37">
        <f t="shared" si="323"/>
        <v>9137.4822000000004</v>
      </c>
      <c r="J6422" s="4"/>
      <c r="K6422" s="38">
        <f t="shared" si="324"/>
        <v>0</v>
      </c>
    </row>
    <row r="6423" spans="1:11">
      <c r="A6423" t="s">
        <v>1681</v>
      </c>
      <c r="B6423" t="s">
        <v>12674</v>
      </c>
      <c r="C6423" t="s">
        <v>7256</v>
      </c>
      <c r="D6423" t="s">
        <v>7271</v>
      </c>
      <c r="E6423">
        <v>14503.94</v>
      </c>
      <c r="G6423" s="35"/>
      <c r="H6423" s="36">
        <f t="shared" si="322"/>
        <v>9137.4822000000004</v>
      </c>
      <c r="I6423" s="37">
        <f t="shared" si="323"/>
        <v>9137.4822000000004</v>
      </c>
      <c r="J6423" s="4"/>
      <c r="K6423" s="38">
        <f t="shared" si="324"/>
        <v>0</v>
      </c>
    </row>
    <row r="6424" spans="1:11">
      <c r="A6424" t="s">
        <v>1682</v>
      </c>
      <c r="B6424" t="s">
        <v>12674</v>
      </c>
      <c r="C6424" t="s">
        <v>7256</v>
      </c>
      <c r="D6424" t="s">
        <v>7272</v>
      </c>
      <c r="E6424">
        <v>14503.94</v>
      </c>
      <c r="G6424" s="35"/>
      <c r="H6424" s="36">
        <f t="shared" si="322"/>
        <v>9137.4822000000004</v>
      </c>
      <c r="I6424" s="37">
        <f t="shared" si="323"/>
        <v>9137.4822000000004</v>
      </c>
      <c r="J6424" s="4"/>
      <c r="K6424" s="38">
        <f t="shared" si="324"/>
        <v>0</v>
      </c>
    </row>
    <row r="6425" spans="1:11">
      <c r="A6425" t="s">
        <v>1683</v>
      </c>
      <c r="B6425" t="s">
        <v>12674</v>
      </c>
      <c r="C6425" t="s">
        <v>7256</v>
      </c>
      <c r="D6425" t="s">
        <v>7273</v>
      </c>
      <c r="E6425">
        <v>14503.94</v>
      </c>
      <c r="G6425" s="35"/>
      <c r="H6425" s="36">
        <f t="shared" si="322"/>
        <v>9137.4822000000004</v>
      </c>
      <c r="I6425" s="37">
        <f t="shared" si="323"/>
        <v>9137.4822000000004</v>
      </c>
      <c r="J6425" s="4"/>
      <c r="K6425" s="38">
        <f t="shared" si="324"/>
        <v>0</v>
      </c>
    </row>
    <row r="6426" spans="1:11">
      <c r="A6426" t="s">
        <v>1684</v>
      </c>
      <c r="B6426" t="s">
        <v>12674</v>
      </c>
      <c r="C6426" t="s">
        <v>7256</v>
      </c>
      <c r="D6426" t="s">
        <v>7274</v>
      </c>
      <c r="E6426">
        <v>9013.7099999999991</v>
      </c>
      <c r="G6426" s="35"/>
      <c r="H6426" s="36">
        <f t="shared" si="322"/>
        <v>5678.6372999999994</v>
      </c>
      <c r="I6426" s="37">
        <f t="shared" si="323"/>
        <v>5678.6372999999994</v>
      </c>
      <c r="J6426" s="4"/>
      <c r="K6426" s="38">
        <f t="shared" si="324"/>
        <v>0</v>
      </c>
    </row>
    <row r="6427" spans="1:11">
      <c r="A6427" t="s">
        <v>1685</v>
      </c>
      <c r="B6427" t="s">
        <v>12674</v>
      </c>
      <c r="C6427" t="s">
        <v>7256</v>
      </c>
      <c r="D6427" t="s">
        <v>7275</v>
      </c>
      <c r="E6427">
        <v>3679.04</v>
      </c>
      <c r="G6427" s="35"/>
      <c r="H6427" s="36">
        <f t="shared" si="322"/>
        <v>2317.7952</v>
      </c>
      <c r="I6427" s="37">
        <f t="shared" si="323"/>
        <v>2317.7952</v>
      </c>
      <c r="J6427" s="4"/>
      <c r="K6427" s="38">
        <f t="shared" si="324"/>
        <v>0</v>
      </c>
    </row>
    <row r="6428" spans="1:11">
      <c r="A6428" t="s">
        <v>1686</v>
      </c>
      <c r="B6428" t="s">
        <v>12674</v>
      </c>
      <c r="C6428" t="s">
        <v>7256</v>
      </c>
      <c r="D6428" t="s">
        <v>7276</v>
      </c>
      <c r="E6428">
        <v>24545.07</v>
      </c>
      <c r="G6428" s="35"/>
      <c r="H6428" s="36">
        <f t="shared" si="322"/>
        <v>15463.3941</v>
      </c>
      <c r="I6428" s="37">
        <f t="shared" si="323"/>
        <v>15463.3941</v>
      </c>
      <c r="J6428" s="4"/>
      <c r="K6428" s="38">
        <f t="shared" si="324"/>
        <v>0</v>
      </c>
    </row>
    <row r="6429" spans="1:11">
      <c r="A6429" t="s">
        <v>1687</v>
      </c>
      <c r="B6429" t="s">
        <v>12674</v>
      </c>
      <c r="C6429" t="s">
        <v>7256</v>
      </c>
      <c r="D6429" t="s">
        <v>7277</v>
      </c>
      <c r="E6429">
        <v>24545.07</v>
      </c>
      <c r="G6429" s="35"/>
      <c r="H6429" s="36">
        <f t="shared" si="322"/>
        <v>15463.3941</v>
      </c>
      <c r="I6429" s="37">
        <f t="shared" si="323"/>
        <v>15463.3941</v>
      </c>
      <c r="J6429" s="4"/>
      <c r="K6429" s="38">
        <f t="shared" si="324"/>
        <v>0</v>
      </c>
    </row>
    <row r="6430" spans="1:11">
      <c r="A6430" t="s">
        <v>9896</v>
      </c>
      <c r="B6430" t="s">
        <v>12674</v>
      </c>
      <c r="C6430" t="s">
        <v>7256</v>
      </c>
      <c r="D6430" t="s">
        <v>9897</v>
      </c>
      <c r="E6430">
        <v>20886.46</v>
      </c>
      <c r="G6430" s="35"/>
      <c r="H6430" s="36">
        <f t="shared" si="322"/>
        <v>13158.469799999999</v>
      </c>
      <c r="I6430" s="37">
        <f t="shared" si="323"/>
        <v>13158.469799999999</v>
      </c>
      <c r="J6430" s="4"/>
      <c r="K6430" s="38">
        <f t="shared" si="324"/>
        <v>0</v>
      </c>
    </row>
    <row r="6431" spans="1:11">
      <c r="A6431" t="s">
        <v>9898</v>
      </c>
      <c r="B6431" t="s">
        <v>12674</v>
      </c>
      <c r="C6431" t="s">
        <v>7256</v>
      </c>
      <c r="D6431" t="s">
        <v>9899</v>
      </c>
      <c r="E6431">
        <v>20886.46</v>
      </c>
      <c r="G6431" s="35"/>
      <c r="H6431" s="36">
        <f t="shared" si="322"/>
        <v>13158.469799999999</v>
      </c>
      <c r="I6431" s="37">
        <f t="shared" si="323"/>
        <v>13158.469799999999</v>
      </c>
      <c r="J6431" s="4"/>
      <c r="K6431" s="38">
        <f t="shared" si="324"/>
        <v>0</v>
      </c>
    </row>
    <row r="6432" spans="1:11">
      <c r="A6432" t="s">
        <v>1688</v>
      </c>
      <c r="B6432" t="s">
        <v>12674</v>
      </c>
      <c r="C6432" t="s">
        <v>7256</v>
      </c>
      <c r="D6432" t="s">
        <v>7278</v>
      </c>
      <c r="E6432">
        <v>52888.63</v>
      </c>
      <c r="G6432" s="35"/>
      <c r="H6432" s="36">
        <f t="shared" si="322"/>
        <v>33319.836900000002</v>
      </c>
      <c r="I6432" s="37">
        <f t="shared" si="323"/>
        <v>33319.836900000002</v>
      </c>
      <c r="J6432" s="4"/>
      <c r="K6432" s="38">
        <f t="shared" si="324"/>
        <v>0</v>
      </c>
    </row>
    <row r="6433" spans="1:11">
      <c r="A6433" t="s">
        <v>1689</v>
      </c>
      <c r="B6433" t="s">
        <v>12674</v>
      </c>
      <c r="C6433" t="s">
        <v>7256</v>
      </c>
      <c r="D6433" t="s">
        <v>7279</v>
      </c>
      <c r="E6433">
        <v>19338.82</v>
      </c>
      <c r="G6433" s="35"/>
      <c r="H6433" s="36">
        <f t="shared" si="322"/>
        <v>12183.4566</v>
      </c>
      <c r="I6433" s="37">
        <f t="shared" si="323"/>
        <v>12183.4566</v>
      </c>
      <c r="J6433" s="4"/>
      <c r="K6433" s="38">
        <f t="shared" si="324"/>
        <v>0</v>
      </c>
    </row>
    <row r="6434" spans="1:11">
      <c r="A6434" t="s">
        <v>1690</v>
      </c>
      <c r="B6434" t="s">
        <v>12674</v>
      </c>
      <c r="C6434" t="s">
        <v>7256</v>
      </c>
      <c r="D6434" t="s">
        <v>7280</v>
      </c>
      <c r="E6434">
        <v>19338.82</v>
      </c>
      <c r="G6434" s="35"/>
      <c r="H6434" s="36">
        <f t="shared" si="322"/>
        <v>12183.4566</v>
      </c>
      <c r="I6434" s="37">
        <f t="shared" si="323"/>
        <v>12183.4566</v>
      </c>
      <c r="J6434" s="4"/>
      <c r="K6434" s="38">
        <f t="shared" si="324"/>
        <v>0</v>
      </c>
    </row>
    <row r="6435" spans="1:11">
      <c r="A6435" t="s">
        <v>1691</v>
      </c>
      <c r="B6435" t="s">
        <v>12674</v>
      </c>
      <c r="C6435" t="s">
        <v>7256</v>
      </c>
      <c r="D6435" t="s">
        <v>7281</v>
      </c>
      <c r="E6435">
        <v>31707.42</v>
      </c>
      <c r="G6435" s="35"/>
      <c r="H6435" s="36">
        <f t="shared" si="322"/>
        <v>19975.674599999998</v>
      </c>
      <c r="I6435" s="37">
        <f t="shared" si="323"/>
        <v>19975.674599999998</v>
      </c>
      <c r="J6435" s="4"/>
      <c r="K6435" s="38">
        <f t="shared" si="324"/>
        <v>0</v>
      </c>
    </row>
    <row r="6436" spans="1:11">
      <c r="A6436" t="s">
        <v>1692</v>
      </c>
      <c r="B6436" t="s">
        <v>12674</v>
      </c>
      <c r="C6436" t="s">
        <v>7256</v>
      </c>
      <c r="D6436" t="s">
        <v>7282</v>
      </c>
      <c r="E6436">
        <v>5744.07</v>
      </c>
      <c r="G6436" s="35"/>
      <c r="H6436" s="36">
        <f t="shared" si="322"/>
        <v>3618.7640999999999</v>
      </c>
      <c r="I6436" s="37">
        <f t="shared" si="323"/>
        <v>3618.7640999999999</v>
      </c>
      <c r="J6436" s="4"/>
      <c r="K6436" s="38">
        <f t="shared" si="324"/>
        <v>0</v>
      </c>
    </row>
    <row r="6437" spans="1:11">
      <c r="A6437" t="s">
        <v>3831</v>
      </c>
      <c r="B6437" t="s">
        <v>12674</v>
      </c>
      <c r="C6437" t="s">
        <v>9316</v>
      </c>
      <c r="D6437" t="s">
        <v>9317</v>
      </c>
      <c r="E6437">
        <v>6301.92</v>
      </c>
      <c r="G6437" s="35"/>
      <c r="H6437" s="36">
        <f t="shared" si="322"/>
        <v>3970.2096000000001</v>
      </c>
      <c r="I6437" s="37">
        <f t="shared" si="323"/>
        <v>3970.2096000000001</v>
      </c>
      <c r="J6437" s="4"/>
      <c r="K6437" s="38">
        <f t="shared" si="324"/>
        <v>0</v>
      </c>
    </row>
    <row r="6438" spans="1:11">
      <c r="A6438" t="s">
        <v>3832</v>
      </c>
      <c r="B6438" t="s">
        <v>12674</v>
      </c>
      <c r="C6438" t="s">
        <v>9316</v>
      </c>
      <c r="D6438" t="s">
        <v>12273</v>
      </c>
      <c r="E6438">
        <v>1791.02</v>
      </c>
      <c r="G6438" s="35"/>
      <c r="H6438" s="36">
        <f t="shared" si="322"/>
        <v>1128.3425999999999</v>
      </c>
      <c r="I6438" s="37">
        <f t="shared" si="323"/>
        <v>1128.3425999999999</v>
      </c>
      <c r="J6438" s="4"/>
      <c r="K6438" s="38">
        <f t="shared" si="324"/>
        <v>0</v>
      </c>
    </row>
    <row r="6439" spans="1:11">
      <c r="A6439" t="s">
        <v>3833</v>
      </c>
      <c r="B6439" t="s">
        <v>12674</v>
      </c>
      <c r="C6439" t="s">
        <v>9316</v>
      </c>
      <c r="D6439" t="s">
        <v>9318</v>
      </c>
      <c r="E6439">
        <v>952.99</v>
      </c>
      <c r="G6439" s="35"/>
      <c r="H6439" s="36">
        <f t="shared" si="322"/>
        <v>600.38369999999998</v>
      </c>
      <c r="I6439" s="37">
        <f t="shared" si="323"/>
        <v>600.38369999999998</v>
      </c>
      <c r="J6439" s="4"/>
      <c r="K6439" s="38">
        <f t="shared" si="324"/>
        <v>0</v>
      </c>
    </row>
    <row r="6440" spans="1:11">
      <c r="A6440" t="s">
        <v>3834</v>
      </c>
      <c r="B6440" t="s">
        <v>12674</v>
      </c>
      <c r="C6440" t="s">
        <v>9316</v>
      </c>
      <c r="D6440" t="s">
        <v>9319</v>
      </c>
      <c r="E6440">
        <v>783.52</v>
      </c>
      <c r="G6440" s="35"/>
      <c r="H6440" s="36">
        <f t="shared" si="322"/>
        <v>493.61759999999998</v>
      </c>
      <c r="I6440" s="37">
        <f t="shared" si="323"/>
        <v>493.61759999999998</v>
      </c>
      <c r="J6440" s="4"/>
      <c r="K6440" s="38">
        <f t="shared" si="324"/>
        <v>0</v>
      </c>
    </row>
    <row r="6441" spans="1:11">
      <c r="A6441" t="s">
        <v>3835</v>
      </c>
      <c r="B6441" t="s">
        <v>12674</v>
      </c>
      <c r="C6441" t="s">
        <v>9316</v>
      </c>
      <c r="D6441" t="s">
        <v>9320</v>
      </c>
      <c r="E6441">
        <v>1773.6</v>
      </c>
      <c r="G6441" s="35"/>
      <c r="H6441" s="36">
        <f t="shared" si="322"/>
        <v>1117.3679999999999</v>
      </c>
      <c r="I6441" s="37">
        <f t="shared" si="323"/>
        <v>1117.3679999999999</v>
      </c>
      <c r="J6441" s="4"/>
      <c r="K6441" s="38">
        <f t="shared" si="324"/>
        <v>0</v>
      </c>
    </row>
    <row r="6442" spans="1:11">
      <c r="A6442" t="s">
        <v>3836</v>
      </c>
      <c r="B6442" t="s">
        <v>12674</v>
      </c>
      <c r="C6442" t="s">
        <v>9316</v>
      </c>
      <c r="D6442" t="s">
        <v>9321</v>
      </c>
      <c r="E6442">
        <v>145.63</v>
      </c>
      <c r="G6442" s="35"/>
      <c r="H6442" s="36">
        <f t="shared" si="322"/>
        <v>91.746899999999997</v>
      </c>
      <c r="I6442" s="37">
        <f t="shared" si="323"/>
        <v>91.746899999999997</v>
      </c>
      <c r="J6442" s="4"/>
      <c r="K6442" s="38">
        <f t="shared" si="324"/>
        <v>0</v>
      </c>
    </row>
    <row r="6443" spans="1:11">
      <c r="A6443" t="s">
        <v>3837</v>
      </c>
      <c r="B6443" t="s">
        <v>12674</v>
      </c>
      <c r="C6443" t="s">
        <v>9316</v>
      </c>
      <c r="D6443" t="s">
        <v>9322</v>
      </c>
      <c r="E6443">
        <v>31641.03</v>
      </c>
      <c r="G6443" s="35"/>
      <c r="H6443" s="36">
        <f t="shared" si="322"/>
        <v>19933.848900000001</v>
      </c>
      <c r="I6443" s="37">
        <f t="shared" si="323"/>
        <v>19933.848900000001</v>
      </c>
      <c r="J6443" s="4"/>
      <c r="K6443" s="38">
        <f t="shared" si="324"/>
        <v>0</v>
      </c>
    </row>
    <row r="6444" spans="1:11">
      <c r="A6444" t="s">
        <v>3838</v>
      </c>
      <c r="B6444" t="s">
        <v>12674</v>
      </c>
      <c r="C6444" t="s">
        <v>9316</v>
      </c>
      <c r="D6444" t="s">
        <v>9323</v>
      </c>
      <c r="E6444">
        <v>7182.81</v>
      </c>
      <c r="G6444" s="35"/>
      <c r="H6444" s="36">
        <f t="shared" si="322"/>
        <v>4525.1703000000007</v>
      </c>
      <c r="I6444" s="37">
        <f t="shared" si="323"/>
        <v>4525.1703000000007</v>
      </c>
      <c r="J6444" s="4"/>
      <c r="K6444" s="38">
        <f t="shared" si="324"/>
        <v>0</v>
      </c>
    </row>
    <row r="6445" spans="1:11">
      <c r="A6445" t="s">
        <v>3839</v>
      </c>
      <c r="B6445" t="s">
        <v>12674</v>
      </c>
      <c r="C6445" t="s">
        <v>9316</v>
      </c>
      <c r="D6445" t="s">
        <v>9324</v>
      </c>
      <c r="E6445">
        <v>2435.17</v>
      </c>
      <c r="G6445" s="35"/>
      <c r="H6445" s="36">
        <f t="shared" si="322"/>
        <v>1534.1571000000001</v>
      </c>
      <c r="I6445" s="37">
        <f t="shared" si="323"/>
        <v>1534.1571000000001</v>
      </c>
      <c r="J6445" s="4"/>
      <c r="K6445" s="38">
        <f t="shared" si="324"/>
        <v>0</v>
      </c>
    </row>
    <row r="6446" spans="1:11">
      <c r="A6446" t="s">
        <v>3840</v>
      </c>
      <c r="B6446" t="s">
        <v>12674</v>
      </c>
      <c r="C6446" t="s">
        <v>9316</v>
      </c>
      <c r="D6446" t="s">
        <v>9325</v>
      </c>
      <c r="E6446">
        <v>29043.759999999998</v>
      </c>
      <c r="G6446" s="35"/>
      <c r="H6446" s="36">
        <f t="shared" si="322"/>
        <v>18297.568800000001</v>
      </c>
      <c r="I6446" s="37">
        <f t="shared" si="323"/>
        <v>18297.568800000001</v>
      </c>
      <c r="J6446" s="4"/>
      <c r="K6446" s="38">
        <f t="shared" si="324"/>
        <v>0</v>
      </c>
    </row>
    <row r="6447" spans="1:11">
      <c r="A6447" t="s">
        <v>103</v>
      </c>
      <c r="B6447" t="s">
        <v>12674</v>
      </c>
      <c r="C6447" t="s">
        <v>5663</v>
      </c>
      <c r="D6447" t="s">
        <v>5664</v>
      </c>
      <c r="E6447">
        <v>22659.48</v>
      </c>
      <c r="G6447" s="35"/>
      <c r="H6447" s="36">
        <f t="shared" si="322"/>
        <v>14275.472400000001</v>
      </c>
      <c r="I6447" s="37">
        <f t="shared" si="323"/>
        <v>14275.472400000001</v>
      </c>
      <c r="J6447" s="4"/>
      <c r="K6447" s="38">
        <f t="shared" si="324"/>
        <v>0</v>
      </c>
    </row>
    <row r="6448" spans="1:11">
      <c r="A6448" t="s">
        <v>104</v>
      </c>
      <c r="B6448" t="s">
        <v>12674</v>
      </c>
      <c r="C6448" t="s">
        <v>5663</v>
      </c>
      <c r="D6448" t="s">
        <v>5665</v>
      </c>
      <c r="E6448">
        <v>30551.63</v>
      </c>
      <c r="G6448" s="35"/>
      <c r="H6448" s="36">
        <f t="shared" si="322"/>
        <v>19247.526900000001</v>
      </c>
      <c r="I6448" s="37">
        <f t="shared" si="323"/>
        <v>19247.526900000001</v>
      </c>
      <c r="J6448" s="4"/>
      <c r="K6448" s="38">
        <f t="shared" si="324"/>
        <v>0</v>
      </c>
    </row>
    <row r="6449" spans="1:11">
      <c r="A6449" t="s">
        <v>187</v>
      </c>
      <c r="B6449" t="s">
        <v>12674</v>
      </c>
      <c r="C6449" t="s">
        <v>5768</v>
      </c>
      <c r="D6449" t="s">
        <v>5769</v>
      </c>
      <c r="E6449">
        <v>10346.14</v>
      </c>
      <c r="G6449" s="35"/>
      <c r="H6449" s="36">
        <f t="shared" si="322"/>
        <v>6518.0681999999997</v>
      </c>
      <c r="I6449" s="37">
        <f t="shared" si="323"/>
        <v>6518.0681999999997</v>
      </c>
      <c r="J6449" s="4"/>
      <c r="K6449" s="38">
        <f t="shared" si="324"/>
        <v>0</v>
      </c>
    </row>
    <row r="6450" spans="1:11">
      <c r="A6450" t="s">
        <v>188</v>
      </c>
      <c r="B6450" t="s">
        <v>12674</v>
      </c>
      <c r="C6450" t="s">
        <v>5768</v>
      </c>
      <c r="D6450" t="s">
        <v>5770</v>
      </c>
      <c r="E6450">
        <v>15206.05</v>
      </c>
      <c r="G6450" s="35"/>
      <c r="H6450" s="36">
        <f t="shared" si="322"/>
        <v>9579.8114999999998</v>
      </c>
      <c r="I6450" s="37">
        <f t="shared" si="323"/>
        <v>9579.8114999999998</v>
      </c>
      <c r="J6450" s="4"/>
      <c r="K6450" s="38">
        <f t="shared" si="324"/>
        <v>0</v>
      </c>
    </row>
    <row r="6451" spans="1:11">
      <c r="A6451" t="s">
        <v>189</v>
      </c>
      <c r="B6451" t="s">
        <v>12674</v>
      </c>
      <c r="C6451" t="s">
        <v>5768</v>
      </c>
      <c r="D6451" t="s">
        <v>5771</v>
      </c>
      <c r="E6451">
        <v>6791.94</v>
      </c>
      <c r="G6451" s="35"/>
      <c r="H6451" s="36">
        <f t="shared" si="322"/>
        <v>4278.9222</v>
      </c>
      <c r="I6451" s="37">
        <f t="shared" si="323"/>
        <v>4278.9222</v>
      </c>
      <c r="J6451" s="4"/>
      <c r="K6451" s="38">
        <f t="shared" si="324"/>
        <v>0</v>
      </c>
    </row>
    <row r="6452" spans="1:11">
      <c r="A6452" t="s">
        <v>190</v>
      </c>
      <c r="B6452" t="s">
        <v>12674</v>
      </c>
      <c r="C6452" t="s">
        <v>5768</v>
      </c>
      <c r="D6452" t="s">
        <v>5772</v>
      </c>
      <c r="E6452">
        <v>7323.53</v>
      </c>
      <c r="G6452" s="35"/>
      <c r="H6452" s="36">
        <f t="shared" si="322"/>
        <v>4613.8239000000003</v>
      </c>
      <c r="I6452" s="37">
        <f t="shared" si="323"/>
        <v>4613.8239000000003</v>
      </c>
      <c r="J6452" s="4"/>
      <c r="K6452" s="38">
        <f t="shared" si="324"/>
        <v>0</v>
      </c>
    </row>
    <row r="6453" spans="1:11">
      <c r="A6453" t="s">
        <v>191</v>
      </c>
      <c r="B6453" t="s">
        <v>12674</v>
      </c>
      <c r="C6453" t="s">
        <v>5768</v>
      </c>
      <c r="D6453" t="s">
        <v>5773</v>
      </c>
      <c r="E6453">
        <v>19037.48</v>
      </c>
      <c r="G6453" s="35"/>
      <c r="H6453" s="36">
        <f t="shared" si="322"/>
        <v>11993.6124</v>
      </c>
      <c r="I6453" s="37">
        <f t="shared" si="323"/>
        <v>11993.6124</v>
      </c>
      <c r="J6453" s="4"/>
      <c r="K6453" s="38">
        <f t="shared" si="324"/>
        <v>0</v>
      </c>
    </row>
    <row r="6454" spans="1:11">
      <c r="A6454" t="s">
        <v>192</v>
      </c>
      <c r="B6454" t="s">
        <v>12674</v>
      </c>
      <c r="C6454" t="s">
        <v>5768</v>
      </c>
      <c r="D6454" t="s">
        <v>5774</v>
      </c>
      <c r="E6454">
        <v>21188.68</v>
      </c>
      <c r="G6454" s="35"/>
      <c r="H6454" s="36">
        <f t="shared" si="322"/>
        <v>13348.868399999999</v>
      </c>
      <c r="I6454" s="37">
        <f t="shared" si="323"/>
        <v>13348.868399999999</v>
      </c>
      <c r="J6454" s="4"/>
      <c r="K6454" s="38">
        <f t="shared" si="324"/>
        <v>0</v>
      </c>
    </row>
    <row r="6455" spans="1:11">
      <c r="A6455" t="s">
        <v>193</v>
      </c>
      <c r="B6455" t="s">
        <v>12674</v>
      </c>
      <c r="C6455" t="s">
        <v>5768</v>
      </c>
      <c r="D6455" t="s">
        <v>5775</v>
      </c>
      <c r="E6455">
        <v>10242.68</v>
      </c>
      <c r="G6455" s="35"/>
      <c r="H6455" s="36">
        <f t="shared" si="322"/>
        <v>6452.8883999999998</v>
      </c>
      <c r="I6455" s="37">
        <f t="shared" ref="I6455:I6475" si="325">H6455*$H$4</f>
        <v>6452.8883999999998</v>
      </c>
      <c r="J6455" s="4"/>
      <c r="K6455" s="38">
        <f t="shared" ref="K6455:K6475" si="326">J6455*I6455</f>
        <v>0</v>
      </c>
    </row>
    <row r="6456" spans="1:11">
      <c r="A6456" t="s">
        <v>194</v>
      </c>
      <c r="B6456" t="s">
        <v>12674</v>
      </c>
      <c r="C6456" t="s">
        <v>5768</v>
      </c>
      <c r="D6456" t="s">
        <v>5776</v>
      </c>
      <c r="E6456">
        <v>19999.330000000002</v>
      </c>
      <c r="G6456" s="35"/>
      <c r="H6456" s="36">
        <f t="shared" si="322"/>
        <v>12599.577900000002</v>
      </c>
      <c r="I6456" s="37">
        <f t="shared" si="325"/>
        <v>12599.577900000002</v>
      </c>
      <c r="J6456" s="4"/>
      <c r="K6456" s="38">
        <f t="shared" si="326"/>
        <v>0</v>
      </c>
    </row>
    <row r="6457" spans="1:11">
      <c r="A6457" t="s">
        <v>195</v>
      </c>
      <c r="B6457" t="s">
        <v>12674</v>
      </c>
      <c r="C6457" t="s">
        <v>5768</v>
      </c>
      <c r="D6457" t="s">
        <v>5777</v>
      </c>
      <c r="E6457">
        <v>11776.77</v>
      </c>
      <c r="G6457" s="35"/>
      <c r="H6457" s="36">
        <f t="shared" si="322"/>
        <v>7419.3651</v>
      </c>
      <c r="I6457" s="37">
        <f t="shared" si="325"/>
        <v>7419.3651</v>
      </c>
      <c r="J6457" s="4"/>
      <c r="K6457" s="38">
        <f t="shared" si="326"/>
        <v>0</v>
      </c>
    </row>
    <row r="6458" spans="1:11">
      <c r="A6458" t="s">
        <v>196</v>
      </c>
      <c r="B6458" t="s">
        <v>12674</v>
      </c>
      <c r="C6458" t="s">
        <v>5768</v>
      </c>
      <c r="D6458" t="s">
        <v>5778</v>
      </c>
      <c r="E6458">
        <v>24013.08</v>
      </c>
      <c r="G6458" s="35"/>
      <c r="H6458" s="36">
        <f t="shared" si="322"/>
        <v>15128.240400000001</v>
      </c>
      <c r="I6458" s="37">
        <f t="shared" si="325"/>
        <v>15128.240400000001</v>
      </c>
      <c r="J6458" s="4"/>
      <c r="K6458" s="38">
        <f t="shared" si="326"/>
        <v>0</v>
      </c>
    </row>
    <row r="6459" spans="1:11">
      <c r="A6459" t="s">
        <v>197</v>
      </c>
      <c r="B6459" t="s">
        <v>12674</v>
      </c>
      <c r="C6459" t="s">
        <v>5768</v>
      </c>
      <c r="D6459" t="s">
        <v>5779</v>
      </c>
      <c r="E6459">
        <v>23311.05</v>
      </c>
      <c r="G6459" s="35"/>
      <c r="H6459" s="36">
        <f t="shared" si="322"/>
        <v>14685.961499999999</v>
      </c>
      <c r="I6459" s="37">
        <f t="shared" si="325"/>
        <v>14685.961499999999</v>
      </c>
      <c r="J6459" s="4"/>
      <c r="K6459" s="38">
        <f t="shared" si="326"/>
        <v>0</v>
      </c>
    </row>
    <row r="6460" spans="1:11">
      <c r="A6460" t="s">
        <v>198</v>
      </c>
      <c r="B6460" t="s">
        <v>12674</v>
      </c>
      <c r="C6460" t="s">
        <v>5768</v>
      </c>
      <c r="D6460" t="s">
        <v>5780</v>
      </c>
      <c r="E6460">
        <v>22623.21</v>
      </c>
      <c r="G6460" s="35"/>
      <c r="H6460" s="36">
        <f t="shared" si="322"/>
        <v>14252.622299999999</v>
      </c>
      <c r="I6460" s="37">
        <f t="shared" si="325"/>
        <v>14252.622299999999</v>
      </c>
      <c r="J6460" s="4"/>
      <c r="K6460" s="38">
        <f t="shared" si="326"/>
        <v>0</v>
      </c>
    </row>
    <row r="6461" spans="1:11">
      <c r="A6461" t="s">
        <v>199</v>
      </c>
      <c r="B6461" t="s">
        <v>12674</v>
      </c>
      <c r="C6461" t="s">
        <v>5768</v>
      </c>
      <c r="D6461" t="s">
        <v>5781</v>
      </c>
      <c r="E6461">
        <v>23899.29</v>
      </c>
      <c r="G6461" s="35"/>
      <c r="H6461" s="36">
        <f t="shared" si="322"/>
        <v>15056.5527</v>
      </c>
      <c r="I6461" s="37">
        <f t="shared" si="325"/>
        <v>15056.5527</v>
      </c>
      <c r="J6461" s="4"/>
      <c r="K6461" s="38">
        <f t="shared" si="326"/>
        <v>0</v>
      </c>
    </row>
    <row r="6462" spans="1:11">
      <c r="A6462" t="s">
        <v>11257</v>
      </c>
      <c r="B6462" t="s">
        <v>12674</v>
      </c>
      <c r="C6462" t="s">
        <v>12532</v>
      </c>
      <c r="D6462" t="s">
        <v>12533</v>
      </c>
      <c r="E6462">
        <v>5803.26</v>
      </c>
      <c r="G6462" s="35"/>
      <c r="H6462" s="36">
        <f t="shared" si="322"/>
        <v>3656.0538000000001</v>
      </c>
      <c r="I6462" s="37">
        <f t="shared" si="325"/>
        <v>3656.0538000000001</v>
      </c>
      <c r="J6462" s="4"/>
      <c r="K6462" s="38">
        <f t="shared" si="326"/>
        <v>0</v>
      </c>
    </row>
    <row r="6463" spans="1:11">
      <c r="A6463" t="s">
        <v>2916</v>
      </c>
      <c r="B6463" t="s">
        <v>12674</v>
      </c>
      <c r="C6463" t="s">
        <v>12532</v>
      </c>
      <c r="D6463" t="s">
        <v>12534</v>
      </c>
      <c r="E6463">
        <v>5803.26</v>
      </c>
      <c r="G6463" s="35"/>
      <c r="H6463" s="36">
        <f t="shared" si="322"/>
        <v>3656.0538000000001</v>
      </c>
      <c r="I6463" s="37">
        <f t="shared" si="325"/>
        <v>3656.0538000000001</v>
      </c>
      <c r="J6463" s="4"/>
      <c r="K6463" s="38">
        <f t="shared" si="326"/>
        <v>0</v>
      </c>
    </row>
    <row r="6464" spans="1:11">
      <c r="A6464" t="s">
        <v>2917</v>
      </c>
      <c r="B6464" t="s">
        <v>12674</v>
      </c>
      <c r="C6464" t="s">
        <v>12532</v>
      </c>
      <c r="D6464" t="s">
        <v>12535</v>
      </c>
      <c r="E6464">
        <v>9928.86</v>
      </c>
      <c r="G6464" s="35"/>
      <c r="H6464" s="36">
        <f t="shared" si="322"/>
        <v>6255.1818000000003</v>
      </c>
      <c r="I6464" s="37">
        <f t="shared" si="325"/>
        <v>6255.1818000000003</v>
      </c>
      <c r="J6464" s="4"/>
      <c r="K6464" s="38">
        <f t="shared" si="326"/>
        <v>0</v>
      </c>
    </row>
    <row r="6465" spans="1:11">
      <c r="A6465" t="s">
        <v>2918</v>
      </c>
      <c r="B6465" t="s">
        <v>12674</v>
      </c>
      <c r="C6465" t="s">
        <v>12532</v>
      </c>
      <c r="D6465" t="s">
        <v>11258</v>
      </c>
      <c r="E6465">
        <v>6673.73</v>
      </c>
      <c r="G6465" s="35"/>
      <c r="H6465" s="36">
        <f t="shared" si="322"/>
        <v>4204.4498999999996</v>
      </c>
      <c r="I6465" s="37">
        <f t="shared" si="325"/>
        <v>4204.4498999999996</v>
      </c>
      <c r="J6465" s="4"/>
      <c r="K6465" s="38">
        <f t="shared" si="326"/>
        <v>0</v>
      </c>
    </row>
    <row r="6466" spans="1:11">
      <c r="A6466" t="s">
        <v>2919</v>
      </c>
      <c r="B6466" t="s">
        <v>12674</v>
      </c>
      <c r="C6466" t="s">
        <v>12532</v>
      </c>
      <c r="D6466" t="s">
        <v>11259</v>
      </c>
      <c r="E6466">
        <v>11418.17</v>
      </c>
      <c r="G6466" s="35"/>
      <c r="H6466" s="36">
        <f t="shared" si="322"/>
        <v>7193.4471000000003</v>
      </c>
      <c r="I6466" s="37">
        <f t="shared" si="325"/>
        <v>7193.4471000000003</v>
      </c>
      <c r="J6466" s="4"/>
      <c r="K6466" s="38">
        <f t="shared" si="326"/>
        <v>0</v>
      </c>
    </row>
    <row r="6467" spans="1:11">
      <c r="A6467" t="s">
        <v>2587</v>
      </c>
      <c r="B6467" t="s">
        <v>12674</v>
      </c>
      <c r="C6467" t="s">
        <v>8092</v>
      </c>
      <c r="D6467" t="s">
        <v>8118</v>
      </c>
      <c r="E6467">
        <v>4335.37</v>
      </c>
      <c r="G6467" s="35"/>
      <c r="H6467" s="36">
        <f t="shared" si="322"/>
        <v>2731.2831000000001</v>
      </c>
      <c r="I6467" s="37">
        <f t="shared" si="325"/>
        <v>2731.2831000000001</v>
      </c>
      <c r="J6467" s="4"/>
      <c r="K6467" s="38">
        <f t="shared" si="326"/>
        <v>0</v>
      </c>
    </row>
    <row r="6468" spans="1:11">
      <c r="A6468" t="s">
        <v>2588</v>
      </c>
      <c r="B6468" t="s">
        <v>12674</v>
      </c>
      <c r="C6468" t="s">
        <v>8092</v>
      </c>
      <c r="D6468" t="s">
        <v>8119</v>
      </c>
      <c r="E6468">
        <v>5224.05</v>
      </c>
      <c r="G6468" s="35"/>
      <c r="H6468" s="36">
        <f t="shared" si="322"/>
        <v>3291.1514999999999</v>
      </c>
      <c r="I6468" s="37">
        <f t="shared" si="325"/>
        <v>3291.1514999999999</v>
      </c>
      <c r="J6468" s="4"/>
      <c r="K6468" s="38">
        <f t="shared" si="326"/>
        <v>0</v>
      </c>
    </row>
    <row r="6469" spans="1:11">
      <c r="A6469" t="s">
        <v>2589</v>
      </c>
      <c r="B6469" t="s">
        <v>12674</v>
      </c>
      <c r="C6469" t="s">
        <v>8092</v>
      </c>
      <c r="D6469" t="s">
        <v>8120</v>
      </c>
      <c r="E6469">
        <v>7466.47</v>
      </c>
      <c r="G6469" s="35"/>
      <c r="H6469" s="36">
        <f t="shared" si="322"/>
        <v>4703.8761000000004</v>
      </c>
      <c r="I6469" s="37">
        <f t="shared" si="325"/>
        <v>4703.8761000000004</v>
      </c>
      <c r="J6469" s="4"/>
      <c r="K6469" s="38">
        <f t="shared" si="326"/>
        <v>0</v>
      </c>
    </row>
    <row r="6470" spans="1:11">
      <c r="A6470" t="s">
        <v>12536</v>
      </c>
      <c r="B6470" t="s">
        <v>12674</v>
      </c>
      <c r="C6470" t="s">
        <v>12453</v>
      </c>
      <c r="D6470" t="s">
        <v>12537</v>
      </c>
      <c r="E6470">
        <v>7164.7</v>
      </c>
      <c r="G6470" s="35"/>
      <c r="H6470" s="36">
        <f t="shared" si="322"/>
        <v>4513.7609999999995</v>
      </c>
      <c r="I6470" s="37">
        <f t="shared" si="325"/>
        <v>4513.7609999999995</v>
      </c>
      <c r="J6470" s="4"/>
      <c r="K6470" s="38">
        <f t="shared" si="326"/>
        <v>0</v>
      </c>
    </row>
    <row r="6471" spans="1:11">
      <c r="A6471" t="s">
        <v>12538</v>
      </c>
      <c r="B6471" t="s">
        <v>12674</v>
      </c>
      <c r="C6471" t="s">
        <v>12453</v>
      </c>
      <c r="D6471" t="s">
        <v>12539</v>
      </c>
      <c r="E6471">
        <v>14487.53</v>
      </c>
      <c r="G6471" s="35"/>
      <c r="H6471" s="36">
        <f t="shared" ref="H6471:H6497" si="327">+E6471*$H$1*(1-G6471)</f>
        <v>9127.1439000000009</v>
      </c>
      <c r="I6471" s="37">
        <f t="shared" si="325"/>
        <v>9127.1439000000009</v>
      </c>
      <c r="J6471" s="4"/>
      <c r="K6471" s="38">
        <f t="shared" si="326"/>
        <v>0</v>
      </c>
    </row>
    <row r="6472" spans="1:11">
      <c r="A6472" t="s">
        <v>12540</v>
      </c>
      <c r="B6472" t="s">
        <v>12674</v>
      </c>
      <c r="C6472" t="s">
        <v>12453</v>
      </c>
      <c r="D6472" t="s">
        <v>12541</v>
      </c>
      <c r="E6472">
        <v>11063.7</v>
      </c>
      <c r="G6472" s="35"/>
      <c r="H6472" s="36">
        <f t="shared" si="327"/>
        <v>6970.1310000000003</v>
      </c>
      <c r="I6472" s="37">
        <f t="shared" si="325"/>
        <v>6970.1310000000003</v>
      </c>
      <c r="J6472" s="4"/>
      <c r="K6472" s="38">
        <f t="shared" si="326"/>
        <v>0</v>
      </c>
    </row>
    <row r="6473" spans="1:11">
      <c r="A6473" t="s">
        <v>12542</v>
      </c>
      <c r="B6473" t="s">
        <v>12674</v>
      </c>
      <c r="C6473" t="s">
        <v>12453</v>
      </c>
      <c r="D6473" t="s">
        <v>12543</v>
      </c>
      <c r="E6473">
        <v>16348.9</v>
      </c>
      <c r="G6473" s="35"/>
      <c r="H6473" s="36">
        <f t="shared" si="327"/>
        <v>10299.807000000001</v>
      </c>
      <c r="I6473" s="37">
        <f t="shared" si="325"/>
        <v>10299.807000000001</v>
      </c>
      <c r="J6473" s="4"/>
      <c r="K6473" s="38">
        <f t="shared" si="326"/>
        <v>0</v>
      </c>
    </row>
    <row r="6474" spans="1:11">
      <c r="A6474" t="s">
        <v>12544</v>
      </c>
      <c r="B6474" t="s">
        <v>12674</v>
      </c>
      <c r="C6474" t="s">
        <v>12453</v>
      </c>
      <c r="D6474" t="s">
        <v>12545</v>
      </c>
      <c r="E6474">
        <v>14412.03</v>
      </c>
      <c r="G6474" s="35"/>
      <c r="H6474" s="36">
        <f t="shared" si="327"/>
        <v>9079.5789000000004</v>
      </c>
      <c r="I6474" s="37">
        <f t="shared" si="325"/>
        <v>9079.5789000000004</v>
      </c>
      <c r="J6474" s="4"/>
      <c r="K6474" s="38">
        <f t="shared" si="326"/>
        <v>0</v>
      </c>
    </row>
    <row r="6475" spans="1:11">
      <c r="A6475" t="s">
        <v>213</v>
      </c>
      <c r="B6475" t="s">
        <v>12674</v>
      </c>
      <c r="C6475" t="s">
        <v>12453</v>
      </c>
      <c r="D6475" t="s">
        <v>12454</v>
      </c>
      <c r="E6475">
        <v>2770.22</v>
      </c>
      <c r="G6475" s="35"/>
      <c r="H6475" s="36">
        <f t="shared" si="327"/>
        <v>1745.2385999999999</v>
      </c>
      <c r="I6475" s="37">
        <f t="shared" si="325"/>
        <v>1745.2385999999999</v>
      </c>
      <c r="J6475" s="4"/>
      <c r="K6475" s="38">
        <f t="shared" si="326"/>
        <v>0</v>
      </c>
    </row>
    <row r="6476" spans="1:11">
      <c r="A6476" t="s">
        <v>12546</v>
      </c>
      <c r="B6476" t="s">
        <v>12674</v>
      </c>
      <c r="C6476" t="s">
        <v>12453</v>
      </c>
      <c r="D6476" t="s">
        <v>12547</v>
      </c>
      <c r="E6476">
        <v>28601.63</v>
      </c>
      <c r="G6476" s="35"/>
      <c r="H6476" s="36">
        <f t="shared" si="327"/>
        <v>18019.026900000001</v>
      </c>
      <c r="I6476" s="37">
        <f t="shared" ref="I6476:I6482" si="328">H6476*$H$4</f>
        <v>18019.026900000001</v>
      </c>
      <c r="J6476" s="4"/>
      <c r="K6476" s="38">
        <f t="shared" ref="K6476:K6482" si="329">J6476*I6476</f>
        <v>0</v>
      </c>
    </row>
    <row r="6477" spans="1:11">
      <c r="A6477" t="s">
        <v>12455</v>
      </c>
      <c r="B6477" t="s">
        <v>12674</v>
      </c>
      <c r="C6477" t="s">
        <v>12453</v>
      </c>
      <c r="D6477" t="s">
        <v>12515</v>
      </c>
      <c r="E6477">
        <v>8630.35</v>
      </c>
      <c r="G6477" s="35"/>
      <c r="H6477" s="36">
        <f t="shared" si="327"/>
        <v>5437.1205</v>
      </c>
      <c r="I6477" s="37">
        <f t="shared" si="328"/>
        <v>5437.1205</v>
      </c>
      <c r="J6477" s="4"/>
      <c r="K6477" s="38">
        <f t="shared" si="329"/>
        <v>0</v>
      </c>
    </row>
    <row r="6478" spans="1:11">
      <c r="A6478" t="s">
        <v>12456</v>
      </c>
      <c r="B6478" t="s">
        <v>12674</v>
      </c>
      <c r="C6478" t="s">
        <v>12453</v>
      </c>
      <c r="D6478" t="s">
        <v>12457</v>
      </c>
      <c r="E6478">
        <v>12132.6</v>
      </c>
      <c r="G6478" s="35"/>
      <c r="H6478" s="36">
        <f t="shared" si="327"/>
        <v>7643.5380000000005</v>
      </c>
      <c r="I6478" s="37">
        <f t="shared" si="328"/>
        <v>7643.5380000000005</v>
      </c>
      <c r="J6478" s="4"/>
      <c r="K6478" s="38">
        <f t="shared" si="329"/>
        <v>0</v>
      </c>
    </row>
    <row r="6479" spans="1:11">
      <c r="A6479" t="s">
        <v>329</v>
      </c>
      <c r="B6479" t="s">
        <v>12674</v>
      </c>
      <c r="C6479" t="s">
        <v>5905</v>
      </c>
      <c r="D6479" t="s">
        <v>5906</v>
      </c>
      <c r="E6479">
        <v>8828.33</v>
      </c>
      <c r="G6479" s="35"/>
      <c r="H6479" s="36">
        <f t="shared" si="327"/>
        <v>5561.8478999999998</v>
      </c>
      <c r="I6479" s="37">
        <f t="shared" si="328"/>
        <v>5561.8478999999998</v>
      </c>
      <c r="J6479" s="4"/>
      <c r="K6479" s="38">
        <f t="shared" si="329"/>
        <v>0</v>
      </c>
    </row>
    <row r="6480" spans="1:11">
      <c r="A6480" t="s">
        <v>330</v>
      </c>
      <c r="B6480" t="s">
        <v>12674</v>
      </c>
      <c r="C6480" t="s">
        <v>5905</v>
      </c>
      <c r="D6480" t="s">
        <v>5907</v>
      </c>
      <c r="E6480">
        <v>40303.15</v>
      </c>
      <c r="G6480" s="35"/>
      <c r="H6480" s="36">
        <f t="shared" si="327"/>
        <v>25390.984500000002</v>
      </c>
      <c r="I6480" s="37">
        <f t="shared" si="328"/>
        <v>25390.984500000002</v>
      </c>
      <c r="J6480" s="4"/>
      <c r="K6480" s="38">
        <f t="shared" si="329"/>
        <v>0</v>
      </c>
    </row>
    <row r="6481" spans="1:11">
      <c r="A6481" t="s">
        <v>331</v>
      </c>
      <c r="B6481" t="s">
        <v>12674</v>
      </c>
      <c r="C6481" t="s">
        <v>5905</v>
      </c>
      <c r="D6481" t="s">
        <v>5908</v>
      </c>
      <c r="E6481">
        <v>71654.23</v>
      </c>
      <c r="G6481" s="35"/>
      <c r="H6481" s="36">
        <f t="shared" si="327"/>
        <v>45142.164899999996</v>
      </c>
      <c r="I6481" s="37">
        <f t="shared" si="328"/>
        <v>45142.164899999996</v>
      </c>
      <c r="J6481" s="4"/>
      <c r="K6481" s="38">
        <f t="shared" si="329"/>
        <v>0</v>
      </c>
    </row>
    <row r="6482" spans="1:11">
      <c r="A6482" t="s">
        <v>332</v>
      </c>
      <c r="B6482" t="s">
        <v>12674</v>
      </c>
      <c r="C6482" t="s">
        <v>5905</v>
      </c>
      <c r="D6482" t="s">
        <v>5909</v>
      </c>
      <c r="E6482">
        <v>21978.15</v>
      </c>
      <c r="G6482" s="35"/>
      <c r="H6482" s="36">
        <f t="shared" si="327"/>
        <v>13846.2345</v>
      </c>
      <c r="I6482" s="37">
        <f t="shared" si="328"/>
        <v>13846.2345</v>
      </c>
      <c r="J6482" s="4"/>
      <c r="K6482" s="38">
        <f t="shared" si="329"/>
        <v>0</v>
      </c>
    </row>
    <row r="6483" spans="1:11">
      <c r="A6483" t="s">
        <v>632</v>
      </c>
      <c r="B6483" t="s">
        <v>12674</v>
      </c>
      <c r="C6483" t="s">
        <v>6286</v>
      </c>
      <c r="D6483" t="s">
        <v>11810</v>
      </c>
      <c r="E6483">
        <v>3540.44</v>
      </c>
      <c r="G6483" s="35"/>
      <c r="H6483" s="36">
        <f t="shared" si="327"/>
        <v>2230.4772000000003</v>
      </c>
      <c r="I6483" s="37">
        <f t="shared" ref="I6483:I6497" si="330">H6483*$H$4</f>
        <v>2230.4772000000003</v>
      </c>
      <c r="J6483" s="4"/>
      <c r="K6483" s="38">
        <f t="shared" ref="K6483:K6497" si="331">J6483*I6483</f>
        <v>0</v>
      </c>
    </row>
    <row r="6484" spans="1:11">
      <c r="A6484" t="s">
        <v>12548</v>
      </c>
      <c r="B6484" t="s">
        <v>12674</v>
      </c>
      <c r="C6484" t="s">
        <v>12549</v>
      </c>
      <c r="D6484" t="s">
        <v>12550</v>
      </c>
      <c r="E6484">
        <v>15043.15</v>
      </c>
      <c r="G6484" s="35"/>
      <c r="H6484" s="36">
        <f t="shared" si="327"/>
        <v>9477.1844999999994</v>
      </c>
      <c r="I6484" s="37">
        <f t="shared" si="330"/>
        <v>9477.1844999999994</v>
      </c>
      <c r="J6484" s="4"/>
      <c r="K6484" s="38">
        <f t="shared" si="331"/>
        <v>0</v>
      </c>
    </row>
    <row r="6485" spans="1:11">
      <c r="A6485" t="s">
        <v>12551</v>
      </c>
      <c r="B6485" t="s">
        <v>12674</v>
      </c>
      <c r="C6485" t="s">
        <v>12549</v>
      </c>
      <c r="D6485" t="s">
        <v>12552</v>
      </c>
      <c r="E6485">
        <v>17076.009999999998</v>
      </c>
      <c r="G6485" s="35"/>
      <c r="H6485" s="36">
        <f t="shared" si="327"/>
        <v>10757.886299999998</v>
      </c>
      <c r="I6485" s="37">
        <f t="shared" si="330"/>
        <v>10757.886299999998</v>
      </c>
      <c r="J6485" s="4"/>
      <c r="K6485" s="38">
        <f t="shared" si="331"/>
        <v>0</v>
      </c>
    </row>
    <row r="6486" spans="1:11">
      <c r="A6486" t="s">
        <v>12553</v>
      </c>
      <c r="B6486" t="s">
        <v>12674</v>
      </c>
      <c r="C6486" t="s">
        <v>12549</v>
      </c>
      <c r="D6486" t="s">
        <v>12554</v>
      </c>
      <c r="E6486">
        <v>20064.37</v>
      </c>
      <c r="G6486" s="35"/>
      <c r="H6486" s="36">
        <f t="shared" si="327"/>
        <v>12640.553099999999</v>
      </c>
      <c r="I6486" s="37">
        <f t="shared" si="330"/>
        <v>12640.553099999999</v>
      </c>
      <c r="J6486" s="4"/>
      <c r="K6486" s="38">
        <f t="shared" si="331"/>
        <v>0</v>
      </c>
    </row>
    <row r="6487" spans="1:11">
      <c r="A6487" t="s">
        <v>12555</v>
      </c>
      <c r="B6487" t="s">
        <v>12674</v>
      </c>
      <c r="C6487" t="s">
        <v>12549</v>
      </c>
      <c r="D6487" t="s">
        <v>12556</v>
      </c>
      <c r="E6487">
        <v>22833.05</v>
      </c>
      <c r="G6487" s="35"/>
      <c r="H6487" s="36">
        <f t="shared" si="327"/>
        <v>14384.8215</v>
      </c>
      <c r="I6487" s="37">
        <f t="shared" si="330"/>
        <v>14384.8215</v>
      </c>
      <c r="J6487" s="4"/>
      <c r="K6487" s="38">
        <f t="shared" si="331"/>
        <v>0</v>
      </c>
    </row>
    <row r="6488" spans="1:11">
      <c r="A6488" t="s">
        <v>12557</v>
      </c>
      <c r="B6488" t="s">
        <v>12674</v>
      </c>
      <c r="C6488" t="s">
        <v>12549</v>
      </c>
      <c r="D6488" t="s">
        <v>12558</v>
      </c>
      <c r="E6488">
        <v>32793.870000000003</v>
      </c>
      <c r="G6488" s="35"/>
      <c r="H6488" s="36">
        <f t="shared" si="327"/>
        <v>20660.1381</v>
      </c>
      <c r="I6488" s="37">
        <f t="shared" si="330"/>
        <v>20660.1381</v>
      </c>
      <c r="J6488" s="4"/>
      <c r="K6488" s="38">
        <f t="shared" si="331"/>
        <v>0</v>
      </c>
    </row>
    <row r="6489" spans="1:11">
      <c r="A6489" t="s">
        <v>12559</v>
      </c>
      <c r="B6489" t="s">
        <v>12674</v>
      </c>
      <c r="C6489" t="s">
        <v>12549</v>
      </c>
      <c r="D6489" t="s">
        <v>12560</v>
      </c>
      <c r="E6489">
        <v>7204.31</v>
      </c>
      <c r="G6489" s="35"/>
      <c r="H6489" s="36">
        <f t="shared" si="327"/>
        <v>4538.7152999999998</v>
      </c>
      <c r="I6489" s="37">
        <f t="shared" si="330"/>
        <v>4538.7152999999998</v>
      </c>
      <c r="J6489" s="4"/>
      <c r="K6489" s="38">
        <f t="shared" si="331"/>
        <v>0</v>
      </c>
    </row>
    <row r="6490" spans="1:11">
      <c r="A6490" t="s">
        <v>12561</v>
      </c>
      <c r="B6490" t="s">
        <v>12674</v>
      </c>
      <c r="C6490" t="s">
        <v>12549</v>
      </c>
      <c r="D6490" t="s">
        <v>12562</v>
      </c>
      <c r="E6490">
        <v>8254.92</v>
      </c>
      <c r="G6490" s="35"/>
      <c r="H6490" s="36">
        <f t="shared" si="327"/>
        <v>5200.5996000000005</v>
      </c>
      <c r="I6490" s="37">
        <f t="shared" si="330"/>
        <v>5200.5996000000005</v>
      </c>
      <c r="J6490" s="4"/>
      <c r="K6490" s="38">
        <f t="shared" si="331"/>
        <v>0</v>
      </c>
    </row>
    <row r="6491" spans="1:11">
      <c r="A6491" t="s">
        <v>12563</v>
      </c>
      <c r="B6491" t="s">
        <v>12674</v>
      </c>
      <c r="C6491" t="s">
        <v>12549</v>
      </c>
      <c r="D6491" t="s">
        <v>12564</v>
      </c>
      <c r="E6491">
        <v>9605.74</v>
      </c>
      <c r="G6491" s="35"/>
      <c r="H6491" s="36">
        <f t="shared" si="327"/>
        <v>6051.6161999999995</v>
      </c>
      <c r="I6491" s="37">
        <f t="shared" si="330"/>
        <v>6051.6161999999995</v>
      </c>
      <c r="J6491" s="4"/>
      <c r="K6491" s="38">
        <f t="shared" si="331"/>
        <v>0</v>
      </c>
    </row>
    <row r="6492" spans="1:11">
      <c r="A6492" t="s">
        <v>12565</v>
      </c>
      <c r="B6492" t="s">
        <v>12674</v>
      </c>
      <c r="C6492" t="s">
        <v>12549</v>
      </c>
      <c r="D6492" t="s">
        <v>12566</v>
      </c>
      <c r="E6492">
        <v>11031.5</v>
      </c>
      <c r="G6492" s="35"/>
      <c r="H6492" s="36">
        <f t="shared" si="327"/>
        <v>6949.8450000000003</v>
      </c>
      <c r="I6492" s="37">
        <f t="shared" si="330"/>
        <v>6949.8450000000003</v>
      </c>
      <c r="J6492" s="4"/>
      <c r="K6492" s="38">
        <f t="shared" si="331"/>
        <v>0</v>
      </c>
    </row>
    <row r="6493" spans="1:11">
      <c r="A6493" t="s">
        <v>12567</v>
      </c>
      <c r="B6493" t="s">
        <v>12674</v>
      </c>
      <c r="C6493" t="s">
        <v>12549</v>
      </c>
      <c r="D6493" t="s">
        <v>12568</v>
      </c>
      <c r="E6493">
        <v>15444.07</v>
      </c>
      <c r="G6493" s="35"/>
      <c r="H6493" s="36">
        <f t="shared" si="327"/>
        <v>9729.7641000000003</v>
      </c>
      <c r="I6493" s="37">
        <f t="shared" si="330"/>
        <v>9729.7641000000003</v>
      </c>
      <c r="J6493" s="4"/>
      <c r="K6493" s="38">
        <f t="shared" si="331"/>
        <v>0</v>
      </c>
    </row>
    <row r="6494" spans="1:11">
      <c r="A6494" t="s">
        <v>2892</v>
      </c>
      <c r="B6494" t="s">
        <v>12674</v>
      </c>
      <c r="C6494" t="s">
        <v>8391</v>
      </c>
      <c r="D6494" t="s">
        <v>8392</v>
      </c>
      <c r="E6494">
        <v>565.12</v>
      </c>
      <c r="G6494" s="35"/>
      <c r="H6494" s="36">
        <f t="shared" si="327"/>
        <v>356.0256</v>
      </c>
      <c r="I6494" s="37">
        <f t="shared" si="330"/>
        <v>356.0256</v>
      </c>
      <c r="J6494" s="4"/>
      <c r="K6494" s="38">
        <f t="shared" si="331"/>
        <v>0</v>
      </c>
    </row>
    <row r="6495" spans="1:11">
      <c r="A6495" t="s">
        <v>2906</v>
      </c>
      <c r="B6495" t="s">
        <v>12674</v>
      </c>
      <c r="C6495" t="s">
        <v>8407</v>
      </c>
      <c r="D6495" t="s">
        <v>8408</v>
      </c>
      <c r="E6495">
        <v>295.43</v>
      </c>
      <c r="G6495" s="35"/>
      <c r="H6495" s="36">
        <f t="shared" si="327"/>
        <v>186.12090000000001</v>
      </c>
      <c r="I6495" s="37">
        <f t="shared" si="330"/>
        <v>186.12090000000001</v>
      </c>
      <c r="J6495" s="4"/>
      <c r="K6495" s="38">
        <f t="shared" si="331"/>
        <v>0</v>
      </c>
    </row>
    <row r="6496" spans="1:11">
      <c r="A6496" t="s">
        <v>2907</v>
      </c>
      <c r="B6496" t="s">
        <v>12674</v>
      </c>
      <c r="C6496" t="s">
        <v>8407</v>
      </c>
      <c r="D6496" t="s">
        <v>8409</v>
      </c>
      <c r="E6496">
        <v>497.06</v>
      </c>
      <c r="G6496" s="35"/>
      <c r="H6496" s="36">
        <f t="shared" si="327"/>
        <v>313.14780000000002</v>
      </c>
      <c r="I6496" s="37">
        <f t="shared" si="330"/>
        <v>313.14780000000002</v>
      </c>
      <c r="J6496" s="4"/>
      <c r="K6496" s="38">
        <f t="shared" si="331"/>
        <v>0</v>
      </c>
    </row>
    <row r="6497" spans="1:11">
      <c r="A6497" t="s">
        <v>2908</v>
      </c>
      <c r="B6497" t="s">
        <v>12674</v>
      </c>
      <c r="C6497" t="s">
        <v>8407</v>
      </c>
      <c r="D6497" t="s">
        <v>8410</v>
      </c>
      <c r="E6497">
        <v>466.71</v>
      </c>
      <c r="G6497" s="35"/>
      <c r="H6497" s="36">
        <f t="shared" si="327"/>
        <v>294.02729999999997</v>
      </c>
      <c r="I6497" s="37">
        <f t="shared" si="330"/>
        <v>294.02729999999997</v>
      </c>
      <c r="J6497" s="4"/>
      <c r="K6497" s="38">
        <f t="shared" si="331"/>
        <v>0</v>
      </c>
    </row>
    <row r="6498" spans="1:11">
      <c r="A6498" t="s">
        <v>2909</v>
      </c>
      <c r="B6498" t="s">
        <v>12674</v>
      </c>
      <c r="C6498" t="s">
        <v>8407</v>
      </c>
      <c r="D6498" t="s">
        <v>8411</v>
      </c>
      <c r="E6498">
        <v>812.65</v>
      </c>
      <c r="G6498" s="35"/>
      <c r="H6498" s="36">
        <f t="shared" ref="H6498:H6502" si="332">+E6498*$H$1*(1-G6498)</f>
        <v>511.96949999999998</v>
      </c>
      <c r="I6498" s="37">
        <f t="shared" ref="I6498:I6502" si="333">H6498*$H$4</f>
        <v>511.96949999999998</v>
      </c>
      <c r="J6498" s="4"/>
      <c r="K6498" s="38">
        <f t="shared" ref="K6498:K6502" si="334">J6498*I6498</f>
        <v>0</v>
      </c>
    </row>
    <row r="6499" spans="1:11">
      <c r="A6499" t="s">
        <v>2910</v>
      </c>
      <c r="B6499" t="s">
        <v>12674</v>
      </c>
      <c r="C6499" t="s">
        <v>8407</v>
      </c>
      <c r="D6499" t="s">
        <v>8412</v>
      </c>
      <c r="E6499">
        <v>666.04</v>
      </c>
      <c r="G6499" s="35"/>
      <c r="H6499" s="36">
        <f t="shared" si="332"/>
        <v>419.60519999999997</v>
      </c>
      <c r="I6499" s="37">
        <f t="shared" si="333"/>
        <v>419.60519999999997</v>
      </c>
      <c r="J6499" s="4"/>
      <c r="K6499" s="38">
        <f t="shared" si="334"/>
        <v>0</v>
      </c>
    </row>
    <row r="6500" spans="1:11">
      <c r="A6500" t="s">
        <v>2911</v>
      </c>
      <c r="B6500" t="s">
        <v>12674</v>
      </c>
      <c r="C6500" t="s">
        <v>8407</v>
      </c>
      <c r="D6500" t="s">
        <v>8413</v>
      </c>
      <c r="E6500">
        <v>1281.8900000000001</v>
      </c>
      <c r="G6500" s="35"/>
      <c r="H6500" s="36">
        <f t="shared" si="332"/>
        <v>807.59070000000008</v>
      </c>
      <c r="I6500" s="37">
        <f t="shared" si="333"/>
        <v>807.59070000000008</v>
      </c>
      <c r="J6500" s="4"/>
      <c r="K6500" s="38">
        <f t="shared" si="334"/>
        <v>0</v>
      </c>
    </row>
    <row r="6501" spans="1:11">
      <c r="A6501" t="s">
        <v>2912</v>
      </c>
      <c r="B6501" t="s">
        <v>12674</v>
      </c>
      <c r="C6501" t="s">
        <v>8407</v>
      </c>
      <c r="D6501" t="s">
        <v>8414</v>
      </c>
      <c r="E6501">
        <v>4166.4399999999996</v>
      </c>
      <c r="G6501" s="35"/>
      <c r="H6501" s="36">
        <f t="shared" si="332"/>
        <v>2624.8571999999999</v>
      </c>
      <c r="I6501" s="37">
        <f t="shared" si="333"/>
        <v>2624.8571999999999</v>
      </c>
      <c r="J6501" s="4"/>
      <c r="K6501" s="38">
        <f t="shared" si="334"/>
        <v>0</v>
      </c>
    </row>
    <row r="6502" spans="1:11">
      <c r="A6502" t="s">
        <v>3649</v>
      </c>
      <c r="B6502" t="s">
        <v>12674</v>
      </c>
      <c r="C6502" t="s">
        <v>9126</v>
      </c>
      <c r="D6502" t="s">
        <v>11829</v>
      </c>
      <c r="E6502">
        <v>35656.03</v>
      </c>
      <c r="G6502" s="35"/>
      <c r="H6502" s="36">
        <f t="shared" si="332"/>
        <v>22463.298899999998</v>
      </c>
      <c r="I6502" s="37">
        <f t="shared" si="333"/>
        <v>22463.298899999998</v>
      </c>
      <c r="J6502" s="4"/>
      <c r="K6502" s="38">
        <f t="shared" si="334"/>
        <v>0</v>
      </c>
    </row>
    <row r="6503" spans="1:11">
      <c r="A6503" t="s">
        <v>3650</v>
      </c>
      <c r="B6503" t="s">
        <v>12674</v>
      </c>
      <c r="C6503" t="s">
        <v>9126</v>
      </c>
      <c r="D6503" t="s">
        <v>11830</v>
      </c>
      <c r="E6503">
        <v>35656.03</v>
      </c>
      <c r="G6503" s="35"/>
      <c r="H6503" s="36">
        <f t="shared" ref="H6503:H6523" si="335">+E6503*$H$1*(1-G6503)</f>
        <v>22463.298899999998</v>
      </c>
      <c r="I6503" s="37">
        <f t="shared" ref="I6503:I6523" si="336">H6503*$H$4</f>
        <v>22463.298899999998</v>
      </c>
      <c r="J6503" s="4"/>
      <c r="K6503" s="38">
        <f t="shared" ref="K6503:K6523" si="337">J6503*I6503</f>
        <v>0</v>
      </c>
    </row>
    <row r="6504" spans="1:11">
      <c r="A6504" t="s">
        <v>12268</v>
      </c>
      <c r="B6504" t="s">
        <v>12674</v>
      </c>
      <c r="C6504" t="s">
        <v>9126</v>
      </c>
      <c r="D6504" t="s">
        <v>12269</v>
      </c>
      <c r="E6504">
        <v>9506.66</v>
      </c>
      <c r="G6504" s="35"/>
      <c r="H6504" s="36">
        <f t="shared" si="335"/>
        <v>5989.1957999999995</v>
      </c>
      <c r="I6504" s="37">
        <f t="shared" si="336"/>
        <v>5989.1957999999995</v>
      </c>
      <c r="J6504" s="4"/>
      <c r="K6504" s="38">
        <f t="shared" si="337"/>
        <v>0</v>
      </c>
    </row>
    <row r="6505" spans="1:11">
      <c r="A6505" t="s">
        <v>3651</v>
      </c>
      <c r="B6505" t="s">
        <v>12674</v>
      </c>
      <c r="C6505" t="s">
        <v>9126</v>
      </c>
      <c r="D6505" t="s">
        <v>11831</v>
      </c>
      <c r="E6505">
        <v>48381.46</v>
      </c>
      <c r="G6505" s="35"/>
      <c r="H6505" s="36">
        <f t="shared" si="335"/>
        <v>30480.319800000001</v>
      </c>
      <c r="I6505" s="37">
        <f t="shared" si="336"/>
        <v>30480.319800000001</v>
      </c>
      <c r="J6505" s="4"/>
      <c r="K6505" s="38">
        <f t="shared" si="337"/>
        <v>0</v>
      </c>
    </row>
    <row r="6506" spans="1:11">
      <c r="A6506" t="s">
        <v>3652</v>
      </c>
      <c r="B6506" t="s">
        <v>12674</v>
      </c>
      <c r="C6506" t="s">
        <v>9126</v>
      </c>
      <c r="D6506" t="s">
        <v>11724</v>
      </c>
      <c r="E6506">
        <v>9506.57</v>
      </c>
      <c r="G6506" s="35"/>
      <c r="H6506" s="36">
        <f t="shared" si="335"/>
        <v>5989.1390999999994</v>
      </c>
      <c r="I6506" s="37">
        <f t="shared" si="336"/>
        <v>5989.1390999999994</v>
      </c>
      <c r="J6506" s="4"/>
      <c r="K6506" s="38">
        <f t="shared" si="337"/>
        <v>0</v>
      </c>
    </row>
    <row r="6507" spans="1:11">
      <c r="A6507" t="s">
        <v>3678</v>
      </c>
      <c r="B6507" t="s">
        <v>12674</v>
      </c>
      <c r="C6507" t="s">
        <v>9153</v>
      </c>
      <c r="D6507" t="s">
        <v>9154</v>
      </c>
      <c r="E6507">
        <v>14589.36</v>
      </c>
      <c r="G6507" s="35"/>
      <c r="H6507" s="36">
        <f t="shared" si="335"/>
        <v>9191.2968000000001</v>
      </c>
      <c r="I6507" s="37">
        <f t="shared" si="336"/>
        <v>9191.2968000000001</v>
      </c>
      <c r="J6507" s="4"/>
      <c r="K6507" s="38">
        <f t="shared" si="337"/>
        <v>0</v>
      </c>
    </row>
    <row r="6508" spans="1:11">
      <c r="A6508" t="s">
        <v>3679</v>
      </c>
      <c r="B6508" t="s">
        <v>12674</v>
      </c>
      <c r="C6508" t="s">
        <v>9153</v>
      </c>
      <c r="D6508" t="s">
        <v>9155</v>
      </c>
      <c r="E6508">
        <v>6195.79</v>
      </c>
      <c r="G6508" s="35"/>
      <c r="H6508" s="36">
        <f t="shared" si="335"/>
        <v>3903.3476999999998</v>
      </c>
      <c r="I6508" s="37">
        <f t="shared" si="336"/>
        <v>3903.3476999999998</v>
      </c>
      <c r="J6508" s="4"/>
      <c r="K6508" s="38">
        <f t="shared" si="337"/>
        <v>0</v>
      </c>
    </row>
    <row r="6509" spans="1:11">
      <c r="A6509" t="s">
        <v>3680</v>
      </c>
      <c r="B6509" t="s">
        <v>12674</v>
      </c>
      <c r="C6509" t="s">
        <v>9153</v>
      </c>
      <c r="D6509" t="s">
        <v>9156</v>
      </c>
      <c r="E6509">
        <v>3262.73</v>
      </c>
      <c r="G6509" s="35"/>
      <c r="H6509" s="36">
        <f t="shared" si="335"/>
        <v>2055.5199000000002</v>
      </c>
      <c r="I6509" s="37">
        <f t="shared" si="336"/>
        <v>2055.5199000000002</v>
      </c>
      <c r="J6509" s="4"/>
      <c r="K6509" s="38">
        <f t="shared" si="337"/>
        <v>0</v>
      </c>
    </row>
    <row r="6510" spans="1:11">
      <c r="A6510" t="s">
        <v>3681</v>
      </c>
      <c r="B6510" t="s">
        <v>12674</v>
      </c>
      <c r="C6510" t="s">
        <v>9153</v>
      </c>
      <c r="D6510" t="s">
        <v>9157</v>
      </c>
      <c r="E6510">
        <v>7817.11</v>
      </c>
      <c r="G6510" s="35"/>
      <c r="H6510" s="36">
        <f t="shared" si="335"/>
        <v>4924.7793000000001</v>
      </c>
      <c r="I6510" s="37">
        <f t="shared" si="336"/>
        <v>4924.7793000000001</v>
      </c>
      <c r="J6510" s="4"/>
      <c r="K6510" s="38">
        <f t="shared" si="337"/>
        <v>0</v>
      </c>
    </row>
    <row r="6511" spans="1:11">
      <c r="A6511" t="s">
        <v>3682</v>
      </c>
      <c r="B6511" t="s">
        <v>12674</v>
      </c>
      <c r="C6511" t="s">
        <v>9153</v>
      </c>
      <c r="D6511" t="s">
        <v>9158</v>
      </c>
      <c r="E6511">
        <v>7817.11</v>
      </c>
      <c r="G6511" s="35"/>
      <c r="H6511" s="36">
        <f t="shared" si="335"/>
        <v>4924.7793000000001</v>
      </c>
      <c r="I6511" s="37">
        <f t="shared" si="336"/>
        <v>4924.7793000000001</v>
      </c>
      <c r="J6511" s="4"/>
      <c r="K6511" s="38">
        <f t="shared" si="337"/>
        <v>0</v>
      </c>
    </row>
    <row r="6512" spans="1:11">
      <c r="A6512" t="s">
        <v>12906</v>
      </c>
      <c r="B6512" t="s">
        <v>12907</v>
      </c>
      <c r="C6512" t="s">
        <v>12908</v>
      </c>
      <c r="D6512" t="s">
        <v>12909</v>
      </c>
      <c r="E6512">
        <v>8230.74</v>
      </c>
      <c r="G6512" s="35"/>
      <c r="H6512" s="36">
        <f t="shared" si="335"/>
        <v>5185.3661999999995</v>
      </c>
      <c r="I6512" s="37">
        <f t="shared" si="336"/>
        <v>5185.3661999999995</v>
      </c>
      <c r="J6512" s="4"/>
      <c r="K6512" s="38">
        <f t="shared" si="337"/>
        <v>0</v>
      </c>
    </row>
    <row r="6513" spans="1:11">
      <c r="A6513" t="s">
        <v>12910</v>
      </c>
      <c r="B6513" t="s">
        <v>12907</v>
      </c>
      <c r="C6513" t="s">
        <v>12908</v>
      </c>
      <c r="D6513" t="s">
        <v>12911</v>
      </c>
      <c r="E6513">
        <v>10760.81</v>
      </c>
      <c r="G6513" s="35"/>
      <c r="H6513" s="36">
        <f t="shared" si="335"/>
        <v>6779.3103000000001</v>
      </c>
      <c r="I6513" s="37">
        <f t="shared" si="336"/>
        <v>6779.3103000000001</v>
      </c>
      <c r="J6513" s="4"/>
      <c r="K6513" s="38">
        <f t="shared" si="337"/>
        <v>0</v>
      </c>
    </row>
    <row r="6514" spans="1:11">
      <c r="A6514" t="s">
        <v>12912</v>
      </c>
      <c r="B6514" t="s">
        <v>12907</v>
      </c>
      <c r="C6514" t="s">
        <v>12908</v>
      </c>
      <c r="D6514" t="s">
        <v>12913</v>
      </c>
      <c r="E6514">
        <v>16613.29</v>
      </c>
      <c r="G6514" s="35"/>
      <c r="H6514" s="36">
        <f t="shared" si="335"/>
        <v>10466.3727</v>
      </c>
      <c r="I6514" s="37">
        <f t="shared" si="336"/>
        <v>10466.3727</v>
      </c>
      <c r="J6514" s="4"/>
      <c r="K6514" s="38">
        <f t="shared" si="337"/>
        <v>0</v>
      </c>
    </row>
    <row r="6515" spans="1:11">
      <c r="A6515" t="s">
        <v>12914</v>
      </c>
      <c r="B6515" t="s">
        <v>12907</v>
      </c>
      <c r="C6515" t="s">
        <v>12915</v>
      </c>
      <c r="D6515" t="s">
        <v>12916</v>
      </c>
      <c r="E6515">
        <v>42270.31</v>
      </c>
      <c r="G6515" s="35"/>
      <c r="H6515" s="36">
        <f t="shared" si="335"/>
        <v>26630.295299999998</v>
      </c>
      <c r="I6515" s="37">
        <f t="shared" si="336"/>
        <v>26630.295299999998</v>
      </c>
      <c r="J6515" s="4"/>
      <c r="K6515" s="38">
        <f t="shared" si="337"/>
        <v>0</v>
      </c>
    </row>
    <row r="6516" spans="1:11">
      <c r="A6516" t="s">
        <v>12917</v>
      </c>
      <c r="B6516" t="s">
        <v>12907</v>
      </c>
      <c r="C6516" t="s">
        <v>12915</v>
      </c>
      <c r="D6516" t="s">
        <v>12918</v>
      </c>
      <c r="E6516">
        <v>46829.43</v>
      </c>
      <c r="G6516" s="35"/>
      <c r="H6516" s="36">
        <f t="shared" si="335"/>
        <v>29502.5409</v>
      </c>
      <c r="I6516" s="37">
        <f t="shared" si="336"/>
        <v>29502.5409</v>
      </c>
      <c r="J6516" s="4"/>
      <c r="K6516" s="38">
        <f t="shared" si="337"/>
        <v>0</v>
      </c>
    </row>
    <row r="6517" spans="1:11">
      <c r="A6517" t="s">
        <v>12919</v>
      </c>
      <c r="B6517" t="s">
        <v>12907</v>
      </c>
      <c r="C6517" t="s">
        <v>12915</v>
      </c>
      <c r="D6517" t="s">
        <v>12920</v>
      </c>
      <c r="E6517">
        <v>50444.44</v>
      </c>
      <c r="G6517" s="35"/>
      <c r="H6517" s="36">
        <f t="shared" si="335"/>
        <v>31779.997200000002</v>
      </c>
      <c r="I6517" s="37">
        <f t="shared" si="336"/>
        <v>31779.997200000002</v>
      </c>
      <c r="J6517" s="4"/>
      <c r="K6517" s="38">
        <f t="shared" si="337"/>
        <v>0</v>
      </c>
    </row>
    <row r="6518" spans="1:11">
      <c r="A6518" t="s">
        <v>12921</v>
      </c>
      <c r="B6518" t="s">
        <v>12907</v>
      </c>
      <c r="C6518" t="s">
        <v>12915</v>
      </c>
      <c r="D6518" t="s">
        <v>12922</v>
      </c>
      <c r="E6518">
        <v>51529.35</v>
      </c>
      <c r="G6518" s="35"/>
      <c r="H6518" s="36">
        <f t="shared" si="335"/>
        <v>32463.4905</v>
      </c>
      <c r="I6518" s="37">
        <f t="shared" si="336"/>
        <v>32463.4905</v>
      </c>
      <c r="J6518" s="4"/>
      <c r="K6518" s="38">
        <f t="shared" si="337"/>
        <v>0</v>
      </c>
    </row>
    <row r="6519" spans="1:11">
      <c r="A6519" t="s">
        <v>12923</v>
      </c>
      <c r="B6519" t="s">
        <v>12907</v>
      </c>
      <c r="C6519" t="s">
        <v>12915</v>
      </c>
      <c r="D6519" t="s">
        <v>12924</v>
      </c>
      <c r="E6519">
        <v>46829.43</v>
      </c>
      <c r="G6519" s="35"/>
      <c r="H6519" s="36">
        <f t="shared" si="335"/>
        <v>29502.5409</v>
      </c>
      <c r="I6519" s="37">
        <f t="shared" si="336"/>
        <v>29502.5409</v>
      </c>
      <c r="J6519" s="4"/>
      <c r="K6519" s="38">
        <f t="shared" si="337"/>
        <v>0</v>
      </c>
    </row>
    <row r="6520" spans="1:11">
      <c r="A6520" t="s">
        <v>12925</v>
      </c>
      <c r="B6520" t="s">
        <v>12907</v>
      </c>
      <c r="C6520" t="s">
        <v>12915</v>
      </c>
      <c r="D6520" t="s">
        <v>12926</v>
      </c>
      <c r="E6520">
        <v>46829.43</v>
      </c>
      <c r="G6520" s="35"/>
      <c r="H6520" s="36">
        <f t="shared" si="335"/>
        <v>29502.5409</v>
      </c>
      <c r="I6520" s="37">
        <f t="shared" si="336"/>
        <v>29502.5409</v>
      </c>
      <c r="J6520" s="4"/>
      <c r="K6520" s="38">
        <f t="shared" si="337"/>
        <v>0</v>
      </c>
    </row>
    <row r="6521" spans="1:11">
      <c r="A6521" t="s">
        <v>12927</v>
      </c>
      <c r="B6521" t="s">
        <v>12907</v>
      </c>
      <c r="C6521" t="s">
        <v>12915</v>
      </c>
      <c r="D6521" t="s">
        <v>12928</v>
      </c>
      <c r="E6521">
        <v>42270.31</v>
      </c>
      <c r="G6521" s="35"/>
      <c r="H6521" s="36">
        <f t="shared" si="335"/>
        <v>26630.295299999998</v>
      </c>
      <c r="I6521" s="37">
        <f t="shared" si="336"/>
        <v>26630.295299999998</v>
      </c>
      <c r="J6521" s="4"/>
      <c r="K6521" s="38">
        <f t="shared" si="337"/>
        <v>0</v>
      </c>
    </row>
    <row r="6522" spans="1:11">
      <c r="A6522" t="s">
        <v>12929</v>
      </c>
      <c r="B6522" t="s">
        <v>12907</v>
      </c>
      <c r="C6522" t="s">
        <v>12915</v>
      </c>
      <c r="D6522" t="s">
        <v>12930</v>
      </c>
      <c r="E6522">
        <v>59946.43</v>
      </c>
      <c r="G6522" s="35"/>
      <c r="H6522" s="36">
        <f t="shared" si="335"/>
        <v>37766.250899999999</v>
      </c>
      <c r="I6522" s="37">
        <f t="shared" si="336"/>
        <v>37766.250899999999</v>
      </c>
      <c r="J6522" s="4"/>
      <c r="K6522" s="38">
        <f t="shared" si="337"/>
        <v>0</v>
      </c>
    </row>
    <row r="6523" spans="1:11">
      <c r="A6523" t="s">
        <v>12931</v>
      </c>
      <c r="B6523" t="s">
        <v>12907</v>
      </c>
      <c r="C6523" t="s">
        <v>12932</v>
      </c>
      <c r="D6523" t="s">
        <v>12933</v>
      </c>
      <c r="E6523">
        <v>77981.42</v>
      </c>
      <c r="G6523" s="35"/>
      <c r="H6523" s="36">
        <f t="shared" si="335"/>
        <v>49128.294600000001</v>
      </c>
      <c r="I6523" s="37">
        <f t="shared" si="336"/>
        <v>49128.294600000001</v>
      </c>
      <c r="J6523" s="4"/>
      <c r="K6523" s="38">
        <f t="shared" si="337"/>
        <v>0</v>
      </c>
    </row>
    <row r="6524" spans="1:11">
      <c r="A6524" t="s">
        <v>12934</v>
      </c>
      <c r="B6524" t="s">
        <v>12907</v>
      </c>
      <c r="C6524" t="s">
        <v>12932</v>
      </c>
      <c r="D6524" t="s">
        <v>12935</v>
      </c>
      <c r="E6524">
        <v>75869.570000000007</v>
      </c>
      <c r="G6524" s="35"/>
      <c r="H6524" s="36">
        <f t="shared" ref="H6524:H6536" si="338">+E6524*$H$1*(1-G6524)</f>
        <v>47797.829100000003</v>
      </c>
      <c r="I6524" s="37">
        <f t="shared" ref="I6524:I6536" si="339">H6524*$H$4</f>
        <v>47797.829100000003</v>
      </c>
      <c r="J6524" s="4"/>
      <c r="K6524" s="38">
        <f t="shared" ref="K6524:K6536" si="340">J6524*I6524</f>
        <v>0</v>
      </c>
    </row>
    <row r="6525" spans="1:11">
      <c r="A6525" t="s">
        <v>12936</v>
      </c>
      <c r="B6525" t="s">
        <v>12907</v>
      </c>
      <c r="C6525" t="s">
        <v>12932</v>
      </c>
      <c r="D6525" t="s">
        <v>12937</v>
      </c>
      <c r="E6525">
        <v>75869.570000000007</v>
      </c>
      <c r="G6525" s="35"/>
      <c r="H6525" s="36">
        <f t="shared" si="338"/>
        <v>47797.829100000003</v>
      </c>
      <c r="I6525" s="37">
        <f t="shared" si="339"/>
        <v>47797.829100000003</v>
      </c>
      <c r="J6525" s="4"/>
      <c r="K6525" s="38">
        <f t="shared" si="340"/>
        <v>0</v>
      </c>
    </row>
    <row r="6526" spans="1:11">
      <c r="A6526" t="s">
        <v>12938</v>
      </c>
      <c r="B6526" t="s">
        <v>12907</v>
      </c>
      <c r="C6526" t="s">
        <v>12932</v>
      </c>
      <c r="D6526" t="s">
        <v>12939</v>
      </c>
      <c r="E6526">
        <v>75869.570000000007</v>
      </c>
      <c r="G6526" s="35"/>
      <c r="H6526" s="36">
        <f t="shared" si="338"/>
        <v>47797.829100000003</v>
      </c>
      <c r="I6526" s="37">
        <f t="shared" si="339"/>
        <v>47797.829100000003</v>
      </c>
      <c r="J6526" s="4"/>
      <c r="K6526" s="38">
        <f t="shared" si="340"/>
        <v>0</v>
      </c>
    </row>
    <row r="6527" spans="1:11">
      <c r="A6527" t="s">
        <v>12940</v>
      </c>
      <c r="B6527" t="s">
        <v>12907</v>
      </c>
      <c r="C6527" t="s">
        <v>12932</v>
      </c>
      <c r="D6527" t="s">
        <v>12941</v>
      </c>
      <c r="E6527">
        <v>75869.570000000007</v>
      </c>
      <c r="G6527" s="35"/>
      <c r="H6527" s="36">
        <f t="shared" si="338"/>
        <v>47797.829100000003</v>
      </c>
      <c r="I6527" s="37">
        <f t="shared" si="339"/>
        <v>47797.829100000003</v>
      </c>
      <c r="J6527" s="4"/>
      <c r="K6527" s="38">
        <f t="shared" si="340"/>
        <v>0</v>
      </c>
    </row>
    <row r="6528" spans="1:11">
      <c r="A6528" t="s">
        <v>12942</v>
      </c>
      <c r="B6528" t="s">
        <v>12907</v>
      </c>
      <c r="C6528" t="s">
        <v>12932</v>
      </c>
      <c r="D6528" t="s">
        <v>12943</v>
      </c>
      <c r="E6528">
        <v>72837.06</v>
      </c>
      <c r="G6528" s="35"/>
      <c r="H6528" s="36">
        <f t="shared" si="338"/>
        <v>45887.347799999996</v>
      </c>
      <c r="I6528" s="37">
        <f t="shared" si="339"/>
        <v>45887.347799999996</v>
      </c>
      <c r="J6528" s="4"/>
      <c r="K6528" s="38">
        <f t="shared" si="340"/>
        <v>0</v>
      </c>
    </row>
    <row r="6529" spans="1:11">
      <c r="A6529" t="s">
        <v>12944</v>
      </c>
      <c r="B6529" t="s">
        <v>12907</v>
      </c>
      <c r="C6529" t="s">
        <v>12932</v>
      </c>
      <c r="D6529" t="s">
        <v>12945</v>
      </c>
      <c r="E6529">
        <v>75869.570000000007</v>
      </c>
      <c r="G6529" s="35"/>
      <c r="H6529" s="36">
        <f t="shared" si="338"/>
        <v>47797.829100000003</v>
      </c>
      <c r="I6529" s="37">
        <f t="shared" si="339"/>
        <v>47797.829100000003</v>
      </c>
      <c r="J6529" s="4"/>
      <c r="K6529" s="38">
        <f t="shared" si="340"/>
        <v>0</v>
      </c>
    </row>
    <row r="6530" spans="1:11">
      <c r="A6530" t="s">
        <v>12946</v>
      </c>
      <c r="B6530" t="s">
        <v>12907</v>
      </c>
      <c r="C6530" t="s">
        <v>12947</v>
      </c>
      <c r="D6530" t="s">
        <v>12948</v>
      </c>
      <c r="E6530">
        <v>23611.41</v>
      </c>
      <c r="G6530" s="35"/>
      <c r="H6530" s="36">
        <f t="shared" si="338"/>
        <v>14875.1883</v>
      </c>
      <c r="I6530" s="37">
        <f t="shared" si="339"/>
        <v>14875.1883</v>
      </c>
      <c r="J6530" s="4"/>
      <c r="K6530" s="38">
        <f t="shared" si="340"/>
        <v>0</v>
      </c>
    </row>
    <row r="6531" spans="1:11">
      <c r="A6531" t="s">
        <v>12949</v>
      </c>
      <c r="B6531" t="s">
        <v>12907</v>
      </c>
      <c r="C6531" t="s">
        <v>12947</v>
      </c>
      <c r="D6531" t="s">
        <v>12950</v>
      </c>
      <c r="E6531">
        <v>22320.83</v>
      </c>
      <c r="G6531" s="35"/>
      <c r="H6531" s="36">
        <f t="shared" si="338"/>
        <v>14062.1229</v>
      </c>
      <c r="I6531" s="37">
        <f t="shared" si="339"/>
        <v>14062.1229</v>
      </c>
      <c r="J6531" s="4"/>
      <c r="K6531" s="38">
        <f t="shared" si="340"/>
        <v>0</v>
      </c>
    </row>
    <row r="6532" spans="1:11">
      <c r="A6532" t="s">
        <v>11949</v>
      </c>
      <c r="B6532" t="s">
        <v>18</v>
      </c>
      <c r="C6532" t="s">
        <v>11950</v>
      </c>
      <c r="D6532" t="s">
        <v>11951</v>
      </c>
      <c r="E6532">
        <v>13542.82</v>
      </c>
      <c r="G6532" s="35"/>
      <c r="H6532" s="36">
        <f t="shared" si="338"/>
        <v>8531.9766</v>
      </c>
      <c r="I6532" s="37">
        <f t="shared" si="339"/>
        <v>8531.9766</v>
      </c>
      <c r="J6532" s="4"/>
      <c r="K6532" s="38">
        <f t="shared" si="340"/>
        <v>0</v>
      </c>
    </row>
    <row r="6533" spans="1:11">
      <c r="A6533" t="s">
        <v>3444</v>
      </c>
      <c r="B6533" t="s">
        <v>18</v>
      </c>
      <c r="C6533" t="s">
        <v>8941</v>
      </c>
      <c r="D6533" t="s">
        <v>8943</v>
      </c>
      <c r="E6533">
        <v>4370568.32</v>
      </c>
      <c r="G6533" s="35"/>
      <c r="H6533" s="36">
        <f t="shared" si="338"/>
        <v>2753458.0416000001</v>
      </c>
      <c r="I6533" s="37">
        <f t="shared" si="339"/>
        <v>2753458.0416000001</v>
      </c>
      <c r="J6533" s="4"/>
      <c r="K6533" s="38">
        <f t="shared" si="340"/>
        <v>0</v>
      </c>
    </row>
    <row r="6534" spans="1:11">
      <c r="A6534" t="s">
        <v>3445</v>
      </c>
      <c r="B6534" t="s">
        <v>18</v>
      </c>
      <c r="C6534" t="s">
        <v>8941</v>
      </c>
      <c r="D6534" t="s">
        <v>8944</v>
      </c>
      <c r="E6534">
        <v>284811.95</v>
      </c>
      <c r="G6534" s="35"/>
      <c r="H6534" s="36">
        <f t="shared" si="338"/>
        <v>179431.52850000001</v>
      </c>
      <c r="I6534" s="37">
        <f t="shared" si="339"/>
        <v>179431.52850000001</v>
      </c>
      <c r="J6534" s="4"/>
      <c r="K6534" s="38">
        <f t="shared" si="340"/>
        <v>0</v>
      </c>
    </row>
    <row r="6535" spans="1:11">
      <c r="A6535" t="s">
        <v>3446</v>
      </c>
      <c r="B6535" t="s">
        <v>18</v>
      </c>
      <c r="C6535" t="s">
        <v>8941</v>
      </c>
      <c r="D6535" t="s">
        <v>8945</v>
      </c>
      <c r="E6535">
        <v>447759.96</v>
      </c>
      <c r="G6535" s="35"/>
      <c r="H6535" s="36">
        <f t="shared" si="338"/>
        <v>282088.77480000001</v>
      </c>
      <c r="I6535" s="37">
        <f t="shared" si="339"/>
        <v>282088.77480000001</v>
      </c>
      <c r="J6535" s="4"/>
      <c r="K6535" s="38">
        <f t="shared" si="340"/>
        <v>0</v>
      </c>
    </row>
    <row r="6536" spans="1:11">
      <c r="A6536" t="s">
        <v>3447</v>
      </c>
      <c r="B6536" t="s">
        <v>18</v>
      </c>
      <c r="C6536" t="s">
        <v>8941</v>
      </c>
      <c r="D6536" t="s">
        <v>8946</v>
      </c>
      <c r="E6536">
        <v>688086.05</v>
      </c>
      <c r="G6536" s="35"/>
      <c r="H6536" s="36">
        <f t="shared" si="338"/>
        <v>433494.21150000003</v>
      </c>
      <c r="I6536" s="37">
        <f t="shared" si="339"/>
        <v>433494.21150000003</v>
      </c>
      <c r="J6536" s="4"/>
      <c r="K6536" s="38">
        <f t="shared" si="340"/>
        <v>0</v>
      </c>
    </row>
    <row r="6537" spans="1:11">
      <c r="A6537" t="s">
        <v>3448</v>
      </c>
      <c r="B6537" t="s">
        <v>18</v>
      </c>
      <c r="C6537" t="s">
        <v>8941</v>
      </c>
      <c r="D6537" t="s">
        <v>8947</v>
      </c>
      <c r="E6537">
        <v>1092660.8600000001</v>
      </c>
      <c r="G6537" s="35"/>
      <c r="H6537" s="36">
        <f t="shared" ref="H6537:H6538" si="341">+E6537*$H$1*(1-G6537)</f>
        <v>688376.34180000005</v>
      </c>
      <c r="I6537" s="37">
        <f t="shared" ref="I6537:I6538" si="342">H6537*$H$4</f>
        <v>688376.34180000005</v>
      </c>
      <c r="J6537" s="4"/>
      <c r="K6537" s="38">
        <f t="shared" ref="K6537:K6538" si="343">J6537*I6537</f>
        <v>0</v>
      </c>
    </row>
    <row r="6538" spans="1:11">
      <c r="A6538" t="s">
        <v>3449</v>
      </c>
      <c r="B6538" t="s">
        <v>18</v>
      </c>
      <c r="C6538" t="s">
        <v>8941</v>
      </c>
      <c r="D6538" t="s">
        <v>8948</v>
      </c>
      <c r="E6538">
        <v>1469208.42</v>
      </c>
      <c r="G6538" s="35"/>
      <c r="H6538" s="36">
        <f t="shared" si="341"/>
        <v>925601.30459999992</v>
      </c>
      <c r="I6538" s="37">
        <f t="shared" si="342"/>
        <v>925601.30459999992</v>
      </c>
      <c r="J6538" s="4"/>
      <c r="K6538" s="38">
        <f t="shared" si="343"/>
        <v>0</v>
      </c>
    </row>
    <row r="6539" spans="1:11">
      <c r="A6539" t="s">
        <v>3450</v>
      </c>
      <c r="B6539" t="s">
        <v>18</v>
      </c>
      <c r="C6539" t="s">
        <v>8941</v>
      </c>
      <c r="D6539" t="s">
        <v>8949</v>
      </c>
      <c r="E6539">
        <v>1764438.33</v>
      </c>
      <c r="G6539" s="35"/>
      <c r="H6539" s="36">
        <f t="shared" ref="H6539:H6543" si="344">+E6539*$H$1*(1-G6539)</f>
        <v>1111596.1479</v>
      </c>
      <c r="I6539" s="37">
        <f t="shared" ref="I6539:I6543" si="345">H6539*$H$4</f>
        <v>1111596.1479</v>
      </c>
      <c r="J6539" s="4"/>
      <c r="K6539" s="38">
        <f t="shared" ref="K6539:K6543" si="346">J6539*I6539</f>
        <v>0</v>
      </c>
    </row>
    <row r="6540" spans="1:11">
      <c r="A6540" t="s">
        <v>3451</v>
      </c>
      <c r="B6540" t="s">
        <v>18</v>
      </c>
      <c r="C6540" t="s">
        <v>8941</v>
      </c>
      <c r="D6540" t="s">
        <v>8950</v>
      </c>
      <c r="E6540">
        <v>2752356.71</v>
      </c>
      <c r="G6540" s="35"/>
      <c r="H6540" s="36">
        <f t="shared" si="344"/>
        <v>1733984.7272999999</v>
      </c>
      <c r="I6540" s="37">
        <f t="shared" si="345"/>
        <v>1733984.7272999999</v>
      </c>
      <c r="J6540" s="4"/>
      <c r="K6540" s="38">
        <f t="shared" si="346"/>
        <v>0</v>
      </c>
    </row>
    <row r="6541" spans="1:11">
      <c r="A6541" t="s">
        <v>3452</v>
      </c>
      <c r="B6541" t="s">
        <v>18</v>
      </c>
      <c r="C6541" t="s">
        <v>8941</v>
      </c>
      <c r="D6541" t="s">
        <v>8951</v>
      </c>
      <c r="E6541">
        <v>2346318.67</v>
      </c>
      <c r="G6541" s="35"/>
      <c r="H6541" s="36">
        <f t="shared" si="344"/>
        <v>1478180.7620999999</v>
      </c>
      <c r="I6541" s="37">
        <f t="shared" si="345"/>
        <v>1478180.7620999999</v>
      </c>
      <c r="J6541" s="4"/>
      <c r="K6541" s="38">
        <f t="shared" si="346"/>
        <v>0</v>
      </c>
    </row>
    <row r="6542" spans="1:11">
      <c r="A6542" t="s">
        <v>3453</v>
      </c>
      <c r="B6542" t="s">
        <v>18</v>
      </c>
      <c r="C6542" t="s">
        <v>8941</v>
      </c>
      <c r="D6542" t="s">
        <v>8952</v>
      </c>
      <c r="E6542">
        <v>132744.66</v>
      </c>
      <c r="G6542" s="35"/>
      <c r="H6542" s="36">
        <f t="shared" si="344"/>
        <v>83629.135800000004</v>
      </c>
      <c r="I6542" s="37">
        <f t="shared" si="345"/>
        <v>83629.135800000004</v>
      </c>
      <c r="J6542" s="4"/>
      <c r="K6542" s="38">
        <f t="shared" si="346"/>
        <v>0</v>
      </c>
    </row>
    <row r="6543" spans="1:11">
      <c r="A6543" t="s">
        <v>3454</v>
      </c>
      <c r="B6543" t="s">
        <v>18</v>
      </c>
      <c r="C6543" t="s">
        <v>8941</v>
      </c>
      <c r="D6543" t="s">
        <v>8953</v>
      </c>
      <c r="E6543">
        <v>195602.64</v>
      </c>
      <c r="G6543" s="35"/>
      <c r="H6543" s="36">
        <f t="shared" si="344"/>
        <v>123229.66320000001</v>
      </c>
      <c r="I6543" s="37">
        <f t="shared" si="345"/>
        <v>123229.66320000001</v>
      </c>
      <c r="J6543" s="4"/>
      <c r="K6543" s="38">
        <f t="shared" si="346"/>
        <v>0</v>
      </c>
    </row>
    <row r="6544" spans="1:11">
      <c r="A6544" t="s">
        <v>3455</v>
      </c>
      <c r="B6544" t="s">
        <v>18</v>
      </c>
      <c r="C6544" t="s">
        <v>8941</v>
      </c>
      <c r="D6544" t="s">
        <v>8954</v>
      </c>
      <c r="E6544">
        <v>307799.12</v>
      </c>
      <c r="G6544" s="35"/>
      <c r="H6544" s="36">
        <f t="shared" ref="H6544:H6565" si="347">+E6544*$H$1*(1-G6544)</f>
        <v>193913.44560000001</v>
      </c>
      <c r="I6544" s="37">
        <f t="shared" ref="I6544:I6565" si="348">H6544*$H$4</f>
        <v>193913.44560000001</v>
      </c>
      <c r="J6544" s="4"/>
      <c r="K6544" s="38">
        <f t="shared" ref="K6544:K6565" si="349">J6544*I6544</f>
        <v>0</v>
      </c>
    </row>
    <row r="6545" spans="1:11">
      <c r="A6545" t="s">
        <v>3456</v>
      </c>
      <c r="B6545" t="s">
        <v>18</v>
      </c>
      <c r="C6545" t="s">
        <v>8941</v>
      </c>
      <c r="D6545" t="s">
        <v>8955</v>
      </c>
      <c r="E6545">
        <v>475199.36</v>
      </c>
      <c r="G6545" s="35"/>
      <c r="H6545" s="36">
        <f t="shared" si="347"/>
        <v>299375.5968</v>
      </c>
      <c r="I6545" s="37">
        <f t="shared" si="348"/>
        <v>299375.5968</v>
      </c>
      <c r="J6545" s="4"/>
      <c r="K6545" s="38">
        <f t="shared" si="349"/>
        <v>0</v>
      </c>
    </row>
    <row r="6546" spans="1:11">
      <c r="A6546" t="s">
        <v>3457</v>
      </c>
      <c r="B6546" t="s">
        <v>18</v>
      </c>
      <c r="C6546" t="s">
        <v>8941</v>
      </c>
      <c r="D6546" t="s">
        <v>8956</v>
      </c>
      <c r="E6546">
        <v>756672.03</v>
      </c>
      <c r="G6546" s="35"/>
      <c r="H6546" s="36">
        <f t="shared" si="347"/>
        <v>476703.37890000001</v>
      </c>
      <c r="I6546" s="37">
        <f t="shared" si="348"/>
        <v>476703.37890000001</v>
      </c>
      <c r="J6546" s="4"/>
      <c r="K6546" s="38">
        <f t="shared" si="349"/>
        <v>0</v>
      </c>
    </row>
    <row r="6547" spans="1:11">
      <c r="A6547" t="s">
        <v>3458</v>
      </c>
      <c r="B6547" t="s">
        <v>18</v>
      </c>
      <c r="C6547" t="s">
        <v>8941</v>
      </c>
      <c r="D6547" t="s">
        <v>8957</v>
      </c>
      <c r="E6547">
        <v>998649.02</v>
      </c>
      <c r="G6547" s="35"/>
      <c r="H6547" s="36">
        <f t="shared" si="347"/>
        <v>629148.88260000001</v>
      </c>
      <c r="I6547" s="37">
        <f t="shared" si="348"/>
        <v>629148.88260000001</v>
      </c>
      <c r="J6547" s="4"/>
      <c r="K6547" s="38">
        <f t="shared" si="349"/>
        <v>0</v>
      </c>
    </row>
    <row r="6548" spans="1:11">
      <c r="A6548" t="s">
        <v>3459</v>
      </c>
      <c r="B6548" t="s">
        <v>18</v>
      </c>
      <c r="C6548" t="s">
        <v>8941</v>
      </c>
      <c r="D6548" t="s">
        <v>8958</v>
      </c>
      <c r="E6548">
        <v>1229370.08</v>
      </c>
      <c r="G6548" s="35"/>
      <c r="H6548" s="36">
        <f t="shared" si="347"/>
        <v>774503.15040000004</v>
      </c>
      <c r="I6548" s="37">
        <f t="shared" si="348"/>
        <v>774503.15040000004</v>
      </c>
      <c r="J6548" s="4"/>
      <c r="K6548" s="38">
        <f t="shared" si="349"/>
        <v>0</v>
      </c>
    </row>
    <row r="6549" spans="1:11">
      <c r="A6549" t="s">
        <v>3460</v>
      </c>
      <c r="B6549" t="s">
        <v>18</v>
      </c>
      <c r="C6549" t="s">
        <v>8941</v>
      </c>
      <c r="D6549" t="s">
        <v>8959</v>
      </c>
      <c r="E6549">
        <v>1942944.52</v>
      </c>
      <c r="G6549" s="35"/>
      <c r="H6549" s="36">
        <f t="shared" si="347"/>
        <v>1224055.0475999999</v>
      </c>
      <c r="I6549" s="37">
        <f t="shared" si="348"/>
        <v>1224055.0475999999</v>
      </c>
      <c r="J6549" s="4"/>
      <c r="K6549" s="38">
        <f t="shared" si="349"/>
        <v>0</v>
      </c>
    </row>
    <row r="6550" spans="1:11">
      <c r="A6550" t="s">
        <v>3461</v>
      </c>
      <c r="B6550" t="s">
        <v>18</v>
      </c>
      <c r="C6550" t="s">
        <v>8941</v>
      </c>
      <c r="D6550" t="s">
        <v>8960</v>
      </c>
      <c r="E6550">
        <v>1663185.2</v>
      </c>
      <c r="G6550" s="35"/>
      <c r="H6550" s="36">
        <f t="shared" si="347"/>
        <v>1047806.676</v>
      </c>
      <c r="I6550" s="37">
        <f t="shared" si="348"/>
        <v>1047806.676</v>
      </c>
      <c r="J6550" s="4"/>
      <c r="K6550" s="38">
        <f t="shared" si="349"/>
        <v>0</v>
      </c>
    </row>
    <row r="6551" spans="1:11">
      <c r="A6551" t="s">
        <v>3462</v>
      </c>
      <c r="B6551" t="s">
        <v>18</v>
      </c>
      <c r="C6551" t="s">
        <v>8941</v>
      </c>
      <c r="D6551" t="s">
        <v>8961</v>
      </c>
      <c r="E6551">
        <v>3026438.02</v>
      </c>
      <c r="G6551" s="35"/>
      <c r="H6551" s="36">
        <f t="shared" si="347"/>
        <v>1906655.9526</v>
      </c>
      <c r="I6551" s="37">
        <f t="shared" si="348"/>
        <v>1906655.9526</v>
      </c>
      <c r="J6551" s="4"/>
      <c r="K6551" s="38">
        <f t="shared" si="349"/>
        <v>0</v>
      </c>
    </row>
    <row r="6552" spans="1:11">
      <c r="A6552" t="s">
        <v>11707</v>
      </c>
      <c r="B6552" t="s">
        <v>18</v>
      </c>
      <c r="C6552" t="s">
        <v>9072</v>
      </c>
      <c r="D6552" t="s">
        <v>11708</v>
      </c>
      <c r="E6552">
        <v>88759.07</v>
      </c>
      <c r="G6552" s="35"/>
      <c r="H6552" s="36">
        <f t="shared" si="347"/>
        <v>55918.214100000005</v>
      </c>
      <c r="I6552" s="37">
        <f t="shared" si="348"/>
        <v>55918.214100000005</v>
      </c>
      <c r="J6552" s="4"/>
      <c r="K6552" s="38">
        <f t="shared" si="349"/>
        <v>0</v>
      </c>
    </row>
    <row r="6553" spans="1:11">
      <c r="A6553" t="s">
        <v>11709</v>
      </c>
      <c r="B6553" t="s">
        <v>18</v>
      </c>
      <c r="C6553" t="s">
        <v>9072</v>
      </c>
      <c r="D6553" t="s">
        <v>11710</v>
      </c>
      <c r="E6553">
        <v>145876.54</v>
      </c>
      <c r="G6553" s="35"/>
      <c r="H6553" s="36">
        <f t="shared" si="347"/>
        <v>91902.220200000011</v>
      </c>
      <c r="I6553" s="37">
        <f t="shared" si="348"/>
        <v>91902.220200000011</v>
      </c>
      <c r="J6553" s="4"/>
      <c r="K6553" s="38">
        <f t="shared" si="349"/>
        <v>0</v>
      </c>
    </row>
    <row r="6554" spans="1:11">
      <c r="A6554" t="s">
        <v>11711</v>
      </c>
      <c r="B6554" t="s">
        <v>18</v>
      </c>
      <c r="C6554" t="s">
        <v>9072</v>
      </c>
      <c r="D6554" t="s">
        <v>11712</v>
      </c>
      <c r="E6554">
        <v>189211.78</v>
      </c>
      <c r="G6554" s="35"/>
      <c r="H6554" s="36">
        <f t="shared" si="347"/>
        <v>119203.42140000001</v>
      </c>
      <c r="I6554" s="37">
        <f t="shared" si="348"/>
        <v>119203.42140000001</v>
      </c>
      <c r="J6554" s="4"/>
      <c r="K6554" s="38">
        <f t="shared" si="349"/>
        <v>0</v>
      </c>
    </row>
    <row r="6555" spans="1:11">
      <c r="A6555" t="s">
        <v>11713</v>
      </c>
      <c r="B6555" t="s">
        <v>18</v>
      </c>
      <c r="C6555" t="s">
        <v>9072</v>
      </c>
      <c r="D6555" t="s">
        <v>11714</v>
      </c>
      <c r="E6555">
        <v>300507.69</v>
      </c>
      <c r="G6555" s="35"/>
      <c r="H6555" s="36">
        <f t="shared" si="347"/>
        <v>189319.84470000002</v>
      </c>
      <c r="I6555" s="37">
        <f t="shared" si="348"/>
        <v>189319.84470000002</v>
      </c>
      <c r="J6555" s="4"/>
      <c r="K6555" s="38">
        <f t="shared" si="349"/>
        <v>0</v>
      </c>
    </row>
    <row r="6556" spans="1:11">
      <c r="A6556" t="s">
        <v>11715</v>
      </c>
      <c r="B6556" t="s">
        <v>18</v>
      </c>
      <c r="C6556" t="s">
        <v>9072</v>
      </c>
      <c r="D6556" t="s">
        <v>11716</v>
      </c>
      <c r="E6556">
        <v>458428.05</v>
      </c>
      <c r="G6556" s="35"/>
      <c r="H6556" s="36">
        <f t="shared" si="347"/>
        <v>288809.6715</v>
      </c>
      <c r="I6556" s="37">
        <f t="shared" si="348"/>
        <v>288809.6715</v>
      </c>
      <c r="J6556" s="4"/>
      <c r="K6556" s="38">
        <f t="shared" si="349"/>
        <v>0</v>
      </c>
    </row>
    <row r="6557" spans="1:11">
      <c r="A6557" t="s">
        <v>9773</v>
      </c>
      <c r="B6557" t="s">
        <v>18</v>
      </c>
      <c r="C6557" t="s">
        <v>9072</v>
      </c>
      <c r="D6557" t="s">
        <v>11717</v>
      </c>
      <c r="E6557">
        <v>735836.11</v>
      </c>
      <c r="G6557" s="35"/>
      <c r="H6557" s="36">
        <f t="shared" si="347"/>
        <v>463576.74929999997</v>
      </c>
      <c r="I6557" s="37">
        <f t="shared" si="348"/>
        <v>463576.74929999997</v>
      </c>
      <c r="J6557" s="4"/>
      <c r="K6557" s="38">
        <f t="shared" si="349"/>
        <v>0</v>
      </c>
    </row>
    <row r="6558" spans="1:11">
      <c r="A6558" t="s">
        <v>11718</v>
      </c>
      <c r="B6558" t="s">
        <v>18</v>
      </c>
      <c r="C6558" t="s">
        <v>9072</v>
      </c>
      <c r="D6558" t="s">
        <v>11719</v>
      </c>
      <c r="E6558">
        <v>963042.83</v>
      </c>
      <c r="G6558" s="35"/>
      <c r="H6558" s="36">
        <f t="shared" si="347"/>
        <v>606716.98289999994</v>
      </c>
      <c r="I6558" s="37">
        <f t="shared" si="348"/>
        <v>606716.98289999994</v>
      </c>
      <c r="J6558" s="4"/>
      <c r="K6558" s="38">
        <f t="shared" si="349"/>
        <v>0</v>
      </c>
    </row>
    <row r="6559" spans="1:11">
      <c r="A6559" t="s">
        <v>11720</v>
      </c>
      <c r="B6559" t="s">
        <v>18</v>
      </c>
      <c r="C6559" t="s">
        <v>9072</v>
      </c>
      <c r="D6559" t="s">
        <v>11721</v>
      </c>
      <c r="E6559">
        <v>1160146.25</v>
      </c>
      <c r="G6559" s="35"/>
      <c r="H6559" s="36">
        <f t="shared" si="347"/>
        <v>730892.13749999995</v>
      </c>
      <c r="I6559" s="37">
        <f t="shared" si="348"/>
        <v>730892.13749999995</v>
      </c>
      <c r="J6559" s="4"/>
      <c r="K6559" s="38">
        <f t="shared" si="349"/>
        <v>0</v>
      </c>
    </row>
    <row r="6560" spans="1:11">
      <c r="A6560" t="s">
        <v>11722</v>
      </c>
      <c r="B6560" t="s">
        <v>18</v>
      </c>
      <c r="C6560" t="s">
        <v>9072</v>
      </c>
      <c r="D6560" t="s">
        <v>11723</v>
      </c>
      <c r="E6560">
        <v>1799231.6</v>
      </c>
      <c r="G6560" s="35"/>
      <c r="H6560" s="36">
        <f t="shared" si="347"/>
        <v>1133515.9080000001</v>
      </c>
      <c r="I6560" s="37">
        <f t="shared" si="348"/>
        <v>1133515.9080000001</v>
      </c>
      <c r="J6560" s="4"/>
      <c r="K6560" s="38">
        <f t="shared" si="349"/>
        <v>0</v>
      </c>
    </row>
    <row r="6561" spans="1:11">
      <c r="A6561" t="s">
        <v>3584</v>
      </c>
      <c r="B6561" t="s">
        <v>18</v>
      </c>
      <c r="C6561" t="s">
        <v>9072</v>
      </c>
      <c r="D6561" t="s">
        <v>10016</v>
      </c>
      <c r="E6561">
        <v>32354.46</v>
      </c>
      <c r="G6561" s="35"/>
      <c r="H6561" s="36">
        <f t="shared" si="347"/>
        <v>20383.309799999999</v>
      </c>
      <c r="I6561" s="37">
        <f t="shared" si="348"/>
        <v>20383.309799999999</v>
      </c>
      <c r="J6561" s="4"/>
      <c r="K6561" s="38">
        <f t="shared" si="349"/>
        <v>0</v>
      </c>
    </row>
    <row r="6562" spans="1:11">
      <c r="A6562" t="s">
        <v>3585</v>
      </c>
      <c r="B6562" t="s">
        <v>18</v>
      </c>
      <c r="C6562" t="s">
        <v>9072</v>
      </c>
      <c r="D6562" t="s">
        <v>9073</v>
      </c>
      <c r="E6562">
        <v>47149.75</v>
      </c>
      <c r="G6562" s="35"/>
      <c r="H6562" s="36">
        <f t="shared" si="347"/>
        <v>29704.342499999999</v>
      </c>
      <c r="I6562" s="37">
        <f t="shared" si="348"/>
        <v>29704.342499999999</v>
      </c>
      <c r="J6562" s="4"/>
      <c r="K6562" s="38">
        <f t="shared" si="349"/>
        <v>0</v>
      </c>
    </row>
    <row r="6563" spans="1:11">
      <c r="A6563" t="s">
        <v>3586</v>
      </c>
      <c r="B6563" t="s">
        <v>18</v>
      </c>
      <c r="C6563" t="s">
        <v>9072</v>
      </c>
      <c r="D6563" t="s">
        <v>9074</v>
      </c>
      <c r="E6563">
        <v>63820.99</v>
      </c>
      <c r="G6563" s="35"/>
      <c r="H6563" s="36">
        <f t="shared" si="347"/>
        <v>40207.223700000002</v>
      </c>
      <c r="I6563" s="37">
        <f t="shared" si="348"/>
        <v>40207.223700000002</v>
      </c>
      <c r="J6563" s="4"/>
      <c r="K6563" s="38">
        <f t="shared" si="349"/>
        <v>0</v>
      </c>
    </row>
    <row r="6564" spans="1:11">
      <c r="A6564" t="s">
        <v>3587</v>
      </c>
      <c r="B6564" t="s">
        <v>18</v>
      </c>
      <c r="C6564" t="s">
        <v>9072</v>
      </c>
      <c r="D6564" t="s">
        <v>9075</v>
      </c>
      <c r="E6564">
        <v>91760.66</v>
      </c>
      <c r="G6564" s="35"/>
      <c r="H6564" s="36">
        <f t="shared" si="347"/>
        <v>57809.215800000005</v>
      </c>
      <c r="I6564" s="37">
        <f t="shared" si="348"/>
        <v>57809.215800000005</v>
      </c>
      <c r="J6564" s="4"/>
      <c r="K6564" s="38">
        <f t="shared" si="349"/>
        <v>0</v>
      </c>
    </row>
    <row r="6565" spans="1:11">
      <c r="A6565" t="s">
        <v>3588</v>
      </c>
      <c r="B6565" t="s">
        <v>18</v>
      </c>
      <c r="C6565" t="s">
        <v>9072</v>
      </c>
      <c r="D6565" t="s">
        <v>9076</v>
      </c>
      <c r="E6565">
        <v>132919.76</v>
      </c>
      <c r="G6565" s="35"/>
      <c r="H6565" s="36">
        <f t="shared" si="347"/>
        <v>83739.448800000013</v>
      </c>
      <c r="I6565" s="37">
        <f t="shared" si="348"/>
        <v>83739.448800000013</v>
      </c>
      <c r="J6565" s="4"/>
      <c r="K6565" s="38">
        <f t="shared" si="349"/>
        <v>0</v>
      </c>
    </row>
    <row r="6566" spans="1:11">
      <c r="A6566" t="s">
        <v>3589</v>
      </c>
      <c r="B6566" t="s">
        <v>18</v>
      </c>
      <c r="C6566" t="s">
        <v>9072</v>
      </c>
      <c r="D6566" t="s">
        <v>9077</v>
      </c>
      <c r="E6566">
        <v>177280.52</v>
      </c>
      <c r="G6566" s="35"/>
      <c r="H6566" s="36">
        <f t="shared" ref="H6566:H6576" si="350">+E6566*$H$1*(1-G6566)</f>
        <v>111686.7276</v>
      </c>
      <c r="I6566" s="37">
        <f t="shared" ref="I6566:I6576" si="351">H6566*$H$4</f>
        <v>111686.7276</v>
      </c>
      <c r="J6566" s="4"/>
      <c r="K6566" s="38">
        <f t="shared" ref="K6566:K6576" si="352">J6566*I6566</f>
        <v>0</v>
      </c>
    </row>
    <row r="6567" spans="1:11">
      <c r="A6567" t="s">
        <v>3590</v>
      </c>
      <c r="B6567" t="s">
        <v>18</v>
      </c>
      <c r="C6567" t="s">
        <v>9072</v>
      </c>
      <c r="D6567" t="s">
        <v>9078</v>
      </c>
      <c r="E6567">
        <v>220103</v>
      </c>
      <c r="G6567" s="35"/>
      <c r="H6567" s="36">
        <f t="shared" si="350"/>
        <v>138664.89000000001</v>
      </c>
      <c r="I6567" s="37">
        <f t="shared" si="351"/>
        <v>138664.89000000001</v>
      </c>
      <c r="J6567" s="4"/>
      <c r="K6567" s="38">
        <f t="shared" si="352"/>
        <v>0</v>
      </c>
    </row>
    <row r="6568" spans="1:11">
      <c r="A6568" t="s">
        <v>3591</v>
      </c>
      <c r="B6568" t="s">
        <v>18</v>
      </c>
      <c r="C6568" t="s">
        <v>9072</v>
      </c>
      <c r="D6568" t="s">
        <v>9079</v>
      </c>
      <c r="E6568">
        <v>279421.63</v>
      </c>
      <c r="G6568" s="35"/>
      <c r="H6568" s="36">
        <f t="shared" si="350"/>
        <v>176035.6269</v>
      </c>
      <c r="I6568" s="37">
        <f t="shared" si="351"/>
        <v>176035.6269</v>
      </c>
      <c r="J6568" s="4"/>
      <c r="K6568" s="38">
        <f t="shared" si="352"/>
        <v>0</v>
      </c>
    </row>
    <row r="6569" spans="1:11">
      <c r="A6569" t="s">
        <v>3592</v>
      </c>
      <c r="B6569" t="s">
        <v>18</v>
      </c>
      <c r="C6569" t="s">
        <v>9072</v>
      </c>
      <c r="D6569" t="s">
        <v>9080</v>
      </c>
      <c r="E6569">
        <v>433965.21</v>
      </c>
      <c r="G6569" s="35"/>
      <c r="H6569" s="36">
        <f t="shared" si="350"/>
        <v>273398.08230000001</v>
      </c>
      <c r="I6569" s="37">
        <f t="shared" si="351"/>
        <v>273398.08230000001</v>
      </c>
      <c r="J6569" s="4"/>
      <c r="K6569" s="38">
        <f t="shared" si="352"/>
        <v>0</v>
      </c>
    </row>
    <row r="6570" spans="1:11">
      <c r="A6570" t="s">
        <v>3593</v>
      </c>
      <c r="B6570" t="s">
        <v>18</v>
      </c>
      <c r="C6570" t="s">
        <v>9072</v>
      </c>
      <c r="D6570" t="s">
        <v>9081</v>
      </c>
      <c r="E6570">
        <v>676117.27</v>
      </c>
      <c r="G6570" s="35"/>
      <c r="H6570" s="36">
        <f t="shared" si="350"/>
        <v>425953.88010000001</v>
      </c>
      <c r="I6570" s="37">
        <f t="shared" si="351"/>
        <v>425953.88010000001</v>
      </c>
      <c r="J6570" s="4"/>
      <c r="K6570" s="38">
        <f t="shared" si="352"/>
        <v>0</v>
      </c>
    </row>
    <row r="6571" spans="1:11">
      <c r="A6571" t="s">
        <v>3594</v>
      </c>
      <c r="B6571" t="s">
        <v>18</v>
      </c>
      <c r="C6571" t="s">
        <v>9072</v>
      </c>
      <c r="D6571" t="s">
        <v>9082</v>
      </c>
      <c r="E6571">
        <v>1069010.95</v>
      </c>
      <c r="G6571" s="35"/>
      <c r="H6571" s="36">
        <f t="shared" si="350"/>
        <v>673476.89850000001</v>
      </c>
      <c r="I6571" s="37">
        <f t="shared" si="351"/>
        <v>673476.89850000001</v>
      </c>
      <c r="J6571" s="4"/>
      <c r="K6571" s="38">
        <f t="shared" si="352"/>
        <v>0</v>
      </c>
    </row>
    <row r="6572" spans="1:11">
      <c r="A6572" t="s">
        <v>3595</v>
      </c>
      <c r="B6572" t="s">
        <v>18</v>
      </c>
      <c r="C6572" t="s">
        <v>9072</v>
      </c>
      <c r="D6572" t="s">
        <v>9083</v>
      </c>
      <c r="E6572">
        <v>1465981.73</v>
      </c>
      <c r="G6572" s="35"/>
      <c r="H6572" s="36">
        <f t="shared" si="350"/>
        <v>923568.48990000004</v>
      </c>
      <c r="I6572" s="37">
        <f t="shared" si="351"/>
        <v>923568.48990000004</v>
      </c>
      <c r="J6572" s="4"/>
      <c r="K6572" s="38">
        <f t="shared" si="352"/>
        <v>0</v>
      </c>
    </row>
    <row r="6573" spans="1:11">
      <c r="A6573" t="s">
        <v>3596</v>
      </c>
      <c r="B6573" t="s">
        <v>18</v>
      </c>
      <c r="C6573" t="s">
        <v>9072</v>
      </c>
      <c r="D6573" t="s">
        <v>9084</v>
      </c>
      <c r="E6573">
        <v>1739875.45</v>
      </c>
      <c r="G6573" s="35"/>
      <c r="H6573" s="36">
        <f t="shared" si="350"/>
        <v>1096121.5334999999</v>
      </c>
      <c r="I6573" s="37">
        <f t="shared" si="351"/>
        <v>1096121.5334999999</v>
      </c>
      <c r="J6573" s="4"/>
      <c r="K6573" s="38">
        <f t="shared" si="352"/>
        <v>0</v>
      </c>
    </row>
    <row r="6574" spans="1:11">
      <c r="A6574" t="s">
        <v>3597</v>
      </c>
      <c r="B6574" t="s">
        <v>18</v>
      </c>
      <c r="C6574" t="s">
        <v>9072</v>
      </c>
      <c r="D6574" t="s">
        <v>9085</v>
      </c>
      <c r="E6574">
        <v>2342954.39</v>
      </c>
      <c r="G6574" s="35"/>
      <c r="H6574" s="36">
        <f t="shared" si="350"/>
        <v>1476061.2657000001</v>
      </c>
      <c r="I6574" s="37">
        <f t="shared" si="351"/>
        <v>1476061.2657000001</v>
      </c>
      <c r="J6574" s="4"/>
      <c r="K6574" s="38">
        <f t="shared" si="352"/>
        <v>0</v>
      </c>
    </row>
    <row r="6575" spans="1:11">
      <c r="A6575" t="s">
        <v>3598</v>
      </c>
      <c r="B6575" t="s">
        <v>18</v>
      </c>
      <c r="C6575" t="s">
        <v>9072</v>
      </c>
      <c r="D6575" t="s">
        <v>9086</v>
      </c>
      <c r="E6575">
        <v>2752456.78</v>
      </c>
      <c r="G6575" s="35"/>
      <c r="H6575" s="36">
        <f t="shared" si="350"/>
        <v>1734047.7714</v>
      </c>
      <c r="I6575" s="37">
        <f t="shared" si="351"/>
        <v>1734047.7714</v>
      </c>
      <c r="J6575" s="4"/>
      <c r="K6575" s="38">
        <f t="shared" si="352"/>
        <v>0</v>
      </c>
    </row>
    <row r="6576" spans="1:11">
      <c r="A6576" t="s">
        <v>3599</v>
      </c>
      <c r="B6576" t="s">
        <v>18</v>
      </c>
      <c r="C6576" t="s">
        <v>9072</v>
      </c>
      <c r="D6576" t="s">
        <v>9087</v>
      </c>
      <c r="E6576">
        <v>539420.56000000006</v>
      </c>
      <c r="G6576" s="35"/>
      <c r="H6576" s="36">
        <f t="shared" si="350"/>
        <v>339834.95280000003</v>
      </c>
      <c r="I6576" s="37">
        <f t="shared" si="351"/>
        <v>339834.95280000003</v>
      </c>
      <c r="J6576" s="4"/>
      <c r="K6576" s="38">
        <f t="shared" si="352"/>
        <v>0</v>
      </c>
    </row>
    <row r="6577" spans="1:11">
      <c r="A6577" t="s">
        <v>3600</v>
      </c>
      <c r="B6577" t="s">
        <v>18</v>
      </c>
      <c r="C6577" t="s">
        <v>9072</v>
      </c>
      <c r="D6577" t="s">
        <v>9088</v>
      </c>
      <c r="E6577">
        <v>4214774.08</v>
      </c>
      <c r="G6577" s="35"/>
      <c r="H6577" s="36">
        <f t="shared" ref="H6577:H6589" si="353">+E6577*$H$1*(1-G6577)</f>
        <v>2655307.6704000002</v>
      </c>
      <c r="I6577" s="37">
        <f t="shared" ref="I6577:I6589" si="354">H6577*$H$4</f>
        <v>2655307.6704000002</v>
      </c>
      <c r="J6577" s="4"/>
      <c r="K6577" s="38">
        <f t="shared" ref="K6577:K6589" si="355">J6577*I6577</f>
        <v>0</v>
      </c>
    </row>
    <row r="6578" spans="1:11">
      <c r="A6578" t="s">
        <v>3601</v>
      </c>
      <c r="B6578" t="s">
        <v>18</v>
      </c>
      <c r="C6578" t="s">
        <v>9072</v>
      </c>
      <c r="D6578" t="s">
        <v>8942</v>
      </c>
      <c r="E6578">
        <v>42684.91</v>
      </c>
      <c r="G6578" s="35"/>
      <c r="H6578" s="36">
        <f t="shared" si="353"/>
        <v>26891.493300000002</v>
      </c>
      <c r="I6578" s="37">
        <f t="shared" si="354"/>
        <v>26891.493300000002</v>
      </c>
      <c r="J6578" s="4"/>
      <c r="K6578" s="38">
        <f t="shared" si="355"/>
        <v>0</v>
      </c>
    </row>
    <row r="6579" spans="1:11">
      <c r="A6579" t="s">
        <v>3602</v>
      </c>
      <c r="B6579" t="s">
        <v>18</v>
      </c>
      <c r="C6579" t="s">
        <v>9072</v>
      </c>
      <c r="D6579" t="s">
        <v>9089</v>
      </c>
      <c r="E6579">
        <v>71812.69</v>
      </c>
      <c r="G6579" s="35"/>
      <c r="H6579" s="36">
        <f t="shared" si="353"/>
        <v>45241.994700000003</v>
      </c>
      <c r="I6579" s="37">
        <f t="shared" si="354"/>
        <v>45241.994700000003</v>
      </c>
      <c r="J6579" s="4"/>
      <c r="K6579" s="38">
        <f t="shared" si="355"/>
        <v>0</v>
      </c>
    </row>
    <row r="6580" spans="1:11">
      <c r="A6580" t="s">
        <v>3603</v>
      </c>
      <c r="B6580" t="s">
        <v>18</v>
      </c>
      <c r="C6580" t="s">
        <v>9072</v>
      </c>
      <c r="D6580" t="s">
        <v>9090</v>
      </c>
      <c r="E6580">
        <v>100352.66</v>
      </c>
      <c r="G6580" s="35"/>
      <c r="H6580" s="36">
        <f t="shared" si="353"/>
        <v>63222.175800000005</v>
      </c>
      <c r="I6580" s="37">
        <f t="shared" si="354"/>
        <v>63222.175800000005</v>
      </c>
      <c r="J6580" s="4"/>
      <c r="K6580" s="38">
        <f t="shared" si="355"/>
        <v>0</v>
      </c>
    </row>
    <row r="6581" spans="1:11">
      <c r="A6581" t="s">
        <v>3604</v>
      </c>
      <c r="B6581" t="s">
        <v>18</v>
      </c>
      <c r="C6581" t="s">
        <v>9072</v>
      </c>
      <c r="D6581" t="s">
        <v>9091</v>
      </c>
      <c r="E6581">
        <v>142274.66</v>
      </c>
      <c r="G6581" s="35"/>
      <c r="H6581" s="36">
        <f t="shared" si="353"/>
        <v>89633.035799999998</v>
      </c>
      <c r="I6581" s="37">
        <f t="shared" si="354"/>
        <v>89633.035799999998</v>
      </c>
      <c r="J6581" s="4"/>
      <c r="K6581" s="38">
        <f t="shared" si="355"/>
        <v>0</v>
      </c>
    </row>
    <row r="6582" spans="1:11">
      <c r="A6582" t="s">
        <v>3605</v>
      </c>
      <c r="B6582" t="s">
        <v>18</v>
      </c>
      <c r="C6582" t="s">
        <v>9072</v>
      </c>
      <c r="D6582" t="s">
        <v>9092</v>
      </c>
      <c r="E6582">
        <v>211948.71</v>
      </c>
      <c r="G6582" s="35"/>
      <c r="H6582" s="36">
        <f t="shared" si="353"/>
        <v>133527.68729999999</v>
      </c>
      <c r="I6582" s="37">
        <f t="shared" si="354"/>
        <v>133527.68729999999</v>
      </c>
      <c r="J6582" s="4"/>
      <c r="K6582" s="38">
        <f t="shared" si="355"/>
        <v>0</v>
      </c>
    </row>
    <row r="6583" spans="1:11">
      <c r="A6583" t="s">
        <v>3606</v>
      </c>
      <c r="B6583" t="s">
        <v>18</v>
      </c>
      <c r="C6583" t="s">
        <v>9072</v>
      </c>
      <c r="D6583" t="s">
        <v>10017</v>
      </c>
      <c r="E6583">
        <v>285012.06</v>
      </c>
      <c r="G6583" s="35"/>
      <c r="H6583" s="36">
        <f t="shared" si="353"/>
        <v>179557.59779999999</v>
      </c>
      <c r="I6583" s="37">
        <f t="shared" si="354"/>
        <v>179557.59779999999</v>
      </c>
      <c r="J6583" s="4"/>
      <c r="K6583" s="38">
        <f t="shared" si="355"/>
        <v>0</v>
      </c>
    </row>
    <row r="6584" spans="1:11">
      <c r="A6584" t="s">
        <v>3607</v>
      </c>
      <c r="B6584" t="s">
        <v>18</v>
      </c>
      <c r="C6584" t="s">
        <v>9072</v>
      </c>
      <c r="D6584" t="s">
        <v>9093</v>
      </c>
      <c r="E6584">
        <v>352797.64</v>
      </c>
      <c r="G6584" s="35"/>
      <c r="H6584" s="36">
        <f t="shared" si="353"/>
        <v>222262.51320000002</v>
      </c>
      <c r="I6584" s="37">
        <f t="shared" si="354"/>
        <v>222262.51320000002</v>
      </c>
      <c r="J6584" s="4"/>
      <c r="K6584" s="38">
        <f t="shared" si="355"/>
        <v>0</v>
      </c>
    </row>
    <row r="6585" spans="1:11">
      <c r="A6585" t="s">
        <v>3608</v>
      </c>
      <c r="B6585" t="s">
        <v>18</v>
      </c>
      <c r="C6585" t="s">
        <v>9072</v>
      </c>
      <c r="D6585" t="s">
        <v>9094</v>
      </c>
      <c r="E6585">
        <v>441581.71</v>
      </c>
      <c r="G6585" s="35"/>
      <c r="H6585" s="36">
        <f t="shared" si="353"/>
        <v>278196.47730000003</v>
      </c>
      <c r="I6585" s="37">
        <f t="shared" si="354"/>
        <v>278196.47730000003</v>
      </c>
      <c r="J6585" s="4"/>
      <c r="K6585" s="38">
        <f t="shared" si="355"/>
        <v>0</v>
      </c>
    </row>
    <row r="6586" spans="1:11">
      <c r="A6586" t="s">
        <v>3609</v>
      </c>
      <c r="B6586" t="s">
        <v>18</v>
      </c>
      <c r="C6586" t="s">
        <v>9072</v>
      </c>
      <c r="D6586" t="s">
        <v>9095</v>
      </c>
      <c r="E6586">
        <v>689436.76</v>
      </c>
      <c r="G6586" s="35"/>
      <c r="H6586" s="36">
        <f t="shared" si="353"/>
        <v>434345.15880000003</v>
      </c>
      <c r="I6586" s="37">
        <f t="shared" si="354"/>
        <v>434345.15880000003</v>
      </c>
      <c r="J6586" s="4"/>
      <c r="K6586" s="38">
        <f t="shared" si="355"/>
        <v>0</v>
      </c>
    </row>
    <row r="6587" spans="1:11">
      <c r="A6587" t="s">
        <v>3610</v>
      </c>
      <c r="B6587" t="s">
        <v>18</v>
      </c>
      <c r="C6587" t="s">
        <v>9072</v>
      </c>
      <c r="D6587" t="s">
        <v>9096</v>
      </c>
      <c r="E6587">
        <v>1079754.08</v>
      </c>
      <c r="G6587" s="35"/>
      <c r="H6587" s="36">
        <f t="shared" si="353"/>
        <v>680245.07040000008</v>
      </c>
      <c r="I6587" s="37">
        <f t="shared" si="354"/>
        <v>680245.07040000008</v>
      </c>
      <c r="J6587" s="4"/>
      <c r="K6587" s="38">
        <f t="shared" si="355"/>
        <v>0</v>
      </c>
    </row>
    <row r="6588" spans="1:11">
      <c r="A6588" t="s">
        <v>3611</v>
      </c>
      <c r="B6588" t="s">
        <v>18</v>
      </c>
      <c r="C6588" t="s">
        <v>9072</v>
      </c>
      <c r="D6588" t="s">
        <v>9097</v>
      </c>
      <c r="E6588">
        <v>1700867.48</v>
      </c>
      <c r="G6588" s="35"/>
      <c r="H6588" s="36">
        <f t="shared" si="353"/>
        <v>1071546.5123999999</v>
      </c>
      <c r="I6588" s="37">
        <f t="shared" si="354"/>
        <v>1071546.5123999999</v>
      </c>
      <c r="J6588" s="4"/>
      <c r="K6588" s="38">
        <f t="shared" si="355"/>
        <v>0</v>
      </c>
    </row>
    <row r="6589" spans="1:11">
      <c r="A6589" t="s">
        <v>3612</v>
      </c>
      <c r="B6589" t="s">
        <v>18</v>
      </c>
      <c r="C6589" t="s">
        <v>9072</v>
      </c>
      <c r="D6589" t="s">
        <v>9098</v>
      </c>
      <c r="E6589">
        <v>2318691.67</v>
      </c>
      <c r="G6589" s="35"/>
      <c r="H6589" s="36">
        <f t="shared" si="353"/>
        <v>1460775.7520999999</v>
      </c>
      <c r="I6589" s="37">
        <f t="shared" si="354"/>
        <v>1460775.7520999999</v>
      </c>
      <c r="J6589" s="4"/>
      <c r="K6589" s="38">
        <f t="shared" si="355"/>
        <v>0</v>
      </c>
    </row>
    <row r="6590" spans="1:11">
      <c r="A6590" t="s">
        <v>3613</v>
      </c>
      <c r="B6590" t="s">
        <v>18</v>
      </c>
      <c r="C6590" t="s">
        <v>9072</v>
      </c>
      <c r="D6590" t="s">
        <v>9099</v>
      </c>
      <c r="E6590">
        <v>2755858.56</v>
      </c>
      <c r="G6590" s="35"/>
      <c r="H6590" s="36">
        <f t="shared" ref="H6590:H6592" si="356">+E6590*$H$1*(1-G6590)</f>
        <v>1736190.8928</v>
      </c>
      <c r="I6590" s="37">
        <f t="shared" ref="I6590:I6592" si="357">H6590*$H$4</f>
        <v>1736190.8928</v>
      </c>
      <c r="J6590" s="4"/>
      <c r="K6590" s="38">
        <f t="shared" ref="K6590:K6592" si="358">J6590*I6590</f>
        <v>0</v>
      </c>
    </row>
    <row r="6591" spans="1:11">
      <c r="A6591" t="s">
        <v>3614</v>
      </c>
      <c r="B6591" t="s">
        <v>18</v>
      </c>
      <c r="C6591" t="s">
        <v>9072</v>
      </c>
      <c r="D6591" t="s">
        <v>9100</v>
      </c>
      <c r="E6591">
        <v>3642173.62</v>
      </c>
      <c r="G6591" s="35"/>
      <c r="H6591" s="36">
        <f t="shared" si="356"/>
        <v>2294569.3806000003</v>
      </c>
      <c r="I6591" s="37">
        <f t="shared" si="357"/>
        <v>2294569.3806000003</v>
      </c>
      <c r="J6591" s="4"/>
      <c r="K6591" s="38">
        <f t="shared" si="358"/>
        <v>0</v>
      </c>
    </row>
    <row r="6592" spans="1:11">
      <c r="A6592" t="s">
        <v>3615</v>
      </c>
      <c r="B6592" t="s">
        <v>18</v>
      </c>
      <c r="C6592" t="s">
        <v>9072</v>
      </c>
      <c r="D6592" t="s">
        <v>9101</v>
      </c>
      <c r="E6592">
        <v>4323668.71</v>
      </c>
      <c r="G6592" s="35"/>
      <c r="H6592" s="36">
        <f t="shared" si="356"/>
        <v>2723911.2873</v>
      </c>
      <c r="I6592" s="37">
        <f t="shared" si="357"/>
        <v>2723911.2873</v>
      </c>
      <c r="J6592" s="4"/>
      <c r="K6592" s="38">
        <f t="shared" si="358"/>
        <v>0</v>
      </c>
    </row>
    <row r="6593" spans="1:11">
      <c r="A6593" t="s">
        <v>3616</v>
      </c>
      <c r="B6593" t="s">
        <v>18</v>
      </c>
      <c r="C6593" t="s">
        <v>9072</v>
      </c>
      <c r="D6593" t="s">
        <v>9102</v>
      </c>
      <c r="E6593">
        <v>880674.6</v>
      </c>
      <c r="G6593" s="35"/>
      <c r="H6593" s="36">
        <f t="shared" ref="H6593" si="359">+E6593*$H$1*(1-G6593)</f>
        <v>554824.99800000002</v>
      </c>
      <c r="I6593" s="37">
        <f t="shared" ref="I6593" si="360">H6593*$H$4</f>
        <v>554824.99800000002</v>
      </c>
      <c r="J6593" s="4"/>
      <c r="K6593" s="38">
        <f t="shared" ref="K6593" si="361">J6593*I6593</f>
        <v>0</v>
      </c>
    </row>
  </sheetData>
  <autoFilter ref="A6:M6313">
    <sortState ref="A7:M7172">
      <sortCondition ref="B6"/>
    </sortState>
  </autoFilter>
  <sortState ref="A7:E6390">
    <sortCondition ref="B7:B6390"/>
    <sortCondition ref="C7:C6390"/>
    <sortCondition ref="A7:A6390"/>
    <sortCondition ref="D7:D6390"/>
  </sortState>
  <mergeCells count="4">
    <mergeCell ref="C3:E4"/>
    <mergeCell ref="C1:E2"/>
    <mergeCell ref="C5:E5"/>
    <mergeCell ref="B1:B5"/>
  </mergeCells>
  <phoneticPr fontId="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Anglazur</cp:lastModifiedBy>
  <cp:lastPrinted>2022-06-03T15:25:28Z</cp:lastPrinted>
  <dcterms:created xsi:type="dcterms:W3CDTF">2011-03-18T17:42:24Z</dcterms:created>
  <dcterms:modified xsi:type="dcterms:W3CDTF">2026-04-11T13:54:10Z</dcterms:modified>
</cp:coreProperties>
</file>