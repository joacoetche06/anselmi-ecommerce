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tizador Inteligente" state="visible" r:id="rId4"/>
  </sheets>
  <calcPr calcId="171027"/>
</workbook>
</file>

<file path=xl/sharedStrings.xml><?xml version="1.0" encoding="utf-8"?>
<sst xmlns="http://schemas.openxmlformats.org/spreadsheetml/2006/main" count="1431" uniqueCount="1372">
  <si>
    <t>Tu Bonificación:</t>
  </si>
  <si>
    <t>Desc. Pago Contado:</t>
  </si>
  <si>
    <t>Tu Margen (Remarque):</t>
  </si>
  <si>
    <t>IVA:</t>
  </si>
  <si>
    <t>SKU</t>
  </si>
  <si>
    <t>Descripción</t>
  </si>
  <si>
    <t>Precio Lista Base</t>
  </si>
  <si>
    <t>Tu Costo Neto</t>
  </si>
  <si>
    <t>Precio Venta (Público)</t>
  </si>
  <si>
    <t>Cantidad</t>
  </si>
  <si>
    <t>Subtotal</t>
  </si>
  <si>
    <t>DF.0103-02.0</t>
  </si>
  <si>
    <t>ABRAZADERA C/TRABA P/ESQ Y CAÑOS</t>
  </si>
  <si>
    <t>0714.10/37 CR</t>
  </si>
  <si>
    <t>AGARR. ANGULAR C/ JAB. GRAND HOTEL</t>
  </si>
  <si>
    <t>0715.10/37 CR</t>
  </si>
  <si>
    <t>AGARRADERA  RECTA GRAND HOTEL</t>
  </si>
  <si>
    <t>0715.10.2/37 CR</t>
  </si>
  <si>
    <t>AGARRADERA 45 CM GRAN HOTEL</t>
  </si>
  <si>
    <t>0716.10/37 CR</t>
  </si>
  <si>
    <t>AGARRADERA ANGULAR GRAND HOTEL</t>
  </si>
  <si>
    <t>0295/17 CR</t>
  </si>
  <si>
    <t>BIDET  CALIFORNIA</t>
  </si>
  <si>
    <t>0295/B2P CR</t>
  </si>
  <si>
    <t>BIDET 2 LLAV. C/TRANSF. NEWPORT PLUS</t>
  </si>
  <si>
    <t>0295R/85 CR</t>
  </si>
  <si>
    <t>BIDET 2 LLAVES C/TRANSF. DOMINIC</t>
  </si>
  <si>
    <t>0295R/85L CR</t>
  </si>
  <si>
    <t>BIDET 2 LLAVES C/TRANSF. DOMINIC LEVER</t>
  </si>
  <si>
    <t>0295/39 CR</t>
  </si>
  <si>
    <t>BIDET 2 LLAVES C/TRANSF. LIBBY</t>
  </si>
  <si>
    <t>0295/16 CCC</t>
  </si>
  <si>
    <t>BIDET 2 LLAVES C/TRANSF. MALENA</t>
  </si>
  <si>
    <t>0295/62 CR</t>
  </si>
  <si>
    <t>BIDET 2 LLAVES C/TRANSF. MARGOT</t>
  </si>
  <si>
    <t>0295/62L CR</t>
  </si>
  <si>
    <t>BIDET 2 LLAVES C/TRANSF. MARGOT LEVER</t>
  </si>
  <si>
    <t>0295/87 CR</t>
  </si>
  <si>
    <t>BIDET 2 LLAVES C/TRANSF. TEMPLE</t>
  </si>
  <si>
    <t>0295/D7 CR</t>
  </si>
  <si>
    <t>BIDET 2 LLAVES Y TRANSF.ALERCE</t>
  </si>
  <si>
    <t>0295/B1P CR</t>
  </si>
  <si>
    <t>BIDET ARIZONA PLUS</t>
  </si>
  <si>
    <t>0295/H6 CR</t>
  </si>
  <si>
    <t>BIDET ARRAYAN</t>
  </si>
  <si>
    <t>0295/H4 CR</t>
  </si>
  <si>
    <t>BIDET CHALTEN SOFT TOUCH</t>
  </si>
  <si>
    <t>0295/N2 CR</t>
  </si>
  <si>
    <t>BIDET CIPRES</t>
  </si>
  <si>
    <t>0295/L2 CR</t>
  </si>
  <si>
    <t>BIDET EPUYEN</t>
  </si>
  <si>
    <t>0295/C8A CR</t>
  </si>
  <si>
    <t>BIDET GREDOS II</t>
  </si>
  <si>
    <t>0295/L8 NG</t>
  </si>
  <si>
    <t>BIDET GRIP</t>
  </si>
  <si>
    <t>0295/L8 CR</t>
  </si>
  <si>
    <t>0295/G8 NG</t>
  </si>
  <si>
    <t>BIDET MAUNA</t>
  </si>
  <si>
    <t>0295/G8 CR</t>
  </si>
  <si>
    <t>0295/G5 CR</t>
  </si>
  <si>
    <t>BIDET OBERA</t>
  </si>
  <si>
    <t>0295/B6 CR</t>
  </si>
  <si>
    <t>BIDET PAMPA</t>
  </si>
  <si>
    <t>0295/M3P CR</t>
  </si>
  <si>
    <t>BIDET PETALO CROMO</t>
  </si>
  <si>
    <t>0295/C7 CR</t>
  </si>
  <si>
    <t>BIDET RADAL</t>
  </si>
  <si>
    <t>0295/C3 CR</t>
  </si>
  <si>
    <t>BIDET TRIADES</t>
  </si>
  <si>
    <t>0295/83L CCB</t>
  </si>
  <si>
    <t>BIDET VERMONT LEVER</t>
  </si>
  <si>
    <t>0416/15.7.0-10</t>
  </si>
  <si>
    <t>BOQUILLA AIREADORA M22 CR</t>
  </si>
  <si>
    <t>0201/40.7.0.C10</t>
  </si>
  <si>
    <t>BOQUILLA AIREADORA M24 X 1 (CAJA 10)</t>
  </si>
  <si>
    <t>0380.01-5-BT</t>
  </si>
  <si>
    <t>BOQUILLA P/AHORRO DE AGUA DE 5 L/MIN</t>
  </si>
  <si>
    <t>0380.04-5-BT</t>
  </si>
  <si>
    <t>0380.11-7-BT</t>
  </si>
  <si>
    <t>BOQUILLA RESTRICTORA DE CAUDAL</t>
  </si>
  <si>
    <t>0140/C8-D-CR</t>
  </si>
  <si>
    <t>BRAZO  30 CM P/DUCHA PLAST.</t>
  </si>
  <si>
    <t>0142 CR</t>
  </si>
  <si>
    <t>BRAZO DE DUCHA VERTICAL 12CM</t>
  </si>
  <si>
    <t>0140.07/87 CR</t>
  </si>
  <si>
    <t>BRAZO DUCHA C/TUBO GLOB TEMPLE</t>
  </si>
  <si>
    <t>0140/39 CR</t>
  </si>
  <si>
    <t>BRAZO LLUVIA ARMADO</t>
  </si>
  <si>
    <t>0140R/85 CR</t>
  </si>
  <si>
    <t>BRAZO PARA DUCHA DOMINIC</t>
  </si>
  <si>
    <t>DF.0103-18.0</t>
  </si>
  <si>
    <t>BUJE PORTA ROSETA DE 30 CM</t>
  </si>
  <si>
    <t>DF.0103-19.0</t>
  </si>
  <si>
    <t>BUJE PORTAROSETA</t>
  </si>
  <si>
    <t>0425/15 CR</t>
  </si>
  <si>
    <t>CAN. DE UNA SOLA AGUA MESADA ALLEGRO</t>
  </si>
  <si>
    <t>0420</t>
  </si>
  <si>
    <t>CAN. UNA SOLA AGUA PARED C/CRUZ FIJA</t>
  </si>
  <si>
    <t>0342 CR</t>
  </si>
  <si>
    <t>CANILLA AUTOM. ANTIVANDALICA DE PARED</t>
  </si>
  <si>
    <t>0361.03A CR</t>
  </si>
  <si>
    <t>CANILLA AUTOM. LAV P/DISC. C/MANIJA</t>
  </si>
  <si>
    <t>0372.01 CR</t>
  </si>
  <si>
    <t>CANILLA AUTOM. P/LAV. ECOMATIC</t>
  </si>
  <si>
    <t>0360.03 CR</t>
  </si>
  <si>
    <t>CANILLA AUTOMATICA DE PARED</t>
  </si>
  <si>
    <t>0372 CR</t>
  </si>
  <si>
    <t>CANILLA AUTOMATICA P/LAVATORIO</t>
  </si>
  <si>
    <t>0434.01/75 B</t>
  </si>
  <si>
    <t>CANILLA COMBINADA</t>
  </si>
  <si>
    <t>0434.01/15 B</t>
  </si>
  <si>
    <t>CANILLA COMBINADA ALLEGRO</t>
  </si>
  <si>
    <t>0436.04 13</t>
  </si>
  <si>
    <t>CANILLA COMBINADA C/CIERRE ESF.</t>
  </si>
  <si>
    <t>0421</t>
  </si>
  <si>
    <t>CANILLA DE COCINA DE PARED 1 AGUA</t>
  </si>
  <si>
    <t>0421/15 CR</t>
  </si>
  <si>
    <t>CANILLA DE COCINA PARED 1 AGUA ALLEGRO</t>
  </si>
  <si>
    <t>0430 19 B</t>
  </si>
  <si>
    <t>CANILLA DE SERVICIO 19 MM BRONCE</t>
  </si>
  <si>
    <t>0432 13</t>
  </si>
  <si>
    <t>CANILLA DE SERVICIO C/CRUZ FIJA 13 MM</t>
  </si>
  <si>
    <t>0420/15 CR</t>
  </si>
  <si>
    <t>CANILLA DE UNA SOLA AGUA ALLEGRO</t>
  </si>
  <si>
    <t>0437 13 CR</t>
  </si>
  <si>
    <t>CANILLA ESF. PLASTICA P/M MARIPOSA</t>
  </si>
  <si>
    <t>0436.03 19</t>
  </si>
  <si>
    <t>CANILLA ESF. P/MANG. MANIJ. LARGA</t>
  </si>
  <si>
    <t>0436.03 13</t>
  </si>
  <si>
    <t>0436.03 25</t>
  </si>
  <si>
    <t>0436.10 13</t>
  </si>
  <si>
    <t>CANILLA ESF. P/MANG. MANIJ. MARIP.</t>
  </si>
  <si>
    <t>0436.10 19</t>
  </si>
  <si>
    <t>0436.10 25</t>
  </si>
  <si>
    <t>0436 19 C</t>
  </si>
  <si>
    <t>CANILLA P/ MANGUERA 19 MM CROMO</t>
  </si>
  <si>
    <t>0245 CR</t>
  </si>
  <si>
    <t>CANILLA P/BEBEDERO MOD VENUS</t>
  </si>
  <si>
    <t>0221</t>
  </si>
  <si>
    <t>CANILLA PICO LEVANTADO CRUZ FIJA</t>
  </si>
  <si>
    <t>0221/15 CR</t>
  </si>
  <si>
    <t>CANILLA PICO LEVANTADO P/LAV. ALLEGRO</t>
  </si>
  <si>
    <t>0441-13</t>
  </si>
  <si>
    <t>CANILLA PLASTICA C/VAL. ESF. 1/2</t>
  </si>
  <si>
    <t>0441-19</t>
  </si>
  <si>
    <t>CANILLA PLASTICA C/VAL. ESF. 3/4</t>
  </si>
  <si>
    <t>0438 19 CR</t>
  </si>
  <si>
    <t>CANILLA P/MANG C/CIERRE GOMA</t>
  </si>
  <si>
    <t>0438 13 CR</t>
  </si>
  <si>
    <t>CANILLA P/MANG. C/CIERRE GOMA</t>
  </si>
  <si>
    <t>0436.01 13</t>
  </si>
  <si>
    <t>CANILLA P/MANG. VOLANTE CRUZ FIJA</t>
  </si>
  <si>
    <t>0436/15 CR</t>
  </si>
  <si>
    <t>CANILLA P/MANGA 13 MM ALLEGRO</t>
  </si>
  <si>
    <t>0436 13 B</t>
  </si>
  <si>
    <t>CANILLA P/MANGUERA 13 MM BRONCE</t>
  </si>
  <si>
    <t>0436 13 C</t>
  </si>
  <si>
    <t>CANILLA P/MANGUERA 13 MM CROMO</t>
  </si>
  <si>
    <t>0436 19 B</t>
  </si>
  <si>
    <t>CANILLA P/MANGUERA 19 BRONCE</t>
  </si>
  <si>
    <t>0425/16 CCC</t>
  </si>
  <si>
    <t>CANILLA P/MESADA  1 AGUA MALENA</t>
  </si>
  <si>
    <t>0221.10/15 CR</t>
  </si>
  <si>
    <t>CANILLA P/MESADA P/LEVAN ALLEGRO</t>
  </si>
  <si>
    <t>0434/15 CR</t>
  </si>
  <si>
    <t>CANILLA P/PARED 1 SOLA AGUA ALLEGRO</t>
  </si>
  <si>
    <t>0430 13 B</t>
  </si>
  <si>
    <t>CANILLA SERVICIO 13 MM BRONCE</t>
  </si>
  <si>
    <t>0430 13 C</t>
  </si>
  <si>
    <t>CANILLA SERVICIO 13 MM CROMO</t>
  </si>
  <si>
    <t>0430 19 C</t>
  </si>
  <si>
    <t>CANILLA SERVICIO 19 MM CROMO</t>
  </si>
  <si>
    <t>0275.03</t>
  </si>
  <si>
    <t>CAÑO FLEX. P/LAVAT.BIDET 3/8x30CM CROMO FV</t>
  </si>
  <si>
    <t>0403/B2P CR</t>
  </si>
  <si>
    <t>COC. EMBUTIR P/BAJO NEWPORT PLUS</t>
  </si>
  <si>
    <t>0403/B1P CR</t>
  </si>
  <si>
    <t>COCINA EMBUTIR ARIZONA PLUS</t>
  </si>
  <si>
    <t>0403/B6 CR</t>
  </si>
  <si>
    <t>COCINA EMBUTIR PICO BAJO PAMPA</t>
  </si>
  <si>
    <t>0403/C7 CR</t>
  </si>
  <si>
    <t>COCINA EMBUTIR RADAL</t>
  </si>
  <si>
    <t>0409/B1P CR</t>
  </si>
  <si>
    <t>COCINA EXTERIOR PARED ARIZONA PLUS</t>
  </si>
  <si>
    <t>0409/B6 CR</t>
  </si>
  <si>
    <t>COCINA EXTERIOR PARED PAMPA</t>
  </si>
  <si>
    <t>0409.02/B6 CR</t>
  </si>
  <si>
    <t>0413/B1P CR</t>
  </si>
  <si>
    <t>COCINA MESADA ARIZONA PLUS</t>
  </si>
  <si>
    <t>0416/16 CCC</t>
  </si>
  <si>
    <t>COCINA MESADA MALENA</t>
  </si>
  <si>
    <t>0413/B2P CR</t>
  </si>
  <si>
    <t>COCINA MESADA NEWPORT PLUS</t>
  </si>
  <si>
    <t>0413/B6 CR</t>
  </si>
  <si>
    <t>COCINA MESADA PAMPA</t>
  </si>
  <si>
    <t>0413/C7 CR</t>
  </si>
  <si>
    <t>COCINA MESADA RADAL</t>
  </si>
  <si>
    <t>0409.02/B1P CR</t>
  </si>
  <si>
    <t>COCINA PARED PICO ALTO ARIZONA P</t>
  </si>
  <si>
    <t>0545 CR</t>
  </si>
  <si>
    <t>CONEXION HORIZONTAL (EL PAR)</t>
  </si>
  <si>
    <t>DF.0454-16.0</t>
  </si>
  <si>
    <t>CONEXION UNIVERSAL</t>
  </si>
  <si>
    <t>0546 CR</t>
  </si>
  <si>
    <t>CONEXION VERTICAL(EL PAR)</t>
  </si>
  <si>
    <t>0216R/85 CR</t>
  </si>
  <si>
    <t>CONJ. DECORATIVO BAÑERA DUCHA DOMINIC</t>
  </si>
  <si>
    <t>0216/87 CR</t>
  </si>
  <si>
    <t>CONJ. DECORATIVO P/BAÑERA TEMPLE</t>
  </si>
  <si>
    <t>0254.02</t>
  </si>
  <si>
    <t>CUBRE AGUJERO BIDET</t>
  </si>
  <si>
    <t>0254.01</t>
  </si>
  <si>
    <t>CUBRE AGUJERO PARA MESADA CROMO</t>
  </si>
  <si>
    <t>0246.01</t>
  </si>
  <si>
    <t>DES. PLAST. UNIVERSAL 11/4 P/LAV. Y BIDET</t>
  </si>
  <si>
    <t>0248.01 CR</t>
  </si>
  <si>
    <t>DESAG. POP-UP P/LAV</t>
  </si>
  <si>
    <t>0355.02 D CR</t>
  </si>
  <si>
    <t>DESAGUE BAÑERA CONEXION PLAST. CROMO</t>
  </si>
  <si>
    <t>0355.01 CR</t>
  </si>
  <si>
    <t>DESAGÜE BAÑO C/CODO 11/4 CROMO</t>
  </si>
  <si>
    <t>0242 CR</t>
  </si>
  <si>
    <t>DESAGÜE C/SIFON CROMADO</t>
  </si>
  <si>
    <t>0351.01.6 AI</t>
  </si>
  <si>
    <t>DESAGUE LINEAL C/VISTA RAN 60CM</t>
  </si>
  <si>
    <t>0351.01.8 AI</t>
  </si>
  <si>
    <t>DESAGUE LINEAL C/VISTA RAN. 80 CM</t>
  </si>
  <si>
    <t>0351.02.8 AI</t>
  </si>
  <si>
    <t>DESAGUE LINEAL C/VISTA REVER 80 CM</t>
  </si>
  <si>
    <t>0351.02.6 AI</t>
  </si>
  <si>
    <t>DESAGUE LINEALC/VISTA REVERS. 60 CM</t>
  </si>
  <si>
    <t>0355.03</t>
  </si>
  <si>
    <t>DESAGUE P/BAÑ. CODO PVC</t>
  </si>
  <si>
    <t>0246/A1.13.0-D</t>
  </si>
  <si>
    <t>DESAGUE PLAST UNIVERSAL COMPLETO</t>
  </si>
  <si>
    <t>0248.10 AI</t>
  </si>
  <si>
    <t>DESAGUE SOFT TOUCH LAVAT.ACERO INOX.</t>
  </si>
  <si>
    <t>0239</t>
  </si>
  <si>
    <t>DESCARGA CROMADA P/LAVATORIO 32</t>
  </si>
  <si>
    <t>0242.01 CR</t>
  </si>
  <si>
    <t>DESCARGA C/SIFON P/LAV. MINIMALIS.</t>
  </si>
  <si>
    <t>0242.02 CR</t>
  </si>
  <si>
    <t>DESCARGA C/SIFON P/LAVATORIO</t>
  </si>
  <si>
    <t>0239.02 CR</t>
  </si>
  <si>
    <t>DESCARGA FLEXIBLE P/LAVATORIO 32</t>
  </si>
  <si>
    <t>0239.01</t>
  </si>
  <si>
    <t>DESCARGA PARA BIDET DE 32 MM</t>
  </si>
  <si>
    <t>0242.03 CR</t>
  </si>
  <si>
    <t>DESCARGA P/LAVATORIO CUADRADA</t>
  </si>
  <si>
    <t>0340 CR</t>
  </si>
  <si>
    <t>DOSIFICADOR DE JABON DE MESADA</t>
  </si>
  <si>
    <t>0339 CR</t>
  </si>
  <si>
    <t>DUCHA ANTIVANDALICA</t>
  </si>
  <si>
    <t>0126 B</t>
  </si>
  <si>
    <t>DUCHA ART. CROMO  (FLOR) BLISTER</t>
  </si>
  <si>
    <t>0120/17 CR</t>
  </si>
  <si>
    <t>DUCHA ART. p/ 17,18,28,39,D5 Y D7</t>
  </si>
  <si>
    <t>0126.MCO-20</t>
  </si>
  <si>
    <t>DUCHA ARTICULADA 20 CM</t>
  </si>
  <si>
    <t>0126.MRO-20</t>
  </si>
  <si>
    <t>0120.04 6 CR</t>
  </si>
  <si>
    <t>DUCHA ARTICULADA AUTOLIMPIANTE</t>
  </si>
  <si>
    <t>0120</t>
  </si>
  <si>
    <t>DUCHA ARTICULADA COMPLETA CROMO</t>
  </si>
  <si>
    <t>0126</t>
  </si>
  <si>
    <t>DUCHA ARTICULADA CROMO (FLOR)</t>
  </si>
  <si>
    <t>0120.06 CR</t>
  </si>
  <si>
    <t>DUCHA ARTICULADA MANHATTAN</t>
  </si>
  <si>
    <t>0126.04 B CR</t>
  </si>
  <si>
    <t>DUCHA AUTOLIMPIANTE ARTIC. CROMO</t>
  </si>
  <si>
    <t>0343 CR</t>
  </si>
  <si>
    <t>DUCHA AUTOMATICA ANTIVANDALICA</t>
  </si>
  <si>
    <t>0103/G8 CR</t>
  </si>
  <si>
    <t>DUCHA C/ TRANSFERENCIA MAUNA</t>
  </si>
  <si>
    <t>0126/17 CR</t>
  </si>
  <si>
    <t>DUCHA CALIFORNIA ARTICULADA</t>
  </si>
  <si>
    <t>0130.02 CR</t>
  </si>
  <si>
    <t>DUCHA C/BARRAL ARQUIS DUO II</t>
  </si>
  <si>
    <t>0128.17 CR</t>
  </si>
  <si>
    <t>DUCHA C/BARRAL POLCA II</t>
  </si>
  <si>
    <t>0120/B1 CR</t>
  </si>
  <si>
    <t>DUCHA COMP. P/ B1P,20N,24P,61N,B2P,B4</t>
  </si>
  <si>
    <t>0103/G5 CR</t>
  </si>
  <si>
    <t>DUCHA CON TRANSFERENCIA OBERA</t>
  </si>
  <si>
    <t>0138.01 CR</t>
  </si>
  <si>
    <t>DUCHA CORPORAL MASAJEADORA</t>
  </si>
  <si>
    <t>0103/D7 CR</t>
  </si>
  <si>
    <t>DUCHA C/TRANSF. ALERCE</t>
  </si>
  <si>
    <t>0103/B1P CR</t>
  </si>
  <si>
    <t>DUCHA C/TRANSF. ARIZONA PLUS</t>
  </si>
  <si>
    <t>0103/H6 CR</t>
  </si>
  <si>
    <t>DUCHA C/TRANSF. ARRAYAN</t>
  </si>
  <si>
    <t>0103/17 CR</t>
  </si>
  <si>
    <t>DUCHA C/TRANSF CALIFORNIA</t>
  </si>
  <si>
    <t>0103/H4 CR</t>
  </si>
  <si>
    <t>DUCHA C/TRANSF. CHALTEN</t>
  </si>
  <si>
    <t>0103/N2 CR</t>
  </si>
  <si>
    <t>DUCHA C/TRANSF. CIPRES</t>
  </si>
  <si>
    <t>0103R/85 CR</t>
  </si>
  <si>
    <t>DUCHA C/TRANSF. DOMINIC</t>
  </si>
  <si>
    <t>0103R/85L CR</t>
  </si>
  <si>
    <t>DUCHA C/TRANSF. DOMINIC LEVER</t>
  </si>
  <si>
    <t>0103/L2 CR</t>
  </si>
  <si>
    <t>DUCHA C/TRANSF. EPUYEN</t>
  </si>
  <si>
    <t>0103/39 CR</t>
  </si>
  <si>
    <t>DUCHA C/TRANSF. LIBBY</t>
  </si>
  <si>
    <t>0103/16 CCC</t>
  </si>
  <si>
    <t>DUCHA C/TRANSF. MALENA</t>
  </si>
  <si>
    <t>0103/62 CR</t>
  </si>
  <si>
    <t>DUCHA C/TRANSF. MARGOT</t>
  </si>
  <si>
    <t>0103/62L CR</t>
  </si>
  <si>
    <t>DUCHA C/TRANSF. MARGOT LEVER</t>
  </si>
  <si>
    <t>0103/B2P CR</t>
  </si>
  <si>
    <t>DUCHA C/TRANSF. NEWPORT PLUS</t>
  </si>
  <si>
    <t>0103/B6 CR</t>
  </si>
  <si>
    <t>DUCHA C/TRANSF. PAMPA</t>
  </si>
  <si>
    <t>0103/M3P CR</t>
  </si>
  <si>
    <t>DUCHA C/TRANSF. PETALO CROMO</t>
  </si>
  <si>
    <t>0103/C7 CR</t>
  </si>
  <si>
    <t>DUCHA C/TRANSF RADAL</t>
  </si>
  <si>
    <t>0103/87 CR</t>
  </si>
  <si>
    <t>DUCHA C/TRANSF. TEMPLE</t>
  </si>
  <si>
    <t>0103/C3 CR</t>
  </si>
  <si>
    <t>DUCHA C/TRANSF. TRIADES</t>
  </si>
  <si>
    <t>0103/83L CCB</t>
  </si>
  <si>
    <t>DUCHA C/TRANSF. VERMONT LEVER</t>
  </si>
  <si>
    <t>0103/C8A CR</t>
  </si>
  <si>
    <t>DUCHA C/TRANSFERENCIA GREDOS II</t>
  </si>
  <si>
    <t>0103/L8 NG</t>
  </si>
  <si>
    <t>DUCHA C/TRANSFERENCIA GRIP</t>
  </si>
  <si>
    <t>0103/L8 CR</t>
  </si>
  <si>
    <t>0103/G8 NG</t>
  </si>
  <si>
    <t>DUCHA C/TRANSFERENCIA MAUNA</t>
  </si>
  <si>
    <t>0112/D7 CR</t>
  </si>
  <si>
    <t>DUCHA EXTERIOR PARED ALERCE</t>
  </si>
  <si>
    <t>0112/B1P CR</t>
  </si>
  <si>
    <t>DUCHA EXTERIOR PARED ARIZONA PLUS</t>
  </si>
  <si>
    <t>0112/39A CR</t>
  </si>
  <si>
    <t>DUCHA EXTERIOR PARED LIBBY</t>
  </si>
  <si>
    <t>0112/B6 CR</t>
  </si>
  <si>
    <t>DUCHA EXTERIOR PARED PAMPA</t>
  </si>
  <si>
    <t>0112/C7 CR</t>
  </si>
  <si>
    <t>DUCHA EXTERIOR PARED RADAL</t>
  </si>
  <si>
    <t>0113/B1P CR</t>
  </si>
  <si>
    <t>DUCHA EXTERIOR S/TRANSF ARIZONA PLUS</t>
  </si>
  <si>
    <t>0126.MCO-25</t>
  </si>
  <si>
    <t>DUCHA METALICA ARTICULADA 25 CM</t>
  </si>
  <si>
    <t>0126.MRO-25</t>
  </si>
  <si>
    <t>0126.MCO-30</t>
  </si>
  <si>
    <t>DUCHA METALICA ARTICULADA 30 CM</t>
  </si>
  <si>
    <t>0126.MRO-30</t>
  </si>
  <si>
    <t>0310/B5 NG</t>
  </si>
  <si>
    <t>DUCHA MONOC. EXT. PUELO</t>
  </si>
  <si>
    <t>0310/B5 CR</t>
  </si>
  <si>
    <t>DUCHA MONOCOMANDO PUELO</t>
  </si>
  <si>
    <t>0313/85N CR</t>
  </si>
  <si>
    <t>DUCHA PARED C/CONTROL TERM.</t>
  </si>
  <si>
    <t>0313/85N NG</t>
  </si>
  <si>
    <t>DUCHA PARED c/TERMOSTA. DOMINIC</t>
  </si>
  <si>
    <t>0126.PRO-15</t>
  </si>
  <si>
    <t>DUCHA PLAST. ARTICULADA 15 CM</t>
  </si>
  <si>
    <t>0126.PRO-20</t>
  </si>
  <si>
    <t>DUCHA PLAST. ARTICULADA 20 CM</t>
  </si>
  <si>
    <t>0126.PCO 25</t>
  </si>
  <si>
    <t>DUCHA PLASTICA 25 CM. CUAD.</t>
  </si>
  <si>
    <t>0109/L8 NG</t>
  </si>
  <si>
    <t>DUCHA SIN TRANSFERENCIA GRIP</t>
  </si>
  <si>
    <t>0109/L8 CR</t>
  </si>
  <si>
    <t>0109/87 CR</t>
  </si>
  <si>
    <t>DUCHA S/TRANSF  TEMPLE</t>
  </si>
  <si>
    <t>0109/D7 CR</t>
  </si>
  <si>
    <t>DUCHA S/TRANSF ALERCE</t>
  </si>
  <si>
    <t>0109/B1P CR</t>
  </si>
  <si>
    <t>DUCHA S/TRANSF. ARIZONA PLUS</t>
  </si>
  <si>
    <t>0109/H6 CR</t>
  </si>
  <si>
    <t>DUCHA S/TRANSF. ARRAYAN</t>
  </si>
  <si>
    <t>0109R/85 CR</t>
  </si>
  <si>
    <t>DUCHA S/TRANSF. DOMINIC</t>
  </si>
  <si>
    <t>0109R/85L CR</t>
  </si>
  <si>
    <t>DUCHA S/TRANSF. DOMINIC LEVER</t>
  </si>
  <si>
    <t>0109/62 CR</t>
  </si>
  <si>
    <t>DUCHA S/TRANSF MARGOT</t>
  </si>
  <si>
    <t>0109/62L CR</t>
  </si>
  <si>
    <t>DUCHA S/TRANSF MARGOT LEVER</t>
  </si>
  <si>
    <t>0109/B2P CR</t>
  </si>
  <si>
    <t>DUCHA S/TRANSF. NEWPORT PLUS</t>
  </si>
  <si>
    <t>0109/B6 CR</t>
  </si>
  <si>
    <t>DUCHA S/TRANSF. PAMPA</t>
  </si>
  <si>
    <t>0109/C7 CR</t>
  </si>
  <si>
    <t>DUCHA S/TRANSF. RADAL</t>
  </si>
  <si>
    <t>0109/C3 CR</t>
  </si>
  <si>
    <t>DUCHA S/TRANSF. TRIADES</t>
  </si>
  <si>
    <t>0109/H3L CR</t>
  </si>
  <si>
    <t>DUCHA S/TRANSF. URBANO LEVER</t>
  </si>
  <si>
    <t>0109/H3L RG</t>
  </si>
  <si>
    <t>DUCHA S/TRANSF. URBANO LEVER ROSE GOLD</t>
  </si>
  <si>
    <t>0109/15 CR</t>
  </si>
  <si>
    <t>DUCHA S/TRANSFER ALLEGRO</t>
  </si>
  <si>
    <t>0109/17 CR</t>
  </si>
  <si>
    <t>DUCHA S/TRANSFER CALIFORNIA</t>
  </si>
  <si>
    <t>0109/39 CR</t>
  </si>
  <si>
    <t>DUCHA S/TRANSFER LIBBY</t>
  </si>
  <si>
    <t>0109/16 CCC</t>
  </si>
  <si>
    <t>DUCHA S/TRANSFER MALENA</t>
  </si>
  <si>
    <t>0109/H4 CR</t>
  </si>
  <si>
    <t>DUCHA S/TRANSFERENCIA CHALTEN</t>
  </si>
  <si>
    <t>0109/G8 CR</t>
  </si>
  <si>
    <t>DUCHA S/TRANSFERENCIA MAUNA</t>
  </si>
  <si>
    <t>0109/G5 CR</t>
  </si>
  <si>
    <t>DUCHA S/TRANSFERENCIA OBERA</t>
  </si>
  <si>
    <t>0109/G8 NG</t>
  </si>
  <si>
    <t>DUCHA S/TRASNFERENCIA MAUNA</t>
  </si>
  <si>
    <t>0119</t>
  </si>
  <si>
    <t>DUCHAMATIC</t>
  </si>
  <si>
    <t>0119.02 CR</t>
  </si>
  <si>
    <t>DUCHAMATIC S/DUCHA CROMO</t>
  </si>
  <si>
    <t>EXH FV B1 B3</t>
  </si>
  <si>
    <t>EXH. MONOCOMANDO ARIZONA-FLOW</t>
  </si>
  <si>
    <t>0260.01-D1-1335</t>
  </si>
  <si>
    <t>FLEXIBLE CORRUGADO A.INOX 13-35 FV</t>
  </si>
  <si>
    <t>0260.01-D1-1340</t>
  </si>
  <si>
    <t>FLEXIBLE CORRUGADO A.INOX 13-40 FV</t>
  </si>
  <si>
    <t>0261-D20-13-20</t>
  </si>
  <si>
    <t>FLEXIBLE TRENZADO A.INOX. 13-20CM M.GIRAT. FV</t>
  </si>
  <si>
    <t>0261-D1-13-25</t>
  </si>
  <si>
    <t>FLEXIBLE TRENZADO A.INOX 13-25 FV</t>
  </si>
  <si>
    <t>0261-D20-13-25</t>
  </si>
  <si>
    <t>FLEXIBLE TRENZADO A.INOX. 13-25CM M.GIRAT. FV</t>
  </si>
  <si>
    <t>0261-D1-13-30</t>
  </si>
  <si>
    <t>FLEXIBLE TRENZADO A.INOX 13-30 FV</t>
  </si>
  <si>
    <t>0261-D20-13-30</t>
  </si>
  <si>
    <t>FLEXIBLE TRENZADO A.INOX. 13-30CM M.GIRAT. FV</t>
  </si>
  <si>
    <t>0261-D1-13-35</t>
  </si>
  <si>
    <t>FLEXIBLE TRENZADO A.INOX 13-35 FV</t>
  </si>
  <si>
    <t>0261-D20-13-35</t>
  </si>
  <si>
    <t>FLEXIBLE TRENZADO A.INOX. 13-35CM M.GIRAT. FV</t>
  </si>
  <si>
    <t>0261-D20-13-40</t>
  </si>
  <si>
    <t>FLEXIBLE TRENZADO A.INOX. 13-40CM M.GIRAT. FV</t>
  </si>
  <si>
    <t>0261-D10-19-20</t>
  </si>
  <si>
    <t>FLEXIBLE TRENZADO A.INOX 3/4X20 FV</t>
  </si>
  <si>
    <t>0261-D10-19-25</t>
  </si>
  <si>
    <t>FLEXIBLE TRENZADO A.INOX 3/4X25 FV</t>
  </si>
  <si>
    <t>0261-D10-19-30</t>
  </si>
  <si>
    <t>FLEXIBLE TRENZADO A.INOX 3/4X30 FV</t>
  </si>
  <si>
    <t>0261-D10-19-35</t>
  </si>
  <si>
    <t>FLEXIBLE TRENZADO A.INOX 3/4X35 FV</t>
  </si>
  <si>
    <t>0261-D10-19-40</t>
  </si>
  <si>
    <t>FLEXIBLE TRENZADO A.INOX 3/4X40 FV</t>
  </si>
  <si>
    <t>0260.01-D201320</t>
  </si>
  <si>
    <t>FLEXIBLES CORRUG A. INOX. 13-20 FV</t>
  </si>
  <si>
    <t>0260.01-D201340</t>
  </si>
  <si>
    <t>FLEXIBLES CORRUG A. INOX 13-40 FV</t>
  </si>
  <si>
    <t>0260.01-D201325</t>
  </si>
  <si>
    <t>FLEXIBLES CORRUG. A.INOX 13-25 FV</t>
  </si>
  <si>
    <t>0260.01-D201330</t>
  </si>
  <si>
    <t>FLEXIBLES CORRUG. A.INOX 13-30 FV</t>
  </si>
  <si>
    <t>0260.01-D201335</t>
  </si>
  <si>
    <t>FLEXIBLES CORRUG. A.INOX 13-35 FV</t>
  </si>
  <si>
    <t>0704.10/37 CR</t>
  </si>
  <si>
    <t>JAB. ESQUINERA GRANDE GRAND HOTEL</t>
  </si>
  <si>
    <t>0168R/85M CR</t>
  </si>
  <si>
    <t>JABONERA  METAL DOMINIC</t>
  </si>
  <si>
    <t>0168/15 CR</t>
  </si>
  <si>
    <t>JABONERA ALLEGRO</t>
  </si>
  <si>
    <t>0168/B1 CR</t>
  </si>
  <si>
    <t>JABONERA ARIZONA</t>
  </si>
  <si>
    <t>0168/17 CR</t>
  </si>
  <si>
    <t>JABONERA CALIFORNIA</t>
  </si>
  <si>
    <t>0168/H4 CR</t>
  </si>
  <si>
    <t>JABONERA CHALTEN</t>
  </si>
  <si>
    <t>0168/N2 CR</t>
  </si>
  <si>
    <t>JABONERA CIPRES</t>
  </si>
  <si>
    <t>0168/N4 CR</t>
  </si>
  <si>
    <t>JABONERA CLIP</t>
  </si>
  <si>
    <t>0168/N4 NG</t>
  </si>
  <si>
    <t>0168R/85V CR</t>
  </si>
  <si>
    <t>JABONERA DE VIDRIO DOMINIC</t>
  </si>
  <si>
    <t>0168/L2 CR</t>
  </si>
  <si>
    <t>JABONERA EPUYEN</t>
  </si>
  <si>
    <t>0168/L2 NG</t>
  </si>
  <si>
    <t>0168/39 CR</t>
  </si>
  <si>
    <t>JABONERA LIBBY</t>
  </si>
  <si>
    <t>0168/62 CR</t>
  </si>
  <si>
    <t>JABONERA MARGOT</t>
  </si>
  <si>
    <t>0168/31 CR</t>
  </si>
  <si>
    <t>JABONERA MIKKA</t>
  </si>
  <si>
    <t>0168/B2 CR</t>
  </si>
  <si>
    <t>JABONERA NEWPORT</t>
  </si>
  <si>
    <t>0702.10/37 CR</t>
  </si>
  <si>
    <t>JABONERA REJILLA CHICA GRAND HOTEL</t>
  </si>
  <si>
    <t>0703.10/37 CR</t>
  </si>
  <si>
    <t>JABONERA REJILLA GRANDE GRAN HOTEL</t>
  </si>
  <si>
    <t>0168.01R/85M CR</t>
  </si>
  <si>
    <t>JABONERA REPISA METAL DOMINIC</t>
  </si>
  <si>
    <t>0168.01R/85V CR</t>
  </si>
  <si>
    <t>JABONERA REPISA VIDRIO 24CM DOMINIC</t>
  </si>
  <si>
    <t>0168/87 CR</t>
  </si>
  <si>
    <t>JABONERA TEMPLE/CITY</t>
  </si>
  <si>
    <t>0168/C3 CR</t>
  </si>
  <si>
    <t>JABONERA TRIADES</t>
  </si>
  <si>
    <t>0168/83 CR</t>
  </si>
  <si>
    <t>JABONERA VERMONT</t>
  </si>
  <si>
    <t>0700.10/37 CR</t>
  </si>
  <si>
    <t>JABONERA VIDRIO P/ APLICAR GRAND HOTEL</t>
  </si>
  <si>
    <t>0213/87 CR</t>
  </si>
  <si>
    <t>JGO HIDROMASAJE C/LLUVIA TEMPLE</t>
  </si>
  <si>
    <t>0213R/85 CR</t>
  </si>
  <si>
    <t>JGO. HIDROMASAJE DOMINIC</t>
  </si>
  <si>
    <t>0213/84 CR</t>
  </si>
  <si>
    <t>JGO HIDROMASAJES CHESS</t>
  </si>
  <si>
    <t>0213R/85L CR</t>
  </si>
  <si>
    <t>JGO P/HIDROMASAJE DOMINIC LEVER</t>
  </si>
  <si>
    <t>0364 CR</t>
  </si>
  <si>
    <t>JUEGO ELECTRONICO P/MINGITORIO</t>
  </si>
  <si>
    <t>0401/B1P CR</t>
  </si>
  <si>
    <t>JUEGO LAVADERO ARIZONA PLUS</t>
  </si>
  <si>
    <t>0401/B6 CR</t>
  </si>
  <si>
    <t>JUEGO LAVADERO PAMPA</t>
  </si>
  <si>
    <t>0179.03/N2 CR</t>
  </si>
  <si>
    <t>KIT ACC. 3 PIEZAS CIPRES</t>
  </si>
  <si>
    <t>0179.06/87 CR</t>
  </si>
  <si>
    <t>KIT ACC. TEMPLE/CITY (6 PIEZAS)</t>
  </si>
  <si>
    <t>0179.06/L2 CR</t>
  </si>
  <si>
    <t>KIT ACCESOCIOS EPUYEN</t>
  </si>
  <si>
    <t>0179.03/B1 CR</t>
  </si>
  <si>
    <t>KIT ACCESORIOS ARIZONA (3 P.)</t>
  </si>
  <si>
    <t>0179.04/B1 CR</t>
  </si>
  <si>
    <t>KIT ACCESORIOS ARIZONA (4 P)</t>
  </si>
  <si>
    <t>0179.03/17 CR</t>
  </si>
  <si>
    <t>KIT ACCESORIOS CALIFORNIA (3 P.)</t>
  </si>
  <si>
    <t>0179.05/17 CR</t>
  </si>
  <si>
    <t>KIT ACCESORIOS CALIFORNIA (5 P.)</t>
  </si>
  <si>
    <t>0179.05/62 CR</t>
  </si>
  <si>
    <t>KIT ACCESORIOS MARGOT (5 P.)</t>
  </si>
  <si>
    <t>0179.05/B2 CR</t>
  </si>
  <si>
    <t>KIT ACCESORIOS NEWPORT (5 PIEZAS)</t>
  </si>
  <si>
    <t>0179.05/31 CR</t>
  </si>
  <si>
    <t>KIT ACCESORIOS P/BAÑO MIKKA FV</t>
  </si>
  <si>
    <t>0179.06/39 CR</t>
  </si>
  <si>
    <t>KIT DE 6 ACCESORIOS LIBBY</t>
  </si>
  <si>
    <t>0179.05/B1 CR</t>
  </si>
  <si>
    <t>KIT DE ACCESORIOS ARIZONA</t>
  </si>
  <si>
    <t>DF-0103</t>
  </si>
  <si>
    <t>KIT DE INSTALACION P/BAÑERA Y DUCHA</t>
  </si>
  <si>
    <t>0900.03/M3 NC</t>
  </si>
  <si>
    <t>KIT GRIFERIA BAÑO PETALO (NEGRO)</t>
  </si>
  <si>
    <t>0900.03/B1P CR</t>
  </si>
  <si>
    <t>KIT GRIFERIA P/BAÑO ARIZONA</t>
  </si>
  <si>
    <t>0900.03/B2P CR</t>
  </si>
  <si>
    <t>KIT GRIFERIA P/BAÑO NEWPORT</t>
  </si>
  <si>
    <t>0900.03/B6 CR</t>
  </si>
  <si>
    <t>KIT GRIFERIA P/BAÑO PAMPA</t>
  </si>
  <si>
    <t>0626R/85L CR</t>
  </si>
  <si>
    <t>KIT SPA CON DUCHA</t>
  </si>
  <si>
    <t>0626/88 CR</t>
  </si>
  <si>
    <t>0363.02P CR</t>
  </si>
  <si>
    <t>LAVAT. ELECT. INCLINADO C/PILA</t>
  </si>
  <si>
    <t>0363.02T CR</t>
  </si>
  <si>
    <t>LAVAT. ELECT. INCLINADO C/TRANSF</t>
  </si>
  <si>
    <t>0363.04P CR</t>
  </si>
  <si>
    <t>LAVAT ELECT LIBBYC/P.PILAS</t>
  </si>
  <si>
    <t>0363.05T CR</t>
  </si>
  <si>
    <t>LAVAT. ELECT PICO TEMPLE C/TRANSF</t>
  </si>
  <si>
    <t>0363C-T CR</t>
  </si>
  <si>
    <t>LAVAT ELECT P/PRESENCIA</t>
  </si>
  <si>
    <t>0363C.03-T CR</t>
  </si>
  <si>
    <t>LAVAT ELECT. P/PRESENCIA C/PREMEZCLA</t>
  </si>
  <si>
    <t>0363.04T CR</t>
  </si>
  <si>
    <t>LAVAT. ELECTRONICO LIBBY C/ TRANSF</t>
  </si>
  <si>
    <t>0363.05P CR</t>
  </si>
  <si>
    <t>LAVAT.ELECT. PICO TEMPLE C/PORTA PILAS</t>
  </si>
  <si>
    <t>0207/D7 CR</t>
  </si>
  <si>
    <t>LAVATORIO  ALERCE</t>
  </si>
  <si>
    <t>0207R/85L CR</t>
  </si>
  <si>
    <t>LAVATORIO  LEVER</t>
  </si>
  <si>
    <t>0207/39 CR</t>
  </si>
  <si>
    <t>LAVATORIO  LIBBY</t>
  </si>
  <si>
    <t>0207/16 CCC</t>
  </si>
  <si>
    <t>LAVATORIO  MALENA</t>
  </si>
  <si>
    <t>0207/87 CR</t>
  </si>
  <si>
    <t>LAVATORIO  TEMPLE</t>
  </si>
  <si>
    <t>0207/B1P CR</t>
  </si>
  <si>
    <t>LAVATORIO ARIZONA PLUS</t>
  </si>
  <si>
    <t>0207/H6 CR</t>
  </si>
  <si>
    <t>LAVATORIO ARRAYAN</t>
  </si>
  <si>
    <t>0207/17 CR</t>
  </si>
  <si>
    <t>LAVATORIO CALIFORNIA</t>
  </si>
  <si>
    <t>0207/H4 CR</t>
  </si>
  <si>
    <t>LAVATORIO CHALTEN SOFT TOUCH</t>
  </si>
  <si>
    <t>0207/N2 CR</t>
  </si>
  <si>
    <t>LAVATORIO CIPRES</t>
  </si>
  <si>
    <t>0203/D7 CR</t>
  </si>
  <si>
    <t>LAVATORIO DE PARED ALERCE</t>
  </si>
  <si>
    <t>0203/H4 CR</t>
  </si>
  <si>
    <t>LAVATORIO DE PARED CHALTEN SOFT TOUCH</t>
  </si>
  <si>
    <t>0203/64 CR</t>
  </si>
  <si>
    <t>LAVATORIO DE PARED DENISSE</t>
  </si>
  <si>
    <t>0203R/85 CR</t>
  </si>
  <si>
    <t>LAVATORIO DE PARED DOMINIC</t>
  </si>
  <si>
    <t>0203R/85L CR</t>
  </si>
  <si>
    <t>LAVATORIO DE PARED DOMINIC LEVER</t>
  </si>
  <si>
    <t>0203/L2 CR</t>
  </si>
  <si>
    <t>LAVATORIO DE PARED EPUYEN</t>
  </si>
  <si>
    <t>0203/39 CR</t>
  </si>
  <si>
    <t>LAVATORIO DE PARED LIBBY</t>
  </si>
  <si>
    <t>0203/62 CR</t>
  </si>
  <si>
    <t>LAVATORIO DE PARED MARGOT</t>
  </si>
  <si>
    <t>0203/62L CR</t>
  </si>
  <si>
    <t>LAVATORIO DE PARED MARGOT LEVER</t>
  </si>
  <si>
    <t>0203/87 CR</t>
  </si>
  <si>
    <t>LAVATORIO DE PARED TEMPLE</t>
  </si>
  <si>
    <t>0203/C3 CR</t>
  </si>
  <si>
    <t>LAVATORIO DE PARED TRIADES</t>
  </si>
  <si>
    <t>0203/83L CCB</t>
  </si>
  <si>
    <t>LAVATORIO DE PARED VERMONT LEVER</t>
  </si>
  <si>
    <t>0207R/85 CR</t>
  </si>
  <si>
    <t>LAVATORIO DOMINIC</t>
  </si>
  <si>
    <t>0207/L2 CR</t>
  </si>
  <si>
    <t>LAVATORIO EPUYEN</t>
  </si>
  <si>
    <t>0207/C8A CR</t>
  </si>
  <si>
    <t>LAVATORIO GREDOS II</t>
  </si>
  <si>
    <t>0207/L8 CR</t>
  </si>
  <si>
    <t>LAVATORIO GRIP</t>
  </si>
  <si>
    <t>0207/L8 NG</t>
  </si>
  <si>
    <t>0207/62 CR</t>
  </si>
  <si>
    <t>LAVATORIO MARGOT</t>
  </si>
  <si>
    <t>0207/62L CR</t>
  </si>
  <si>
    <t>LAVATORIO MARGOT LEVER</t>
  </si>
  <si>
    <t>0207/B2P CR</t>
  </si>
  <si>
    <t>LAVATORIO NEWPORT PLUS</t>
  </si>
  <si>
    <t>0207/G5 CR</t>
  </si>
  <si>
    <t>LAVATORIO OBERA</t>
  </si>
  <si>
    <t>0207/B6 CR</t>
  </si>
  <si>
    <t>LAVATORIO PAMPA</t>
  </si>
  <si>
    <t>0203/H6 CR</t>
  </si>
  <si>
    <t>LAVATORIO PARED ARRAYAN</t>
  </si>
  <si>
    <t>0203/N2 CR</t>
  </si>
  <si>
    <t>LAVATORIO PARED CIPRES</t>
  </si>
  <si>
    <t>0203/L8 NG</t>
  </si>
  <si>
    <t>LAVATORIO PARED GRIP</t>
  </si>
  <si>
    <t>0203/L8 CR</t>
  </si>
  <si>
    <t>0203/16 CCC</t>
  </si>
  <si>
    <t>LAVATORIO PARED MALENA</t>
  </si>
  <si>
    <t>0203/G8 NG</t>
  </si>
  <si>
    <t>LAVATORIO PARED MAUNA</t>
  </si>
  <si>
    <t>0203/G8 CR</t>
  </si>
  <si>
    <t>0207/M3P CR</t>
  </si>
  <si>
    <t>LAVATORIO PETALO CROMO</t>
  </si>
  <si>
    <t>0207/G8 NG</t>
  </si>
  <si>
    <t>LAVATORIO PICO BAR MAUNA</t>
  </si>
  <si>
    <t>0207/G8 CR</t>
  </si>
  <si>
    <t>LAVATORIO PICO BAR MAURA</t>
  </si>
  <si>
    <t>0207A/G8 NG</t>
  </si>
  <si>
    <t>LAVATORIO PICO CUAD. MAUNA</t>
  </si>
  <si>
    <t>0207A/G8 CR</t>
  </si>
  <si>
    <t>0207/C7 CR</t>
  </si>
  <si>
    <t>LAVATORIO RADAL</t>
  </si>
  <si>
    <t>0207/C3 CR</t>
  </si>
  <si>
    <t>LAVATORIO TRIADES</t>
  </si>
  <si>
    <t>0207/83L CCB</t>
  </si>
  <si>
    <t>LAVATORIO VERMONT LEVER</t>
  </si>
  <si>
    <t>0475 13</t>
  </si>
  <si>
    <t>LL. DE PASO P/HIERRO CRUZ FIJA HH 13 MM</t>
  </si>
  <si>
    <t>0475 19</t>
  </si>
  <si>
    <t>LL. DE PASO P/HIERRO CRUZ FIJA HH 19 MM</t>
  </si>
  <si>
    <t>0474 19</t>
  </si>
  <si>
    <t>LL. D/PASO P/HIERRO CRUZ FIJA 19 MM</t>
  </si>
  <si>
    <t>0474 13</t>
  </si>
  <si>
    <t>LL. D/PASO P/HIERRO CRUZ FIJA MH 13 MM</t>
  </si>
  <si>
    <t>0471 13 B</t>
  </si>
  <si>
    <t>LL. PASO HH 13 P/CAÑO HIERRO DE BRONCE</t>
  </si>
  <si>
    <t>0471 19 B</t>
  </si>
  <si>
    <t>LL. PASO HH 19 P/CAÑO HIERRO DE BRONCE</t>
  </si>
  <si>
    <t>0420/17 CR</t>
  </si>
  <si>
    <t>LLAVE COCINA CON PICO MOVIL CALIF.</t>
  </si>
  <si>
    <t>0480/88 19 CR</t>
  </si>
  <si>
    <t>LLAVE DE PASO CITY</t>
  </si>
  <si>
    <t>0480R/85L 19 CR</t>
  </si>
  <si>
    <t>LLAVE DE PASO DOMINIC</t>
  </si>
  <si>
    <t>0480R/85 19 CR</t>
  </si>
  <si>
    <t>0479/18 13</t>
  </si>
  <si>
    <t>LLAVE DE PASO OREGON</t>
  </si>
  <si>
    <t>0479/18 19</t>
  </si>
  <si>
    <t>0485 13</t>
  </si>
  <si>
    <t>LLAVE DE PASO P/COBRE 13 MM</t>
  </si>
  <si>
    <t>0485 19</t>
  </si>
  <si>
    <t>LLAVE DE PASO P/COBRE 19 MM</t>
  </si>
  <si>
    <t>0470 13 B</t>
  </si>
  <si>
    <t>LLAVE DE PASO P/HIERRO MH 13 MM BRONCE</t>
  </si>
  <si>
    <t>0470 13 C</t>
  </si>
  <si>
    <t>LLAVE DE PASO P/HIERRO MH 13 MM CROMO</t>
  </si>
  <si>
    <t>0470 19 B</t>
  </si>
  <si>
    <t>LLAVE DE PASO P/HIERRO MH 19 MM BRONCE</t>
  </si>
  <si>
    <t>0470 19 C</t>
  </si>
  <si>
    <t>LLAVE DE PASO P/HIERRO MH 19 MM CROMO</t>
  </si>
  <si>
    <t>0489.03/18 20</t>
  </si>
  <si>
    <t>LLAVE DE PASO PLASTICA</t>
  </si>
  <si>
    <t>0489.03/18 25</t>
  </si>
  <si>
    <t>0480/87 19 CR</t>
  </si>
  <si>
    <t>LLAVE DE PASO TEMPLE</t>
  </si>
  <si>
    <t>0269</t>
  </si>
  <si>
    <t>LLAVE DE REGISTRO 13 MM CROMO</t>
  </si>
  <si>
    <t>0605-13-B</t>
  </si>
  <si>
    <t>LLAVE ESCLUSA 13MM BRONCE</t>
  </si>
  <si>
    <t>0605-19-B</t>
  </si>
  <si>
    <t>LLAVE ESCLUSA 19 MM BRONCE</t>
  </si>
  <si>
    <t>0605-25-B</t>
  </si>
  <si>
    <t>LLAVE ESCLUSA 25MM BRONCE</t>
  </si>
  <si>
    <t>0600-32-B</t>
  </si>
  <si>
    <t>LLAVE ESCLUSA 32 MM BRONCE</t>
  </si>
  <si>
    <t>0600-38-B</t>
  </si>
  <si>
    <t>LLAVE ESCLUSA 38 MM BRONCE</t>
  </si>
  <si>
    <t>0600-50-B</t>
  </si>
  <si>
    <t>LLAVE ESCLUSA 50 MM BRONCE</t>
  </si>
  <si>
    <t>0822 25 CR</t>
  </si>
  <si>
    <t>LLAVE GAS 1" C/CAMPANA</t>
  </si>
  <si>
    <t>0810A</t>
  </si>
  <si>
    <t>LLAVE GAS 1" MH BRONCE</t>
  </si>
  <si>
    <t>0810.01 13 B</t>
  </si>
  <si>
    <t>LLAVE GAS MH 13 BRONCE FV</t>
  </si>
  <si>
    <t>0822.02 13 CR</t>
  </si>
  <si>
    <t>LLAVE GAS MH 13 C/CAMPANA CROMO DE LUJO FV</t>
  </si>
  <si>
    <t>0822.01 13</t>
  </si>
  <si>
    <t>LLAVE GAS MH 13 C/CAMPANA CROMO FV</t>
  </si>
  <si>
    <t>0810.01 13 C</t>
  </si>
  <si>
    <t>LLAVE GAS MH 13 CROMO FV</t>
  </si>
  <si>
    <t>0810.01 19 B</t>
  </si>
  <si>
    <t>LLAVE GAS MH 19 BRONCE FV</t>
  </si>
  <si>
    <t>0822.02 19 CR</t>
  </si>
  <si>
    <t>LLAVE GAS MH 19 C/CAMPANA CROMO DE LUJO FV</t>
  </si>
  <si>
    <t>0822.01 19</t>
  </si>
  <si>
    <t>LLAVE GAS MH 19 C/CAMPANA CROMO FV</t>
  </si>
  <si>
    <t>0810.01 19 C</t>
  </si>
  <si>
    <t>LLAVE GAS MH 19 CROMO FV</t>
  </si>
  <si>
    <t>0409/15.9 B</t>
  </si>
  <si>
    <t>LLAVE PARA BOQUILLA AIREADORA</t>
  </si>
  <si>
    <t>0489.03/B2P 20</t>
  </si>
  <si>
    <t>LLAVE PASO CAÑO PLASTICO HH</t>
  </si>
  <si>
    <t>0489.03/B2P 25</t>
  </si>
  <si>
    <t>0489/B2P 13 CR</t>
  </si>
  <si>
    <t>LLAVE PASO COBRE C/CAMP 13 HH</t>
  </si>
  <si>
    <t>0489/B2P 19 CR</t>
  </si>
  <si>
    <t>LLAVE PASO P/COBRE C/CAMP HH 19</t>
  </si>
  <si>
    <t>0479/B2P 19 CR</t>
  </si>
  <si>
    <t>LLAVE PASO P/HIERRO C/CAMP 19 HH</t>
  </si>
  <si>
    <t>0479/B2P 13 CR</t>
  </si>
  <si>
    <t>LLAVE PASO P/HIERRO C/CAMP HH 13</t>
  </si>
  <si>
    <t>M150MM.1-AL</t>
  </si>
  <si>
    <t>MANGUERA 150 CM</t>
  </si>
  <si>
    <t>0801.11.0 ST</t>
  </si>
  <si>
    <t>MANIJA Y CAMPANA P/LLAVE DE GAS FV</t>
  </si>
  <si>
    <t>0801.11.0 CR</t>
  </si>
  <si>
    <t>0428/D7 CR</t>
  </si>
  <si>
    <t>MESADA COCINA ALERCE</t>
  </si>
  <si>
    <t>0428/D7L CR</t>
  </si>
  <si>
    <t>MESADA COCINA ALERCE LEVER</t>
  </si>
  <si>
    <t>0410/C7 CR</t>
  </si>
  <si>
    <t>MESADA COCINA COMPACTA RADAL</t>
  </si>
  <si>
    <t>0428/39 CR</t>
  </si>
  <si>
    <t>MESADA COCINA LIBBY</t>
  </si>
  <si>
    <t>0416/62L CR</t>
  </si>
  <si>
    <t>MESADA COCINA MARGOT LEVER</t>
  </si>
  <si>
    <t>0416/17 CR</t>
  </si>
  <si>
    <t>MESADA COCINA PICO MOVIL CALIF.</t>
  </si>
  <si>
    <t>0341 CR</t>
  </si>
  <si>
    <t>MEZCLADORA DE PARED</t>
  </si>
  <si>
    <t>0652 13</t>
  </si>
  <si>
    <t>MINI VALVULA ESFERICA FV</t>
  </si>
  <si>
    <t>0181.02/85N NG</t>
  </si>
  <si>
    <t>MONOC ALTO P/LAVATORIO DOMINIC</t>
  </si>
  <si>
    <t>0189/D8 NG</t>
  </si>
  <si>
    <t>MONOC. BIDET AROMO</t>
  </si>
  <si>
    <t>0189/M4 CR</t>
  </si>
  <si>
    <t>MONOC. BIDET COMPACTA</t>
  </si>
  <si>
    <t>0189/D9 CR</t>
  </si>
  <si>
    <t>MONOC. BIDET COTY</t>
  </si>
  <si>
    <t>0189/85N NG</t>
  </si>
  <si>
    <t>MONOC. BIDET DOMINIC NEW</t>
  </si>
  <si>
    <t>0411.04/D8E CR</t>
  </si>
  <si>
    <t>MONOC. COC ACC. TACTIL AROMO</t>
  </si>
  <si>
    <t>0423/B1 CR</t>
  </si>
  <si>
    <t>MONOC. COC. PICO MOV. ALTO ARIZONA</t>
  </si>
  <si>
    <t>0423/M4 CR</t>
  </si>
  <si>
    <t>MONOC. COC. PICO MOV. ALTO COMPACTA</t>
  </si>
  <si>
    <t>0411.04/D8 NG</t>
  </si>
  <si>
    <t>MONOC. COCINA AROMO</t>
  </si>
  <si>
    <t>0412/N9 CR</t>
  </si>
  <si>
    <t>MONOC. COCINA C/ROCIADOR HUEMUL</t>
  </si>
  <si>
    <t>0412/N9 NG</t>
  </si>
  <si>
    <t>MONOC. COCINA C/ROCIADOR HUEMUL NEGRA</t>
  </si>
  <si>
    <t>0411.03/B1 CR</t>
  </si>
  <si>
    <t>MONOC. COCINA DOS AGUJ. ARIZONA</t>
  </si>
  <si>
    <t>0406/39 CR</t>
  </si>
  <si>
    <t>MONOC COCINA EXTERIOR</t>
  </si>
  <si>
    <t>0108/M4 CR</t>
  </si>
  <si>
    <t>MONOC. DUCHA COMPACTA</t>
  </si>
  <si>
    <t>0106/D8 NG</t>
  </si>
  <si>
    <t>MONOC. DUCHA C/TRANS AROMO</t>
  </si>
  <si>
    <t>0106/B1 CR</t>
  </si>
  <si>
    <t>MONOC. DUCHA C/TRANSF ARIZONA</t>
  </si>
  <si>
    <t>0106/D8 CR</t>
  </si>
  <si>
    <t>MONOC. DUCHA C/TRANSF AROMO</t>
  </si>
  <si>
    <t>0106/L2 NG</t>
  </si>
  <si>
    <t>MONOC. DUCHA C/TRANSF EPUYEN</t>
  </si>
  <si>
    <t>0106/39 CR</t>
  </si>
  <si>
    <t>MONOC. DUCHA C/TRANSF. LIBBY</t>
  </si>
  <si>
    <t>0106/B5 NG</t>
  </si>
  <si>
    <t>MONOC. DUCHA C/TRANSF. PUELO</t>
  </si>
  <si>
    <t>0106/B5 CR</t>
  </si>
  <si>
    <t>0106/M1 CR</t>
  </si>
  <si>
    <t>MONOC. DUCHA EMBUTIR JANA</t>
  </si>
  <si>
    <t>0310/B1 CR</t>
  </si>
  <si>
    <t>MONOC DUCHA EXT. ARIZONA</t>
  </si>
  <si>
    <t>0310/D8 NG</t>
  </si>
  <si>
    <t>MONOC. DUCHA EXT. AROMO</t>
  </si>
  <si>
    <t>0310/M4 CR</t>
  </si>
  <si>
    <t>MONOC DUCHA EXT. COMPACTA</t>
  </si>
  <si>
    <t>0310/D8 CR</t>
  </si>
  <si>
    <t>MONOC DUCHA EXTC/TRANS AROMO</t>
  </si>
  <si>
    <t>0310/39 CR</t>
  </si>
  <si>
    <t>MONOC DUCHA EXTERIOR C/TRASF.</t>
  </si>
  <si>
    <t>0310/M1 CR</t>
  </si>
  <si>
    <t>MONOC. DUCHA EXTERIOR JANA</t>
  </si>
  <si>
    <t>0310/S7 CR</t>
  </si>
  <si>
    <t>MONOC. DUCHA PARED C/DUCHADOR CHAPELCO</t>
  </si>
  <si>
    <t>0108/L2 CR</t>
  </si>
  <si>
    <t>MONOC. DUCHA s/TRANS. EPUYEN</t>
  </si>
  <si>
    <t>0108/M1 CR</t>
  </si>
  <si>
    <t>MONOC. DUCHA S/TRANSF.  JANA</t>
  </si>
  <si>
    <t>0108/B1 CR</t>
  </si>
  <si>
    <t>MONOC. DUCHA S/TRANSF ARIZONA</t>
  </si>
  <si>
    <t>0108/D9 CR</t>
  </si>
  <si>
    <t>MONOC. DUCHA S/TRANSF. COTY</t>
  </si>
  <si>
    <t>0108/39 CR</t>
  </si>
  <si>
    <t>MONOC. DUCHA S/TRANSF LIBBY</t>
  </si>
  <si>
    <t>0108/B5 CR</t>
  </si>
  <si>
    <t>MONOC. DUCHA S/TRANSF. PUELO</t>
  </si>
  <si>
    <t>0108.02/87 CR</t>
  </si>
  <si>
    <t>MONOC. DUCHA TEMPLE</t>
  </si>
  <si>
    <t>0106/M4 CR</t>
  </si>
  <si>
    <t>MONOC. DUCHA Y BAÑERA COMPACTA</t>
  </si>
  <si>
    <t>0106/D9 CR</t>
  </si>
  <si>
    <t>MONOC. DUCHA Y BAÑERA COTY</t>
  </si>
  <si>
    <t>0106/85N NG</t>
  </si>
  <si>
    <t>MONOC. DUCHA Y BAÑERA DOMINIC</t>
  </si>
  <si>
    <t>0310/D9 CR</t>
  </si>
  <si>
    <t>MONOC. EXTERIOR PARED COTY</t>
  </si>
  <si>
    <t>0206/L2 NG</t>
  </si>
  <si>
    <t>MONOC. LAVAT PARED EPUYEN</t>
  </si>
  <si>
    <t>0181.02/D8 NG</t>
  </si>
  <si>
    <t>MONOC. LAVATORIO ALTO AROMO</t>
  </si>
  <si>
    <t>0181.02/D9 CR</t>
  </si>
  <si>
    <t>MONOC. LAVATORIO ALTO COTY</t>
  </si>
  <si>
    <t>0181.02/L2 CR</t>
  </si>
  <si>
    <t>MONOC. LAVATORIO ALTO EPUYEN</t>
  </si>
  <si>
    <t>0181.02/L2 NG</t>
  </si>
  <si>
    <t>0181.02/B5 CR</t>
  </si>
  <si>
    <t>MONOC LAVATORIO ALTO PUELO</t>
  </si>
  <si>
    <t>0181.02/B5 NG</t>
  </si>
  <si>
    <t>0181/D8 NG</t>
  </si>
  <si>
    <t>MONOC. LAVATORIO AROMO</t>
  </si>
  <si>
    <t>0181/M4 CR</t>
  </si>
  <si>
    <t>MONOC. LAVATORIO COMPACTA</t>
  </si>
  <si>
    <t>0181/D9 CR</t>
  </si>
  <si>
    <t>MONOC. LAVATORIO COTY</t>
  </si>
  <si>
    <t>0181/85N NG</t>
  </si>
  <si>
    <t>MONOC. LAVATORIO DOMINIC NEW</t>
  </si>
  <si>
    <t>0181.02/85N CR</t>
  </si>
  <si>
    <t>0206/85N NG</t>
  </si>
  <si>
    <t>MONOC. LAVATORIO PARED DOMINIC NEW</t>
  </si>
  <si>
    <t>0206/L2 CR</t>
  </si>
  <si>
    <t>MONOC. LAVATORIO PARED EPUYEN</t>
  </si>
  <si>
    <t>0181/B5 NG</t>
  </si>
  <si>
    <t>MONOC. LAVATORIO PUELO</t>
  </si>
  <si>
    <t>0406.03/39 CR</t>
  </si>
  <si>
    <t>MONOC. P/COCINA EXTERIOR LIBBY</t>
  </si>
  <si>
    <t>0106.02/87 CR</t>
  </si>
  <si>
    <t>MONOC. P/DUCHA C/TRANS TEMPLE</t>
  </si>
  <si>
    <t>0106/85N CR</t>
  </si>
  <si>
    <t>MONOC.DUCHA C/TRANSF DOMINIC NEW</t>
  </si>
  <si>
    <t>0106/L2 CR</t>
  </si>
  <si>
    <t>MONOC.DUCHA C/TRANSF EPUYEN</t>
  </si>
  <si>
    <t>0312/B5 NG</t>
  </si>
  <si>
    <t>MONOC.DUCHA EXT C/DUCHADOR PUELO</t>
  </si>
  <si>
    <t>0312/B5 CR</t>
  </si>
  <si>
    <t>MONOC.DUCHA EXT.C/DUCHADOR PUELO</t>
  </si>
  <si>
    <t>0189/B1 CR</t>
  </si>
  <si>
    <t>MONOCOMANDO BIDET ARIZONA</t>
  </si>
  <si>
    <t>0189/D8 CR</t>
  </si>
  <si>
    <t>MONOCOMANDO BIDET AROMO</t>
  </si>
  <si>
    <t>0189/S7 CR</t>
  </si>
  <si>
    <t>MONOCOMANDO BIDET CHAPELCO</t>
  </si>
  <si>
    <t>0189/S7 NG</t>
  </si>
  <si>
    <t>0189/85N CR</t>
  </si>
  <si>
    <t>MONOCOMANDO BIDET DOMINIC NEW</t>
  </si>
  <si>
    <t>0189/N4 FB</t>
  </si>
  <si>
    <t>MONOCOMANDO BIDET ELECT. CLIP</t>
  </si>
  <si>
    <t>0189/N4 CR</t>
  </si>
  <si>
    <t>0189/L2 NG</t>
  </si>
  <si>
    <t>MONOCOMANDO BIDET EPUYEN</t>
  </si>
  <si>
    <t>0189/L2 CR</t>
  </si>
  <si>
    <t>0189/M1 CR</t>
  </si>
  <si>
    <t>MONOCOMANDO BIDET JANA</t>
  </si>
  <si>
    <t>0189/39 CR</t>
  </si>
  <si>
    <t>MONOCOMANDO BIDET LIBBY</t>
  </si>
  <si>
    <t>0189/B5 CR</t>
  </si>
  <si>
    <t>MONOCOMANDO BIDET PUELO</t>
  </si>
  <si>
    <t>0189/B5 NG</t>
  </si>
  <si>
    <t>0189.01/G9 CR</t>
  </si>
  <si>
    <t>MONOCOMANDO BIDET s/ transf. ALBA</t>
  </si>
  <si>
    <t>0189.01/R2 CR</t>
  </si>
  <si>
    <t>MONOCOMANDO BIDET s/transf. INICIA</t>
  </si>
  <si>
    <t>0189/87 CR</t>
  </si>
  <si>
    <t>MONOCOMANDO BIDET TEMPLE</t>
  </si>
  <si>
    <t>0411.04/27 CR</t>
  </si>
  <si>
    <t>MONOCOMANDO COCINA ALABAMA</t>
  </si>
  <si>
    <t>0411.04/G9 CR</t>
  </si>
  <si>
    <t>MONOCOMANDO COCINA ALBA</t>
  </si>
  <si>
    <t>0411.02/B1 CR</t>
  </si>
  <si>
    <t>MONOCOMANDO COCINA ALTO ARIZONA</t>
  </si>
  <si>
    <t>0411.02/B2 CR</t>
  </si>
  <si>
    <t>MONOCOMANDO COCINA ALTO NEWPORT</t>
  </si>
  <si>
    <t>0411.01/B1 CR</t>
  </si>
  <si>
    <t>MONOCOMANDO COCINA ARIZONA</t>
  </si>
  <si>
    <t>0411.04/D8 CR</t>
  </si>
  <si>
    <t>MONOCOMANDO COCINA AROMO</t>
  </si>
  <si>
    <t>0411.04/N2 CR</t>
  </si>
  <si>
    <t>MONOCOMANDO COCINA CIPRES</t>
  </si>
  <si>
    <t>0411.01/M4 CR</t>
  </si>
  <si>
    <t>MONOCOMANDO COCINA COMPACTA</t>
  </si>
  <si>
    <t>0412.01/87 CR</t>
  </si>
  <si>
    <t>MONOCOMANDO COCINA C/ROC. TEMPLE</t>
  </si>
  <si>
    <t>0412/96 CR</t>
  </si>
  <si>
    <t>MONOCOMANDO COCINA C/ROCIA. AUGUSTA</t>
  </si>
  <si>
    <t>0412/87 CR</t>
  </si>
  <si>
    <t>MONOCOMANDO COCINA C/ROCIA. TEMPLE</t>
  </si>
  <si>
    <t>0411.04/L2 NG</t>
  </si>
  <si>
    <t>MONOCOMANDO COCINA EPUYEN</t>
  </si>
  <si>
    <t>0411.04/L2 CR</t>
  </si>
  <si>
    <t>0406/B5 CR</t>
  </si>
  <si>
    <t>MONOCOMANDO COCINA EXT PUELO</t>
  </si>
  <si>
    <t>0411.04/R2 CR</t>
  </si>
  <si>
    <t>MONOCOMANDO COCINA INICIA</t>
  </si>
  <si>
    <t>0411.04/24 CR</t>
  </si>
  <si>
    <t>MONOCOMANDO COCINA KANSAS</t>
  </si>
  <si>
    <t>0411.04/39 CR</t>
  </si>
  <si>
    <t>MONOCOMANDO COCINA LIBBY</t>
  </si>
  <si>
    <t>0411.01/B2 CR</t>
  </si>
  <si>
    <t>MONOCOMANDO COCINA NEWPORT</t>
  </si>
  <si>
    <t>0406/B1 CR</t>
  </si>
  <si>
    <t>MONOCOMANDO COCINA PARED ARIZONA</t>
  </si>
  <si>
    <t>0411.04/M6 CR</t>
  </si>
  <si>
    <t>MONOCOMANDO COCINA PEPPER PICO MOVIL</t>
  </si>
  <si>
    <t>0411.04/B5 CR</t>
  </si>
  <si>
    <t>MONOCOMANDO COCINA PUELO</t>
  </si>
  <si>
    <t>0411.04/B5 NG</t>
  </si>
  <si>
    <t>MONOCOMANDO COCINA PUELO NEGRA</t>
  </si>
  <si>
    <t>0411.01/90 CR</t>
  </si>
  <si>
    <t>MONOCOMANDO COCINA SWING</t>
  </si>
  <si>
    <t>0412.01/T1 CR</t>
  </si>
  <si>
    <t>MONOCOMANDO COCINA TALAMPAYA</t>
  </si>
  <si>
    <t>0411/87 CR</t>
  </si>
  <si>
    <t>MONOCOMANDO COCINA TEMPLE</t>
  </si>
  <si>
    <t>0411.04/87 CR</t>
  </si>
  <si>
    <t>0311/G9 CR</t>
  </si>
  <si>
    <t>MONOCOMANDO DUCHA ALBA</t>
  </si>
  <si>
    <t>0106/S7 CR</t>
  </si>
  <si>
    <t>MONOCOMANDO DUCHA EMBUTIR CHAPELCO</t>
  </si>
  <si>
    <t>0106/S7 NG</t>
  </si>
  <si>
    <t>0310/L2 CR</t>
  </si>
  <si>
    <t>MONOCOMANDO DUCHA EPUYEN</t>
  </si>
  <si>
    <t>0310/L2 NG</t>
  </si>
  <si>
    <t>0310/G9 CR</t>
  </si>
  <si>
    <t>MONOCOMANDO DUCHA EXT. ALBA</t>
  </si>
  <si>
    <t>0311/R2 CR</t>
  </si>
  <si>
    <t>MONOCOMANDO DUCHA EXT. INICIA</t>
  </si>
  <si>
    <t>0310/R2 CR</t>
  </si>
  <si>
    <t>0310/S7 NG</t>
  </si>
  <si>
    <t>MONOCOMANDO DUCHA EXTER. CHAPELCO</t>
  </si>
  <si>
    <t>0181/N4 CR</t>
  </si>
  <si>
    <t>MONOCOMANDO LAVAT ELECT. CLIP</t>
  </si>
  <si>
    <t>0206/85N CR</t>
  </si>
  <si>
    <t>MONOCOMANDO LAVAT PARED DOMINIC NEW</t>
  </si>
  <si>
    <t>0206/39 CR</t>
  </si>
  <si>
    <t>MONOCOMANDO LAVAT. PARED LIBBY</t>
  </si>
  <si>
    <t>0181.02/39 CR</t>
  </si>
  <si>
    <t>MONOCOMANDO LAVATORIO  LIBBY P/VESSEL</t>
  </si>
  <si>
    <t>0181/G9 CR</t>
  </si>
  <si>
    <t>MONOCOMANDO LAVATORIO ALBA</t>
  </si>
  <si>
    <t>0181.02/S7 NG</t>
  </si>
  <si>
    <t>MONOCOMANDO LAVATORIO ALTO CHAPELCO</t>
  </si>
  <si>
    <t>0181.02/S7 CR</t>
  </si>
  <si>
    <t>0181/B1 CR</t>
  </si>
  <si>
    <t>MONOCOMANDO LAVATORIO ARIZONA</t>
  </si>
  <si>
    <t>0181/D8 CR</t>
  </si>
  <si>
    <t>MONOCOMANDO LAVATORIO AROMO</t>
  </si>
  <si>
    <t>0181.02/D8 CR</t>
  </si>
  <si>
    <t>MONOCOMANDO LAVATORIO AROMO ALTO</t>
  </si>
  <si>
    <t>0181/S7 NG</t>
  </si>
  <si>
    <t>MONOCOMANDO LAVATORIO CHAPELCO</t>
  </si>
  <si>
    <t>0181/S7 CR</t>
  </si>
  <si>
    <t>0181/85N CR</t>
  </si>
  <si>
    <t>MONOCOMANDO LAVATORIO DOMINIC NEW</t>
  </si>
  <si>
    <t>0181/N4 FB</t>
  </si>
  <si>
    <t>MONOCOMANDO LAVATORIO ELECT. CLIP</t>
  </si>
  <si>
    <t>0181/L2 NG</t>
  </si>
  <si>
    <t>MONOCOMANDO LAVATORIO EPUYEN</t>
  </si>
  <si>
    <t>0181/L2 CR</t>
  </si>
  <si>
    <t>0181/R2 CR</t>
  </si>
  <si>
    <t>MONOCOMANDO LAVATORIO INICIA</t>
  </si>
  <si>
    <t>0181/M1 CR</t>
  </si>
  <si>
    <t>MONOCOMANDO LAVATORIO JANA</t>
  </si>
  <si>
    <t>0181/39 CR</t>
  </si>
  <si>
    <t>MONOCOMANDO LAVATORIO LIBBY</t>
  </si>
  <si>
    <t>0206/87 CR</t>
  </si>
  <si>
    <t>MONOCOMANDO LAVATORIO PARED TEMPLE</t>
  </si>
  <si>
    <t>0181.01/B5 CR</t>
  </si>
  <si>
    <t>MONOCOMANDO LAVATORIO PUELO</t>
  </si>
  <si>
    <t>0181.01/B5 NG</t>
  </si>
  <si>
    <t>0181/B5 CR</t>
  </si>
  <si>
    <t>0181/87 CR</t>
  </si>
  <si>
    <t>MONOCOMANDO LAVATORIO TEMPLE</t>
  </si>
  <si>
    <t>0181.02/87 CR</t>
  </si>
  <si>
    <t>MONOCOMANDO LAVATORIO TEMPLE P/VESSEL</t>
  </si>
  <si>
    <t>0412/H5 CR</t>
  </si>
  <si>
    <t>MONOCOMANDO LENGA C/MANG. COLORES</t>
  </si>
  <si>
    <t>0423/B5 CR</t>
  </si>
  <si>
    <t>MONOCOMANDO PICO BAR PUELO</t>
  </si>
  <si>
    <t>0411.02/87 CR</t>
  </si>
  <si>
    <t>MONOCOMANDO P/LAV P/BACHA TEMPLE</t>
  </si>
  <si>
    <t>0130/N4 FB</t>
  </si>
  <si>
    <t>MONOCOMANDO TERMOST. P/DUCHA CLIP</t>
  </si>
  <si>
    <t>0130/N4 CR</t>
  </si>
  <si>
    <t>0261 19-20</t>
  </si>
  <si>
    <t>PAR DE FLEXIBLE TRENZADO A.INOX. 19-20 FV</t>
  </si>
  <si>
    <t>0261 19-25</t>
  </si>
  <si>
    <t>PAR DE FLEXIBLE TRENZADO A.INOX. 19-25 FV</t>
  </si>
  <si>
    <t>0261 19-30</t>
  </si>
  <si>
    <t>PAR DE FLEXIBLE TRENZADO A.INOX. 19-30 FV</t>
  </si>
  <si>
    <t>0260 19-35</t>
  </si>
  <si>
    <t>PAR DE FLEXIBLES CORR. A.INOX 19X35 FV</t>
  </si>
  <si>
    <t>0210.0R/85 CR</t>
  </si>
  <si>
    <t>PAR DE LLAVES LATERALES DOMINIC</t>
  </si>
  <si>
    <t>0210.0R/85L CR</t>
  </si>
  <si>
    <t>PAR DE LLAVES LATERALES DOMINIC L</t>
  </si>
  <si>
    <t>0210.0/87 CR</t>
  </si>
  <si>
    <t>PAR DE LLAVES LATERALES TEMPLE</t>
  </si>
  <si>
    <t>0260.01 13-20</t>
  </si>
  <si>
    <t>PAR FLEXIBLES INOX. FV</t>
  </si>
  <si>
    <t>0260.01 13-35</t>
  </si>
  <si>
    <t>0166/15 CR</t>
  </si>
  <si>
    <t>PERCHA ALLEGRO</t>
  </si>
  <si>
    <t>0166/B1 CR</t>
  </si>
  <si>
    <t>PERCHA ARIZONA</t>
  </si>
  <si>
    <t>0166/17 CR</t>
  </si>
  <si>
    <t>PERCHA CALIFORNIA</t>
  </si>
  <si>
    <t>0166/H4 CR</t>
  </si>
  <si>
    <t>PERCHA CHALTEN</t>
  </si>
  <si>
    <t>0166/N2 CR</t>
  </si>
  <si>
    <t>PERCHA CIPRES</t>
  </si>
  <si>
    <t>0166/N4 CR</t>
  </si>
  <si>
    <t>PERCHA CLIP</t>
  </si>
  <si>
    <t>0166/N4 NG</t>
  </si>
  <si>
    <t>0722.10/37 CR</t>
  </si>
  <si>
    <t>PERCHA DOBLE GRAND HOTEL</t>
  </si>
  <si>
    <t>0166R/85 CR</t>
  </si>
  <si>
    <t>PERCHA DOMINIC</t>
  </si>
  <si>
    <t>0166/L2 CR</t>
  </si>
  <si>
    <t>PERCHA EPUYEN</t>
  </si>
  <si>
    <t>0166/L2 NG</t>
  </si>
  <si>
    <t>PERCHA EPUYEN NEGRA</t>
  </si>
  <si>
    <t>0166/39 CR</t>
  </si>
  <si>
    <t>PERCHA LIBBY</t>
  </si>
  <si>
    <t>0166/62 CR</t>
  </si>
  <si>
    <t>PERCHA MARGOT</t>
  </si>
  <si>
    <t>0166/31 CR</t>
  </si>
  <si>
    <t>PERCHA MIKKA</t>
  </si>
  <si>
    <t>0166/B2 CR</t>
  </si>
  <si>
    <t>PERCHA NEWPORT</t>
  </si>
  <si>
    <t>0166/87 CR</t>
  </si>
  <si>
    <t>PERCHA TEMPLE/CITY</t>
  </si>
  <si>
    <t>0166/C3 CR</t>
  </si>
  <si>
    <t>PERCHA TRIADES</t>
  </si>
  <si>
    <t>0166/83 CR</t>
  </si>
  <si>
    <t>PERCHA VERMONT</t>
  </si>
  <si>
    <t>0428 CR</t>
  </si>
  <si>
    <t>PICO P/VALVULAS 0345 Y .347A</t>
  </si>
  <si>
    <t>0324/61</t>
  </si>
  <si>
    <t>PILAR BIDET C/CADENA Y TAPON</t>
  </si>
  <si>
    <t>0169/62 CR</t>
  </si>
  <si>
    <t>PORTA  CEPILLO MARGOT</t>
  </si>
  <si>
    <t>0169/15 CR</t>
  </si>
  <si>
    <t>PORTA CEPILLO ALLEGRO</t>
  </si>
  <si>
    <t>0169/B1 CR</t>
  </si>
  <si>
    <t>PORTA CEPILLO ARIZONA</t>
  </si>
  <si>
    <t>0169/17 CR</t>
  </si>
  <si>
    <t>PORTA CEPILLO CALIFORNIA</t>
  </si>
  <si>
    <t>0169R/85 CR</t>
  </si>
  <si>
    <t>PORTA CEPILLO FV 85</t>
  </si>
  <si>
    <t>0169/39 CR</t>
  </si>
  <si>
    <t>PORTA CEPILLO LIBBY</t>
  </si>
  <si>
    <t>0169/31 CR</t>
  </si>
  <si>
    <t>PORTA CEPILLO MIKKA</t>
  </si>
  <si>
    <t>0169/B2 CR</t>
  </si>
  <si>
    <t>PORTA CEPILLO NEWPORT</t>
  </si>
  <si>
    <t>0169/87 CR</t>
  </si>
  <si>
    <t>PORTA CEPILLO TEMPLE/CITY</t>
  </si>
  <si>
    <t>0169/83 CR</t>
  </si>
  <si>
    <t>PORTA CEPILLO VERMONT</t>
  </si>
  <si>
    <t>0169/H4 CR</t>
  </si>
  <si>
    <t>PORTA CEPILLOS CHALTEN</t>
  </si>
  <si>
    <t>0169/L2 CR</t>
  </si>
  <si>
    <t>PORTA CEPILLOS EPUYEN</t>
  </si>
  <si>
    <t>0169/L2 NG</t>
  </si>
  <si>
    <t>0169/N2 CR</t>
  </si>
  <si>
    <t>PORTACEPILLO CIPRES</t>
  </si>
  <si>
    <t>0169/C3 CR</t>
  </si>
  <si>
    <t>PORTACEPILLO TRIADES</t>
  </si>
  <si>
    <t>0167/15 CR</t>
  </si>
  <si>
    <t>PORTARROLLO ALLEGRO</t>
  </si>
  <si>
    <t>0167/B1 CR</t>
  </si>
  <si>
    <t>PORTARROLLO ARIZONA</t>
  </si>
  <si>
    <t>0167/17 CR</t>
  </si>
  <si>
    <t>PORTARROLLO CALIFORNIA</t>
  </si>
  <si>
    <t>0167/H4 CR</t>
  </si>
  <si>
    <t>PORTARROLLO CHALTEN</t>
  </si>
  <si>
    <t>0167/N2 CR</t>
  </si>
  <si>
    <t>PORTARROLLO CIPRES</t>
  </si>
  <si>
    <t>0167/44 CR</t>
  </si>
  <si>
    <t>PORTARROLLO CLIP</t>
  </si>
  <si>
    <t>0167/N4 CR</t>
  </si>
  <si>
    <t>0167/N4 NG</t>
  </si>
  <si>
    <t>0720.10/37 CR</t>
  </si>
  <si>
    <t>PORTARROLLO C/TAPA GRAND HOTEL</t>
  </si>
  <si>
    <t>0718.10/37 CR</t>
  </si>
  <si>
    <t>PORTARROLLO DE RESERVA GRAND HOTEL</t>
  </si>
  <si>
    <t>0167R/85 CR</t>
  </si>
  <si>
    <t>PORTARROLLO DOMINIC</t>
  </si>
  <si>
    <t>0167/L2 NG</t>
  </si>
  <si>
    <t>PORTARROLLO EPUYEN</t>
  </si>
  <si>
    <t>0167/L2 CR</t>
  </si>
  <si>
    <t>0167/39 CR</t>
  </si>
  <si>
    <t>PORTARROLLO LIBBY</t>
  </si>
  <si>
    <t>0167/62 CR</t>
  </si>
  <si>
    <t>PORTARROLLO MARGOT</t>
  </si>
  <si>
    <t>0167/31 CR</t>
  </si>
  <si>
    <t>PORTARROLLO MIKKA</t>
  </si>
  <si>
    <t>0167/B2 CR</t>
  </si>
  <si>
    <t>PORTARROLLO NEWPORT</t>
  </si>
  <si>
    <t>0167/87 CR</t>
  </si>
  <si>
    <t>PORTARROLLO TEMPLE/CITY</t>
  </si>
  <si>
    <t>0167/C3 CR</t>
  </si>
  <si>
    <t>PORTARROLLO TRIADES</t>
  </si>
  <si>
    <t>0167/83 CR</t>
  </si>
  <si>
    <t>PORTARROLLO VERMONT</t>
  </si>
  <si>
    <t>0732.10/37 CR</t>
  </si>
  <si>
    <t>PORTAVASO C/VASO GRAND HOTEL</t>
  </si>
  <si>
    <t>0375.02 AI</t>
  </si>
  <si>
    <t>PRESMATIC LAVATORIO EMBUTIR</t>
  </si>
  <si>
    <t>0374.02 AI</t>
  </si>
  <si>
    <t>PRESMATIC MINGITORIO EMBUTIR</t>
  </si>
  <si>
    <t>DF.0103-15.0</t>
  </si>
  <si>
    <t>PROL. DE VAST C/TOR 22 (BOLSA X 3)</t>
  </si>
  <si>
    <t>DF.0103-20.0</t>
  </si>
  <si>
    <t>PROLONG. C/TORNILLO (BOLSA X 3)</t>
  </si>
  <si>
    <t>DF.0103-16.0</t>
  </si>
  <si>
    <t>PROLONG DE VASTAGO (BOLSA X 3)</t>
  </si>
  <si>
    <t>0454 13.38 C</t>
  </si>
  <si>
    <t>PROLONGACION</t>
  </si>
  <si>
    <t>0454 13.50 C</t>
  </si>
  <si>
    <t>0454 13.25 C</t>
  </si>
  <si>
    <t>0454 13.19 C</t>
  </si>
  <si>
    <t>0454 13.32 C</t>
  </si>
  <si>
    <t>0452 19</t>
  </si>
  <si>
    <t>ROSETA PARA CANILLA 19MM</t>
  </si>
  <si>
    <t>0452 13</t>
  </si>
  <si>
    <t>ROSETA PARA CANILLA DE 13MM CR</t>
  </si>
  <si>
    <t>0246.06 CR</t>
  </si>
  <si>
    <t>SOPAPA UNIV LAV/BIDE CUERPO METAL.</t>
  </si>
  <si>
    <t>DF.0103-04.0A</t>
  </si>
  <si>
    <t>SOP.MAD.MULTILAM 360X100X12MM</t>
  </si>
  <si>
    <t>DF.0103-06.0</t>
  </si>
  <si>
    <t>SOP.MAD.MULTILAM 360X300X18MM</t>
  </si>
  <si>
    <t>DF.0106-01.0</t>
  </si>
  <si>
    <t>SOPORTE LLAVE PASO</t>
  </si>
  <si>
    <t>DF.0103-01.0</t>
  </si>
  <si>
    <t>SOPORTE PARA CODO SALIDA BAÑERA</t>
  </si>
  <si>
    <t>TF.310.20</t>
  </si>
  <si>
    <t>SOPORTE P/TERMOFUS.</t>
  </si>
  <si>
    <t>0378.02 CR</t>
  </si>
  <si>
    <t>TAPA CON BOTON P/ VAL. 0378.01 SLIM</t>
  </si>
  <si>
    <t>0366.01 AI</t>
  </si>
  <si>
    <t>TAPA DE ACERO INOX P/0366.FVBASE</t>
  </si>
  <si>
    <t>0349 CR</t>
  </si>
  <si>
    <t>TAPA TECLA ANTIV. P/VALV. INOD</t>
  </si>
  <si>
    <t>0368.04 CR</t>
  </si>
  <si>
    <t>TAPA TECLA CUAD. DOBLE ACCION 0368.01</t>
  </si>
  <si>
    <t>0338 CR</t>
  </si>
  <si>
    <t>TAPA TECLA P/VALV DE INOD P/DISCAPAC</t>
  </si>
  <si>
    <t>0217.02 CR</t>
  </si>
  <si>
    <t>TAPA UNIV. CUADRADA P/J. TERMO. 3/4</t>
  </si>
  <si>
    <t>0368.02 CR</t>
  </si>
  <si>
    <t>TAPA-TECLA P/VALVULA 368.01 CROMO</t>
  </si>
  <si>
    <t>0251.01</t>
  </si>
  <si>
    <t>TAPITA C/CADENA  P/LAVATORIO NEGRO/CR</t>
  </si>
  <si>
    <t>0251.03 B2 NC</t>
  </si>
  <si>
    <t>TAPITA CON CADENA P/LAVAT. (EL PAR)</t>
  </si>
  <si>
    <t>0358</t>
  </si>
  <si>
    <t>TAPITA DESAGUE BAÑO</t>
  </si>
  <si>
    <t>0251</t>
  </si>
  <si>
    <t>TAPITA PARA LAVATORIO</t>
  </si>
  <si>
    <t>0708.10/37 CR</t>
  </si>
  <si>
    <t>TOALLERO ARO GRAND HOTEL</t>
  </si>
  <si>
    <t>0162/39 CR</t>
  </si>
  <si>
    <t>TOALLERO ARO LIBBY</t>
  </si>
  <si>
    <t>0162/62 CR</t>
  </si>
  <si>
    <t>TOALLERO ARO MARGOT</t>
  </si>
  <si>
    <t>0162/31 CR</t>
  </si>
  <si>
    <t>TOALLERO ARO MIKKA</t>
  </si>
  <si>
    <t>0162/B2 CR</t>
  </si>
  <si>
    <t>TOALLERO ARO NEWPORT</t>
  </si>
  <si>
    <t>0162/87 CR</t>
  </si>
  <si>
    <t>TOALLERO ARO TEMPLE/CITY</t>
  </si>
  <si>
    <t>0162/C3 CR</t>
  </si>
  <si>
    <t>TOALLERO ARO TRIADES</t>
  </si>
  <si>
    <t>0162/83 CR</t>
  </si>
  <si>
    <t>TOALLERO ARO VERMONT</t>
  </si>
  <si>
    <t>0164/83 CR</t>
  </si>
  <si>
    <t>TOALLERO BARRAL  RECTO VERMONT</t>
  </si>
  <si>
    <t>0164/N2 CR</t>
  </si>
  <si>
    <t>TOALLERO BARRAL 40 CM CIPRES</t>
  </si>
  <si>
    <t>0164/15 CR</t>
  </si>
  <si>
    <t>TOALLERO BARRAL ALLEGRO</t>
  </si>
  <si>
    <t>0164/B1 CR</t>
  </si>
  <si>
    <t>TOALLERO BARRAL ARIZONA</t>
  </si>
  <si>
    <t>0164/17 CR</t>
  </si>
  <si>
    <t>TOALLERO BARRAL CALIFORNIA</t>
  </si>
  <si>
    <t>0164/H4 CR</t>
  </si>
  <si>
    <t>TOALLERO BARRAL CHALTEN</t>
  </si>
  <si>
    <t>0164/N4 CR</t>
  </si>
  <si>
    <t>TOALLERO BARRAL CLIP</t>
  </si>
  <si>
    <t>0164/N4 NG</t>
  </si>
  <si>
    <t>0163/15 CR</t>
  </si>
  <si>
    <t>TOALLERO BARRAL CORTO ALLEGRO</t>
  </si>
  <si>
    <t>0163/B1 CR</t>
  </si>
  <si>
    <t>TOALLERO BARRAL CORTO ARIZONA</t>
  </si>
  <si>
    <t>0163/17 CR</t>
  </si>
  <si>
    <t>TOALLERO BARRAL CORTO CALIFORNIA</t>
  </si>
  <si>
    <t>0164/L2 CR</t>
  </si>
  <si>
    <t>TOALLERO BARRAL EPUYEN</t>
  </si>
  <si>
    <t>0164/L2 NG</t>
  </si>
  <si>
    <t>0164/39 CR</t>
  </si>
  <si>
    <t>TOALLERO BARRAL LIBBY</t>
  </si>
  <si>
    <t>0164/62 CR</t>
  </si>
  <si>
    <t>TOALLERO BARRAL MARGOT</t>
  </si>
  <si>
    <t>0164/31 CR</t>
  </si>
  <si>
    <t>TOALLERO BARRAL MIKKA</t>
  </si>
  <si>
    <t>0164/B2 CR</t>
  </si>
  <si>
    <t>TOALLERO BARRAL NEWPORT</t>
  </si>
  <si>
    <t>0164R/85 CR</t>
  </si>
  <si>
    <t>TOALLERO BARRAL RECTO DOMINIC</t>
  </si>
  <si>
    <t>0164/87 CR</t>
  </si>
  <si>
    <t>TOALLERO BARRAL TEMPLE/CITY</t>
  </si>
  <si>
    <t>0164/C3 CR</t>
  </si>
  <si>
    <t>TOALLERO BARRAL TRIADES</t>
  </si>
  <si>
    <t>0163/H4 CR</t>
  </si>
  <si>
    <t>TOALLERO CORTO CHALTEN</t>
  </si>
  <si>
    <t>0163/N2 CR</t>
  </si>
  <si>
    <t>TOALLERO CORTO CIPRES</t>
  </si>
  <si>
    <t>0163/N4 CR</t>
  </si>
  <si>
    <t>TOALLERO CORTO CLIP</t>
  </si>
  <si>
    <t>0163/N4 NG</t>
  </si>
  <si>
    <t>0163R/85 CR</t>
  </si>
  <si>
    <t>TOALLERO CORTO DOMINIC</t>
  </si>
  <si>
    <t>0163/L2 NG</t>
  </si>
  <si>
    <t>TOALLERO CORTO EPUYEN</t>
  </si>
  <si>
    <t>0163/L2 CR</t>
  </si>
  <si>
    <t>0712.10/37 CR</t>
  </si>
  <si>
    <t>TOALLERO ESTANTE 60 CM GRAND HOTEL</t>
  </si>
  <si>
    <t>0219.FVBASE</t>
  </si>
  <si>
    <t>UNIDAD ETERMOSTATICA DE 3/4 P/DUCHAS</t>
  </si>
  <si>
    <t>0216.FVBASE</t>
  </si>
  <si>
    <t>UNIDAD TERMOSTATICA P/DUCHA Y BAÑERA</t>
  </si>
  <si>
    <t>0542 13 B</t>
  </si>
  <si>
    <t>UNION PARA MANGA HEMBRA BRONCE</t>
  </si>
  <si>
    <t>0542 13 C</t>
  </si>
  <si>
    <t>UNION PARA MANGA HEMBRA CROMO</t>
  </si>
  <si>
    <t>0542 19 B</t>
  </si>
  <si>
    <t>UNION PARA MANGUERA</t>
  </si>
  <si>
    <t>0542 19 C</t>
  </si>
  <si>
    <t>UNION PARA MANGUERA HEMBRA</t>
  </si>
  <si>
    <t>0416.01.11.0 B</t>
  </si>
  <si>
    <t>UNION P/MANGUERA P/ADAPTAR A ROSCA</t>
  </si>
  <si>
    <t>0600-75-B</t>
  </si>
  <si>
    <t>VALV ESCLUSA P/CAÑO DE HIERRO</t>
  </si>
  <si>
    <t>0600-100-B</t>
  </si>
  <si>
    <t>VALV ESCLUSA P/CAÑO HIERRO</t>
  </si>
  <si>
    <t>0600-63-B</t>
  </si>
  <si>
    <t>0653 13 CR</t>
  </si>
  <si>
    <t>VALV. ESF. HH P/TOTAL C/CAMP. 13 CROMO FV</t>
  </si>
  <si>
    <t>0653 19 CR</t>
  </si>
  <si>
    <t>VALV. ESF. HH P/TOTAL C/CAMP. 19 CROMO FV</t>
  </si>
  <si>
    <t>0366.FVBASE</t>
  </si>
  <si>
    <t>VALV.ELECTRONICA P/DESCARGA INODOROS</t>
  </si>
  <si>
    <t>0269.06 CR</t>
  </si>
  <si>
    <t>VALVULA ANGULAR 1/2 MH</t>
  </si>
  <si>
    <t>0269.05 CR</t>
  </si>
  <si>
    <t>VALVULA ANGULAR 1/2 MM</t>
  </si>
  <si>
    <t>0362.01 CR</t>
  </si>
  <si>
    <t>VALVULA AUTOM. P/ MINGITORIO ECOMATIC</t>
  </si>
  <si>
    <t>0362.02 CR</t>
  </si>
  <si>
    <t>VALVULA AUTOM. P/MING. ECOMATIC SOFT</t>
  </si>
  <si>
    <t>0360.02 CR</t>
  </si>
  <si>
    <t>VALVULA AUTOM. P/PARED ECOMATIC</t>
  </si>
  <si>
    <t>0344 CR</t>
  </si>
  <si>
    <t>VALVULA AUTOM./MINGITORIO ANTIVANDALICA</t>
  </si>
  <si>
    <t>0496 19</t>
  </si>
  <si>
    <t>VALVULA DE RETENCION 19 MM</t>
  </si>
  <si>
    <t>0496 25</t>
  </si>
  <si>
    <t>VALVULA DE RETENCION 25 MM</t>
  </si>
  <si>
    <t>0496 32</t>
  </si>
  <si>
    <t>VALVULA DE RETENCION 32 MM</t>
  </si>
  <si>
    <t>0496 38</t>
  </si>
  <si>
    <t>VALVULA DE RETENCION 38 MM</t>
  </si>
  <si>
    <t>0496 50</t>
  </si>
  <si>
    <t>VALVULA DE RETENCION 50 MM</t>
  </si>
  <si>
    <t>0368.01</t>
  </si>
  <si>
    <t>VALVULA DESCARGA 38mm P/EMBUTIR S/TAPA-TECLA FV</t>
  </si>
  <si>
    <t>0655-100</t>
  </si>
  <si>
    <t>VALVULA ESF. HH P/TOTAL 100 FV</t>
  </si>
  <si>
    <t>0658-13-B</t>
  </si>
  <si>
    <t>VALVULA ESF HH P/TOTAL 13 FV</t>
  </si>
  <si>
    <t>0658-19-B</t>
  </si>
  <si>
    <t>VALVULA ESF HH P/TOTAL 19 FV</t>
  </si>
  <si>
    <t>0658-25-B</t>
  </si>
  <si>
    <t>VALVULA ESF HH P/TOTAL 25 FV</t>
  </si>
  <si>
    <t>0655-32</t>
  </si>
  <si>
    <t>VALVULA ESF. HH P/TOTAL 32 FV</t>
  </si>
  <si>
    <t>0655-38</t>
  </si>
  <si>
    <t>VALVULA ESF. HH P/TOTAL 38</t>
  </si>
  <si>
    <t>0655-50</t>
  </si>
  <si>
    <t>VALVULA ESF. HH P/TOTAL 50 FV</t>
  </si>
  <si>
    <t>0655-63</t>
  </si>
  <si>
    <t>VALVULA ESF. HH P/TOTAL 63 FV</t>
  </si>
  <si>
    <t>0655-75</t>
  </si>
  <si>
    <t>VALVULA ESF. HH P/TOTAL 75 FV</t>
  </si>
  <si>
    <t>0670-25</t>
  </si>
  <si>
    <t>VALVULA ESFERICA PLASTICA 1"</t>
  </si>
  <si>
    <t>0670-13</t>
  </si>
  <si>
    <t>VALVULA ESFERICA PLASTICA 1/2</t>
  </si>
  <si>
    <t>0670-19</t>
  </si>
  <si>
    <t>VALVULA ESFERICA PLASTICA 3/4</t>
  </si>
  <si>
    <t>0378.01</t>
  </si>
  <si>
    <t>VALVULA PARA DESCARGA DE INODORO SLIM</t>
  </si>
  <si>
    <t>0451.01 25</t>
  </si>
  <si>
    <t>VALVULA P/CANILLAS C/ARAND DE GOMA</t>
  </si>
  <si>
    <t>0347A CR</t>
  </si>
  <si>
    <t>VALVULA PEDAL AUTOMATICA</t>
  </si>
  <si>
    <t>0345 CR</t>
  </si>
  <si>
    <t>VALVULA TECLA AUTOM.PARED</t>
  </si>
  <si>
    <t>0680B.FVBASE</t>
  </si>
  <si>
    <t>VALVULAS DE TRES VIAS</t>
  </si>
  <si>
    <t>0451.01 09</t>
  </si>
  <si>
    <t>VALVULAS P/CANILLAS C/ARND DE GOMA</t>
  </si>
  <si>
    <t>0451.01 13</t>
  </si>
  <si>
    <t>VALVULITA P/CANILLA C/GOMA 13MM</t>
  </si>
  <si>
    <t>0451.01 19</t>
  </si>
  <si>
    <t>VALVULITA P/CANILLA C/GOMA 19MM</t>
  </si>
  <si>
    <t>0217.01 CR</t>
  </si>
  <si>
    <t>VISTAS TERMOST 3/4</t>
  </si>
  <si>
    <t>0682AR/85L.0 CR</t>
  </si>
  <si>
    <t>VOLANT. Y CAMP. P/VAL. 0680 DOMINIC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</si>
</sst>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4" x14ac:knownFonts="1">
    <font>
      <color theme="1"/>
      <family val="2"/>
      <scheme val="minor"/>
      <sz val="11"/>
      <name val="Calibri"/>
    </font>
    <font>
      <b/>
    </font>
    <font>
      <b/>
      <color rgb="FF28A745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0056B3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right"/>
    </xf>
    <xf numFmtId="10" fontId="0" fillId="0" borderId="0" xfId="0" applyNumberFormat="1"/>
    <xf numFmtId="0" fontId="2" fillId="0" borderId="0" xfId="0" applyFont="1"/>
    <xf numFmtId="0" fontId="3" fillId="2" borderId="0" xfId="0" applyFont="1" applyFill="1" applyAlignment="1">
      <alignment horizontal="center"/>
    </xf>
    <xf numFmtId="164" fontId="0" fillId="0" borderId="0" xfId="0" applyNumberFormat="1"/>
    <xf numFmtId="164" fontId="1" fillId="0" borderId="0" xfId="0" applyNumberFormat="1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absolute">
    <xdr:from>
      <xdr:col>0</xdr:col>
      <xdr:colOff>128000</xdr:colOff>
      <xdr:row>0</xdr:row>
      <xdr:rowOff>36000</xdr:rowOff>
    </xdr:from>
    <xdr:ext cx="304800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50" customWidth="1"/>
    <col min="3" max="4" width="18" customWidth="1"/>
    <col min="5" max="5" width="22" customWidth="1"/>
    <col min="6" max="6" width="12" customWidth="1"/>
    <col min="7" max="7" width="18" customWidth="1"/>
  </cols>
  <sheetData>
    <row r="1" spans="1:7" x14ac:dyDescent="0.25">
      <c r="B1"/>
      <c r="E1" s="1" t="s">
        <v>0</v>
      </c>
      <c r="F1" s="1"/>
      <c r="G1" s="2">
        <v>0.2</v>
      </c>
    </row>
    <row r="2" spans="1:7" x14ac:dyDescent="0.25">
      <c r="A2"/>
      <c r="B2"/>
      <c r="E2" s="1" t="s">
        <v>1</v>
      </c>
      <c r="F2" s="1"/>
      <c r="G2" s="2">
        <v>0.1</v>
      </c>
    </row>
    <row r="3" spans="1:7" x14ac:dyDescent="0.25">
      <c r="A3"/>
      <c r="B3"/>
      <c r="E3" s="1" t="s">
        <v>2</v>
      </c>
      <c r="F3" s="1"/>
      <c r="G3" s="3">
        <v>1.5</v>
      </c>
    </row>
    <row r="4" spans="1:7" x14ac:dyDescent="0.25">
      <c r="A4"/>
      <c r="B4"/>
      <c r="E4" s="1" t="s">
        <v>3</v>
      </c>
      <c r="F4" s="1"/>
      <c r="G4" s="2">
        <v>0.21</v>
      </c>
    </row>
    <row r="5" spans="1:7" x14ac:dyDescent="0.2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</row>
    <row r="6" spans="1:7" x14ac:dyDescent="0.25">
      <c r="A6" t="s">
        <v>11</v>
      </c>
      <c r="B6" t="s">
        <v>12</v>
      </c>
      <c r="C6" s="5">
        <v>1947.78</v>
      </c>
      <c r="D6" s="6">
        <f>C6*(1-$G$1)*(1-$G$2)</f>
      </c>
      <c r="E6" s="5">
        <f>D6*$G$3*(1+$G$4)</f>
      </c>
      <c r="F6" s="7"/>
      <c r="G6" s="5">
        <f>IF(ISBLANK(F6), "", E6*F6)</f>
      </c>
    </row>
    <row r="7" spans="1:7" x14ac:dyDescent="0.25">
      <c r="A7" t="s">
        <v>13</v>
      </c>
      <c r="B7" t="s">
        <v>14</v>
      </c>
      <c r="C7" s="5">
        <v>178630.7</v>
      </c>
      <c r="D7" s="6">
        <f>C7*(1-$G$1)*(1-$G$2)</f>
      </c>
      <c r="E7" s="5">
        <f>D7*$G$3*(1+$G$4)</f>
      </c>
      <c r="F7" s="7"/>
      <c r="G7" s="5">
        <f>IF(ISBLANK(F7), "", E7*F7)</f>
      </c>
    </row>
    <row r="8" spans="1:7" x14ac:dyDescent="0.25">
      <c r="A8" t="s">
        <v>15</v>
      </c>
      <c r="B8" t="s">
        <v>16</v>
      </c>
      <c r="C8" s="5">
        <v>106051.17</v>
      </c>
      <c r="D8" s="6">
        <f>C8*(1-$G$1)*(1-$G$2)</f>
      </c>
      <c r="E8" s="5">
        <f>D8*$G$3*(1+$G$4)</f>
      </c>
      <c r="F8" s="7"/>
      <c r="G8" s="5">
        <f>IF(ISBLANK(F8), "", E8*F8)</f>
      </c>
    </row>
    <row r="9" spans="1:7" x14ac:dyDescent="0.25">
      <c r="A9" t="s">
        <v>17</v>
      </c>
      <c r="B9" t="s">
        <v>18</v>
      </c>
      <c r="C9" s="5">
        <v>107671.93</v>
      </c>
      <c r="D9" s="6">
        <f>C9*(1-$G$1)*(1-$G$2)</f>
      </c>
      <c r="E9" s="5">
        <f>D9*$G$3*(1+$G$4)</f>
      </c>
      <c r="F9" s="7"/>
      <c r="G9" s="5">
        <f>IF(ISBLANK(F9), "", E9*F9)</f>
      </c>
    </row>
    <row r="10" spans="1:7" x14ac:dyDescent="0.25">
      <c r="A10" t="s">
        <v>19</v>
      </c>
      <c r="B10" t="s">
        <v>20</v>
      </c>
      <c r="C10" s="5">
        <v>115218.08</v>
      </c>
      <c r="D10" s="6">
        <f>C10*(1-$G$1)*(1-$G$2)</f>
      </c>
      <c r="E10" s="5">
        <f>D10*$G$3*(1+$G$4)</f>
      </c>
      <c r="F10" s="7"/>
      <c r="G10" s="5">
        <f>IF(ISBLANK(F10), "", E10*F10)</f>
      </c>
    </row>
    <row r="11" spans="1:7" x14ac:dyDescent="0.25">
      <c r="A11" t="s">
        <v>21</v>
      </c>
      <c r="B11" t="s">
        <v>22</v>
      </c>
      <c r="C11" s="5">
        <v>142242.34</v>
      </c>
      <c r="D11" s="6">
        <f>C11*(1-$G$1)*(1-$G$2)</f>
      </c>
      <c r="E11" s="5">
        <f>D11*$G$3*(1+$G$4)</f>
      </c>
      <c r="F11" s="7"/>
      <c r="G11" s="5">
        <f>IF(ISBLANK(F11), "", E11*F11)</f>
      </c>
    </row>
    <row r="12" spans="1:7" x14ac:dyDescent="0.25">
      <c r="A12" t="s">
        <v>23</v>
      </c>
      <c r="B12" t="s">
        <v>24</v>
      </c>
      <c r="C12" s="5">
        <v>109384.93</v>
      </c>
      <c r="D12" s="6">
        <f>C12*(1-$G$1)*(1-$G$2)</f>
      </c>
      <c r="E12" s="5">
        <f>D12*$G$3*(1+$G$4)</f>
      </c>
      <c r="F12" s="7"/>
      <c r="G12" s="5">
        <f>IF(ISBLANK(F12), "", E12*F12)</f>
      </c>
    </row>
    <row r="13" spans="1:7" x14ac:dyDescent="0.25">
      <c r="A13" t="s">
        <v>25</v>
      </c>
      <c r="B13" t="s">
        <v>26</v>
      </c>
      <c r="C13" s="5">
        <v>556430.53</v>
      </c>
      <c r="D13" s="6">
        <f>C13*(1-$G$1)*(1-$G$2)</f>
      </c>
      <c r="E13" s="5">
        <f>D13*$G$3*(1+$G$4)</f>
      </c>
      <c r="F13" s="7"/>
      <c r="G13" s="5">
        <f>IF(ISBLANK(F13), "", E13*F13)</f>
      </c>
    </row>
    <row r="14" spans="1:7" x14ac:dyDescent="0.25">
      <c r="A14" t="s">
        <v>27</v>
      </c>
      <c r="B14" t="s">
        <v>28</v>
      </c>
      <c r="C14" s="5">
        <v>556430.53</v>
      </c>
      <c r="D14" s="6">
        <f>C14*(1-$G$1)*(1-$G$2)</f>
      </c>
      <c r="E14" s="5">
        <f>D14*$G$3*(1+$G$4)</f>
      </c>
      <c r="F14" s="7"/>
      <c r="G14" s="5">
        <f>IF(ISBLANK(F14), "", E14*F14)</f>
      </c>
    </row>
    <row r="15" spans="1:7" x14ac:dyDescent="0.25">
      <c r="A15" t="s">
        <v>29</v>
      </c>
      <c r="B15" t="s">
        <v>30</v>
      </c>
      <c r="C15" s="5">
        <v>261531.22</v>
      </c>
      <c r="D15" s="6">
        <f>C15*(1-$G$1)*(1-$G$2)</f>
      </c>
      <c r="E15" s="5">
        <f>D15*$G$3*(1+$G$4)</f>
      </c>
      <c r="F15" s="7"/>
      <c r="G15" s="5">
        <f>IF(ISBLANK(F15), "", E15*F15)</f>
      </c>
    </row>
    <row r="16" spans="1:7" x14ac:dyDescent="0.25">
      <c r="A16" t="s">
        <v>31</v>
      </c>
      <c r="B16" t="s">
        <v>32</v>
      </c>
      <c r="C16" s="5">
        <v>181039.05</v>
      </c>
      <c r="D16" s="6">
        <f>C16*(1-$G$1)*(1-$G$2)</f>
      </c>
      <c r="E16" s="5">
        <f>D16*$G$3*(1+$G$4)</f>
      </c>
      <c r="F16" s="7"/>
      <c r="G16" s="5">
        <f>IF(ISBLANK(F16), "", E16*F16)</f>
      </c>
    </row>
    <row r="17" spans="1:7" x14ac:dyDescent="0.25">
      <c r="A17" t="s">
        <v>33</v>
      </c>
      <c r="B17" t="s">
        <v>34</v>
      </c>
      <c r="C17" s="5">
        <v>232076.82</v>
      </c>
      <c r="D17" s="6">
        <f>C17*(1-$G$1)*(1-$G$2)</f>
      </c>
      <c r="E17" s="5">
        <f>D17*$G$3*(1+$G$4)</f>
      </c>
      <c r="F17" s="7"/>
      <c r="G17" s="5">
        <f>IF(ISBLANK(F17), "", E17*F17)</f>
      </c>
    </row>
    <row r="18" spans="1:7" x14ac:dyDescent="0.25">
      <c r="A18" t="s">
        <v>35</v>
      </c>
      <c r="B18" t="s">
        <v>36</v>
      </c>
      <c r="C18" s="5">
        <v>232076.82</v>
      </c>
      <c r="D18" s="6">
        <f>C18*(1-$G$1)*(1-$G$2)</f>
      </c>
      <c r="E18" s="5">
        <f>D18*$G$3*(1+$G$4)</f>
      </c>
      <c r="F18" s="7"/>
      <c r="G18" s="5">
        <f>IF(ISBLANK(F18), "", E18*F18)</f>
      </c>
    </row>
    <row r="19" spans="1:7" x14ac:dyDescent="0.25">
      <c r="A19" t="s">
        <v>37</v>
      </c>
      <c r="B19" t="s">
        <v>38</v>
      </c>
      <c r="C19" s="5">
        <v>399557.97</v>
      </c>
      <c r="D19" s="6">
        <f>C19*(1-$G$1)*(1-$G$2)</f>
      </c>
      <c r="E19" s="5">
        <f>D19*$G$3*(1+$G$4)</f>
      </c>
      <c r="F19" s="7"/>
      <c r="G19" s="5">
        <f>IF(ISBLANK(F19), "", E19*F19)</f>
      </c>
    </row>
    <row r="20" spans="1:7" x14ac:dyDescent="0.25">
      <c r="A20" t="s">
        <v>39</v>
      </c>
      <c r="B20" t="s">
        <v>40</v>
      </c>
      <c r="C20" s="5">
        <v>188359.29</v>
      </c>
      <c r="D20" s="6">
        <f>C20*(1-$G$1)*(1-$G$2)</f>
      </c>
      <c r="E20" s="5">
        <f>D20*$G$3*(1+$G$4)</f>
      </c>
      <c r="F20" s="7"/>
      <c r="G20" s="5">
        <f>IF(ISBLANK(F20), "", E20*F20)</f>
      </c>
    </row>
    <row r="21" spans="1:7" x14ac:dyDescent="0.25">
      <c r="A21" t="s">
        <v>41</v>
      </c>
      <c r="B21" t="s">
        <v>42</v>
      </c>
      <c r="C21" s="5">
        <v>66688.08</v>
      </c>
      <c r="D21" s="6">
        <f>C21*(1-$G$1)*(1-$G$2)</f>
      </c>
      <c r="E21" s="5">
        <f>D21*$G$3*(1+$G$4)</f>
      </c>
      <c r="F21" s="7"/>
      <c r="G21" s="5">
        <f>IF(ISBLANK(F21), "", E21*F21)</f>
      </c>
    </row>
    <row r="22" spans="1:7" x14ac:dyDescent="0.25">
      <c r="A22" t="s">
        <v>43</v>
      </c>
      <c r="B22" t="s">
        <v>44</v>
      </c>
      <c r="C22" s="5">
        <v>275170.81</v>
      </c>
      <c r="D22" s="6">
        <f>C22*(1-$G$1)*(1-$G$2)</f>
      </c>
      <c r="E22" s="5">
        <f>D22*$G$3*(1+$G$4)</f>
      </c>
      <c r="F22" s="7"/>
      <c r="G22" s="5">
        <f>IF(ISBLANK(F22), "", E22*F22)</f>
      </c>
    </row>
    <row r="23" spans="1:7" x14ac:dyDescent="0.25">
      <c r="A23" t="s">
        <v>45</v>
      </c>
      <c r="B23" t="s">
        <v>46</v>
      </c>
      <c r="C23" s="5">
        <v>604473.08</v>
      </c>
      <c r="D23" s="6">
        <f>C23*(1-$G$1)*(1-$G$2)</f>
      </c>
      <c r="E23" s="5">
        <f>D23*$G$3*(1+$G$4)</f>
      </c>
      <c r="F23" s="7"/>
      <c r="G23" s="5">
        <f>IF(ISBLANK(F23), "", E23*F23)</f>
      </c>
    </row>
    <row r="24" spans="1:7" x14ac:dyDescent="0.25">
      <c r="A24" t="s">
        <v>47</v>
      </c>
      <c r="B24" t="s">
        <v>48</v>
      </c>
      <c r="C24" s="5">
        <v>180133.11</v>
      </c>
      <c r="D24" s="6">
        <f>C24*(1-$G$1)*(1-$G$2)</f>
      </c>
      <c r="E24" s="5">
        <f>D24*$G$3*(1+$G$4)</f>
      </c>
      <c r="F24" s="7"/>
      <c r="G24" s="5">
        <f>IF(ISBLANK(F24), "", E24*F24)</f>
      </c>
    </row>
    <row r="25" spans="1:7" x14ac:dyDescent="0.25">
      <c r="A25" t="s">
        <v>49</v>
      </c>
      <c r="B25" t="s">
        <v>50</v>
      </c>
      <c r="C25" s="5">
        <v>256962.01</v>
      </c>
      <c r="D25" s="6">
        <f>C25*(1-$G$1)*(1-$G$2)</f>
      </c>
      <c r="E25" s="5">
        <f>D25*$G$3*(1+$G$4)</f>
      </c>
      <c r="F25" s="7"/>
      <c r="G25" s="5">
        <f>IF(ISBLANK(F25), "", E25*F25)</f>
      </c>
    </row>
    <row r="26" spans="1:7" x14ac:dyDescent="0.25">
      <c r="A26" t="s">
        <v>51</v>
      </c>
      <c r="B26" t="s">
        <v>52</v>
      </c>
      <c r="C26" s="5">
        <v>93910.7</v>
      </c>
      <c r="D26" s="6">
        <f>C26*(1-$G$1)*(1-$G$2)</f>
      </c>
      <c r="E26" s="5">
        <f>D26*$G$3*(1+$G$4)</f>
      </c>
      <c r="F26" s="7"/>
      <c r="G26" s="5">
        <f>IF(ISBLANK(F26), "", E26*F26)</f>
      </c>
    </row>
    <row r="27" spans="1:7" x14ac:dyDescent="0.25">
      <c r="A27" t="s">
        <v>53</v>
      </c>
      <c r="B27" t="s">
        <v>54</v>
      </c>
      <c r="C27" s="5">
        <v>215337.67</v>
      </c>
      <c r="D27" s="6">
        <f>C27*(1-$G$1)*(1-$G$2)</f>
      </c>
      <c r="E27" s="5">
        <f>D27*$G$3*(1+$G$4)</f>
      </c>
      <c r="F27" s="7"/>
      <c r="G27" s="5">
        <f>IF(ISBLANK(F27), "", E27*F27)</f>
      </c>
    </row>
    <row r="28" spans="1:7" x14ac:dyDescent="0.25">
      <c r="A28" t="s">
        <v>55</v>
      </c>
      <c r="B28" t="s">
        <v>54</v>
      </c>
      <c r="C28" s="5">
        <v>195761.41</v>
      </c>
      <c r="D28" s="6">
        <f>C28*(1-$G$1)*(1-$G$2)</f>
      </c>
      <c r="E28" s="5">
        <f>D28*$G$3*(1+$G$4)</f>
      </c>
      <c r="F28" s="7"/>
      <c r="G28" s="5">
        <f>IF(ISBLANK(F28), "", E28*F28)</f>
      </c>
    </row>
    <row r="29" spans="1:7" x14ac:dyDescent="0.25">
      <c r="A29" t="s">
        <v>56</v>
      </c>
      <c r="B29" t="s">
        <v>57</v>
      </c>
      <c r="C29" s="5">
        <v>170041.51</v>
      </c>
      <c r="D29" s="6">
        <f>C29*(1-$G$1)*(1-$G$2)</f>
      </c>
      <c r="E29" s="5">
        <f>D29*$G$3*(1+$G$4)</f>
      </c>
      <c r="F29" s="7"/>
      <c r="G29" s="5">
        <f>IF(ISBLANK(F29), "", E29*F29)</f>
      </c>
    </row>
    <row r="30" spans="1:7" x14ac:dyDescent="0.25">
      <c r="A30" t="s">
        <v>58</v>
      </c>
      <c r="B30" t="s">
        <v>57</v>
      </c>
      <c r="C30" s="5">
        <v>154583.12</v>
      </c>
      <c r="D30" s="6">
        <f>C30*(1-$G$1)*(1-$G$2)</f>
      </c>
      <c r="E30" s="5">
        <f>D30*$G$3*(1+$G$4)</f>
      </c>
      <c r="F30" s="7"/>
      <c r="G30" s="5">
        <f>IF(ISBLANK(F30), "", E30*F30)</f>
      </c>
    </row>
    <row r="31" spans="1:7" x14ac:dyDescent="0.25">
      <c r="A31" t="s">
        <v>59</v>
      </c>
      <c r="B31" t="s">
        <v>60</v>
      </c>
      <c r="C31" s="5">
        <v>92098.42</v>
      </c>
      <c r="D31" s="6">
        <f>C31*(1-$G$1)*(1-$G$2)</f>
      </c>
      <c r="E31" s="5">
        <f>D31*$G$3*(1+$G$4)</f>
      </c>
      <c r="F31" s="7"/>
      <c r="G31" s="5">
        <f>IF(ISBLANK(F31), "", E31*F31)</f>
      </c>
    </row>
    <row r="32" spans="1:7" x14ac:dyDescent="0.25">
      <c r="A32" t="s">
        <v>61</v>
      </c>
      <c r="B32" t="s">
        <v>62</v>
      </c>
      <c r="C32" s="5">
        <v>71015.65</v>
      </c>
      <c r="D32" s="6">
        <f>C32*(1-$G$1)*(1-$G$2)</f>
      </c>
      <c r="E32" s="5">
        <f>D32*$G$3*(1+$G$4)</f>
      </c>
      <c r="F32" s="7"/>
      <c r="G32" s="5">
        <f>IF(ISBLANK(F32), "", E32*F32)</f>
      </c>
    </row>
    <row r="33" spans="1:7" x14ac:dyDescent="0.25">
      <c r="A33" t="s">
        <v>63</v>
      </c>
      <c r="B33" t="s">
        <v>64</v>
      </c>
      <c r="C33" s="5">
        <v>51791.37</v>
      </c>
      <c r="D33" s="6">
        <f>C33*(1-$G$1)*(1-$G$2)</f>
      </c>
      <c r="E33" s="5">
        <f>D33*$G$3*(1+$G$4)</f>
      </c>
      <c r="F33" s="7"/>
      <c r="G33" s="5">
        <f>IF(ISBLANK(F33), "", E33*F33)</f>
      </c>
    </row>
    <row r="34" spans="1:7" x14ac:dyDescent="0.25">
      <c r="A34" t="s">
        <v>65</v>
      </c>
      <c r="B34" t="s">
        <v>66</v>
      </c>
      <c r="C34" s="5">
        <v>84207.55</v>
      </c>
      <c r="D34" s="6">
        <f>C34*(1-$G$1)*(1-$G$2)</f>
      </c>
      <c r="E34" s="5">
        <f>D34*$G$3*(1+$G$4)</f>
      </c>
      <c r="F34" s="7"/>
      <c r="G34" s="5">
        <f>IF(ISBLANK(F34), "", E34*F34)</f>
      </c>
    </row>
    <row r="35" spans="1:7" x14ac:dyDescent="0.25">
      <c r="A35" t="s">
        <v>67</v>
      </c>
      <c r="B35" t="s">
        <v>68</v>
      </c>
      <c r="C35" s="5">
        <v>267396.13</v>
      </c>
      <c r="D35" s="6">
        <f>C35*(1-$G$1)*(1-$G$2)</f>
      </c>
      <c r="E35" s="5">
        <f>D35*$G$3*(1+$G$4)</f>
      </c>
      <c r="F35" s="7"/>
      <c r="G35" s="5">
        <f>IF(ISBLANK(F35), "", E35*F35)</f>
      </c>
    </row>
    <row r="36" spans="1:7" x14ac:dyDescent="0.25">
      <c r="A36" t="s">
        <v>69</v>
      </c>
      <c r="B36" t="s">
        <v>70</v>
      </c>
      <c r="C36" s="5">
        <v>471705.96</v>
      </c>
      <c r="D36" s="6">
        <f>C36*(1-$G$1)*(1-$G$2)</f>
      </c>
      <c r="E36" s="5">
        <f>D36*$G$3*(1+$G$4)</f>
      </c>
      <c r="F36" s="7"/>
      <c r="G36" s="5">
        <f>IF(ISBLANK(F36), "", E36*F36)</f>
      </c>
    </row>
    <row r="37" spans="1:7" x14ac:dyDescent="0.25">
      <c r="A37" t="s">
        <v>71</v>
      </c>
      <c r="B37" t="s">
        <v>72</v>
      </c>
      <c r="C37" s="5">
        <v>7261.1</v>
      </c>
      <c r="D37" s="6">
        <f>C37*(1-$G$1)*(1-$G$2)</f>
      </c>
      <c r="E37" s="5">
        <f>D37*$G$3*(1+$G$4)</f>
      </c>
      <c r="F37" s="7"/>
      <c r="G37" s="5">
        <f>IF(ISBLANK(F37), "", E37*F37)</f>
      </c>
    </row>
    <row r="38" spans="1:7" x14ac:dyDescent="0.25">
      <c r="A38" t="s">
        <v>73</v>
      </c>
      <c r="B38" t="s">
        <v>74</v>
      </c>
      <c r="C38" s="5">
        <v>8948.14</v>
      </c>
      <c r="D38" s="6">
        <f>C38*(1-$G$1)*(1-$G$2)</f>
      </c>
      <c r="E38" s="5">
        <f>D38*$G$3*(1+$G$4)</f>
      </c>
      <c r="F38" s="7"/>
      <c r="G38" s="5">
        <f>IF(ISBLANK(F38), "", E38*F38)</f>
      </c>
    </row>
    <row r="39" spans="1:7" x14ac:dyDescent="0.25">
      <c r="A39" t="s">
        <v>75</v>
      </c>
      <c r="B39" t="s">
        <v>76</v>
      </c>
      <c r="C39" s="5">
        <v>9608.14</v>
      </c>
      <c r="D39" s="6">
        <f>C39*(1-$G$1)*(1-$G$2)</f>
      </c>
      <c r="E39" s="5">
        <f>D39*$G$3*(1+$G$4)</f>
      </c>
      <c r="F39" s="7"/>
      <c r="G39" s="5">
        <f>IF(ISBLANK(F39), "", E39*F39)</f>
      </c>
    </row>
    <row r="40" spans="1:7" x14ac:dyDescent="0.25">
      <c r="A40" t="s">
        <v>77</v>
      </c>
      <c r="B40" t="s">
        <v>76</v>
      </c>
      <c r="C40" s="5">
        <v>9608.14</v>
      </c>
      <c r="D40" s="6">
        <f>C40*(1-$G$1)*(1-$G$2)</f>
      </c>
      <c r="E40" s="5">
        <f>D40*$G$3*(1+$G$4)</f>
      </c>
      <c r="F40" s="7"/>
      <c r="G40" s="5">
        <f>IF(ISBLANK(F40), "", E40*F40)</f>
      </c>
    </row>
    <row r="41" spans="1:7" x14ac:dyDescent="0.25">
      <c r="A41" t="s">
        <v>78</v>
      </c>
      <c r="B41" t="s">
        <v>79</v>
      </c>
      <c r="C41" s="5">
        <v>9973.69</v>
      </c>
      <c r="D41" s="6">
        <f>C41*(1-$G$1)*(1-$G$2)</f>
      </c>
      <c r="E41" s="5">
        <f>D41*$G$3*(1+$G$4)</f>
      </c>
      <c r="F41" s="7"/>
      <c r="G41" s="5">
        <f>IF(ISBLANK(F41), "", E41*F41)</f>
      </c>
    </row>
    <row r="42" spans="1:7" x14ac:dyDescent="0.25">
      <c r="A42" t="s">
        <v>80</v>
      </c>
      <c r="B42" t="s">
        <v>81</v>
      </c>
      <c r="C42" s="5">
        <v>12530.73</v>
      </c>
      <c r="D42" s="6">
        <f>C42*(1-$G$1)*(1-$G$2)</f>
      </c>
      <c r="E42" s="5">
        <f>D42*$G$3*(1+$G$4)</f>
      </c>
      <c r="F42" s="7"/>
      <c r="G42" s="5">
        <f>IF(ISBLANK(F42), "", E42*F42)</f>
      </c>
    </row>
    <row r="43" spans="1:7" x14ac:dyDescent="0.25">
      <c r="A43" t="s">
        <v>82</v>
      </c>
      <c r="B43" t="s">
        <v>83</v>
      </c>
      <c r="C43" s="5">
        <v>56859.57</v>
      </c>
      <c r="D43" s="6">
        <f>C43*(1-$G$1)*(1-$G$2)</f>
      </c>
      <c r="E43" s="5">
        <f>D43*$G$3*(1+$G$4)</f>
      </c>
      <c r="F43" s="7"/>
      <c r="G43" s="5">
        <f>IF(ISBLANK(F43), "", E43*F43)</f>
      </c>
    </row>
    <row r="44" spans="1:7" x14ac:dyDescent="0.25">
      <c r="A44" t="s">
        <v>84</v>
      </c>
      <c r="B44" t="s">
        <v>85</v>
      </c>
      <c r="C44" s="5">
        <v>146311.34</v>
      </c>
      <c r="D44" s="6">
        <f>C44*(1-$G$1)*(1-$G$2)</f>
      </c>
      <c r="E44" s="5">
        <f>D44*$G$3*(1+$G$4)</f>
      </c>
      <c r="F44" s="7"/>
      <c r="G44" s="5">
        <f>IF(ISBLANK(F44), "", E44*F44)</f>
      </c>
    </row>
    <row r="45" spans="1:7" x14ac:dyDescent="0.25">
      <c r="A45" t="s">
        <v>86</v>
      </c>
      <c r="B45" t="s">
        <v>87</v>
      </c>
      <c r="C45" s="5">
        <v>33271.08</v>
      </c>
      <c r="D45" s="6">
        <f>C45*(1-$G$1)*(1-$G$2)</f>
      </c>
      <c r="E45" s="5">
        <f>D45*$G$3*(1+$G$4)</f>
      </c>
      <c r="F45" s="7"/>
      <c r="G45" s="5">
        <f>IF(ISBLANK(F45), "", E45*F45)</f>
      </c>
    </row>
    <row r="46" spans="1:7" x14ac:dyDescent="0.25">
      <c r="A46" t="s">
        <v>88</v>
      </c>
      <c r="B46" t="s">
        <v>89</v>
      </c>
      <c r="C46" s="5">
        <v>220598.3</v>
      </c>
      <c r="D46" s="6">
        <f>C46*(1-$G$1)*(1-$G$2)</f>
      </c>
      <c r="E46" s="5">
        <f>D46*$G$3*(1+$G$4)</f>
      </c>
      <c r="F46" s="7"/>
      <c r="G46" s="5">
        <f>IF(ISBLANK(F46), "", E46*F46)</f>
      </c>
    </row>
    <row r="47" spans="1:7" x14ac:dyDescent="0.25">
      <c r="A47" t="s">
        <v>90</v>
      </c>
      <c r="B47" t="s">
        <v>91</v>
      </c>
      <c r="C47" s="5">
        <v>4794.07</v>
      </c>
      <c r="D47" s="6">
        <f>C47*(1-$G$1)*(1-$G$2)</f>
      </c>
      <c r="E47" s="5">
        <f>D47*$G$3*(1+$G$4)</f>
      </c>
      <c r="F47" s="7"/>
      <c r="G47" s="5">
        <f>IF(ISBLANK(F47), "", E47*F47)</f>
      </c>
    </row>
    <row r="48" spans="1:7" x14ac:dyDescent="0.25">
      <c r="A48" t="s">
        <v>92</v>
      </c>
      <c r="B48" t="s">
        <v>93</v>
      </c>
      <c r="C48" s="5">
        <v>4794.07</v>
      </c>
      <c r="D48" s="6">
        <f>C48*(1-$G$1)*(1-$G$2)</f>
      </c>
      <c r="E48" s="5">
        <f>D48*$G$3*(1+$G$4)</f>
      </c>
      <c r="F48" s="7"/>
      <c r="G48" s="5">
        <f>IF(ISBLANK(F48), "", E48*F48)</f>
      </c>
    </row>
    <row r="49" spans="1:7" x14ac:dyDescent="0.25">
      <c r="A49" t="s">
        <v>94</v>
      </c>
      <c r="B49" t="s">
        <v>95</v>
      </c>
      <c r="C49" s="5">
        <v>53574.26</v>
      </c>
      <c r="D49" s="6">
        <f>C49*(1-$G$1)*(1-$G$2)</f>
      </c>
      <c r="E49" s="5">
        <f>D49*$G$3*(1+$G$4)</f>
      </c>
      <c r="F49" s="7"/>
      <c r="G49" s="5">
        <f>IF(ISBLANK(F49), "", E49*F49)</f>
      </c>
    </row>
    <row r="50" spans="1:7" x14ac:dyDescent="0.25">
      <c r="A50" t="s">
        <v>96</v>
      </c>
      <c r="B50" t="s">
        <v>97</v>
      </c>
      <c r="C50" s="5">
        <v>33846.62</v>
      </c>
      <c r="D50" s="6">
        <f>C50*(1-$G$1)*(1-$G$2)</f>
      </c>
      <c r="E50" s="5">
        <f>D50*$G$3*(1+$G$4)</f>
      </c>
      <c r="F50" s="7"/>
      <c r="G50" s="5">
        <f>IF(ISBLANK(F50), "", E50*F50)</f>
      </c>
    </row>
    <row r="51" spans="1:7" x14ac:dyDescent="0.25">
      <c r="A51" t="s">
        <v>98</v>
      </c>
      <c r="B51" t="s">
        <v>99</v>
      </c>
      <c r="C51" s="5">
        <v>296197.6</v>
      </c>
      <c r="D51" s="6">
        <f>C51*(1-$G$1)*(1-$G$2)</f>
      </c>
      <c r="E51" s="5">
        <f>D51*$G$3*(1+$G$4)</f>
      </c>
      <c r="F51" s="7"/>
      <c r="G51" s="5">
        <f>IF(ISBLANK(F51), "", E51*F51)</f>
      </c>
    </row>
    <row r="52" spans="1:7" x14ac:dyDescent="0.25">
      <c r="A52" t="s">
        <v>100</v>
      </c>
      <c r="B52" t="s">
        <v>101</v>
      </c>
      <c r="C52" s="5">
        <v>244222.68</v>
      </c>
      <c r="D52" s="6">
        <f>C52*(1-$G$1)*(1-$G$2)</f>
      </c>
      <c r="E52" s="5">
        <f>D52*$G$3*(1+$G$4)</f>
      </c>
      <c r="F52" s="7"/>
      <c r="G52" s="5">
        <f>IF(ISBLANK(F52), "", E52*F52)</f>
      </c>
    </row>
    <row r="53" spans="1:7" x14ac:dyDescent="0.25">
      <c r="A53" t="s">
        <v>102</v>
      </c>
      <c r="B53" t="s">
        <v>103</v>
      </c>
      <c r="C53" s="5">
        <v>90127.47</v>
      </c>
      <c r="D53" s="6">
        <f>C53*(1-$G$1)*(1-$G$2)</f>
      </c>
      <c r="E53" s="5">
        <f>D53*$G$3*(1+$G$4)</f>
      </c>
      <c r="F53" s="7"/>
      <c r="G53" s="5">
        <f>IF(ISBLANK(F53), "", E53*F53)</f>
      </c>
    </row>
    <row r="54" spans="1:7" x14ac:dyDescent="0.25">
      <c r="A54" t="s">
        <v>104</v>
      </c>
      <c r="B54" t="s">
        <v>105</v>
      </c>
      <c r="C54" s="5">
        <v>140190.97</v>
      </c>
      <c r="D54" s="6">
        <f>C54*(1-$G$1)*(1-$G$2)</f>
      </c>
      <c r="E54" s="5">
        <f>D54*$G$3*(1+$G$4)</f>
      </c>
      <c r="F54" s="7"/>
      <c r="G54" s="5">
        <f>IF(ISBLANK(F54), "", E54*F54)</f>
      </c>
    </row>
    <row r="55" spans="1:7" x14ac:dyDescent="0.25">
      <c r="A55" t="s">
        <v>106</v>
      </c>
      <c r="B55" t="s">
        <v>107</v>
      </c>
      <c r="C55" s="5">
        <v>90127.47</v>
      </c>
      <c r="D55" s="6">
        <f>C55*(1-$G$1)*(1-$G$2)</f>
      </c>
      <c r="E55" s="5">
        <f>D55*$G$3*(1+$G$4)</f>
      </c>
      <c r="F55" s="7"/>
      <c r="G55" s="5">
        <f>IF(ISBLANK(F55), "", E55*F55)</f>
      </c>
    </row>
    <row r="56" spans="1:7" x14ac:dyDescent="0.25">
      <c r="A56" t="s">
        <v>108</v>
      </c>
      <c r="B56" t="s">
        <v>109</v>
      </c>
      <c r="C56" s="5">
        <v>27708.12</v>
      </c>
      <c r="D56" s="6">
        <f>C56*(1-$G$1)*(1-$G$2)</f>
      </c>
      <c r="E56" s="5">
        <f>D56*$G$3*(1+$G$4)</f>
      </c>
      <c r="F56" s="7"/>
      <c r="G56" s="5">
        <f>IF(ISBLANK(F56), "", E56*F56)</f>
      </c>
    </row>
    <row r="57" spans="1:7" x14ac:dyDescent="0.25">
      <c r="A57" t="s">
        <v>110</v>
      </c>
      <c r="B57" t="s">
        <v>111</v>
      </c>
      <c r="C57" s="5">
        <v>38007.37</v>
      </c>
      <c r="D57" s="6">
        <f>C57*(1-$G$1)*(1-$G$2)</f>
      </c>
      <c r="E57" s="5">
        <f>D57*$G$3*(1+$G$4)</f>
      </c>
      <c r="F57" s="7"/>
      <c r="G57" s="5">
        <f>IF(ISBLANK(F57), "", E57*F57)</f>
      </c>
    </row>
    <row r="58" spans="1:7" x14ac:dyDescent="0.25">
      <c r="A58" t="s">
        <v>112</v>
      </c>
      <c r="B58" t="s">
        <v>113</v>
      </c>
      <c r="C58" s="5">
        <v>16543.83</v>
      </c>
      <c r="D58" s="6">
        <f>C58*(1-$G$1)*(1-$G$2)</f>
      </c>
      <c r="E58" s="5">
        <f>D58*$G$3*(1+$G$4)</f>
      </c>
      <c r="F58" s="7"/>
      <c r="G58" s="5">
        <f>IF(ISBLANK(F58), "", E58*F58)</f>
      </c>
    </row>
    <row r="59" spans="1:7" x14ac:dyDescent="0.25">
      <c r="A59" t="s">
        <v>114</v>
      </c>
      <c r="B59" t="s">
        <v>115</v>
      </c>
      <c r="C59" s="5">
        <v>31408.86</v>
      </c>
      <c r="D59" s="6">
        <f>C59*(1-$G$1)*(1-$G$2)</f>
      </c>
      <c r="E59" s="5">
        <f>D59*$G$3*(1+$G$4)</f>
      </c>
      <c r="F59" s="7"/>
      <c r="G59" s="5">
        <f>IF(ISBLANK(F59), "", E59*F59)</f>
      </c>
    </row>
    <row r="60" spans="1:7" x14ac:dyDescent="0.25">
      <c r="A60" t="s">
        <v>116</v>
      </c>
      <c r="B60" t="s">
        <v>117</v>
      </c>
      <c r="C60" s="5">
        <v>38999.22</v>
      </c>
      <c r="D60" s="6">
        <f>C60*(1-$G$1)*(1-$G$2)</f>
      </c>
      <c r="E60" s="5">
        <f>D60*$G$3*(1+$G$4)</f>
      </c>
      <c r="F60" s="7"/>
      <c r="G60" s="5">
        <f>IF(ISBLANK(F60), "", E60*F60)</f>
      </c>
    </row>
    <row r="61" spans="1:7" x14ac:dyDescent="0.25">
      <c r="A61" t="s">
        <v>118</v>
      </c>
      <c r="B61" t="s">
        <v>119</v>
      </c>
      <c r="C61" s="5">
        <v>14342.21</v>
      </c>
      <c r="D61" s="6">
        <f>C61*(1-$G$1)*(1-$G$2)</f>
      </c>
      <c r="E61" s="5">
        <f>D61*$G$3*(1+$G$4)</f>
      </c>
      <c r="F61" s="7"/>
      <c r="G61" s="5">
        <f>IF(ISBLANK(F61), "", E61*F61)</f>
      </c>
    </row>
    <row r="62" spans="1:7" x14ac:dyDescent="0.25">
      <c r="A62" t="s">
        <v>120</v>
      </c>
      <c r="B62" t="s">
        <v>121</v>
      </c>
      <c r="C62" s="5">
        <v>14424.8</v>
      </c>
      <c r="D62" s="6">
        <f>C62*(1-$G$1)*(1-$G$2)</f>
      </c>
      <c r="E62" s="5">
        <f>D62*$G$3*(1+$G$4)</f>
      </c>
      <c r="F62" s="7"/>
      <c r="G62" s="5">
        <f>IF(ISBLANK(F62), "", E62*F62)</f>
      </c>
    </row>
    <row r="63" spans="1:7" x14ac:dyDescent="0.25">
      <c r="A63" t="s">
        <v>122</v>
      </c>
      <c r="B63" t="s">
        <v>123</v>
      </c>
      <c r="C63" s="5">
        <v>39702.25</v>
      </c>
      <c r="D63" s="6">
        <f>C63*(1-$G$1)*(1-$G$2)</f>
      </c>
      <c r="E63" s="5">
        <f>D63*$G$3*(1+$G$4)</f>
      </c>
      <c r="F63" s="7"/>
      <c r="G63" s="5">
        <f>IF(ISBLANK(F63), "", E63*F63)</f>
      </c>
    </row>
    <row r="64" spans="1:7" x14ac:dyDescent="0.25">
      <c r="A64" t="s">
        <v>124</v>
      </c>
      <c r="B64" t="s">
        <v>125</v>
      </c>
      <c r="C64" s="5">
        <v>3709.92</v>
      </c>
      <c r="D64" s="6">
        <f>C64*(1-$G$1)*(1-$G$2)</f>
      </c>
      <c r="E64" s="5">
        <f>D64*$G$3*(1+$G$4)</f>
      </c>
      <c r="F64" s="7"/>
      <c r="G64" s="5">
        <f>IF(ISBLANK(F64), "", E64*F64)</f>
      </c>
    </row>
    <row r="65" spans="1:7" x14ac:dyDescent="0.25">
      <c r="A65" t="s">
        <v>126</v>
      </c>
      <c r="B65" t="s">
        <v>127</v>
      </c>
      <c r="C65" s="5">
        <v>7881.65</v>
      </c>
      <c r="D65" s="6">
        <f>C65*(1-$G$1)*(1-$G$2)</f>
      </c>
      <c r="E65" s="5">
        <f>D65*$G$3*(1+$G$4)</f>
      </c>
      <c r="F65" s="7"/>
      <c r="G65" s="5">
        <f>IF(ISBLANK(F65), "", E65*F65)</f>
      </c>
    </row>
    <row r="66" spans="1:7" x14ac:dyDescent="0.25">
      <c r="A66" t="s">
        <v>128</v>
      </c>
      <c r="B66" t="s">
        <v>127</v>
      </c>
      <c r="C66" s="5">
        <v>6459.02</v>
      </c>
      <c r="D66" s="6">
        <f>C66*(1-$G$1)*(1-$G$2)</f>
      </c>
      <c r="E66" s="5">
        <f>D66*$G$3*(1+$G$4)</f>
      </c>
      <c r="F66" s="7"/>
      <c r="G66" s="5">
        <f>IF(ISBLANK(F66), "", E66*F66)</f>
      </c>
    </row>
    <row r="67" spans="1:7" x14ac:dyDescent="0.25">
      <c r="A67" t="s">
        <v>129</v>
      </c>
      <c r="B67" t="s">
        <v>127</v>
      </c>
      <c r="C67" s="5">
        <v>12905.27</v>
      </c>
      <c r="D67" s="6">
        <f>C67*(1-$G$1)*(1-$G$2)</f>
      </c>
      <c r="E67" s="5">
        <f>D67*$G$3*(1+$G$4)</f>
      </c>
      <c r="F67" s="7"/>
      <c r="G67" s="5">
        <f>IF(ISBLANK(F67), "", E67*F67)</f>
      </c>
    </row>
    <row r="68" spans="1:7" x14ac:dyDescent="0.25">
      <c r="A68" t="s">
        <v>130</v>
      </c>
      <c r="B68" t="s">
        <v>131</v>
      </c>
      <c r="C68" s="5">
        <v>6459.02</v>
      </c>
      <c r="D68" s="6">
        <f>C68*(1-$G$1)*(1-$G$2)</f>
      </c>
      <c r="E68" s="5">
        <f>D68*$G$3*(1+$G$4)</f>
      </c>
      <c r="F68" s="7"/>
      <c r="G68" s="5">
        <f>IF(ISBLANK(F68), "", E68*F68)</f>
      </c>
    </row>
    <row r="69" spans="1:7" x14ac:dyDescent="0.25">
      <c r="A69" t="s">
        <v>132</v>
      </c>
      <c r="B69" t="s">
        <v>131</v>
      </c>
      <c r="C69" s="5">
        <v>7881.65</v>
      </c>
      <c r="D69" s="6">
        <f>C69*(1-$G$1)*(1-$G$2)</f>
      </c>
      <c r="E69" s="5">
        <f>D69*$G$3*(1+$G$4)</f>
      </c>
      <c r="F69" s="7"/>
      <c r="G69" s="5">
        <f>IF(ISBLANK(F69), "", E69*F69)</f>
      </c>
    </row>
    <row r="70" spans="1:7" x14ac:dyDescent="0.25">
      <c r="A70" t="s">
        <v>133</v>
      </c>
      <c r="B70" t="s">
        <v>131</v>
      </c>
      <c r="C70" s="5">
        <v>12905.27</v>
      </c>
      <c r="D70" s="6">
        <f>C70*(1-$G$1)*(1-$G$2)</f>
      </c>
      <c r="E70" s="5">
        <f>D70*$G$3*(1+$G$4)</f>
      </c>
      <c r="F70" s="7"/>
      <c r="G70" s="5">
        <f>IF(ISBLANK(F70), "", E70*F70)</f>
      </c>
    </row>
    <row r="71" spans="1:7" x14ac:dyDescent="0.25">
      <c r="A71" t="s">
        <v>134</v>
      </c>
      <c r="B71" t="s">
        <v>135</v>
      </c>
      <c r="C71" s="5">
        <v>28330.98</v>
      </c>
      <c r="D71" s="6">
        <f>C71*(1-$G$1)*(1-$G$2)</f>
      </c>
      <c r="E71" s="5">
        <f>D71*$G$3*(1+$G$4)</f>
      </c>
      <c r="F71" s="7"/>
      <c r="G71" s="5">
        <f>IF(ISBLANK(F71), "", E71*F71)</f>
      </c>
    </row>
    <row r="72" spans="1:7" x14ac:dyDescent="0.25">
      <c r="A72" t="s">
        <v>136</v>
      </c>
      <c r="B72" t="s">
        <v>137</v>
      </c>
      <c r="C72" s="5">
        <v>277560.83</v>
      </c>
      <c r="D72" s="6">
        <f>C72*(1-$G$1)*(1-$G$2)</f>
      </c>
      <c r="E72" s="5">
        <f>D72*$G$3*(1+$G$4)</f>
      </c>
      <c r="F72" s="7"/>
      <c r="G72" s="5">
        <f>IF(ISBLANK(F72), "", E72*F72)</f>
      </c>
    </row>
    <row r="73" spans="1:7" x14ac:dyDescent="0.25">
      <c r="A73" t="s">
        <v>138</v>
      </c>
      <c r="B73" t="s">
        <v>139</v>
      </c>
      <c r="C73" s="5">
        <v>25701.46</v>
      </c>
      <c r="D73" s="6">
        <f>C73*(1-$G$1)*(1-$G$2)</f>
      </c>
      <c r="E73" s="5">
        <f>D73*$G$3*(1+$G$4)</f>
      </c>
      <c r="F73" s="7"/>
      <c r="G73" s="5">
        <f>IF(ISBLANK(F73), "", E73*F73)</f>
      </c>
    </row>
    <row r="74" spans="1:7" x14ac:dyDescent="0.25">
      <c r="A74" t="s">
        <v>140</v>
      </c>
      <c r="B74" t="s">
        <v>141</v>
      </c>
      <c r="C74" s="5">
        <v>29998.12</v>
      </c>
      <c r="D74" s="6">
        <f>C74*(1-$G$1)*(1-$G$2)</f>
      </c>
      <c r="E74" s="5">
        <f>D74*$G$3*(1+$G$4)</f>
      </c>
      <c r="F74" s="7"/>
      <c r="G74" s="5">
        <f>IF(ISBLANK(F74), "", E74*F74)</f>
      </c>
    </row>
    <row r="75" spans="1:7" x14ac:dyDescent="0.25">
      <c r="A75" t="s">
        <v>142</v>
      </c>
      <c r="B75" t="s">
        <v>143</v>
      </c>
      <c r="C75" s="5">
        <v>868.85</v>
      </c>
      <c r="D75" s="6">
        <f>C75*(1-$G$1)*(1-$G$2)</f>
      </c>
      <c r="E75" s="5">
        <f>D75*$G$3*(1+$G$4)</f>
      </c>
      <c r="F75" s="7"/>
      <c r="G75" s="5">
        <f>IF(ISBLANK(F75), "", E75*F75)</f>
      </c>
    </row>
    <row r="76" spans="1:7" x14ac:dyDescent="0.25">
      <c r="A76" t="s">
        <v>144</v>
      </c>
      <c r="B76" t="s">
        <v>145</v>
      </c>
      <c r="C76" s="5">
        <v>1095.84</v>
      </c>
      <c r="D76" s="6">
        <f>C76*(1-$G$1)*(1-$G$2)</f>
      </c>
      <c r="E76" s="5">
        <f>D76*$G$3*(1+$G$4)</f>
      </c>
      <c r="F76" s="7"/>
      <c r="G76" s="5">
        <f>IF(ISBLANK(F76), "", E76*F76)</f>
      </c>
    </row>
    <row r="77" spans="1:7" x14ac:dyDescent="0.25">
      <c r="A77" t="s">
        <v>146</v>
      </c>
      <c r="B77" t="s">
        <v>147</v>
      </c>
      <c r="C77" s="5">
        <v>14761.23</v>
      </c>
      <c r="D77" s="6">
        <f>C77*(1-$G$1)*(1-$G$2)</f>
      </c>
      <c r="E77" s="5">
        <f>D77*$G$3*(1+$G$4)</f>
      </c>
      <c r="F77" s="7"/>
      <c r="G77" s="5">
        <f>IF(ISBLANK(F77), "", E77*F77)</f>
      </c>
    </row>
    <row r="78" spans="1:7" x14ac:dyDescent="0.25">
      <c r="A78" t="s">
        <v>148</v>
      </c>
      <c r="B78" t="s">
        <v>149</v>
      </c>
      <c r="C78" s="5">
        <v>10628.73</v>
      </c>
      <c r="D78" s="6">
        <f>C78*(1-$G$1)*(1-$G$2)</f>
      </c>
      <c r="E78" s="5">
        <f>D78*$G$3*(1+$G$4)</f>
      </c>
      <c r="F78" s="7"/>
      <c r="G78" s="5">
        <f>IF(ISBLANK(F78), "", E78*F78)</f>
      </c>
    </row>
    <row r="79" spans="1:7" x14ac:dyDescent="0.25">
      <c r="A79" t="s">
        <v>150</v>
      </c>
      <c r="B79" t="s">
        <v>151</v>
      </c>
      <c r="C79" s="5">
        <v>16375.32</v>
      </c>
      <c r="D79" s="6">
        <f>C79*(1-$G$1)*(1-$G$2)</f>
      </c>
      <c r="E79" s="5">
        <f>D79*$G$3*(1+$G$4)</f>
      </c>
      <c r="F79" s="7"/>
      <c r="G79" s="5">
        <f>IF(ISBLANK(F79), "", E79*F79)</f>
      </c>
    </row>
    <row r="80" spans="1:7" x14ac:dyDescent="0.25">
      <c r="A80" t="s">
        <v>152</v>
      </c>
      <c r="B80" t="s">
        <v>153</v>
      </c>
      <c r="C80" s="5">
        <v>22668.99</v>
      </c>
      <c r="D80" s="6">
        <f>C80*(1-$G$1)*(1-$G$2)</f>
      </c>
      <c r="E80" s="5">
        <f>D80*$G$3*(1+$G$4)</f>
      </c>
      <c r="F80" s="7"/>
      <c r="G80" s="5">
        <f>IF(ISBLANK(F80), "", E80*F80)</f>
      </c>
    </row>
    <row r="81" spans="1:7" x14ac:dyDescent="0.25">
      <c r="A81" t="s">
        <v>154</v>
      </c>
      <c r="B81" t="s">
        <v>155</v>
      </c>
      <c r="C81" s="5">
        <v>12631.19</v>
      </c>
      <c r="D81" s="6">
        <f>C81*(1-$G$1)*(1-$G$2)</f>
      </c>
      <c r="E81" s="5">
        <f>D81*$G$3*(1+$G$4)</f>
      </c>
      <c r="F81" s="7"/>
      <c r="G81" s="5">
        <f>IF(ISBLANK(F81), "", E81*F81)</f>
      </c>
    </row>
    <row r="82" spans="1:7" x14ac:dyDescent="0.25">
      <c r="A82" t="s">
        <v>156</v>
      </c>
      <c r="B82" t="s">
        <v>157</v>
      </c>
      <c r="C82" s="5">
        <v>14878.45</v>
      </c>
      <c r="D82" s="6">
        <f>C82*(1-$G$1)*(1-$G$2)</f>
      </c>
      <c r="E82" s="5">
        <f>D82*$G$3*(1+$G$4)</f>
      </c>
      <c r="F82" s="7"/>
      <c r="G82" s="5">
        <f>IF(ISBLANK(F82), "", E82*F82)</f>
      </c>
    </row>
    <row r="83" spans="1:7" x14ac:dyDescent="0.25">
      <c r="A83" t="s">
        <v>158</v>
      </c>
      <c r="B83" t="s">
        <v>159</v>
      </c>
      <c r="C83" s="5">
        <v>24261.04</v>
      </c>
      <c r="D83" s="6">
        <f>C83*(1-$G$1)*(1-$G$2)</f>
      </c>
      <c r="E83" s="5">
        <f>D83*$G$3*(1+$G$4)</f>
      </c>
      <c r="F83" s="7"/>
      <c r="G83" s="5">
        <f>IF(ISBLANK(F83), "", E83*F83)</f>
      </c>
    </row>
    <row r="84" spans="1:7" x14ac:dyDescent="0.25">
      <c r="A84" t="s">
        <v>160</v>
      </c>
      <c r="B84" t="s">
        <v>161</v>
      </c>
      <c r="C84" s="5">
        <v>65610.01</v>
      </c>
      <c r="D84" s="6">
        <f>C84*(1-$G$1)*(1-$G$2)</f>
      </c>
      <c r="E84" s="5">
        <f>D84*$G$3*(1+$G$4)</f>
      </c>
      <c r="F84" s="7"/>
      <c r="G84" s="5">
        <f>IF(ISBLANK(F84), "", E84*F84)</f>
      </c>
    </row>
    <row r="85" spans="1:7" x14ac:dyDescent="0.25">
      <c r="A85" t="s">
        <v>162</v>
      </c>
      <c r="B85" t="s">
        <v>163</v>
      </c>
      <c r="C85" s="5">
        <v>26771.83</v>
      </c>
      <c r="D85" s="6">
        <f>C85*(1-$G$1)*(1-$G$2)</f>
      </c>
      <c r="E85" s="5">
        <f>D85*$G$3*(1+$G$4)</f>
      </c>
      <c r="F85" s="7"/>
      <c r="G85" s="5">
        <f>IF(ISBLANK(F85), "", E85*F85)</f>
      </c>
    </row>
    <row r="86" spans="1:7" x14ac:dyDescent="0.25">
      <c r="A86" t="s">
        <v>164</v>
      </c>
      <c r="B86" t="s">
        <v>165</v>
      </c>
      <c r="C86" s="5">
        <v>21482.94</v>
      </c>
      <c r="D86" s="6">
        <f>C86*(1-$G$1)*(1-$G$2)</f>
      </c>
      <c r="E86" s="5">
        <f>D86*$G$3*(1+$G$4)</f>
      </c>
      <c r="F86" s="7"/>
      <c r="G86" s="5">
        <f>IF(ISBLANK(F86), "", E86*F86)</f>
      </c>
    </row>
    <row r="87" spans="1:7" x14ac:dyDescent="0.25">
      <c r="A87" t="s">
        <v>166</v>
      </c>
      <c r="B87" t="s">
        <v>167</v>
      </c>
      <c r="C87" s="5">
        <v>12681.47</v>
      </c>
      <c r="D87" s="6">
        <f>C87*(1-$G$1)*(1-$G$2)</f>
      </c>
      <c r="E87" s="5">
        <f>D87*$G$3*(1+$G$4)</f>
      </c>
      <c r="F87" s="7"/>
      <c r="G87" s="5">
        <f>IF(ISBLANK(F87), "", E87*F87)</f>
      </c>
    </row>
    <row r="88" spans="1:7" x14ac:dyDescent="0.25">
      <c r="A88" t="s">
        <v>168</v>
      </c>
      <c r="B88" t="s">
        <v>169</v>
      </c>
      <c r="C88" s="5">
        <v>14111.1</v>
      </c>
      <c r="D88" s="6">
        <f>C88*(1-$G$1)*(1-$G$2)</f>
      </c>
      <c r="E88" s="5">
        <f>D88*$G$3*(1+$G$4)</f>
      </c>
      <c r="F88" s="7"/>
      <c r="G88" s="5">
        <f>IF(ISBLANK(F88), "", E88*F88)</f>
      </c>
    </row>
    <row r="89" spans="1:7" x14ac:dyDescent="0.25">
      <c r="A89" t="s">
        <v>170</v>
      </c>
      <c r="B89" t="s">
        <v>171</v>
      </c>
      <c r="C89" s="5">
        <v>10370.36</v>
      </c>
      <c r="D89" s="6">
        <f>C89*(1-$G$1)*(1-$G$2)</f>
      </c>
      <c r="E89" s="5">
        <f>D89*$G$3*(1+$G$4)</f>
      </c>
      <c r="F89" s="7"/>
      <c r="G89" s="5">
        <f>IF(ISBLANK(F89), "", E89*F89)</f>
      </c>
    </row>
    <row r="90" spans="1:7" x14ac:dyDescent="0.25">
      <c r="A90" t="s">
        <v>172</v>
      </c>
      <c r="B90" t="s">
        <v>173</v>
      </c>
      <c r="C90" s="5">
        <v>10552.95</v>
      </c>
      <c r="D90" s="6">
        <f>C90*(1-$G$1)*(1-$G$2)</f>
      </c>
      <c r="E90" s="5">
        <f>D90*$G$3*(1+$G$4)</f>
      </c>
      <c r="F90" s="7"/>
      <c r="G90" s="5">
        <f>IF(ISBLANK(F90), "", E90*F90)</f>
      </c>
    </row>
    <row r="91" spans="1:7" x14ac:dyDescent="0.25">
      <c r="A91" t="s">
        <v>174</v>
      </c>
      <c r="B91" t="s">
        <v>175</v>
      </c>
      <c r="C91" s="5">
        <v>99096.92</v>
      </c>
      <c r="D91" s="6">
        <f>C91*(1-$G$1)*(1-$G$2)</f>
      </c>
      <c r="E91" s="5">
        <f>D91*$G$3*(1+$G$4)</f>
      </c>
      <c r="F91" s="7"/>
      <c r="G91" s="5">
        <f>IF(ISBLANK(F91), "", E91*F91)</f>
      </c>
    </row>
    <row r="92" spans="1:7" x14ac:dyDescent="0.25">
      <c r="A92" t="s">
        <v>176</v>
      </c>
      <c r="B92" t="s">
        <v>177</v>
      </c>
      <c r="C92" s="5">
        <v>83218.29</v>
      </c>
      <c r="D92" s="6">
        <f>C92*(1-$G$1)*(1-$G$2)</f>
      </c>
      <c r="E92" s="5">
        <f>D92*$G$3*(1+$G$4)</f>
      </c>
      <c r="F92" s="7"/>
      <c r="G92" s="5">
        <f>IF(ISBLANK(F92), "", E92*F92)</f>
      </c>
    </row>
    <row r="93" spans="1:7" x14ac:dyDescent="0.25">
      <c r="A93" t="s">
        <v>178</v>
      </c>
      <c r="B93" t="s">
        <v>179</v>
      </c>
      <c r="C93" s="5">
        <v>87301.72</v>
      </c>
      <c r="D93" s="6">
        <f>C93*(1-$G$1)*(1-$G$2)</f>
      </c>
      <c r="E93" s="5">
        <f>D93*$G$3*(1+$G$4)</f>
      </c>
      <c r="F93" s="7"/>
      <c r="G93" s="5">
        <f>IF(ISBLANK(F93), "", E93*F93)</f>
      </c>
    </row>
    <row r="94" spans="1:7" x14ac:dyDescent="0.25">
      <c r="A94" t="s">
        <v>180</v>
      </c>
      <c r="B94" t="s">
        <v>181</v>
      </c>
      <c r="C94" s="5">
        <v>104987.77</v>
      </c>
      <c r="D94" s="6">
        <f>C94*(1-$G$1)*(1-$G$2)</f>
      </c>
      <c r="E94" s="5">
        <f>D94*$G$3*(1+$G$4)</f>
      </c>
      <c r="F94" s="7"/>
      <c r="G94" s="5">
        <f>IF(ISBLANK(F94), "", E94*F94)</f>
      </c>
    </row>
    <row r="95" spans="1:7" x14ac:dyDescent="0.25">
      <c r="A95" t="s">
        <v>182</v>
      </c>
      <c r="B95" t="s">
        <v>183</v>
      </c>
      <c r="C95" s="5">
        <v>81466.05</v>
      </c>
      <c r="D95" s="6">
        <f>C95*(1-$G$1)*(1-$G$2)</f>
      </c>
      <c r="E95" s="5">
        <f>D95*$G$3*(1+$G$4)</f>
      </c>
      <c r="F95" s="7"/>
      <c r="G95" s="5">
        <f>IF(ISBLANK(F95), "", E95*F95)</f>
      </c>
    </row>
    <row r="96" spans="1:7" x14ac:dyDescent="0.25">
      <c r="A96" t="s">
        <v>184</v>
      </c>
      <c r="B96" t="s">
        <v>185</v>
      </c>
      <c r="C96" s="5">
        <v>93120.9</v>
      </c>
      <c r="D96" s="6">
        <f>C96*(1-$G$1)*(1-$G$2)</f>
      </c>
      <c r="E96" s="5">
        <f>D96*$G$3*(1+$G$4)</f>
      </c>
      <c r="F96" s="7"/>
      <c r="G96" s="5">
        <f>IF(ISBLANK(F96), "", E96*F96)</f>
      </c>
    </row>
    <row r="97" spans="1:7" x14ac:dyDescent="0.25">
      <c r="A97" t="s">
        <v>186</v>
      </c>
      <c r="B97" t="s">
        <v>185</v>
      </c>
      <c r="C97" s="5">
        <v>99773.39</v>
      </c>
      <c r="D97" s="6">
        <f>C97*(1-$G$1)*(1-$G$2)</f>
      </c>
      <c r="E97" s="5">
        <f>D97*$G$3*(1+$G$4)</f>
      </c>
      <c r="F97" s="7"/>
      <c r="G97" s="5">
        <f>IF(ISBLANK(F97), "", E97*F97)</f>
      </c>
    </row>
    <row r="98" spans="1:7" x14ac:dyDescent="0.25">
      <c r="A98" t="s">
        <v>187</v>
      </c>
      <c r="B98" t="s">
        <v>188</v>
      </c>
      <c r="C98" s="5">
        <v>58080.91</v>
      </c>
      <c r="D98" s="6">
        <f>C98*(1-$G$1)*(1-$G$2)</f>
      </c>
      <c r="E98" s="5">
        <f>D98*$G$3*(1+$G$4)</f>
      </c>
      <c r="F98" s="7"/>
      <c r="G98" s="5">
        <f>IF(ISBLANK(F98), "", E98*F98)</f>
      </c>
    </row>
    <row r="99" spans="1:7" x14ac:dyDescent="0.25">
      <c r="A99" t="s">
        <v>189</v>
      </c>
      <c r="B99" t="s">
        <v>190</v>
      </c>
      <c r="C99" s="5">
        <v>170109.44</v>
      </c>
      <c r="D99" s="6">
        <f>C99*(1-$G$1)*(1-$G$2)</f>
      </c>
      <c r="E99" s="5">
        <f>D99*$G$3*(1+$G$4)</f>
      </c>
      <c r="F99" s="7"/>
      <c r="G99" s="5">
        <f>IF(ISBLANK(F99), "", E99*F99)</f>
      </c>
    </row>
    <row r="100" spans="1:7" x14ac:dyDescent="0.25">
      <c r="A100" t="s">
        <v>191</v>
      </c>
      <c r="B100" t="s">
        <v>192</v>
      </c>
      <c r="C100" s="5">
        <v>77959.81</v>
      </c>
      <c r="D100" s="6">
        <f>C100*(1-$G$1)*(1-$G$2)</f>
      </c>
      <c r="E100" s="5">
        <f>D100*$G$3*(1+$G$4)</f>
      </c>
      <c r="F100" s="7"/>
      <c r="G100" s="5">
        <f>IF(ISBLANK(F100), "", E100*F100)</f>
      </c>
    </row>
    <row r="101" spans="1:7" x14ac:dyDescent="0.25">
      <c r="A101" t="s">
        <v>193</v>
      </c>
      <c r="B101" t="s">
        <v>194</v>
      </c>
      <c r="C101" s="5">
        <v>63169.23</v>
      </c>
      <c r="D101" s="6">
        <f>C101*(1-$G$1)*(1-$G$2)</f>
      </c>
      <c r="E101" s="5">
        <f>D101*$G$3*(1+$G$4)</f>
      </c>
      <c r="F101" s="7"/>
      <c r="G101" s="5">
        <f>IF(ISBLANK(F101), "", E101*F101)</f>
      </c>
    </row>
    <row r="102" spans="1:7" x14ac:dyDescent="0.25">
      <c r="A102" t="s">
        <v>195</v>
      </c>
      <c r="B102" t="s">
        <v>196</v>
      </c>
      <c r="C102" s="5">
        <v>68993.67</v>
      </c>
      <c r="D102" s="6">
        <f>C102*(1-$G$1)*(1-$G$2)</f>
      </c>
      <c r="E102" s="5">
        <f>D102*$G$3*(1+$G$4)</f>
      </c>
      <c r="F102" s="7"/>
      <c r="G102" s="5">
        <f>IF(ISBLANK(F102), "", E102*F102)</f>
      </c>
    </row>
    <row r="103" spans="1:7" x14ac:dyDescent="0.25">
      <c r="A103" t="s">
        <v>197</v>
      </c>
      <c r="B103" t="s">
        <v>198</v>
      </c>
      <c r="C103" s="5">
        <v>95168.22</v>
      </c>
      <c r="D103" s="6">
        <f>C103*(1-$G$1)*(1-$G$2)</f>
      </c>
      <c r="E103" s="5">
        <f>D103*$G$3*(1+$G$4)</f>
      </c>
      <c r="F103" s="7"/>
      <c r="G103" s="5">
        <f>IF(ISBLANK(F103), "", E103*F103)</f>
      </c>
    </row>
    <row r="104" spans="1:7" x14ac:dyDescent="0.25">
      <c r="A104" t="s">
        <v>199</v>
      </c>
      <c r="B104" t="s">
        <v>200</v>
      </c>
      <c r="C104" s="5">
        <v>23552.2</v>
      </c>
      <c r="D104" s="6">
        <f>C104*(1-$G$1)*(1-$G$2)</f>
      </c>
      <c r="E104" s="5">
        <f>D104*$G$3*(1+$G$4)</f>
      </c>
      <c r="F104" s="7"/>
      <c r="G104" s="5">
        <f>IF(ISBLANK(F104), "", E104*F104)</f>
      </c>
    </row>
    <row r="105" spans="1:7" x14ac:dyDescent="0.25">
      <c r="A105" t="s">
        <v>201</v>
      </c>
      <c r="B105" t="s">
        <v>202</v>
      </c>
      <c r="C105" s="5">
        <v>7368.14</v>
      </c>
      <c r="D105" s="6">
        <f>C105*(1-$G$1)*(1-$G$2)</f>
      </c>
      <c r="E105" s="5">
        <f>D105*$G$3*(1+$G$4)</f>
      </c>
      <c r="F105" s="7"/>
      <c r="G105" s="5">
        <f>IF(ISBLANK(F105), "", E105*F105)</f>
      </c>
    </row>
    <row r="106" spans="1:7" x14ac:dyDescent="0.25">
      <c r="A106" t="s">
        <v>203</v>
      </c>
      <c r="B106" t="s">
        <v>204</v>
      </c>
      <c r="C106" s="5">
        <v>23552.2</v>
      </c>
      <c r="D106" s="6">
        <f>C106*(1-$G$1)*(1-$G$2)</f>
      </c>
      <c r="E106" s="5">
        <f>D106*$G$3*(1+$G$4)</f>
      </c>
      <c r="F106" s="7"/>
      <c r="G106" s="5">
        <f>IF(ISBLANK(F106), "", E106*F106)</f>
      </c>
    </row>
    <row r="107" spans="1:7" x14ac:dyDescent="0.25">
      <c r="A107" t="s">
        <v>205</v>
      </c>
      <c r="B107" t="s">
        <v>206</v>
      </c>
      <c r="C107" s="5">
        <v>731506.56</v>
      </c>
      <c r="D107" s="6">
        <f>C107*(1-$G$1)*(1-$G$2)</f>
      </c>
      <c r="E107" s="5">
        <f>D107*$G$3*(1+$G$4)</f>
      </c>
      <c r="F107" s="7"/>
      <c r="G107" s="5">
        <f>IF(ISBLANK(F107), "", E107*F107)</f>
      </c>
    </row>
    <row r="108" spans="1:7" x14ac:dyDescent="0.25">
      <c r="A108" t="s">
        <v>207</v>
      </c>
      <c r="B108" t="s">
        <v>208</v>
      </c>
      <c r="C108" s="5">
        <v>306912.34</v>
      </c>
      <c r="D108" s="6">
        <f>C108*(1-$G$1)*(1-$G$2)</f>
      </c>
      <c r="E108" s="5">
        <f>D108*$G$3*(1+$G$4)</f>
      </c>
      <c r="F108" s="7"/>
      <c r="G108" s="5">
        <f>IF(ISBLANK(F108), "", E108*F108)</f>
      </c>
    </row>
    <row r="109" spans="1:7" x14ac:dyDescent="0.25">
      <c r="A109" t="s">
        <v>209</v>
      </c>
      <c r="B109" t="s">
        <v>210</v>
      </c>
      <c r="C109" s="5">
        <v>10381.47</v>
      </c>
      <c r="D109" s="6">
        <f>C109*(1-$G$1)*(1-$G$2)</f>
      </c>
      <c r="E109" s="5">
        <f>D109*$G$3*(1+$G$4)</f>
      </c>
      <c r="F109" s="7"/>
      <c r="G109" s="5">
        <f>IF(ISBLANK(F109), "", E109*F109)</f>
      </c>
    </row>
    <row r="110" spans="1:7" x14ac:dyDescent="0.25">
      <c r="A110" t="s">
        <v>211</v>
      </c>
      <c r="B110" t="s">
        <v>212</v>
      </c>
      <c r="C110" s="5">
        <v>6250.06</v>
      </c>
      <c r="D110" s="6">
        <f>C110*(1-$G$1)*(1-$G$2)</f>
      </c>
      <c r="E110" s="5">
        <f>D110*$G$3*(1+$G$4)</f>
      </c>
      <c r="F110" s="7"/>
      <c r="G110" s="5">
        <f>IF(ISBLANK(F110), "", E110*F110)</f>
      </c>
    </row>
    <row r="111" spans="1:7" x14ac:dyDescent="0.25">
      <c r="A111" t="s">
        <v>213</v>
      </c>
      <c r="B111" t="s">
        <v>214</v>
      </c>
      <c r="C111" s="5">
        <v>10035.18</v>
      </c>
      <c r="D111" s="6">
        <f>C111*(1-$G$1)*(1-$G$2)</f>
      </c>
      <c r="E111" s="5">
        <f>D111*$G$3*(1+$G$4)</f>
      </c>
      <c r="F111" s="7"/>
      <c r="G111" s="5">
        <f>IF(ISBLANK(F111), "", E111*F111)</f>
      </c>
    </row>
    <row r="112" spans="1:7" x14ac:dyDescent="0.25">
      <c r="A112" t="s">
        <v>215</v>
      </c>
      <c r="B112" t="s">
        <v>216</v>
      </c>
      <c r="C112" s="5">
        <v>48685.55</v>
      </c>
      <c r="D112" s="6">
        <f>C112*(1-$G$1)*(1-$G$2)</f>
      </c>
      <c r="E112" s="5">
        <f>D112*$G$3*(1+$G$4)</f>
      </c>
      <c r="F112" s="7"/>
      <c r="G112" s="5">
        <f>IF(ISBLANK(F112), "", E112*F112)</f>
      </c>
    </row>
    <row r="113" spans="1:7" x14ac:dyDescent="0.25">
      <c r="A113" t="s">
        <v>217</v>
      </c>
      <c r="B113" t="s">
        <v>218</v>
      </c>
      <c r="C113" s="5">
        <v>24102.94</v>
      </c>
      <c r="D113" s="6">
        <f>C113*(1-$G$1)*(1-$G$2)</f>
      </c>
      <c r="E113" s="5">
        <f>D113*$G$3*(1+$G$4)</f>
      </c>
      <c r="F113" s="7"/>
      <c r="G113" s="5">
        <f>IF(ISBLANK(F113), "", E113*F113)</f>
      </c>
    </row>
    <row r="114" spans="1:7" x14ac:dyDescent="0.25">
      <c r="A114" t="s">
        <v>219</v>
      </c>
      <c r="B114" t="s">
        <v>220</v>
      </c>
      <c r="C114" s="5">
        <v>27384.79</v>
      </c>
      <c r="D114" s="6">
        <f>C114*(1-$G$1)*(1-$G$2)</f>
      </c>
      <c r="E114" s="5">
        <f>D114*$G$3*(1+$G$4)</f>
      </c>
      <c r="F114" s="7"/>
      <c r="G114" s="5">
        <f>IF(ISBLANK(F114), "", E114*F114)</f>
      </c>
    </row>
    <row r="115" spans="1:7" x14ac:dyDescent="0.25">
      <c r="A115" t="s">
        <v>221</v>
      </c>
      <c r="B115" t="s">
        <v>222</v>
      </c>
      <c r="C115" s="5">
        <v>102651.86</v>
      </c>
      <c r="D115" s="6">
        <f>C115*(1-$G$1)*(1-$G$2)</f>
      </c>
      <c r="E115" s="5">
        <f>D115*$G$3*(1+$G$4)</f>
      </c>
      <c r="F115" s="7"/>
      <c r="G115" s="5">
        <f>IF(ISBLANK(F115), "", E115*F115)</f>
      </c>
    </row>
    <row r="116" spans="1:7" x14ac:dyDescent="0.25">
      <c r="A116" t="s">
        <v>223</v>
      </c>
      <c r="B116" t="s">
        <v>224</v>
      </c>
      <c r="C116" s="5">
        <v>154536.02</v>
      </c>
      <c r="D116" s="6">
        <f>C116*(1-$G$1)*(1-$G$2)</f>
      </c>
      <c r="E116" s="5">
        <f>D116*$G$3*(1+$G$4)</f>
      </c>
      <c r="F116" s="7"/>
      <c r="G116" s="5">
        <f>IF(ISBLANK(F116), "", E116*F116)</f>
      </c>
    </row>
    <row r="117" spans="1:7" x14ac:dyDescent="0.25">
      <c r="A117" t="s">
        <v>225</v>
      </c>
      <c r="B117" t="s">
        <v>226</v>
      </c>
      <c r="C117" s="5">
        <v>177084.64</v>
      </c>
      <c r="D117" s="6">
        <f>C117*(1-$G$1)*(1-$G$2)</f>
      </c>
      <c r="E117" s="5">
        <f>D117*$G$3*(1+$G$4)</f>
      </c>
      <c r="F117" s="7"/>
      <c r="G117" s="5">
        <f>IF(ISBLANK(F117), "", E117*F117)</f>
      </c>
    </row>
    <row r="118" spans="1:7" x14ac:dyDescent="0.25">
      <c r="A118" t="s">
        <v>227</v>
      </c>
      <c r="B118" t="s">
        <v>228</v>
      </c>
      <c r="C118" s="5">
        <v>177084.64</v>
      </c>
      <c r="D118" s="6">
        <f>C118*(1-$G$1)*(1-$G$2)</f>
      </c>
      <c r="E118" s="5">
        <f>D118*$G$3*(1+$G$4)</f>
      </c>
      <c r="F118" s="7"/>
      <c r="G118" s="5">
        <f>IF(ISBLANK(F118), "", E118*F118)</f>
      </c>
    </row>
    <row r="119" spans="1:7" x14ac:dyDescent="0.25">
      <c r="A119" t="s">
        <v>229</v>
      </c>
      <c r="B119" t="s">
        <v>230</v>
      </c>
      <c r="C119" s="5">
        <v>154536.02</v>
      </c>
      <c r="D119" s="6">
        <f>C119*(1-$G$1)*(1-$G$2)</f>
      </c>
      <c r="E119" s="5">
        <f>D119*$G$3*(1+$G$4)</f>
      </c>
      <c r="F119" s="7"/>
      <c r="G119" s="5">
        <f>IF(ISBLANK(F119), "", E119*F119)</f>
      </c>
    </row>
    <row r="120" spans="1:7" x14ac:dyDescent="0.25">
      <c r="A120" t="s">
        <v>231</v>
      </c>
      <c r="B120" t="s">
        <v>232</v>
      </c>
      <c r="C120" s="5">
        <v>17745.54</v>
      </c>
      <c r="D120" s="6">
        <f>C120*(1-$G$1)*(1-$G$2)</f>
      </c>
      <c r="E120" s="5">
        <f>D120*$G$3*(1+$G$4)</f>
      </c>
      <c r="F120" s="7"/>
      <c r="G120" s="5">
        <f>IF(ISBLANK(F120), "", E120*F120)</f>
      </c>
    </row>
    <row r="121" spans="1:7" x14ac:dyDescent="0.25">
      <c r="A121" t="s">
        <v>233</v>
      </c>
      <c r="B121" t="s">
        <v>234</v>
      </c>
      <c r="C121" s="5">
        <v>4390</v>
      </c>
      <c r="D121" s="6">
        <f>C121*(1-$G$1)*(1-$G$2)</f>
      </c>
      <c r="E121" s="5">
        <f>D121*$G$3*(1+$G$4)</f>
      </c>
      <c r="F121" s="7"/>
      <c r="G121" s="5">
        <f>IF(ISBLANK(F121), "", E121*F121)</f>
      </c>
    </row>
    <row r="122" spans="1:7" x14ac:dyDescent="0.25">
      <c r="A122" t="s">
        <v>235</v>
      </c>
      <c r="B122" t="s">
        <v>236</v>
      </c>
      <c r="C122" s="5">
        <v>17230.07</v>
      </c>
      <c r="D122" s="6">
        <f>C122*(1-$G$1)*(1-$G$2)</f>
      </c>
      <c r="E122" s="5">
        <f>D122*$G$3*(1+$G$4)</f>
      </c>
      <c r="F122" s="7"/>
      <c r="G122" s="5">
        <f>IF(ISBLANK(F122), "", E122*F122)</f>
      </c>
    </row>
    <row r="123" spans="1:7" x14ac:dyDescent="0.25">
      <c r="A123" t="s">
        <v>237</v>
      </c>
      <c r="B123" t="s">
        <v>238</v>
      </c>
      <c r="C123" s="5">
        <v>28873.67</v>
      </c>
      <c r="D123" s="6">
        <f>C123*(1-$G$1)*(1-$G$2)</f>
      </c>
      <c r="E123" s="5">
        <f>D123*$G$3*(1+$G$4)</f>
      </c>
      <c r="F123" s="7"/>
      <c r="G123" s="5">
        <f>IF(ISBLANK(F123), "", E123*F123)</f>
      </c>
    </row>
    <row r="124" spans="1:7" x14ac:dyDescent="0.25">
      <c r="A124" t="s">
        <v>239</v>
      </c>
      <c r="B124" t="s">
        <v>240</v>
      </c>
      <c r="C124" s="5">
        <v>125061.9</v>
      </c>
      <c r="D124" s="6">
        <f>C124*(1-$G$1)*(1-$G$2)</f>
      </c>
      <c r="E124" s="5">
        <f>D124*$G$3*(1+$G$4)</f>
      </c>
      <c r="F124" s="7"/>
      <c r="G124" s="5">
        <f>IF(ISBLANK(F124), "", E124*F124)</f>
      </c>
    </row>
    <row r="125" spans="1:7" x14ac:dyDescent="0.25">
      <c r="A125" t="s">
        <v>241</v>
      </c>
      <c r="B125" t="s">
        <v>242</v>
      </c>
      <c r="C125" s="5">
        <v>45381.77</v>
      </c>
      <c r="D125" s="6">
        <f>C125*(1-$G$1)*(1-$G$2)</f>
      </c>
      <c r="E125" s="5">
        <f>D125*$G$3*(1+$G$4)</f>
      </c>
      <c r="F125" s="7"/>
      <c r="G125" s="5">
        <f>IF(ISBLANK(F125), "", E125*F125)</f>
      </c>
    </row>
    <row r="126" spans="1:7" x14ac:dyDescent="0.25">
      <c r="A126" t="s">
        <v>243</v>
      </c>
      <c r="B126" t="s">
        <v>244</v>
      </c>
      <c r="C126" s="5">
        <v>36351.52</v>
      </c>
      <c r="D126" s="6">
        <f>C126*(1-$G$1)*(1-$G$2)</f>
      </c>
      <c r="E126" s="5">
        <f>D126*$G$3*(1+$G$4)</f>
      </c>
      <c r="F126" s="7"/>
      <c r="G126" s="5">
        <f>IF(ISBLANK(F126), "", E126*F126)</f>
      </c>
    </row>
    <row r="127" spans="1:7" x14ac:dyDescent="0.25">
      <c r="A127" t="s">
        <v>245</v>
      </c>
      <c r="B127" t="s">
        <v>246</v>
      </c>
      <c r="C127" s="5">
        <v>14816.28</v>
      </c>
      <c r="D127" s="6">
        <f>C127*(1-$G$1)*(1-$G$2)</f>
      </c>
      <c r="E127" s="5">
        <f>D127*$G$3*(1+$G$4)</f>
      </c>
      <c r="F127" s="7"/>
      <c r="G127" s="5">
        <f>IF(ISBLANK(F127), "", E127*F127)</f>
      </c>
    </row>
    <row r="128" spans="1:7" x14ac:dyDescent="0.25">
      <c r="A128" t="s">
        <v>247</v>
      </c>
      <c r="B128" t="s">
        <v>248</v>
      </c>
      <c r="C128" s="5">
        <v>138661.55</v>
      </c>
      <c r="D128" s="6">
        <f>C128*(1-$G$1)*(1-$G$2)</f>
      </c>
      <c r="E128" s="5">
        <f>D128*$G$3*(1+$G$4)</f>
      </c>
      <c r="F128" s="7"/>
      <c r="G128" s="5">
        <f>IF(ISBLANK(F128), "", E128*F128)</f>
      </c>
    </row>
    <row r="129" spans="1:7" x14ac:dyDescent="0.25">
      <c r="A129" t="s">
        <v>249</v>
      </c>
      <c r="B129" t="s">
        <v>250</v>
      </c>
      <c r="C129" s="5">
        <v>394367.57</v>
      </c>
      <c r="D129" s="6">
        <f>C129*(1-$G$1)*(1-$G$2)</f>
      </c>
      <c r="E129" s="5">
        <f>D129*$G$3*(1+$G$4)</f>
      </c>
      <c r="F129" s="7"/>
      <c r="G129" s="5">
        <f>IF(ISBLANK(F129), "", E129*F129)</f>
      </c>
    </row>
    <row r="130" spans="1:7" x14ac:dyDescent="0.25">
      <c r="A130" t="s">
        <v>251</v>
      </c>
      <c r="B130" t="s">
        <v>252</v>
      </c>
      <c r="C130" s="5">
        <v>189071.69</v>
      </c>
      <c r="D130" s="6">
        <f>C130*(1-$G$1)*(1-$G$2)</f>
      </c>
      <c r="E130" s="5">
        <f>D130*$G$3*(1+$G$4)</f>
      </c>
      <c r="F130" s="7"/>
      <c r="G130" s="5">
        <f>IF(ISBLANK(F130), "", E130*F130)</f>
      </c>
    </row>
    <row r="131" spans="1:7" x14ac:dyDescent="0.25">
      <c r="A131" t="s">
        <v>253</v>
      </c>
      <c r="B131" t="s">
        <v>254</v>
      </c>
      <c r="C131" s="5">
        <v>19018.99</v>
      </c>
      <c r="D131" s="6">
        <f>C131*(1-$G$1)*(1-$G$2)</f>
      </c>
      <c r="E131" s="5">
        <f>D131*$G$3*(1+$G$4)</f>
      </c>
      <c r="F131" s="7"/>
      <c r="G131" s="5">
        <f>IF(ISBLANK(F131), "", E131*F131)</f>
      </c>
    </row>
    <row r="132" spans="1:7" x14ac:dyDescent="0.25">
      <c r="A132" t="s">
        <v>255</v>
      </c>
      <c r="B132" t="s">
        <v>256</v>
      </c>
      <c r="C132" s="5">
        <v>47030.32</v>
      </c>
      <c r="D132" s="6">
        <f>C132*(1-$G$1)*(1-$G$2)</f>
      </c>
      <c r="E132" s="5">
        <f>D132*$G$3*(1+$G$4)</f>
      </c>
      <c r="F132" s="7"/>
      <c r="G132" s="5">
        <f>IF(ISBLANK(F132), "", E132*F132)</f>
      </c>
    </row>
    <row r="133" spans="1:7" x14ac:dyDescent="0.25">
      <c r="A133" t="s">
        <v>257</v>
      </c>
      <c r="B133" t="s">
        <v>258</v>
      </c>
      <c r="C133" s="5">
        <v>110911.69</v>
      </c>
      <c r="D133" s="6">
        <f>C133*(1-$G$1)*(1-$G$2)</f>
      </c>
      <c r="E133" s="5">
        <f>D133*$G$3*(1+$G$4)</f>
      </c>
      <c r="F133" s="7"/>
      <c r="G133" s="5">
        <f>IF(ISBLANK(F133), "", E133*F133)</f>
      </c>
    </row>
    <row r="134" spans="1:7" x14ac:dyDescent="0.25">
      <c r="A134" t="s">
        <v>259</v>
      </c>
      <c r="B134" t="s">
        <v>258</v>
      </c>
      <c r="C134" s="5">
        <v>99808.2</v>
      </c>
      <c r="D134" s="6">
        <f>C134*(1-$G$1)*(1-$G$2)</f>
      </c>
      <c r="E134" s="5">
        <f>D134*$G$3*(1+$G$4)</f>
      </c>
      <c r="F134" s="7"/>
      <c r="G134" s="5">
        <f>IF(ISBLANK(F134), "", E134*F134)</f>
      </c>
    </row>
    <row r="135" spans="1:7" x14ac:dyDescent="0.25">
      <c r="A135" t="s">
        <v>260</v>
      </c>
      <c r="B135" t="s">
        <v>261</v>
      </c>
      <c r="C135" s="5">
        <v>43851.07</v>
      </c>
      <c r="D135" s="6">
        <f>C135*(1-$G$1)*(1-$G$2)</f>
      </c>
      <c r="E135" s="5">
        <f>D135*$G$3*(1+$G$4)</f>
      </c>
      <c r="F135" s="7"/>
      <c r="G135" s="5">
        <f>IF(ISBLANK(F135), "", E135*F135)</f>
      </c>
    </row>
    <row r="136" spans="1:7" x14ac:dyDescent="0.25">
      <c r="A136" t="s">
        <v>262</v>
      </c>
      <c r="B136" t="s">
        <v>263</v>
      </c>
      <c r="C136" s="5">
        <v>39861.07</v>
      </c>
      <c r="D136" s="6">
        <f>C136*(1-$G$1)*(1-$G$2)</f>
      </c>
      <c r="E136" s="5">
        <f>D136*$G$3*(1+$G$4)</f>
      </c>
      <c r="F136" s="7"/>
      <c r="G136" s="5">
        <f>IF(ISBLANK(F136), "", E136*F136)</f>
      </c>
    </row>
    <row r="137" spans="1:7" x14ac:dyDescent="0.25">
      <c r="A137" t="s">
        <v>264</v>
      </c>
      <c r="B137" t="s">
        <v>265</v>
      </c>
      <c r="C137" s="5">
        <v>17159.96</v>
      </c>
      <c r="D137" s="6">
        <f>C137*(1-$G$1)*(1-$G$2)</f>
      </c>
      <c r="E137" s="5">
        <f>D137*$G$3*(1+$G$4)</f>
      </c>
      <c r="F137" s="7"/>
      <c r="G137" s="5">
        <f>IF(ISBLANK(F137), "", E137*F137)</f>
      </c>
    </row>
    <row r="138" spans="1:7" x14ac:dyDescent="0.25">
      <c r="A138" t="s">
        <v>266</v>
      </c>
      <c r="B138" t="s">
        <v>267</v>
      </c>
      <c r="C138" s="5">
        <v>366704.82</v>
      </c>
      <c r="D138" s="6">
        <f>C138*(1-$G$1)*(1-$G$2)</f>
      </c>
      <c r="E138" s="5">
        <f>D138*$G$3*(1+$G$4)</f>
      </c>
      <c r="F138" s="7"/>
      <c r="G138" s="5">
        <f>IF(ISBLANK(F138), "", E138*F138)</f>
      </c>
    </row>
    <row r="139" spans="1:7" x14ac:dyDescent="0.25">
      <c r="A139" t="s">
        <v>268</v>
      </c>
      <c r="B139" t="s">
        <v>269</v>
      </c>
      <c r="C139" s="5">
        <v>28177.99</v>
      </c>
      <c r="D139" s="6">
        <f>C139*(1-$G$1)*(1-$G$2)</f>
      </c>
      <c r="E139" s="5">
        <f>D139*$G$3*(1+$G$4)</f>
      </c>
      <c r="F139" s="7"/>
      <c r="G139" s="5">
        <f>IF(ISBLANK(F139), "", E139*F139)</f>
      </c>
    </row>
    <row r="140" spans="1:7" x14ac:dyDescent="0.25">
      <c r="A140" t="s">
        <v>270</v>
      </c>
      <c r="B140" t="s">
        <v>271</v>
      </c>
      <c r="C140" s="5">
        <v>452854.07</v>
      </c>
      <c r="D140" s="6">
        <f>C140*(1-$G$1)*(1-$G$2)</f>
      </c>
      <c r="E140" s="5">
        <f>D140*$G$3*(1+$G$4)</f>
      </c>
      <c r="F140" s="7"/>
      <c r="G140" s="5">
        <f>IF(ISBLANK(F140), "", E140*F140)</f>
      </c>
    </row>
    <row r="141" spans="1:7" x14ac:dyDescent="0.25">
      <c r="A141" t="s">
        <v>272</v>
      </c>
      <c r="B141" t="s">
        <v>273</v>
      </c>
      <c r="C141" s="5">
        <v>161846.04</v>
      </c>
      <c r="D141" s="6">
        <f>C141*(1-$G$1)*(1-$G$2)</f>
      </c>
      <c r="E141" s="5">
        <f>D141*$G$3*(1+$G$4)</f>
      </c>
      <c r="F141" s="7"/>
      <c r="G141" s="5">
        <f>IF(ISBLANK(F141), "", E141*F141)</f>
      </c>
    </row>
    <row r="142" spans="1:7" x14ac:dyDescent="0.25">
      <c r="A142" t="s">
        <v>274</v>
      </c>
      <c r="B142" t="s">
        <v>275</v>
      </c>
      <c r="C142" s="5">
        <v>30220.63</v>
      </c>
      <c r="D142" s="6">
        <f>C142*(1-$G$1)*(1-$G$2)</f>
      </c>
      <c r="E142" s="5">
        <f>D142*$G$3*(1+$G$4)</f>
      </c>
      <c r="F142" s="7"/>
      <c r="G142" s="5">
        <f>IF(ISBLANK(F142), "", E142*F142)</f>
      </c>
    </row>
    <row r="143" spans="1:7" x14ac:dyDescent="0.25">
      <c r="A143" t="s">
        <v>276</v>
      </c>
      <c r="B143" t="s">
        <v>277</v>
      </c>
      <c r="C143" s="5">
        <v>461332.22</v>
      </c>
      <c r="D143" s="6">
        <f>C143*(1-$G$1)*(1-$G$2)</f>
      </c>
      <c r="E143" s="5">
        <f>D143*$G$3*(1+$G$4)</f>
      </c>
      <c r="F143" s="7"/>
      <c r="G143" s="5">
        <f>IF(ISBLANK(F143), "", E143*F143)</f>
      </c>
    </row>
    <row r="144" spans="1:7" x14ac:dyDescent="0.25">
      <c r="A144" t="s">
        <v>278</v>
      </c>
      <c r="B144" t="s">
        <v>279</v>
      </c>
      <c r="C144" s="5">
        <v>83045.39</v>
      </c>
      <c r="D144" s="6">
        <f>C144*(1-$G$1)*(1-$G$2)</f>
      </c>
      <c r="E144" s="5">
        <f>D144*$G$3*(1+$G$4)</f>
      </c>
      <c r="F144" s="7"/>
      <c r="G144" s="5">
        <f>IF(ISBLANK(F144), "", E144*F144)</f>
      </c>
    </row>
    <row r="145" spans="1:7" x14ac:dyDescent="0.25">
      <c r="A145" t="s">
        <v>280</v>
      </c>
      <c r="B145" t="s">
        <v>281</v>
      </c>
      <c r="C145" s="5">
        <v>25739.97</v>
      </c>
      <c r="D145" s="6">
        <f>C145*(1-$G$1)*(1-$G$2)</f>
      </c>
      <c r="E145" s="5">
        <f>D145*$G$3*(1+$G$4)</f>
      </c>
      <c r="F145" s="7"/>
      <c r="G145" s="5">
        <f>IF(ISBLANK(F145), "", E145*F145)</f>
      </c>
    </row>
    <row r="146" spans="1:7" x14ac:dyDescent="0.25">
      <c r="A146" t="s">
        <v>282</v>
      </c>
      <c r="B146" t="s">
        <v>283</v>
      </c>
      <c r="C146" s="5">
        <v>113593.18</v>
      </c>
      <c r="D146" s="6">
        <f>C146*(1-$G$1)*(1-$G$2)</f>
      </c>
      <c r="E146" s="5">
        <f>D146*$G$3*(1+$G$4)</f>
      </c>
      <c r="F146" s="7"/>
      <c r="G146" s="5">
        <f>IF(ISBLANK(F146), "", E146*F146)</f>
      </c>
    </row>
    <row r="147" spans="1:7" x14ac:dyDescent="0.25">
      <c r="A147" t="s">
        <v>284</v>
      </c>
      <c r="B147" t="s">
        <v>285</v>
      </c>
      <c r="C147" s="5">
        <v>119519.88</v>
      </c>
      <c r="D147" s="6">
        <f>C147*(1-$G$1)*(1-$G$2)</f>
      </c>
      <c r="E147" s="5">
        <f>D147*$G$3*(1+$G$4)</f>
      </c>
      <c r="F147" s="7"/>
      <c r="G147" s="5">
        <f>IF(ISBLANK(F147), "", E147*F147)</f>
      </c>
    </row>
    <row r="148" spans="1:7" x14ac:dyDescent="0.25">
      <c r="A148" t="s">
        <v>286</v>
      </c>
      <c r="B148" t="s">
        <v>287</v>
      </c>
      <c r="C148" s="5">
        <v>247643.32</v>
      </c>
      <c r="D148" s="6">
        <f>C148*(1-$G$1)*(1-$G$2)</f>
      </c>
      <c r="E148" s="5">
        <f>D148*$G$3*(1+$G$4)</f>
      </c>
      <c r="F148" s="7"/>
      <c r="G148" s="5">
        <f>IF(ISBLANK(F148), "", E148*F148)</f>
      </c>
    </row>
    <row r="149" spans="1:7" x14ac:dyDescent="0.25">
      <c r="A149" t="s">
        <v>288</v>
      </c>
      <c r="B149" t="s">
        <v>289</v>
      </c>
      <c r="C149" s="5">
        <v>94944.97</v>
      </c>
      <c r="D149" s="6">
        <f>C149*(1-$G$1)*(1-$G$2)</f>
      </c>
      <c r="E149" s="5">
        <f>D149*$G$3*(1+$G$4)</f>
      </c>
      <c r="F149" s="7"/>
      <c r="G149" s="5">
        <f>IF(ISBLANK(F149), "", E149*F149)</f>
      </c>
    </row>
    <row r="150" spans="1:7" x14ac:dyDescent="0.25">
      <c r="A150" t="s">
        <v>290</v>
      </c>
      <c r="B150" t="s">
        <v>291</v>
      </c>
      <c r="C150" s="5">
        <v>352687.8</v>
      </c>
      <c r="D150" s="6">
        <f>C150*(1-$G$1)*(1-$G$2)</f>
      </c>
      <c r="E150" s="5">
        <f>D150*$G$3*(1+$G$4)</f>
      </c>
      <c r="F150" s="7"/>
      <c r="G150" s="5">
        <f>IF(ISBLANK(F150), "", E150*F150)</f>
      </c>
    </row>
    <row r="151" spans="1:7" x14ac:dyDescent="0.25">
      <c r="A151" t="s">
        <v>292</v>
      </c>
      <c r="B151" t="s">
        <v>293</v>
      </c>
      <c r="C151" s="5">
        <v>148925.19</v>
      </c>
      <c r="D151" s="6">
        <f>C151*(1-$G$1)*(1-$G$2)</f>
      </c>
      <c r="E151" s="5">
        <f>D151*$G$3*(1+$G$4)</f>
      </c>
      <c r="F151" s="7"/>
      <c r="G151" s="5">
        <f>IF(ISBLANK(F151), "", E151*F151)</f>
      </c>
    </row>
    <row r="152" spans="1:7" x14ac:dyDescent="0.25">
      <c r="A152" t="s">
        <v>294</v>
      </c>
      <c r="B152" t="s">
        <v>295</v>
      </c>
      <c r="C152" s="5">
        <v>906699.48</v>
      </c>
      <c r="D152" s="6">
        <f>C152*(1-$G$1)*(1-$G$2)</f>
      </c>
      <c r="E152" s="5">
        <f>D152*$G$3*(1+$G$4)</f>
      </c>
      <c r="F152" s="7"/>
      <c r="G152" s="5">
        <f>IF(ISBLANK(F152), "", E152*F152)</f>
      </c>
    </row>
    <row r="153" spans="1:7" x14ac:dyDescent="0.25">
      <c r="A153" t="s">
        <v>296</v>
      </c>
      <c r="B153" t="s">
        <v>297</v>
      </c>
      <c r="C153" s="5">
        <v>237566.1</v>
      </c>
      <c r="D153" s="6">
        <f>C153*(1-$G$1)*(1-$G$2)</f>
      </c>
      <c r="E153" s="5">
        <f>D153*$G$3*(1+$G$4)</f>
      </c>
      <c r="F153" s="7"/>
      <c r="G153" s="5">
        <f>IF(ISBLANK(F153), "", E153*F153)</f>
      </c>
    </row>
    <row r="154" spans="1:7" x14ac:dyDescent="0.25">
      <c r="A154" t="s">
        <v>298</v>
      </c>
      <c r="B154" t="s">
        <v>299</v>
      </c>
      <c r="C154" s="5">
        <v>837792.9</v>
      </c>
      <c r="D154" s="6">
        <f>C154*(1-$G$1)*(1-$G$2)</f>
      </c>
      <c r="E154" s="5">
        <f>D154*$G$3*(1+$G$4)</f>
      </c>
      <c r="F154" s="7"/>
      <c r="G154" s="5">
        <f>IF(ISBLANK(F154), "", E154*F154)</f>
      </c>
    </row>
    <row r="155" spans="1:7" x14ac:dyDescent="0.25">
      <c r="A155" t="s">
        <v>300</v>
      </c>
      <c r="B155" t="s">
        <v>301</v>
      </c>
      <c r="C155" s="5">
        <v>837792.9</v>
      </c>
      <c r="D155" s="6">
        <f>C155*(1-$G$1)*(1-$G$2)</f>
      </c>
      <c r="E155" s="5">
        <f>D155*$G$3*(1+$G$4)</f>
      </c>
      <c r="F155" s="7"/>
      <c r="G155" s="5">
        <f>IF(ISBLANK(F155), "", E155*F155)</f>
      </c>
    </row>
    <row r="156" spans="1:7" x14ac:dyDescent="0.25">
      <c r="A156" t="s">
        <v>302</v>
      </c>
      <c r="B156" t="s">
        <v>303</v>
      </c>
      <c r="C156" s="5">
        <v>383353.5</v>
      </c>
      <c r="D156" s="6">
        <f>C156*(1-$G$1)*(1-$G$2)</f>
      </c>
      <c r="E156" s="5">
        <f>D156*$G$3*(1+$G$4)</f>
      </c>
      <c r="F156" s="7"/>
      <c r="G156" s="5">
        <f>IF(ISBLANK(F156), "", E156*F156)</f>
      </c>
    </row>
    <row r="157" spans="1:7" x14ac:dyDescent="0.25">
      <c r="A157" t="s">
        <v>304</v>
      </c>
      <c r="B157" t="s">
        <v>305</v>
      </c>
      <c r="C157" s="5">
        <v>353055.5</v>
      </c>
      <c r="D157" s="6">
        <f>C157*(1-$G$1)*(1-$G$2)</f>
      </c>
      <c r="E157" s="5">
        <f>D157*$G$3*(1+$G$4)</f>
      </c>
      <c r="F157" s="7"/>
      <c r="G157" s="5">
        <f>IF(ISBLANK(F157), "", E157*F157)</f>
      </c>
    </row>
    <row r="158" spans="1:7" x14ac:dyDescent="0.25">
      <c r="A158" t="s">
        <v>306</v>
      </c>
      <c r="B158" t="s">
        <v>307</v>
      </c>
      <c r="C158" s="5">
        <v>209838.06</v>
      </c>
      <c r="D158" s="6">
        <f>C158*(1-$G$1)*(1-$G$2)</f>
      </c>
      <c r="E158" s="5">
        <f>D158*$G$3*(1+$G$4)</f>
      </c>
      <c r="F158" s="7"/>
      <c r="G158" s="5">
        <f>IF(ISBLANK(F158), "", E158*F158)</f>
      </c>
    </row>
    <row r="159" spans="1:7" x14ac:dyDescent="0.25">
      <c r="A159" t="s">
        <v>308</v>
      </c>
      <c r="B159" t="s">
        <v>309</v>
      </c>
      <c r="C159" s="5">
        <v>304060.55</v>
      </c>
      <c r="D159" s="6">
        <f>C159*(1-$G$1)*(1-$G$2)</f>
      </c>
      <c r="E159" s="5">
        <f>D159*$G$3*(1+$G$4)</f>
      </c>
      <c r="F159" s="7"/>
      <c r="G159" s="5">
        <f>IF(ISBLANK(F159), "", E159*F159)</f>
      </c>
    </row>
    <row r="160" spans="1:7" x14ac:dyDescent="0.25">
      <c r="A160" t="s">
        <v>310</v>
      </c>
      <c r="B160" t="s">
        <v>311</v>
      </c>
      <c r="C160" s="5">
        <v>304060.55</v>
      </c>
      <c r="D160" s="6">
        <f>C160*(1-$G$1)*(1-$G$2)</f>
      </c>
      <c r="E160" s="5">
        <f>D160*$G$3*(1+$G$4)</f>
      </c>
      <c r="F160" s="7"/>
      <c r="G160" s="5">
        <f>IF(ISBLANK(F160), "", E160*F160)</f>
      </c>
    </row>
    <row r="161" spans="1:7" x14ac:dyDescent="0.25">
      <c r="A161" t="s">
        <v>312</v>
      </c>
      <c r="B161" t="s">
        <v>313</v>
      </c>
      <c r="C161" s="5">
        <v>140074.45</v>
      </c>
      <c r="D161" s="6">
        <f>C161*(1-$G$1)*(1-$G$2)</f>
      </c>
      <c r="E161" s="5">
        <f>D161*$G$3*(1+$G$4)</f>
      </c>
      <c r="F161" s="7"/>
      <c r="G161" s="5">
        <f>IF(ISBLANK(F161), "", E161*F161)</f>
      </c>
    </row>
    <row r="162" spans="1:7" x14ac:dyDescent="0.25">
      <c r="A162" t="s">
        <v>314</v>
      </c>
      <c r="B162" t="s">
        <v>315</v>
      </c>
      <c r="C162" s="5">
        <v>92058.03</v>
      </c>
      <c r="D162" s="6">
        <f>C162*(1-$G$1)*(1-$G$2)</f>
      </c>
      <c r="E162" s="5">
        <f>D162*$G$3*(1+$G$4)</f>
      </c>
      <c r="F162" s="7"/>
      <c r="G162" s="5">
        <f>IF(ISBLANK(F162), "", E162*F162)</f>
      </c>
    </row>
    <row r="163" spans="1:7" x14ac:dyDescent="0.25">
      <c r="A163" t="s">
        <v>316</v>
      </c>
      <c r="B163" t="s">
        <v>317</v>
      </c>
      <c r="C163" s="5">
        <v>70225.14</v>
      </c>
      <c r="D163" s="6">
        <f>C163*(1-$G$1)*(1-$G$2)</f>
      </c>
      <c r="E163" s="5">
        <f>D163*$G$3*(1+$G$4)</f>
      </c>
      <c r="F163" s="7"/>
      <c r="G163" s="5">
        <f>IF(ISBLANK(F163), "", E163*F163)</f>
      </c>
    </row>
    <row r="164" spans="1:7" x14ac:dyDescent="0.25">
      <c r="A164" t="s">
        <v>318</v>
      </c>
      <c r="B164" t="s">
        <v>319</v>
      </c>
      <c r="C164" s="5">
        <v>101432.09</v>
      </c>
      <c r="D164" s="6">
        <f>C164*(1-$G$1)*(1-$G$2)</f>
      </c>
      <c r="E164" s="5">
        <f>D164*$G$3*(1+$G$4)</f>
      </c>
      <c r="F164" s="7"/>
      <c r="G164" s="5">
        <f>IF(ISBLANK(F164), "", E164*F164)</f>
      </c>
    </row>
    <row r="165" spans="1:7" x14ac:dyDescent="0.25">
      <c r="A165" t="s">
        <v>320</v>
      </c>
      <c r="B165" t="s">
        <v>321</v>
      </c>
      <c r="C165" s="5">
        <v>540213.96</v>
      </c>
      <c r="D165" s="6">
        <f>C165*(1-$G$1)*(1-$G$2)</f>
      </c>
      <c r="E165" s="5">
        <f>D165*$G$3*(1+$G$4)</f>
      </c>
      <c r="F165" s="7"/>
      <c r="G165" s="5">
        <f>IF(ISBLANK(F165), "", E165*F165)</f>
      </c>
    </row>
    <row r="166" spans="1:7" x14ac:dyDescent="0.25">
      <c r="A166" t="s">
        <v>322</v>
      </c>
      <c r="B166" t="s">
        <v>323</v>
      </c>
      <c r="C166" s="5">
        <v>361070.33</v>
      </c>
      <c r="D166" s="6">
        <f>C166*(1-$G$1)*(1-$G$2)</f>
      </c>
      <c r="E166" s="5">
        <f>D166*$G$3*(1+$G$4)</f>
      </c>
      <c r="F166" s="7"/>
      <c r="G166" s="5">
        <f>IF(ISBLANK(F166), "", E166*F166)</f>
      </c>
    </row>
    <row r="167" spans="1:7" x14ac:dyDescent="0.25">
      <c r="A167" t="s">
        <v>324</v>
      </c>
      <c r="B167" t="s">
        <v>325</v>
      </c>
      <c r="C167" s="5">
        <v>684264.16</v>
      </c>
      <c r="D167" s="6">
        <f>C167*(1-$G$1)*(1-$G$2)</f>
      </c>
      <c r="E167" s="5">
        <f>D167*$G$3*(1+$G$4)</f>
      </c>
      <c r="F167" s="7"/>
      <c r="G167" s="5">
        <f>IF(ISBLANK(F167), "", E167*F167)</f>
      </c>
    </row>
    <row r="168" spans="1:7" x14ac:dyDescent="0.25">
      <c r="A168" t="s">
        <v>326</v>
      </c>
      <c r="B168" t="s">
        <v>327</v>
      </c>
      <c r="C168" s="5">
        <v>113891.7</v>
      </c>
      <c r="D168" s="6">
        <f>C168*(1-$G$1)*(1-$G$2)</f>
      </c>
      <c r="E168" s="5">
        <f>D168*$G$3*(1+$G$4)</f>
      </c>
      <c r="F168" s="7"/>
      <c r="G168" s="5">
        <f>IF(ISBLANK(F168), "", E168*F168)</f>
      </c>
    </row>
    <row r="169" spans="1:7" x14ac:dyDescent="0.25">
      <c r="A169" t="s">
        <v>328</v>
      </c>
      <c r="B169" t="s">
        <v>329</v>
      </c>
      <c r="C169" s="5">
        <v>283995.12</v>
      </c>
      <c r="D169" s="6">
        <f>C169*(1-$G$1)*(1-$G$2)</f>
      </c>
      <c r="E169" s="5">
        <f>D169*$G$3*(1+$G$4)</f>
      </c>
      <c r="F169" s="7"/>
      <c r="G169" s="5">
        <f>IF(ISBLANK(F169), "", E169*F169)</f>
      </c>
    </row>
    <row r="170" spans="1:7" x14ac:dyDescent="0.25">
      <c r="A170" t="s">
        <v>330</v>
      </c>
      <c r="B170" t="s">
        <v>329</v>
      </c>
      <c r="C170" s="5">
        <v>258177.31</v>
      </c>
      <c r="D170" s="6">
        <f>C170*(1-$G$1)*(1-$G$2)</f>
      </c>
      <c r="E170" s="5">
        <f>D170*$G$3*(1+$G$4)</f>
      </c>
      <c r="F170" s="7"/>
      <c r="G170" s="5">
        <f>IF(ISBLANK(F170), "", E170*F170)</f>
      </c>
    </row>
    <row r="171" spans="1:7" x14ac:dyDescent="0.25">
      <c r="A171" t="s">
        <v>331</v>
      </c>
      <c r="B171" t="s">
        <v>332</v>
      </c>
      <c r="C171" s="5">
        <v>178030.49</v>
      </c>
      <c r="D171" s="6">
        <f>C171*(1-$G$1)*(1-$G$2)</f>
      </c>
      <c r="E171" s="5">
        <f>D171*$G$3*(1+$G$4)</f>
      </c>
      <c r="F171" s="7"/>
      <c r="G171" s="5">
        <f>IF(ISBLANK(F171), "", E171*F171)</f>
      </c>
    </row>
    <row r="172" spans="1:7" x14ac:dyDescent="0.25">
      <c r="A172" t="s">
        <v>333</v>
      </c>
      <c r="B172" t="s">
        <v>334</v>
      </c>
      <c r="C172" s="5">
        <v>275649.88</v>
      </c>
      <c r="D172" s="6">
        <f>C172*(1-$G$1)*(1-$G$2)</f>
      </c>
      <c r="E172" s="5">
        <f>D172*$G$3*(1+$G$4)</f>
      </c>
      <c r="F172" s="7"/>
      <c r="G172" s="5">
        <f>IF(ISBLANK(F172), "", E172*F172)</f>
      </c>
    </row>
    <row r="173" spans="1:7" x14ac:dyDescent="0.25">
      <c r="A173" t="s">
        <v>335</v>
      </c>
      <c r="B173" t="s">
        <v>336</v>
      </c>
      <c r="C173" s="5">
        <v>139400.86</v>
      </c>
      <c r="D173" s="6">
        <f>C173*(1-$G$1)*(1-$G$2)</f>
      </c>
      <c r="E173" s="5">
        <f>D173*$G$3*(1+$G$4)</f>
      </c>
      <c r="F173" s="7"/>
      <c r="G173" s="5">
        <f>IF(ISBLANK(F173), "", E173*F173)</f>
      </c>
    </row>
    <row r="174" spans="1:7" x14ac:dyDescent="0.25">
      <c r="A174" t="s">
        <v>337</v>
      </c>
      <c r="B174" t="s">
        <v>338</v>
      </c>
      <c r="C174" s="5">
        <v>380549.07</v>
      </c>
      <c r="D174" s="6">
        <f>C174*(1-$G$1)*(1-$G$2)</f>
      </c>
      <c r="E174" s="5">
        <f>D174*$G$3*(1+$G$4)</f>
      </c>
      <c r="F174" s="7"/>
      <c r="G174" s="5">
        <f>IF(ISBLANK(F174), "", E174*F174)</f>
      </c>
    </row>
    <row r="175" spans="1:7" x14ac:dyDescent="0.25">
      <c r="A175" t="s">
        <v>339</v>
      </c>
      <c r="B175" t="s">
        <v>340</v>
      </c>
      <c r="C175" s="5">
        <v>151357.22</v>
      </c>
      <c r="D175" s="6">
        <f>C175*(1-$G$1)*(1-$G$2)</f>
      </c>
      <c r="E175" s="5">
        <f>D175*$G$3*(1+$G$4)</f>
      </c>
      <c r="F175" s="7"/>
      <c r="G175" s="5">
        <f>IF(ISBLANK(F175), "", E175*F175)</f>
      </c>
    </row>
    <row r="176" spans="1:7" x14ac:dyDescent="0.25">
      <c r="A176" t="s">
        <v>341</v>
      </c>
      <c r="B176" t="s">
        <v>342</v>
      </c>
      <c r="C176" s="5">
        <v>134895.68</v>
      </c>
      <c r="D176" s="6">
        <f>C176*(1-$G$1)*(1-$G$2)</f>
      </c>
      <c r="E176" s="5">
        <f>D176*$G$3*(1+$G$4)</f>
      </c>
      <c r="F176" s="7"/>
      <c r="G176" s="5">
        <f>IF(ISBLANK(F176), "", E176*F176)</f>
      </c>
    </row>
    <row r="177" spans="1:7" x14ac:dyDescent="0.25">
      <c r="A177" t="s">
        <v>343</v>
      </c>
      <c r="B177" t="s">
        <v>344</v>
      </c>
      <c r="C177" s="5">
        <v>87921.81</v>
      </c>
      <c r="D177" s="6">
        <f>C177*(1-$G$1)*(1-$G$2)</f>
      </c>
      <c r="E177" s="5">
        <f>D177*$G$3*(1+$G$4)</f>
      </c>
      <c r="F177" s="7"/>
      <c r="G177" s="5">
        <f>IF(ISBLANK(F177), "", E177*F177)</f>
      </c>
    </row>
    <row r="178" spans="1:7" x14ac:dyDescent="0.25">
      <c r="A178" t="s">
        <v>345</v>
      </c>
      <c r="B178" t="s">
        <v>346</v>
      </c>
      <c r="C178" s="5">
        <v>171867.65</v>
      </c>
      <c r="D178" s="6">
        <f>C178*(1-$G$1)*(1-$G$2)</f>
      </c>
      <c r="E178" s="5">
        <f>D178*$G$3*(1+$G$4)</f>
      </c>
      <c r="F178" s="7"/>
      <c r="G178" s="5">
        <f>IF(ISBLANK(F178), "", E178*F178)</f>
      </c>
    </row>
    <row r="179" spans="1:7" x14ac:dyDescent="0.25">
      <c r="A179" t="s">
        <v>347</v>
      </c>
      <c r="B179" t="s">
        <v>346</v>
      </c>
      <c r="C179" s="5">
        <v>158029.14</v>
      </c>
      <c r="D179" s="6">
        <f>C179*(1-$G$1)*(1-$G$2)</f>
      </c>
      <c r="E179" s="5">
        <f>D179*$G$3*(1+$G$4)</f>
      </c>
      <c r="F179" s="7"/>
      <c r="G179" s="5">
        <f>IF(ISBLANK(F179), "", E179*F179)</f>
      </c>
    </row>
    <row r="180" spans="1:7" x14ac:dyDescent="0.25">
      <c r="A180" t="s">
        <v>348</v>
      </c>
      <c r="B180" t="s">
        <v>349</v>
      </c>
      <c r="C180" s="5">
        <v>266141.9</v>
      </c>
      <c r="D180" s="6">
        <f>C180*(1-$G$1)*(1-$G$2)</f>
      </c>
      <c r="E180" s="5">
        <f>D180*$G$3*(1+$G$4)</f>
      </c>
      <c r="F180" s="7"/>
      <c r="G180" s="5">
        <f>IF(ISBLANK(F180), "", E180*F180)</f>
      </c>
    </row>
    <row r="181" spans="1:7" x14ac:dyDescent="0.25">
      <c r="A181" t="s">
        <v>350</v>
      </c>
      <c r="B181" t="s">
        <v>349</v>
      </c>
      <c r="C181" s="5">
        <v>249494.22</v>
      </c>
      <c r="D181" s="6">
        <f>C181*(1-$G$1)*(1-$G$2)</f>
      </c>
      <c r="E181" s="5">
        <f>D181*$G$3*(1+$G$4)</f>
      </c>
      <c r="F181" s="7"/>
      <c r="G181" s="5">
        <f>IF(ISBLANK(F181), "", E181*F181)</f>
      </c>
    </row>
    <row r="182" spans="1:7" x14ac:dyDescent="0.25">
      <c r="A182" t="s">
        <v>351</v>
      </c>
      <c r="B182" t="s">
        <v>352</v>
      </c>
      <c r="C182" s="5">
        <v>128105.78</v>
      </c>
      <c r="D182" s="6">
        <f>C182*(1-$G$1)*(1-$G$2)</f>
      </c>
      <c r="E182" s="5">
        <f>D182*$G$3*(1+$G$4)</f>
      </c>
      <c r="F182" s="7"/>
      <c r="G182" s="5">
        <f>IF(ISBLANK(F182), "", E182*F182)</f>
      </c>
    </row>
    <row r="183" spans="1:7" x14ac:dyDescent="0.25">
      <c r="A183" t="s">
        <v>353</v>
      </c>
      <c r="B183" t="s">
        <v>354</v>
      </c>
      <c r="C183" s="5">
        <v>116459.7</v>
      </c>
      <c r="D183" s="6">
        <f>C183*(1-$G$1)*(1-$G$2)</f>
      </c>
      <c r="E183" s="5">
        <f>D183*$G$3*(1+$G$4)</f>
      </c>
      <c r="F183" s="7"/>
      <c r="G183" s="5">
        <f>IF(ISBLANK(F183), "", E183*F183)</f>
      </c>
    </row>
    <row r="184" spans="1:7" x14ac:dyDescent="0.25">
      <c r="A184" t="s">
        <v>355</v>
      </c>
      <c r="B184" t="s">
        <v>356</v>
      </c>
      <c r="C184" s="5">
        <v>1705375.95</v>
      </c>
      <c r="D184" s="6">
        <f>C184*(1-$G$1)*(1-$G$2)</f>
      </c>
      <c r="E184" s="5">
        <f>D184*$G$3*(1+$G$4)</f>
      </c>
      <c r="F184" s="7"/>
      <c r="G184" s="5">
        <f>IF(ISBLANK(F184), "", E184*F184)</f>
      </c>
    </row>
    <row r="185" spans="1:7" x14ac:dyDescent="0.25">
      <c r="A185" t="s">
        <v>357</v>
      </c>
      <c r="B185" t="s">
        <v>358</v>
      </c>
      <c r="C185" s="5">
        <v>1875913.59</v>
      </c>
      <c r="D185" s="6">
        <f>C185*(1-$G$1)*(1-$G$2)</f>
      </c>
      <c r="E185" s="5">
        <f>D185*$G$3*(1+$G$4)</f>
      </c>
      <c r="F185" s="7"/>
      <c r="G185" s="5">
        <f>IF(ISBLANK(F185), "", E185*F185)</f>
      </c>
    </row>
    <row r="186" spans="1:7" x14ac:dyDescent="0.25">
      <c r="A186" t="s">
        <v>359</v>
      </c>
      <c r="B186" t="s">
        <v>360</v>
      </c>
      <c r="C186" s="5">
        <v>33292.14</v>
      </c>
      <c r="D186" s="6">
        <f>C186*(1-$G$1)*(1-$G$2)</f>
      </c>
      <c r="E186" s="5">
        <f>D186*$G$3*(1+$G$4)</f>
      </c>
      <c r="F186" s="7"/>
      <c r="G186" s="5">
        <f>IF(ISBLANK(F186), "", E186*F186)</f>
      </c>
    </row>
    <row r="187" spans="1:7" x14ac:dyDescent="0.25">
      <c r="A187" t="s">
        <v>361</v>
      </c>
      <c r="B187" t="s">
        <v>362</v>
      </c>
      <c r="C187" s="5">
        <v>44346.56</v>
      </c>
      <c r="D187" s="6">
        <f>C187*(1-$G$1)*(1-$G$2)</f>
      </c>
      <c r="E187" s="5">
        <f>D187*$G$3*(1+$G$4)</f>
      </c>
      <c r="F187" s="7"/>
      <c r="G187" s="5">
        <f>IF(ISBLANK(F187), "", E187*F187)</f>
      </c>
    </row>
    <row r="188" spans="1:7" x14ac:dyDescent="0.25">
      <c r="A188" t="s">
        <v>363</v>
      </c>
      <c r="B188" t="s">
        <v>364</v>
      </c>
      <c r="C188" s="5">
        <v>83148.11</v>
      </c>
      <c r="D188" s="6">
        <f>C188*(1-$G$1)*(1-$G$2)</f>
      </c>
      <c r="E188" s="5">
        <f>D188*$G$3*(1+$G$4)</f>
      </c>
      <c r="F188" s="7"/>
      <c r="G188" s="5">
        <f>IF(ISBLANK(F188), "", E188*F188)</f>
      </c>
    </row>
    <row r="189" spans="1:7" x14ac:dyDescent="0.25">
      <c r="A189" t="s">
        <v>365</v>
      </c>
      <c r="B189" t="s">
        <v>366</v>
      </c>
      <c r="C189" s="5">
        <v>201378.37</v>
      </c>
      <c r="D189" s="6">
        <f>C189*(1-$G$1)*(1-$G$2)</f>
      </c>
      <c r="E189" s="5">
        <f>D189*$G$3*(1+$G$4)</f>
      </c>
      <c r="F189" s="7"/>
      <c r="G189" s="5">
        <f>IF(ISBLANK(F189), "", E189*F189)</f>
      </c>
    </row>
    <row r="190" spans="1:7" x14ac:dyDescent="0.25">
      <c r="A190" t="s">
        <v>367</v>
      </c>
      <c r="B190" t="s">
        <v>366</v>
      </c>
      <c r="C190" s="5">
        <v>183071.03</v>
      </c>
      <c r="D190" s="6">
        <f>C190*(1-$G$1)*(1-$G$2)</f>
      </c>
      <c r="E190" s="5">
        <f>D190*$G$3*(1+$G$4)</f>
      </c>
      <c r="F190" s="7"/>
      <c r="G190" s="5">
        <f>IF(ISBLANK(F190), "", E190*F190)</f>
      </c>
    </row>
    <row r="191" spans="1:7" x14ac:dyDescent="0.25">
      <c r="A191" t="s">
        <v>368</v>
      </c>
      <c r="B191" t="s">
        <v>369</v>
      </c>
      <c r="C191" s="5">
        <v>369848.02</v>
      </c>
      <c r="D191" s="6">
        <f>C191*(1-$G$1)*(1-$G$2)</f>
      </c>
      <c r="E191" s="5">
        <f>D191*$G$3*(1+$G$4)</f>
      </c>
      <c r="F191" s="7"/>
      <c r="G191" s="5">
        <f>IF(ISBLANK(F191), "", E191*F191)</f>
      </c>
    </row>
    <row r="192" spans="1:7" x14ac:dyDescent="0.25">
      <c r="A192" t="s">
        <v>370</v>
      </c>
      <c r="B192" t="s">
        <v>371</v>
      </c>
      <c r="C192" s="5">
        <v>154437.15</v>
      </c>
      <c r="D192" s="6">
        <f>C192*(1-$G$1)*(1-$G$2)</f>
      </c>
      <c r="E192" s="5">
        <f>D192*$G$3*(1+$G$4)</f>
      </c>
      <c r="F192" s="7"/>
      <c r="G192" s="5">
        <f>IF(ISBLANK(F192), "", E192*F192)</f>
      </c>
    </row>
    <row r="193" spans="1:7" x14ac:dyDescent="0.25">
      <c r="A193" t="s">
        <v>372</v>
      </c>
      <c r="B193" t="s">
        <v>373</v>
      </c>
      <c r="C193" s="5">
        <v>63506.21</v>
      </c>
      <c r="D193" s="6">
        <f>C193*(1-$G$1)*(1-$G$2)</f>
      </c>
      <c r="E193" s="5">
        <f>D193*$G$3*(1+$G$4)</f>
      </c>
      <c r="F193" s="7"/>
      <c r="G193" s="5">
        <f>IF(ISBLANK(F193), "", E193*F193)</f>
      </c>
    </row>
    <row r="194" spans="1:7" x14ac:dyDescent="0.25">
      <c r="A194" t="s">
        <v>374</v>
      </c>
      <c r="B194" t="s">
        <v>375</v>
      </c>
      <c r="C194" s="5">
        <v>259471.02</v>
      </c>
      <c r="D194" s="6">
        <f>C194*(1-$G$1)*(1-$G$2)</f>
      </c>
      <c r="E194" s="5">
        <f>D194*$G$3*(1+$G$4)</f>
      </c>
      <c r="F194" s="7"/>
      <c r="G194" s="5">
        <f>IF(ISBLANK(F194), "", E194*F194)</f>
      </c>
    </row>
    <row r="195" spans="1:7" x14ac:dyDescent="0.25">
      <c r="A195" t="s">
        <v>376</v>
      </c>
      <c r="B195" t="s">
        <v>377</v>
      </c>
      <c r="C195" s="5">
        <v>696827.22</v>
      </c>
      <c r="D195" s="6">
        <f>C195*(1-$G$1)*(1-$G$2)</f>
      </c>
      <c r="E195" s="5">
        <f>D195*$G$3*(1+$G$4)</f>
      </c>
      <c r="F195" s="7"/>
      <c r="G195" s="5">
        <f>IF(ISBLANK(F195), "", E195*F195)</f>
      </c>
    </row>
    <row r="196" spans="1:7" x14ac:dyDescent="0.25">
      <c r="A196" t="s">
        <v>378</v>
      </c>
      <c r="B196" t="s">
        <v>379</v>
      </c>
      <c r="C196" s="5">
        <v>696827.22</v>
      </c>
      <c r="D196" s="6">
        <f>C196*(1-$G$1)*(1-$G$2)</f>
      </c>
      <c r="E196" s="5">
        <f>D196*$G$3*(1+$G$4)</f>
      </c>
      <c r="F196" s="7"/>
      <c r="G196" s="5">
        <f>IF(ISBLANK(F196), "", E196*F196)</f>
      </c>
    </row>
    <row r="197" spans="1:7" x14ac:dyDescent="0.25">
      <c r="A197" t="s">
        <v>380</v>
      </c>
      <c r="B197" t="s">
        <v>381</v>
      </c>
      <c r="C197" s="5">
        <v>191850.42</v>
      </c>
      <c r="D197" s="6">
        <f>C197*(1-$G$1)*(1-$G$2)</f>
      </c>
      <c r="E197" s="5">
        <f>D197*$G$3*(1+$G$4)</f>
      </c>
      <c r="F197" s="7"/>
      <c r="G197" s="5">
        <f>IF(ISBLANK(F197), "", E197*F197)</f>
      </c>
    </row>
    <row r="198" spans="1:7" x14ac:dyDescent="0.25">
      <c r="A198" t="s">
        <v>382</v>
      </c>
      <c r="B198" t="s">
        <v>383</v>
      </c>
      <c r="C198" s="5">
        <v>191850.42</v>
      </c>
      <c r="D198" s="6">
        <f>C198*(1-$G$1)*(1-$G$2)</f>
      </c>
      <c r="E198" s="5">
        <f>D198*$G$3*(1+$G$4)</f>
      </c>
      <c r="F198" s="7"/>
      <c r="G198" s="5">
        <f>IF(ISBLANK(F198), "", E198*F198)</f>
      </c>
    </row>
    <row r="199" spans="1:7" x14ac:dyDescent="0.25">
      <c r="A199" t="s">
        <v>384</v>
      </c>
      <c r="B199" t="s">
        <v>385</v>
      </c>
      <c r="C199" s="5">
        <v>96098.78</v>
      </c>
      <c r="D199" s="6">
        <f>C199*(1-$G$1)*(1-$G$2)</f>
      </c>
      <c r="E199" s="5">
        <f>D199*$G$3*(1+$G$4)</f>
      </c>
      <c r="F199" s="7"/>
      <c r="G199" s="5">
        <f>IF(ISBLANK(F199), "", E199*F199)</f>
      </c>
    </row>
    <row r="200" spans="1:7" x14ac:dyDescent="0.25">
      <c r="A200" t="s">
        <v>386</v>
      </c>
      <c r="B200" t="s">
        <v>387</v>
      </c>
      <c r="C200" s="5">
        <v>62977.45</v>
      </c>
      <c r="D200" s="6">
        <f>C200*(1-$G$1)*(1-$G$2)</f>
      </c>
      <c r="E200" s="5">
        <f>D200*$G$3*(1+$G$4)</f>
      </c>
      <c r="F200" s="7"/>
      <c r="G200" s="5">
        <f>IF(ISBLANK(F200), "", E200*F200)</f>
      </c>
    </row>
    <row r="201" spans="1:7" x14ac:dyDescent="0.25">
      <c r="A201" t="s">
        <v>388</v>
      </c>
      <c r="B201" t="s">
        <v>389</v>
      </c>
      <c r="C201" s="5">
        <v>70996.64</v>
      </c>
      <c r="D201" s="6">
        <f>C201*(1-$G$1)*(1-$G$2)</f>
      </c>
      <c r="E201" s="5">
        <f>D201*$G$3*(1+$G$4)</f>
      </c>
      <c r="F201" s="7"/>
      <c r="G201" s="5">
        <f>IF(ISBLANK(F201), "", E201*F201)</f>
      </c>
    </row>
    <row r="202" spans="1:7" x14ac:dyDescent="0.25">
      <c r="A202" t="s">
        <v>390</v>
      </c>
      <c r="B202" t="s">
        <v>391</v>
      </c>
      <c r="C202" s="5">
        <v>281435.18</v>
      </c>
      <c r="D202" s="6">
        <f>C202*(1-$G$1)*(1-$G$2)</f>
      </c>
      <c r="E202" s="5">
        <f>D202*$G$3*(1+$G$4)</f>
      </c>
      <c r="F202" s="7"/>
      <c r="G202" s="5">
        <f>IF(ISBLANK(F202), "", E202*F202)</f>
      </c>
    </row>
    <row r="203" spans="1:7" x14ac:dyDescent="0.25">
      <c r="A203" t="s">
        <v>392</v>
      </c>
      <c r="B203" t="s">
        <v>393</v>
      </c>
      <c r="C203" s="5">
        <v>951305.35</v>
      </c>
      <c r="D203" s="6">
        <f>C203*(1-$G$1)*(1-$G$2)</f>
      </c>
      <c r="E203" s="5">
        <f>D203*$G$3*(1+$G$4)</f>
      </c>
      <c r="F203" s="7"/>
      <c r="G203" s="5">
        <f>IF(ISBLANK(F203), "", E203*F203)</f>
      </c>
    </row>
    <row r="204" spans="1:7" x14ac:dyDescent="0.25">
      <c r="A204" t="s">
        <v>394</v>
      </c>
      <c r="B204" t="s">
        <v>395</v>
      </c>
      <c r="C204" s="5">
        <v>1189144.82</v>
      </c>
      <c r="D204" s="6">
        <f>C204*(1-$G$1)*(1-$G$2)</f>
      </c>
      <c r="E204" s="5">
        <f>D204*$G$3*(1+$G$4)</f>
      </c>
      <c r="F204" s="7"/>
      <c r="G204" s="5">
        <f>IF(ISBLANK(F204), "", E204*F204)</f>
      </c>
    </row>
    <row r="205" spans="1:7" x14ac:dyDescent="0.25">
      <c r="A205" t="s">
        <v>396</v>
      </c>
      <c r="B205" t="s">
        <v>397</v>
      </c>
      <c r="C205" s="5">
        <v>109246.92</v>
      </c>
      <c r="D205" s="6">
        <f>C205*(1-$G$1)*(1-$G$2)</f>
      </c>
      <c r="E205" s="5">
        <f>D205*$G$3*(1+$G$4)</f>
      </c>
      <c r="F205" s="7"/>
      <c r="G205" s="5">
        <f>IF(ISBLANK(F205), "", E205*F205)</f>
      </c>
    </row>
    <row r="206" spans="1:7" x14ac:dyDescent="0.25">
      <c r="A206" t="s">
        <v>398</v>
      </c>
      <c r="B206" t="s">
        <v>399</v>
      </c>
      <c r="C206" s="5">
        <v>101493.89</v>
      </c>
      <c r="D206" s="6">
        <f>C206*(1-$G$1)*(1-$G$2)</f>
      </c>
      <c r="E206" s="5">
        <f>D206*$G$3*(1+$G$4)</f>
      </c>
      <c r="F206" s="7"/>
      <c r="G206" s="5">
        <f>IF(ISBLANK(F206), "", E206*F206)</f>
      </c>
    </row>
    <row r="207" spans="1:7" x14ac:dyDescent="0.25">
      <c r="A207" t="s">
        <v>400</v>
      </c>
      <c r="B207" t="s">
        <v>401</v>
      </c>
      <c r="C207" s="5">
        <v>275165.62</v>
      </c>
      <c r="D207" s="6">
        <f>C207*(1-$G$1)*(1-$G$2)</f>
      </c>
      <c r="E207" s="5">
        <f>D207*$G$3*(1+$G$4)</f>
      </c>
      <c r="F207" s="7"/>
      <c r="G207" s="5">
        <f>IF(ISBLANK(F207), "", E207*F207)</f>
      </c>
    </row>
    <row r="208" spans="1:7" x14ac:dyDescent="0.25">
      <c r="A208" t="s">
        <v>402</v>
      </c>
      <c r="B208" t="s">
        <v>403</v>
      </c>
      <c r="C208" s="5">
        <v>138782.03</v>
      </c>
      <c r="D208" s="6">
        <f>C208*(1-$G$1)*(1-$G$2)</f>
      </c>
      <c r="E208" s="5">
        <f>D208*$G$3*(1+$G$4)</f>
      </c>
      <c r="F208" s="7"/>
      <c r="G208" s="5">
        <f>IF(ISBLANK(F208), "", E208*F208)</f>
      </c>
    </row>
    <row r="209" spans="1:7" x14ac:dyDescent="0.25">
      <c r="A209" t="s">
        <v>404</v>
      </c>
      <c r="B209" t="s">
        <v>405</v>
      </c>
      <c r="C209" s="5">
        <v>725359.58</v>
      </c>
      <c r="D209" s="6">
        <f>C209*(1-$G$1)*(1-$G$2)</f>
      </c>
      <c r="E209" s="5">
        <f>D209*$G$3*(1+$G$4)</f>
      </c>
      <c r="F209" s="7"/>
      <c r="G209" s="5">
        <f>IF(ISBLANK(F209), "", E209*F209)</f>
      </c>
    </row>
    <row r="210" spans="1:7" x14ac:dyDescent="0.25">
      <c r="A210" t="s">
        <v>406</v>
      </c>
      <c r="B210" t="s">
        <v>407</v>
      </c>
      <c r="C210" s="5">
        <v>110299.65</v>
      </c>
      <c r="D210" s="6">
        <f>C210*(1-$G$1)*(1-$G$2)</f>
      </c>
      <c r="E210" s="5">
        <f>D210*$G$3*(1+$G$4)</f>
      </c>
      <c r="F210" s="7"/>
      <c r="G210" s="5">
        <f>IF(ISBLANK(F210), "", E210*F210)</f>
      </c>
    </row>
    <row r="211" spans="1:7" x14ac:dyDescent="0.25">
      <c r="A211" t="s">
        <v>408</v>
      </c>
      <c r="B211" t="s">
        <v>409</v>
      </c>
      <c r="C211" s="5">
        <v>82035.19</v>
      </c>
      <c r="D211" s="6">
        <f>C211*(1-$G$1)*(1-$G$2)</f>
      </c>
      <c r="E211" s="5">
        <f>D211*$G$3*(1+$G$4)</f>
      </c>
      <c r="F211" s="7"/>
      <c r="G211" s="5">
        <f>IF(ISBLANK(F211), "", E211*F211)</f>
      </c>
    </row>
    <row r="212" spans="1:7" x14ac:dyDescent="0.25">
      <c r="A212" t="s">
        <v>410</v>
      </c>
      <c r="B212" t="s">
        <v>411</v>
      </c>
      <c r="C212" s="5">
        <v>121329.46</v>
      </c>
      <c r="D212" s="6">
        <f>C212*(1-$G$1)*(1-$G$2)</f>
      </c>
      <c r="E212" s="5">
        <f>D212*$G$3*(1+$G$4)</f>
      </c>
      <c r="F212" s="7"/>
      <c r="G212" s="5">
        <f>IF(ISBLANK(F212), "", E212*F212)</f>
      </c>
    </row>
    <row r="213" spans="1:7" x14ac:dyDescent="0.25">
      <c r="A213" t="s">
        <v>412</v>
      </c>
      <c r="B213" t="s">
        <v>413</v>
      </c>
      <c r="C213" s="5">
        <v>182473.89</v>
      </c>
      <c r="D213" s="6">
        <f>C213*(1-$G$1)*(1-$G$2)</f>
      </c>
      <c r="E213" s="5">
        <f>D213*$G$3*(1+$G$4)</f>
      </c>
      <c r="F213" s="7"/>
      <c r="G213" s="5">
        <f>IF(ISBLANK(F213), "", E213*F213)</f>
      </c>
    </row>
    <row r="214" spans="1:7" x14ac:dyDescent="0.25">
      <c r="A214" t="s">
        <v>414</v>
      </c>
      <c r="B214" t="s">
        <v>415</v>
      </c>
      <c r="C214" s="5">
        <v>151666.14</v>
      </c>
      <c r="D214" s="6">
        <f>C214*(1-$G$1)*(1-$G$2)</f>
      </c>
      <c r="E214" s="5">
        <f>D214*$G$3*(1+$G$4)</f>
      </c>
      <c r="F214" s="7"/>
      <c r="G214" s="5">
        <f>IF(ISBLANK(F214), "", E214*F214)</f>
      </c>
    </row>
    <row r="215" spans="1:7" x14ac:dyDescent="0.25">
      <c r="A215" t="s">
        <v>416</v>
      </c>
      <c r="B215" t="s">
        <v>417</v>
      </c>
      <c r="C215" s="5">
        <v>0</v>
      </c>
      <c r="D215" s="6">
        <f>C215*(1-$G$1)*(1-$G$2)</f>
      </c>
      <c r="E215" s="5">
        <f>D215*$G$3*(1+$G$4)</f>
      </c>
      <c r="F215" s="7"/>
      <c r="G215" s="5">
        <f>IF(ISBLANK(F215), "", E215*F215)</f>
      </c>
    </row>
    <row r="216" spans="1:7" x14ac:dyDescent="0.25">
      <c r="A216" t="s">
        <v>418</v>
      </c>
      <c r="B216" t="s">
        <v>419</v>
      </c>
      <c r="C216" s="5">
        <v>0</v>
      </c>
      <c r="D216" s="6">
        <f>C216*(1-$G$1)*(1-$G$2)</f>
      </c>
      <c r="E216" s="5">
        <f>D216*$G$3*(1+$G$4)</f>
      </c>
      <c r="F216" s="7"/>
      <c r="G216" s="5">
        <f>IF(ISBLANK(F216), "", E216*F216)</f>
      </c>
    </row>
    <row r="217" spans="1:7" x14ac:dyDescent="0.25">
      <c r="A217" t="s">
        <v>420</v>
      </c>
      <c r="B217" t="s">
        <v>421</v>
      </c>
      <c r="C217" s="5">
        <v>9082.97</v>
      </c>
      <c r="D217" s="6">
        <f>C217*(1-$G$1)*(1-$G$2)</f>
      </c>
      <c r="E217" s="5">
        <f>D217*$G$3*(1+$G$4)</f>
      </c>
      <c r="F217" s="7"/>
      <c r="G217" s="5">
        <f>IF(ISBLANK(F217), "", E217*F217)</f>
      </c>
    </row>
    <row r="218" spans="1:7" x14ac:dyDescent="0.25">
      <c r="A218" t="s">
        <v>422</v>
      </c>
      <c r="B218" t="s">
        <v>423</v>
      </c>
      <c r="C218" s="5">
        <v>6017.34</v>
      </c>
      <c r="D218" s="6">
        <f>C218*(1-$G$1)*(1-$G$2)</f>
      </c>
      <c r="E218" s="5">
        <f>D218*$G$3*(1+$G$4)</f>
      </c>
      <c r="F218" s="7"/>
      <c r="G218" s="5">
        <f>IF(ISBLANK(F218), "", E218*F218)</f>
      </c>
    </row>
    <row r="219" spans="1:7" x14ac:dyDescent="0.25">
      <c r="A219" t="s">
        <v>424</v>
      </c>
      <c r="B219" t="s">
        <v>425</v>
      </c>
      <c r="C219" s="5">
        <v>0</v>
      </c>
      <c r="D219" s="6">
        <f>C219*(1-$G$1)*(1-$G$2)</f>
      </c>
      <c r="E219" s="5">
        <f>D219*$G$3*(1+$G$4)</f>
      </c>
      <c r="F219" s="7"/>
      <c r="G219" s="5">
        <f>IF(ISBLANK(F219), "", E219*F219)</f>
      </c>
    </row>
    <row r="220" spans="1:7" x14ac:dyDescent="0.25">
      <c r="A220" t="s">
        <v>426</v>
      </c>
      <c r="B220" t="s">
        <v>427</v>
      </c>
      <c r="C220" s="5">
        <v>6293.16</v>
      </c>
      <c r="D220" s="6">
        <f>C220*(1-$G$1)*(1-$G$2)</f>
      </c>
      <c r="E220" s="5">
        <f>D220*$G$3*(1+$G$4)</f>
      </c>
      <c r="F220" s="7"/>
      <c r="G220" s="5">
        <f>IF(ISBLANK(F220), "", E220*F220)</f>
      </c>
    </row>
    <row r="221" spans="1:7" x14ac:dyDescent="0.25">
      <c r="A221" t="s">
        <v>428</v>
      </c>
      <c r="B221" t="s">
        <v>429</v>
      </c>
      <c r="C221" s="5">
        <v>6473.5</v>
      </c>
      <c r="D221" s="6">
        <f>C221*(1-$G$1)*(1-$G$2)</f>
      </c>
      <c r="E221" s="5">
        <f>D221*$G$3*(1+$G$4)</f>
      </c>
      <c r="F221" s="7"/>
      <c r="G221" s="5">
        <f>IF(ISBLANK(F221), "", E221*F221)</f>
      </c>
    </row>
    <row r="222" spans="1:7" x14ac:dyDescent="0.25">
      <c r="A222" t="s">
        <v>430</v>
      </c>
      <c r="B222" t="s">
        <v>431</v>
      </c>
      <c r="C222" s="5">
        <v>6473.5</v>
      </c>
      <c r="D222" s="6">
        <f>C222*(1-$G$1)*(1-$G$2)</f>
      </c>
      <c r="E222" s="5">
        <f>D222*$G$3*(1+$G$4)</f>
      </c>
      <c r="F222" s="7"/>
      <c r="G222" s="5">
        <f>IF(ISBLANK(F222), "", E222*F222)</f>
      </c>
    </row>
    <row r="223" spans="1:7" x14ac:dyDescent="0.25">
      <c r="A223" t="s">
        <v>432</v>
      </c>
      <c r="B223" t="s">
        <v>433</v>
      </c>
      <c r="C223" s="5">
        <v>6914.22</v>
      </c>
      <c r="D223" s="6">
        <f>C223*(1-$G$1)*(1-$G$2)</f>
      </c>
      <c r="E223" s="5">
        <f>D223*$G$3*(1+$G$4)</f>
      </c>
      <c r="F223" s="7"/>
      <c r="G223" s="5">
        <f>IF(ISBLANK(F223), "", E223*F223)</f>
      </c>
    </row>
    <row r="224" spans="1:7" x14ac:dyDescent="0.25">
      <c r="A224" t="s">
        <v>434</v>
      </c>
      <c r="B224" t="s">
        <v>435</v>
      </c>
      <c r="C224" s="5">
        <v>6914.22</v>
      </c>
      <c r="D224" s="6">
        <f>C224*(1-$G$1)*(1-$G$2)</f>
      </c>
      <c r="E224" s="5">
        <f>D224*$G$3*(1+$G$4)</f>
      </c>
      <c r="F224" s="7"/>
      <c r="G224" s="5">
        <f>IF(ISBLANK(F224), "", E224*F224)</f>
      </c>
    </row>
    <row r="225" spans="1:7" x14ac:dyDescent="0.25">
      <c r="A225" t="s">
        <v>436</v>
      </c>
      <c r="B225" t="s">
        <v>437</v>
      </c>
      <c r="C225" s="5">
        <v>7419.74</v>
      </c>
      <c r="D225" s="6">
        <f>C225*(1-$G$1)*(1-$G$2)</f>
      </c>
      <c r="E225" s="5">
        <f>D225*$G$3*(1+$G$4)</f>
      </c>
      <c r="F225" s="7"/>
      <c r="G225" s="5">
        <f>IF(ISBLANK(F225), "", E225*F225)</f>
      </c>
    </row>
    <row r="226" spans="1:7" x14ac:dyDescent="0.25">
      <c r="A226" t="s">
        <v>438</v>
      </c>
      <c r="B226" t="s">
        <v>439</v>
      </c>
      <c r="C226" s="5">
        <v>10650.49</v>
      </c>
      <c r="D226" s="6">
        <f>C226*(1-$G$1)*(1-$G$2)</f>
      </c>
      <c r="E226" s="5">
        <f>D226*$G$3*(1+$G$4)</f>
      </c>
      <c r="F226" s="7"/>
      <c r="G226" s="5">
        <f>IF(ISBLANK(F226), "", E226*F226)</f>
      </c>
    </row>
    <row r="227" spans="1:7" x14ac:dyDescent="0.25">
      <c r="A227" t="s">
        <v>440</v>
      </c>
      <c r="B227" t="s">
        <v>441</v>
      </c>
      <c r="C227" s="5">
        <v>11319.06</v>
      </c>
      <c r="D227" s="6">
        <f>C227*(1-$G$1)*(1-$G$2)</f>
      </c>
      <c r="E227" s="5">
        <f>D227*$G$3*(1+$G$4)</f>
      </c>
      <c r="F227" s="7"/>
      <c r="G227" s="5">
        <f>IF(ISBLANK(F227), "", E227*F227)</f>
      </c>
    </row>
    <row r="228" spans="1:7" x14ac:dyDescent="0.25">
      <c r="A228" t="s">
        <v>442</v>
      </c>
      <c r="B228" t="s">
        <v>443</v>
      </c>
      <c r="C228" s="5">
        <v>12215.94</v>
      </c>
      <c r="D228" s="6">
        <f>C228*(1-$G$1)*(1-$G$2)</f>
      </c>
      <c r="E228" s="5">
        <f>D228*$G$3*(1+$G$4)</f>
      </c>
      <c r="F228" s="7"/>
      <c r="G228" s="5">
        <f>IF(ISBLANK(F228), "", E228*F228)</f>
      </c>
    </row>
    <row r="229" spans="1:7" x14ac:dyDescent="0.25">
      <c r="A229" t="s">
        <v>444</v>
      </c>
      <c r="B229" t="s">
        <v>445</v>
      </c>
      <c r="C229" s="5">
        <v>12670.95</v>
      </c>
      <c r="D229" s="6">
        <f>C229*(1-$G$1)*(1-$G$2)</f>
      </c>
      <c r="E229" s="5">
        <f>D229*$G$3*(1+$G$4)</f>
      </c>
      <c r="F229" s="7"/>
      <c r="G229" s="5">
        <f>IF(ISBLANK(F229), "", E229*F229)</f>
      </c>
    </row>
    <row r="230" spans="1:7" x14ac:dyDescent="0.25">
      <c r="A230" t="s">
        <v>446</v>
      </c>
      <c r="B230" t="s">
        <v>447</v>
      </c>
      <c r="C230" s="5">
        <v>13868.33</v>
      </c>
      <c r="D230" s="6">
        <f>C230*(1-$G$1)*(1-$G$2)</f>
      </c>
      <c r="E230" s="5">
        <f>D230*$G$3*(1+$G$4)</f>
      </c>
      <c r="F230" s="7"/>
      <c r="G230" s="5">
        <f>IF(ISBLANK(F230), "", E230*F230)</f>
      </c>
    </row>
    <row r="231" spans="1:7" x14ac:dyDescent="0.25">
      <c r="A231" t="s">
        <v>448</v>
      </c>
      <c r="B231" t="s">
        <v>449</v>
      </c>
      <c r="C231" s="5">
        <v>7179.43</v>
      </c>
      <c r="D231" s="6">
        <f>C231*(1-$G$1)*(1-$G$2)</f>
      </c>
      <c r="E231" s="5">
        <f>D231*$G$3*(1+$G$4)</f>
      </c>
      <c r="F231" s="7"/>
      <c r="G231" s="5">
        <f>IF(ISBLANK(F231), "", E231*F231)</f>
      </c>
    </row>
    <row r="232" spans="1:7" x14ac:dyDescent="0.25">
      <c r="A232" t="s">
        <v>450</v>
      </c>
      <c r="B232" t="s">
        <v>451</v>
      </c>
      <c r="C232" s="5">
        <v>9082.97</v>
      </c>
      <c r="D232" s="6">
        <f>C232*(1-$G$1)*(1-$G$2)</f>
      </c>
      <c r="E232" s="5">
        <f>D232*$G$3*(1+$G$4)</f>
      </c>
      <c r="F232" s="7"/>
      <c r="G232" s="5">
        <f>IF(ISBLANK(F232), "", E232*F232)</f>
      </c>
    </row>
    <row r="233" spans="1:7" x14ac:dyDescent="0.25">
      <c r="A233" t="s">
        <v>452</v>
      </c>
      <c r="B233" t="s">
        <v>453</v>
      </c>
      <c r="C233" s="5">
        <v>7885.36</v>
      </c>
      <c r="D233" s="6">
        <f>C233*(1-$G$1)*(1-$G$2)</f>
      </c>
      <c r="E233" s="5">
        <f>D233*$G$3*(1+$G$4)</f>
      </c>
      <c r="F233" s="7"/>
      <c r="G233" s="5">
        <f>IF(ISBLANK(F233), "", E233*F233)</f>
      </c>
    </row>
    <row r="234" spans="1:7" x14ac:dyDescent="0.25">
      <c r="A234" t="s">
        <v>454</v>
      </c>
      <c r="B234" t="s">
        <v>455</v>
      </c>
      <c r="C234" s="5">
        <v>8235.21</v>
      </c>
      <c r="D234" s="6">
        <f>C234*(1-$G$1)*(1-$G$2)</f>
      </c>
      <c r="E234" s="5">
        <f>D234*$G$3*(1+$G$4)</f>
      </c>
      <c r="F234" s="7"/>
      <c r="G234" s="5">
        <f>IF(ISBLANK(F234), "", E234*F234)</f>
      </c>
    </row>
    <row r="235" spans="1:7" x14ac:dyDescent="0.25">
      <c r="A235" t="s">
        <v>456</v>
      </c>
      <c r="B235" t="s">
        <v>457</v>
      </c>
      <c r="C235" s="5">
        <v>8944.14</v>
      </c>
      <c r="D235" s="6">
        <f>C235*(1-$G$1)*(1-$G$2)</f>
      </c>
      <c r="E235" s="5">
        <f>D235*$G$3*(1+$G$4)</f>
      </c>
      <c r="F235" s="7"/>
      <c r="G235" s="5">
        <f>IF(ISBLANK(F235), "", E235*F235)</f>
      </c>
    </row>
    <row r="236" spans="1:7" x14ac:dyDescent="0.25">
      <c r="A236" t="s">
        <v>458</v>
      </c>
      <c r="B236" t="s">
        <v>459</v>
      </c>
      <c r="C236" s="5">
        <v>77752.3</v>
      </c>
      <c r="D236" s="6">
        <f>C236*(1-$G$1)*(1-$G$2)</f>
      </c>
      <c r="E236" s="5">
        <f>D236*$G$3*(1+$G$4)</f>
      </c>
      <c r="F236" s="7"/>
      <c r="G236" s="5">
        <f>IF(ISBLANK(F236), "", E236*F236)</f>
      </c>
    </row>
    <row r="237" spans="1:7" x14ac:dyDescent="0.25">
      <c r="A237" t="s">
        <v>460</v>
      </c>
      <c r="B237" t="s">
        <v>461</v>
      </c>
      <c r="C237" s="5">
        <v>176437.99</v>
      </c>
      <c r="D237" s="6">
        <f>C237*(1-$G$1)*(1-$G$2)</f>
      </c>
      <c r="E237" s="5">
        <f>D237*$G$3*(1+$G$4)</f>
      </c>
      <c r="F237" s="7"/>
      <c r="G237" s="5">
        <f>IF(ISBLANK(F237), "", E237*F237)</f>
      </c>
    </row>
    <row r="238" spans="1:7" x14ac:dyDescent="0.25">
      <c r="A238" t="s">
        <v>462</v>
      </c>
      <c r="B238" t="s">
        <v>463</v>
      </c>
      <c r="C238" s="5">
        <v>22367.51</v>
      </c>
      <c r="D238" s="6">
        <f>C238*(1-$G$1)*(1-$G$2)</f>
      </c>
      <c r="E238" s="5">
        <f>D238*$G$3*(1+$G$4)</f>
      </c>
      <c r="F238" s="7"/>
      <c r="G238" s="5">
        <f>IF(ISBLANK(F238), "", E238*F238)</f>
      </c>
    </row>
    <row r="239" spans="1:7" x14ac:dyDescent="0.25">
      <c r="A239" t="s">
        <v>464</v>
      </c>
      <c r="B239" t="s">
        <v>465</v>
      </c>
      <c r="C239" s="5">
        <v>16708.72</v>
      </c>
      <c r="D239" s="6">
        <f>C239*(1-$G$1)*(1-$G$2)</f>
      </c>
      <c r="E239" s="5">
        <f>D239*$G$3*(1+$G$4)</f>
      </c>
      <c r="F239" s="7"/>
      <c r="G239" s="5">
        <f>IF(ISBLANK(F239), "", E239*F239)</f>
      </c>
    </row>
    <row r="240" spans="1:7" x14ac:dyDescent="0.25">
      <c r="A240" t="s">
        <v>466</v>
      </c>
      <c r="B240" t="s">
        <v>467</v>
      </c>
      <c r="C240" s="5">
        <v>27632.31</v>
      </c>
      <c r="D240" s="6">
        <f>C240*(1-$G$1)*(1-$G$2)</f>
      </c>
      <c r="E240" s="5">
        <f>D240*$G$3*(1+$G$4)</f>
      </c>
      <c r="F240" s="7"/>
      <c r="G240" s="5">
        <f>IF(ISBLANK(F240), "", E240*F240)</f>
      </c>
    </row>
    <row r="241" spans="1:7" x14ac:dyDescent="0.25">
      <c r="A241" t="s">
        <v>468</v>
      </c>
      <c r="B241" t="s">
        <v>469</v>
      </c>
      <c r="C241" s="5">
        <v>110156.65</v>
      </c>
      <c r="D241" s="6">
        <f>C241*(1-$G$1)*(1-$G$2)</f>
      </c>
      <c r="E241" s="5">
        <f>D241*$G$3*(1+$G$4)</f>
      </c>
      <c r="F241" s="7"/>
      <c r="G241" s="5">
        <f>IF(ISBLANK(F241), "", E241*F241)</f>
      </c>
    </row>
    <row r="242" spans="1:7" x14ac:dyDescent="0.25">
      <c r="A242" t="s">
        <v>470</v>
      </c>
      <c r="B242" t="s">
        <v>471</v>
      </c>
      <c r="C242" s="5">
        <v>27150.56</v>
      </c>
      <c r="D242" s="6">
        <f>C242*(1-$G$1)*(1-$G$2)</f>
      </c>
      <c r="E242" s="5">
        <f>D242*$G$3*(1+$G$4)</f>
      </c>
      <c r="F242" s="7"/>
      <c r="G242" s="5">
        <f>IF(ISBLANK(F242), "", E242*F242)</f>
      </c>
    </row>
    <row r="243" spans="1:7" x14ac:dyDescent="0.25">
      <c r="A243" t="s">
        <v>472</v>
      </c>
      <c r="B243" t="s">
        <v>473</v>
      </c>
      <c r="C243" s="5">
        <v>56179.2</v>
      </c>
      <c r="D243" s="6">
        <f>C243*(1-$G$1)*(1-$G$2)</f>
      </c>
      <c r="E243" s="5">
        <f>D243*$G$3*(1+$G$4)</f>
      </c>
      <c r="F243" s="7"/>
      <c r="G243" s="5">
        <f>IF(ISBLANK(F243), "", E243*F243)</f>
      </c>
    </row>
    <row r="244" spans="1:7" x14ac:dyDescent="0.25">
      <c r="A244" t="s">
        <v>474</v>
      </c>
      <c r="B244" t="s">
        <v>473</v>
      </c>
      <c r="C244" s="5">
        <v>61797.12</v>
      </c>
      <c r="D244" s="6">
        <f>C244*(1-$G$1)*(1-$G$2)</f>
      </c>
      <c r="E244" s="5">
        <f>D244*$G$3*(1+$G$4)</f>
      </c>
      <c r="F244" s="7"/>
      <c r="G244" s="5">
        <f>IF(ISBLANK(F244), "", E244*F244)</f>
      </c>
    </row>
    <row r="245" spans="1:7" x14ac:dyDescent="0.25">
      <c r="A245" t="s">
        <v>475</v>
      </c>
      <c r="B245" t="s">
        <v>476</v>
      </c>
      <c r="C245" s="5">
        <v>175475.63</v>
      </c>
      <c r="D245" s="6">
        <f>C245*(1-$G$1)*(1-$G$2)</f>
      </c>
      <c r="E245" s="5">
        <f>D245*$G$3*(1+$G$4)</f>
      </c>
      <c r="F245" s="7"/>
      <c r="G245" s="5">
        <f>IF(ISBLANK(F245), "", E245*F245)</f>
      </c>
    </row>
    <row r="246" spans="1:7" x14ac:dyDescent="0.25">
      <c r="A246" t="s">
        <v>477</v>
      </c>
      <c r="B246" t="s">
        <v>478</v>
      </c>
      <c r="C246" s="5">
        <v>33721.84</v>
      </c>
      <c r="D246" s="6">
        <f>C246*(1-$G$1)*(1-$G$2)</f>
      </c>
      <c r="E246" s="5">
        <f>D246*$G$3*(1+$G$4)</f>
      </c>
      <c r="F246" s="7"/>
      <c r="G246" s="5">
        <f>IF(ISBLANK(F246), "", E246*F246)</f>
      </c>
    </row>
    <row r="247" spans="1:7" x14ac:dyDescent="0.25">
      <c r="A247" t="s">
        <v>479</v>
      </c>
      <c r="B247" t="s">
        <v>478</v>
      </c>
      <c r="C247" s="5">
        <v>37093.94</v>
      </c>
      <c r="D247" s="6">
        <f>C247*(1-$G$1)*(1-$G$2)</f>
      </c>
      <c r="E247" s="5">
        <f>D247*$G$3*(1+$G$4)</f>
      </c>
      <c r="F247" s="7"/>
      <c r="G247" s="5">
        <f>IF(ISBLANK(F247), "", E247*F247)</f>
      </c>
    </row>
    <row r="248" spans="1:7" x14ac:dyDescent="0.25">
      <c r="A248" t="s">
        <v>480</v>
      </c>
      <c r="B248" t="s">
        <v>481</v>
      </c>
      <c r="C248" s="5">
        <v>31305.98</v>
      </c>
      <c r="D248" s="6">
        <f>C248*(1-$G$1)*(1-$G$2)</f>
      </c>
      <c r="E248" s="5">
        <f>D248*$G$3*(1+$G$4)</f>
      </c>
      <c r="F248" s="7"/>
      <c r="G248" s="5">
        <f>IF(ISBLANK(F248), "", E248*F248)</f>
      </c>
    </row>
    <row r="249" spans="1:7" x14ac:dyDescent="0.25">
      <c r="A249" t="s">
        <v>482</v>
      </c>
      <c r="B249" t="s">
        <v>483</v>
      </c>
      <c r="C249" s="5">
        <v>18622.18</v>
      </c>
      <c r="D249" s="6">
        <f>C249*(1-$G$1)*(1-$G$2)</f>
      </c>
      <c r="E249" s="5">
        <f>D249*$G$3*(1+$G$4)</f>
      </c>
      <c r="F249" s="7"/>
      <c r="G249" s="5">
        <f>IF(ISBLANK(F249), "", E249*F249)</f>
      </c>
    </row>
    <row r="250" spans="1:7" x14ac:dyDescent="0.25">
      <c r="A250" t="s">
        <v>484</v>
      </c>
      <c r="B250" t="s">
        <v>485</v>
      </c>
      <c r="C250" s="5">
        <v>10129.77</v>
      </c>
      <c r="D250" s="6">
        <f>C250*(1-$G$1)*(1-$G$2)</f>
      </c>
      <c r="E250" s="5">
        <f>D250*$G$3*(1+$G$4)</f>
      </c>
      <c r="F250" s="7"/>
      <c r="G250" s="5">
        <f>IF(ISBLANK(F250), "", E250*F250)</f>
      </c>
    </row>
    <row r="251" spans="1:7" x14ac:dyDescent="0.25">
      <c r="A251" t="s">
        <v>486</v>
      </c>
      <c r="B251" t="s">
        <v>487</v>
      </c>
      <c r="C251" s="5">
        <v>12447.38</v>
      </c>
      <c r="D251" s="6">
        <f>C251*(1-$G$1)*(1-$G$2)</f>
      </c>
      <c r="E251" s="5">
        <f>D251*$G$3*(1+$G$4)</f>
      </c>
      <c r="F251" s="7"/>
      <c r="G251" s="5">
        <f>IF(ISBLANK(F251), "", E251*F251)</f>
      </c>
    </row>
    <row r="252" spans="1:7" x14ac:dyDescent="0.25">
      <c r="A252" t="s">
        <v>488</v>
      </c>
      <c r="B252" t="s">
        <v>489</v>
      </c>
      <c r="C252" s="5">
        <v>47265.13</v>
      </c>
      <c r="D252" s="6">
        <f>C252*(1-$G$1)*(1-$G$2)</f>
      </c>
      <c r="E252" s="5">
        <f>D252*$G$3*(1+$G$4)</f>
      </c>
      <c r="F252" s="7"/>
      <c r="G252" s="5">
        <f>IF(ISBLANK(F252), "", E252*F252)</f>
      </c>
    </row>
    <row r="253" spans="1:7" x14ac:dyDescent="0.25">
      <c r="A253" t="s">
        <v>490</v>
      </c>
      <c r="B253" t="s">
        <v>491</v>
      </c>
      <c r="C253" s="5">
        <v>56361.4</v>
      </c>
      <c r="D253" s="6">
        <f>C253*(1-$G$1)*(1-$G$2)</f>
      </c>
      <c r="E253" s="5">
        <f>D253*$G$3*(1+$G$4)</f>
      </c>
      <c r="F253" s="7"/>
      <c r="G253" s="5">
        <f>IF(ISBLANK(F253), "", E253*F253)</f>
      </c>
    </row>
    <row r="254" spans="1:7" x14ac:dyDescent="0.25">
      <c r="A254" t="s">
        <v>492</v>
      </c>
      <c r="B254" t="s">
        <v>493</v>
      </c>
      <c r="C254" s="5">
        <v>219747.61</v>
      </c>
      <c r="D254" s="6">
        <f>C254*(1-$G$1)*(1-$G$2)</f>
      </c>
      <c r="E254" s="5">
        <f>D254*$G$3*(1+$G$4)</f>
      </c>
      <c r="F254" s="7"/>
      <c r="G254" s="5">
        <f>IF(ISBLANK(F254), "", E254*F254)</f>
      </c>
    </row>
    <row r="255" spans="1:7" x14ac:dyDescent="0.25">
      <c r="A255" t="s">
        <v>494</v>
      </c>
      <c r="B255" t="s">
        <v>495</v>
      </c>
      <c r="C255" s="5">
        <v>217143.84</v>
      </c>
      <c r="D255" s="6">
        <f>C255*(1-$G$1)*(1-$G$2)</f>
      </c>
      <c r="E255" s="5">
        <f>D255*$G$3*(1+$G$4)</f>
      </c>
      <c r="F255" s="7"/>
      <c r="G255" s="5">
        <f>IF(ISBLANK(F255), "", E255*F255)</f>
      </c>
    </row>
    <row r="256" spans="1:7" x14ac:dyDescent="0.25">
      <c r="A256" t="s">
        <v>496</v>
      </c>
      <c r="B256" t="s">
        <v>497</v>
      </c>
      <c r="C256" s="5">
        <v>112003.54</v>
      </c>
      <c r="D256" s="6">
        <f>C256*(1-$G$1)*(1-$G$2)</f>
      </c>
      <c r="E256" s="5">
        <f>D256*$G$3*(1+$G$4)</f>
      </c>
      <c r="F256" s="7"/>
      <c r="G256" s="5">
        <f>IF(ISBLANK(F256), "", E256*F256)</f>
      </c>
    </row>
    <row r="257" spans="1:7" x14ac:dyDescent="0.25">
      <c r="A257" t="s">
        <v>498</v>
      </c>
      <c r="B257" t="s">
        <v>499</v>
      </c>
      <c r="C257" s="5">
        <v>38240.6</v>
      </c>
      <c r="D257" s="6">
        <f>C257*(1-$G$1)*(1-$G$2)</f>
      </c>
      <c r="E257" s="5">
        <f>D257*$G$3*(1+$G$4)</f>
      </c>
      <c r="F257" s="7"/>
      <c r="G257" s="5">
        <f>IF(ISBLANK(F257), "", E257*F257)</f>
      </c>
    </row>
    <row r="258" spans="1:7" x14ac:dyDescent="0.25">
      <c r="A258" t="s">
        <v>500</v>
      </c>
      <c r="B258" t="s">
        <v>501</v>
      </c>
      <c r="C258" s="5">
        <v>180799.17</v>
      </c>
      <c r="D258" s="6">
        <f>C258*(1-$G$1)*(1-$G$2)</f>
      </c>
      <c r="E258" s="5">
        <f>D258*$G$3*(1+$G$4)</f>
      </c>
      <c r="F258" s="7"/>
      <c r="G258" s="5">
        <f>IF(ISBLANK(F258), "", E258*F258)</f>
      </c>
    </row>
    <row r="259" spans="1:7" x14ac:dyDescent="0.25">
      <c r="A259" t="s">
        <v>502</v>
      </c>
      <c r="B259" t="s">
        <v>503</v>
      </c>
      <c r="C259" s="5">
        <v>96259.52</v>
      </c>
      <c r="D259" s="6">
        <f>C259*(1-$G$1)*(1-$G$2)</f>
      </c>
      <c r="E259" s="5">
        <f>D259*$G$3*(1+$G$4)</f>
      </c>
      <c r="F259" s="7"/>
      <c r="G259" s="5">
        <f>IF(ISBLANK(F259), "", E259*F259)</f>
      </c>
    </row>
    <row r="260" spans="1:7" x14ac:dyDescent="0.25">
      <c r="A260" t="s">
        <v>504</v>
      </c>
      <c r="B260" t="s">
        <v>505</v>
      </c>
      <c r="C260" s="5">
        <v>1342476.49</v>
      </c>
      <c r="D260" s="6">
        <f>C260*(1-$G$1)*(1-$G$2)</f>
      </c>
      <c r="E260" s="5">
        <f>D260*$G$3*(1+$G$4)</f>
      </c>
      <c r="F260" s="7"/>
      <c r="G260" s="5">
        <f>IF(ISBLANK(F260), "", E260*F260)</f>
      </c>
    </row>
    <row r="261" spans="1:7" x14ac:dyDescent="0.25">
      <c r="A261" t="s">
        <v>506</v>
      </c>
      <c r="B261" t="s">
        <v>507</v>
      </c>
      <c r="C261" s="5">
        <v>864421.36</v>
      </c>
      <c r="D261" s="6">
        <f>C261*(1-$G$1)*(1-$G$2)</f>
      </c>
      <c r="E261" s="5">
        <f>D261*$G$3*(1+$G$4)</f>
      </c>
      <c r="F261" s="7"/>
      <c r="G261" s="5">
        <f>IF(ISBLANK(F261), "", E261*F261)</f>
      </c>
    </row>
    <row r="262" spans="1:7" x14ac:dyDescent="0.25">
      <c r="A262" t="s">
        <v>508</v>
      </c>
      <c r="B262" t="s">
        <v>509</v>
      </c>
      <c r="C262" s="5">
        <v>1293482.84</v>
      </c>
      <c r="D262" s="6">
        <f>C262*(1-$G$1)*(1-$G$2)</f>
      </c>
      <c r="E262" s="5">
        <f>D262*$G$3*(1+$G$4)</f>
      </c>
      <c r="F262" s="7"/>
      <c r="G262" s="5">
        <f>IF(ISBLANK(F262), "", E262*F262)</f>
      </c>
    </row>
    <row r="263" spans="1:7" x14ac:dyDescent="0.25">
      <c r="A263" t="s">
        <v>510</v>
      </c>
      <c r="B263" t="s">
        <v>511</v>
      </c>
      <c r="C263" s="5">
        <v>864421.36</v>
      </c>
      <c r="D263" s="6">
        <f>C263*(1-$G$1)*(1-$G$2)</f>
      </c>
      <c r="E263" s="5">
        <f>D263*$G$3*(1+$G$4)</f>
      </c>
      <c r="F263" s="7"/>
      <c r="G263" s="5">
        <f>IF(ISBLANK(F263), "", E263*F263)</f>
      </c>
    </row>
    <row r="264" spans="1:7" x14ac:dyDescent="0.25">
      <c r="A264" t="s">
        <v>512</v>
      </c>
      <c r="B264" t="s">
        <v>513</v>
      </c>
      <c r="C264" s="5">
        <v>514391.17</v>
      </c>
      <c r="D264" s="6">
        <f>C264*(1-$G$1)*(1-$G$2)</f>
      </c>
      <c r="E264" s="5">
        <f>D264*$G$3*(1+$G$4)</f>
      </c>
      <c r="F264" s="7"/>
      <c r="G264" s="5">
        <f>IF(ISBLANK(F264), "", E264*F264)</f>
      </c>
    </row>
    <row r="265" spans="1:7" x14ac:dyDescent="0.25">
      <c r="A265" t="s">
        <v>514</v>
      </c>
      <c r="B265" t="s">
        <v>515</v>
      </c>
      <c r="C265" s="5">
        <v>60417.71</v>
      </c>
      <c r="D265" s="6">
        <f>C265*(1-$G$1)*(1-$G$2)</f>
      </c>
      <c r="E265" s="5">
        <f>D265*$G$3*(1+$G$4)</f>
      </c>
      <c r="F265" s="7"/>
      <c r="G265" s="5">
        <f>IF(ISBLANK(F265), "", E265*F265)</f>
      </c>
    </row>
    <row r="266" spans="1:7" x14ac:dyDescent="0.25">
      <c r="A266" t="s">
        <v>516</v>
      </c>
      <c r="B266" t="s">
        <v>517</v>
      </c>
      <c r="C266" s="5">
        <v>63407.82</v>
      </c>
      <c r="D266" s="6">
        <f>C266*(1-$G$1)*(1-$G$2)</f>
      </c>
      <c r="E266" s="5">
        <f>D266*$G$3*(1+$G$4)</f>
      </c>
      <c r="F266" s="7"/>
      <c r="G266" s="5">
        <f>IF(ISBLANK(F266), "", E266*F266)</f>
      </c>
    </row>
    <row r="267" spans="1:7" x14ac:dyDescent="0.25">
      <c r="A267" t="s">
        <v>518</v>
      </c>
      <c r="B267" t="s">
        <v>519</v>
      </c>
      <c r="C267" s="5">
        <v>100303.72</v>
      </c>
      <c r="D267" s="6">
        <f>C267*(1-$G$1)*(1-$G$2)</f>
      </c>
      <c r="E267" s="5">
        <f>D267*$G$3*(1+$G$4)</f>
      </c>
      <c r="F267" s="7"/>
      <c r="G267" s="5">
        <f>IF(ISBLANK(F267), "", E267*F267)</f>
      </c>
    </row>
    <row r="268" spans="1:7" x14ac:dyDescent="0.25">
      <c r="A268" t="s">
        <v>520</v>
      </c>
      <c r="B268" t="s">
        <v>521</v>
      </c>
      <c r="C268" s="5">
        <v>537792.11</v>
      </c>
      <c r="D268" s="6">
        <f>C268*(1-$G$1)*(1-$G$2)</f>
      </c>
      <c r="E268" s="5">
        <f>D268*$G$3*(1+$G$4)</f>
      </c>
      <c r="F268" s="7"/>
      <c r="G268" s="5">
        <f>IF(ISBLANK(F268), "", E268*F268)</f>
      </c>
    </row>
    <row r="269" spans="1:7" x14ac:dyDescent="0.25">
      <c r="A269" t="s">
        <v>522</v>
      </c>
      <c r="B269" t="s">
        <v>523</v>
      </c>
      <c r="C269" s="5">
        <v>190665.03</v>
      </c>
      <c r="D269" s="6">
        <f>C269*(1-$G$1)*(1-$G$2)</f>
      </c>
      <c r="E269" s="5">
        <f>D269*$G$3*(1+$G$4)</f>
      </c>
      <c r="F269" s="7"/>
      <c r="G269" s="5">
        <f>IF(ISBLANK(F269), "", E269*F269)</f>
      </c>
    </row>
    <row r="270" spans="1:7" x14ac:dyDescent="0.25">
      <c r="A270" t="s">
        <v>524</v>
      </c>
      <c r="B270" t="s">
        <v>525</v>
      </c>
      <c r="C270" s="5">
        <v>43373.08</v>
      </c>
      <c r="D270" s="6">
        <f>C270*(1-$G$1)*(1-$G$2)</f>
      </c>
      <c r="E270" s="5">
        <f>D270*$G$3*(1+$G$4)</f>
      </c>
      <c r="F270" s="7"/>
      <c r="G270" s="5">
        <f>IF(ISBLANK(F270), "", E270*F270)</f>
      </c>
    </row>
    <row r="271" spans="1:7" x14ac:dyDescent="0.25">
      <c r="A271" t="s">
        <v>526</v>
      </c>
      <c r="B271" t="s">
        <v>527</v>
      </c>
      <c r="C271" s="5">
        <v>76036.3</v>
      </c>
      <c r="D271" s="6">
        <f>C271*(1-$G$1)*(1-$G$2)</f>
      </c>
      <c r="E271" s="5">
        <f>D271*$G$3*(1+$G$4)</f>
      </c>
      <c r="F271" s="7"/>
      <c r="G271" s="5">
        <f>IF(ISBLANK(F271), "", E271*F271)</f>
      </c>
    </row>
    <row r="272" spans="1:7" x14ac:dyDescent="0.25">
      <c r="A272" t="s">
        <v>528</v>
      </c>
      <c r="B272" t="s">
        <v>529</v>
      </c>
      <c r="C272" s="5">
        <v>65681.53</v>
      </c>
      <c r="D272" s="6">
        <f>C272*(1-$G$1)*(1-$G$2)</f>
      </c>
      <c r="E272" s="5">
        <f>D272*$G$3*(1+$G$4)</f>
      </c>
      <c r="F272" s="7"/>
      <c r="G272" s="5">
        <f>IF(ISBLANK(F272), "", E272*F272)</f>
      </c>
    </row>
    <row r="273" spans="1:7" x14ac:dyDescent="0.25">
      <c r="A273" t="s">
        <v>530</v>
      </c>
      <c r="B273" t="s">
        <v>531</v>
      </c>
      <c r="C273" s="5">
        <v>153196.58</v>
      </c>
      <c r="D273" s="6">
        <f>C273*(1-$G$1)*(1-$G$2)</f>
      </c>
      <c r="E273" s="5">
        <f>D273*$G$3*(1+$G$4)</f>
      </c>
      <c r="F273" s="7"/>
      <c r="G273" s="5">
        <f>IF(ISBLANK(F273), "", E273*F273)</f>
      </c>
    </row>
    <row r="274" spans="1:7" x14ac:dyDescent="0.25">
      <c r="A274" t="s">
        <v>532</v>
      </c>
      <c r="B274" t="s">
        <v>533</v>
      </c>
      <c r="C274" s="5">
        <v>133304.21</v>
      </c>
      <c r="D274" s="6">
        <f>C274*(1-$G$1)*(1-$G$2)</f>
      </c>
      <c r="E274" s="5">
        <f>D274*$G$3*(1+$G$4)</f>
      </c>
      <c r="F274" s="7"/>
      <c r="G274" s="5">
        <f>IF(ISBLANK(F274), "", E274*F274)</f>
      </c>
    </row>
    <row r="275" spans="1:7" x14ac:dyDescent="0.25">
      <c r="A275" t="s">
        <v>534</v>
      </c>
      <c r="B275" t="s">
        <v>535</v>
      </c>
      <c r="C275" s="5">
        <v>59830.17</v>
      </c>
      <c r="D275" s="6">
        <f>C275*(1-$G$1)*(1-$G$2)</f>
      </c>
      <c r="E275" s="5">
        <f>D275*$G$3*(1+$G$4)</f>
      </c>
      <c r="F275" s="7"/>
      <c r="G275" s="5">
        <f>IF(ISBLANK(F275), "", E275*F275)</f>
      </c>
    </row>
    <row r="276" spans="1:7" x14ac:dyDescent="0.25">
      <c r="A276" t="s">
        <v>536</v>
      </c>
      <c r="B276" t="s">
        <v>537</v>
      </c>
      <c r="C276" s="5">
        <v>51138.82</v>
      </c>
      <c r="D276" s="6">
        <f>C276*(1-$G$1)*(1-$G$2)</f>
      </c>
      <c r="E276" s="5">
        <f>D276*$G$3*(1+$G$4)</f>
      </c>
      <c r="F276" s="7"/>
      <c r="G276" s="5">
        <f>IF(ISBLANK(F276), "", E276*F276)</f>
      </c>
    </row>
    <row r="277" spans="1:7" x14ac:dyDescent="0.25">
      <c r="A277" t="s">
        <v>538</v>
      </c>
      <c r="B277" t="s">
        <v>539</v>
      </c>
      <c r="C277" s="5">
        <v>175857.87</v>
      </c>
      <c r="D277" s="6">
        <f>C277*(1-$G$1)*(1-$G$2)</f>
      </c>
      <c r="E277" s="5">
        <f>D277*$G$3*(1+$G$4)</f>
      </c>
      <c r="F277" s="7"/>
      <c r="G277" s="5">
        <f>IF(ISBLANK(F277), "", E277*F277)</f>
      </c>
    </row>
    <row r="278" spans="1:7" x14ac:dyDescent="0.25">
      <c r="A278" t="s">
        <v>540</v>
      </c>
      <c r="B278" t="s">
        <v>541</v>
      </c>
      <c r="C278" s="5">
        <v>80372.08</v>
      </c>
      <c r="D278" s="6">
        <f>C278*(1-$G$1)*(1-$G$2)</f>
      </c>
      <c r="E278" s="5">
        <f>D278*$G$3*(1+$G$4)</f>
      </c>
      <c r="F278" s="7"/>
      <c r="G278" s="5">
        <f>IF(ISBLANK(F278), "", E278*F278)</f>
      </c>
    </row>
    <row r="279" spans="1:7" x14ac:dyDescent="0.25">
      <c r="A279" t="s">
        <v>542</v>
      </c>
      <c r="B279" t="s">
        <v>543</v>
      </c>
      <c r="C279" s="5">
        <v>22902.2</v>
      </c>
      <c r="D279" s="6">
        <f>C279*(1-$G$1)*(1-$G$2)</f>
      </c>
      <c r="E279" s="5">
        <f>D279*$G$3*(1+$G$4)</f>
      </c>
      <c r="F279" s="7"/>
      <c r="G279" s="5">
        <f>IF(ISBLANK(F279), "", E279*F279)</f>
      </c>
    </row>
    <row r="280" spans="1:7" x14ac:dyDescent="0.25">
      <c r="A280" t="s">
        <v>544</v>
      </c>
      <c r="B280" t="s">
        <v>545</v>
      </c>
      <c r="C280" s="5">
        <v>176787.06</v>
      </c>
      <c r="D280" s="6">
        <f>C280*(1-$G$1)*(1-$G$2)</f>
      </c>
      <c r="E280" s="5">
        <f>D280*$G$3*(1+$G$4)</f>
      </c>
      <c r="F280" s="7"/>
      <c r="G280" s="5">
        <f>IF(ISBLANK(F280), "", E280*F280)</f>
      </c>
    </row>
    <row r="281" spans="1:7" x14ac:dyDescent="0.25">
      <c r="A281" t="s">
        <v>546</v>
      </c>
      <c r="B281" t="s">
        <v>547</v>
      </c>
      <c r="C281" s="5">
        <v>206248.73</v>
      </c>
      <c r="D281" s="6">
        <f>C281*(1-$G$1)*(1-$G$2)</f>
      </c>
      <c r="E281" s="5">
        <f>D281*$G$3*(1+$G$4)</f>
      </c>
      <c r="F281" s="7"/>
      <c r="G281" s="5">
        <f>IF(ISBLANK(F281), "", E281*F281)</f>
      </c>
    </row>
    <row r="282" spans="1:7" x14ac:dyDescent="0.25">
      <c r="A282" t="s">
        <v>548</v>
      </c>
      <c r="B282" t="s">
        <v>549</v>
      </c>
      <c r="C282" s="5">
        <v>315695.16</v>
      </c>
      <c r="D282" s="6">
        <f>C282*(1-$G$1)*(1-$G$2)</f>
      </c>
      <c r="E282" s="5">
        <f>D282*$G$3*(1+$G$4)</f>
      </c>
      <c r="F282" s="7"/>
      <c r="G282" s="5">
        <f>IF(ISBLANK(F282), "", E282*F282)</f>
      </c>
    </row>
    <row r="283" spans="1:7" x14ac:dyDescent="0.25">
      <c r="A283" t="s">
        <v>550</v>
      </c>
      <c r="B283" t="s">
        <v>551</v>
      </c>
      <c r="C283" s="5">
        <v>211674.29</v>
      </c>
      <c r="D283" s="6">
        <f>C283*(1-$G$1)*(1-$G$2)</f>
      </c>
      <c r="E283" s="5">
        <f>D283*$G$3*(1+$G$4)</f>
      </c>
      <c r="F283" s="7"/>
      <c r="G283" s="5">
        <f>IF(ISBLANK(F283), "", E283*F283)</f>
      </c>
    </row>
    <row r="284" spans="1:7" x14ac:dyDescent="0.25">
      <c r="A284" t="s">
        <v>552</v>
      </c>
      <c r="B284" t="s">
        <v>553</v>
      </c>
      <c r="C284" s="5">
        <v>2066926.45</v>
      </c>
      <c r="D284" s="6">
        <f>C284*(1-$G$1)*(1-$G$2)</f>
      </c>
      <c r="E284" s="5">
        <f>D284*$G$3*(1+$G$4)</f>
      </c>
      <c r="F284" s="7"/>
      <c r="G284" s="5">
        <f>IF(ISBLANK(F284), "", E284*F284)</f>
      </c>
    </row>
    <row r="285" spans="1:7" x14ac:dyDescent="0.25">
      <c r="A285" t="s">
        <v>554</v>
      </c>
      <c r="B285" t="s">
        <v>553</v>
      </c>
      <c r="C285" s="5">
        <v>1591231</v>
      </c>
      <c r="D285" s="6">
        <f>C285*(1-$G$1)*(1-$G$2)</f>
      </c>
      <c r="E285" s="5">
        <f>D285*$G$3*(1+$G$4)</f>
      </c>
      <c r="F285" s="7"/>
      <c r="G285" s="5">
        <f>IF(ISBLANK(F285), "", E285*F285)</f>
      </c>
    </row>
    <row r="286" spans="1:7" x14ac:dyDescent="0.25">
      <c r="A286" t="s">
        <v>555</v>
      </c>
      <c r="B286" t="s">
        <v>556</v>
      </c>
      <c r="C286" s="5">
        <v>267468.19</v>
      </c>
      <c r="D286" s="6">
        <f>C286*(1-$G$1)*(1-$G$2)</f>
      </c>
      <c r="E286" s="5">
        <f>D286*$G$3*(1+$G$4)</f>
      </c>
      <c r="F286" s="7"/>
      <c r="G286" s="5">
        <f>IF(ISBLANK(F286), "", E286*F286)</f>
      </c>
    </row>
    <row r="287" spans="1:7" x14ac:dyDescent="0.25">
      <c r="A287" t="s">
        <v>557</v>
      </c>
      <c r="B287" t="s">
        <v>558</v>
      </c>
      <c r="C287" s="5">
        <v>403574.22</v>
      </c>
      <c r="D287" s="6">
        <f>C287*(1-$G$1)*(1-$G$2)</f>
      </c>
      <c r="E287" s="5">
        <f>D287*$G$3*(1+$G$4)</f>
      </c>
      <c r="F287" s="7"/>
      <c r="G287" s="5">
        <f>IF(ISBLANK(F287), "", E287*F287)</f>
      </c>
    </row>
    <row r="288" spans="1:7" x14ac:dyDescent="0.25">
      <c r="A288" t="s">
        <v>559</v>
      </c>
      <c r="B288" t="s">
        <v>560</v>
      </c>
      <c r="C288" s="5">
        <v>225834.56</v>
      </c>
      <c r="D288" s="6">
        <f>C288*(1-$G$1)*(1-$G$2)</f>
      </c>
      <c r="E288" s="5">
        <f>D288*$G$3*(1+$G$4)</f>
      </c>
      <c r="F288" s="7"/>
      <c r="G288" s="5">
        <f>IF(ISBLANK(F288), "", E288*F288)</f>
      </c>
    </row>
    <row r="289" spans="1:7" x14ac:dyDescent="0.25">
      <c r="A289" t="s">
        <v>561</v>
      </c>
      <c r="B289" t="s">
        <v>562</v>
      </c>
      <c r="C289" s="5">
        <v>389419</v>
      </c>
      <c r="D289" s="6">
        <f>C289*(1-$G$1)*(1-$G$2)</f>
      </c>
      <c r="E289" s="5">
        <f>D289*$G$3*(1+$G$4)</f>
      </c>
      <c r="F289" s="7"/>
      <c r="G289" s="5">
        <f>IF(ISBLANK(F289), "", E289*F289)</f>
      </c>
    </row>
    <row r="290" spans="1:7" x14ac:dyDescent="0.25">
      <c r="A290" t="s">
        <v>563</v>
      </c>
      <c r="B290" t="s">
        <v>564</v>
      </c>
      <c r="C290" s="5">
        <v>860072.75</v>
      </c>
      <c r="D290" s="6">
        <f>C290*(1-$G$1)*(1-$G$2)</f>
      </c>
      <c r="E290" s="5">
        <f>D290*$G$3*(1+$G$4)</f>
      </c>
      <c r="F290" s="7"/>
      <c r="G290" s="5">
        <f>IF(ISBLANK(F290), "", E290*F290)</f>
      </c>
    </row>
    <row r="291" spans="1:7" x14ac:dyDescent="0.25">
      <c r="A291" t="s">
        <v>565</v>
      </c>
      <c r="B291" t="s">
        <v>566</v>
      </c>
      <c r="C291" s="5">
        <v>955634.89</v>
      </c>
      <c r="D291" s="6">
        <f>C291*(1-$G$1)*(1-$G$2)</f>
      </c>
      <c r="E291" s="5">
        <f>D291*$G$3*(1+$G$4)</f>
      </c>
      <c r="F291" s="7"/>
      <c r="G291" s="5">
        <f>IF(ISBLANK(F291), "", E291*F291)</f>
      </c>
    </row>
    <row r="292" spans="1:7" x14ac:dyDescent="0.25">
      <c r="A292" t="s">
        <v>567</v>
      </c>
      <c r="B292" t="s">
        <v>568</v>
      </c>
      <c r="C292" s="5">
        <v>361942.42</v>
      </c>
      <c r="D292" s="6">
        <f>C292*(1-$G$1)*(1-$G$2)</f>
      </c>
      <c r="E292" s="5">
        <f>D292*$G$3*(1+$G$4)</f>
      </c>
      <c r="F292" s="7"/>
      <c r="G292" s="5">
        <f>IF(ISBLANK(F292), "", E292*F292)</f>
      </c>
    </row>
    <row r="293" spans="1:7" x14ac:dyDescent="0.25">
      <c r="A293" t="s">
        <v>569</v>
      </c>
      <c r="B293" t="s">
        <v>570</v>
      </c>
      <c r="C293" s="5">
        <v>253316.63</v>
      </c>
      <c r="D293" s="6">
        <f>C293*(1-$G$1)*(1-$G$2)</f>
      </c>
      <c r="E293" s="5">
        <f>D293*$G$3*(1+$G$4)</f>
      </c>
      <c r="F293" s="7"/>
      <c r="G293" s="5">
        <f>IF(ISBLANK(F293), "", E293*F293)</f>
      </c>
    </row>
    <row r="294" spans="1:7" x14ac:dyDescent="0.25">
      <c r="A294" t="s">
        <v>571</v>
      </c>
      <c r="B294" t="s">
        <v>572</v>
      </c>
      <c r="C294" s="5">
        <v>173616.91</v>
      </c>
      <c r="D294" s="6">
        <f>C294*(1-$G$1)*(1-$G$2)</f>
      </c>
      <c r="E294" s="5">
        <f>D294*$G$3*(1+$G$4)</f>
      </c>
      <c r="F294" s="7"/>
      <c r="G294" s="5">
        <f>IF(ISBLANK(F294), "", E294*F294)</f>
      </c>
    </row>
    <row r="295" spans="1:7" x14ac:dyDescent="0.25">
      <c r="A295" t="s">
        <v>573</v>
      </c>
      <c r="B295" t="s">
        <v>574</v>
      </c>
      <c r="C295" s="5">
        <v>509307.24</v>
      </c>
      <c r="D295" s="6">
        <f>C295*(1-$G$1)*(1-$G$2)</f>
      </c>
      <c r="E295" s="5">
        <f>D295*$G$3*(1+$G$4)</f>
      </c>
      <c r="F295" s="7"/>
      <c r="G295" s="5">
        <f>IF(ISBLANK(F295), "", E295*F295)</f>
      </c>
    </row>
    <row r="296" spans="1:7" x14ac:dyDescent="0.25">
      <c r="A296" t="s">
        <v>575</v>
      </c>
      <c r="B296" t="s">
        <v>576</v>
      </c>
      <c r="C296" s="5">
        <v>254999.95</v>
      </c>
      <c r="D296" s="6">
        <f>C296*(1-$G$1)*(1-$G$2)</f>
      </c>
      <c r="E296" s="5">
        <f>D296*$G$3*(1+$G$4)</f>
      </c>
      <c r="F296" s="7"/>
      <c r="G296" s="5">
        <f>IF(ISBLANK(F296), "", E296*F296)</f>
      </c>
    </row>
    <row r="297" spans="1:7" x14ac:dyDescent="0.25">
      <c r="A297" t="s">
        <v>577</v>
      </c>
      <c r="B297" t="s">
        <v>578</v>
      </c>
      <c r="C297" s="5">
        <v>163347.87</v>
      </c>
      <c r="D297" s="6">
        <f>C297*(1-$G$1)*(1-$G$2)</f>
      </c>
      <c r="E297" s="5">
        <f>D297*$G$3*(1+$G$4)</f>
      </c>
      <c r="F297" s="7"/>
      <c r="G297" s="5">
        <f>IF(ISBLANK(F297), "", E297*F297)</f>
      </c>
    </row>
    <row r="298" spans="1:7" x14ac:dyDescent="0.25">
      <c r="A298" t="s">
        <v>579</v>
      </c>
      <c r="B298" t="s">
        <v>580</v>
      </c>
      <c r="C298" s="5">
        <v>365710.41</v>
      </c>
      <c r="D298" s="6">
        <f>C298*(1-$G$1)*(1-$G$2)</f>
      </c>
      <c r="E298" s="5">
        <f>D298*$G$3*(1+$G$4)</f>
      </c>
      <c r="F298" s="7"/>
      <c r="G298" s="5">
        <f>IF(ISBLANK(F298), "", E298*F298)</f>
      </c>
    </row>
    <row r="299" spans="1:7" x14ac:dyDescent="0.25">
      <c r="A299" t="s">
        <v>581</v>
      </c>
      <c r="B299" t="s">
        <v>582</v>
      </c>
      <c r="C299" s="5">
        <v>64066.12</v>
      </c>
      <c r="D299" s="6">
        <f>C299*(1-$G$1)*(1-$G$2)</f>
      </c>
      <c r="E299" s="5">
        <f>D299*$G$3*(1+$G$4)</f>
      </c>
      <c r="F299" s="7"/>
      <c r="G299" s="5">
        <f>IF(ISBLANK(F299), "", E299*F299)</f>
      </c>
    </row>
    <row r="300" spans="1:7" x14ac:dyDescent="0.25">
      <c r="A300" t="s">
        <v>583</v>
      </c>
      <c r="B300" t="s">
        <v>584</v>
      </c>
      <c r="C300" s="5">
        <v>237504.23</v>
      </c>
      <c r="D300" s="6">
        <f>C300*(1-$G$1)*(1-$G$2)</f>
      </c>
      <c r="E300" s="5">
        <f>D300*$G$3*(1+$G$4)</f>
      </c>
      <c r="F300" s="7"/>
      <c r="G300" s="5">
        <f>IF(ISBLANK(F300), "", E300*F300)</f>
      </c>
    </row>
    <row r="301" spans="1:7" x14ac:dyDescent="0.25">
      <c r="A301" t="s">
        <v>585</v>
      </c>
      <c r="B301" t="s">
        <v>586</v>
      </c>
      <c r="C301" s="5">
        <v>130398.8</v>
      </c>
      <c r="D301" s="6">
        <f>C301*(1-$G$1)*(1-$G$2)</f>
      </c>
      <c r="E301" s="5">
        <f>D301*$G$3*(1+$G$4)</f>
      </c>
      <c r="F301" s="7"/>
      <c r="G301" s="5">
        <f>IF(ISBLANK(F301), "", E301*F301)</f>
      </c>
    </row>
    <row r="302" spans="1:7" x14ac:dyDescent="0.25">
      <c r="A302" t="s">
        <v>587</v>
      </c>
      <c r="B302" t="s">
        <v>588</v>
      </c>
      <c r="C302" s="5">
        <v>579282.51</v>
      </c>
      <c r="D302" s="6">
        <f>C302*(1-$G$1)*(1-$G$2)</f>
      </c>
      <c r="E302" s="5">
        <f>D302*$G$3*(1+$G$4)</f>
      </c>
      <c r="F302" s="7"/>
      <c r="G302" s="5">
        <f>IF(ISBLANK(F302), "", E302*F302)</f>
      </c>
    </row>
    <row r="303" spans="1:7" x14ac:dyDescent="0.25">
      <c r="A303" t="s">
        <v>589</v>
      </c>
      <c r="B303" t="s">
        <v>590</v>
      </c>
      <c r="C303" s="5">
        <v>166209.95</v>
      </c>
      <c r="D303" s="6">
        <f>C303*(1-$G$1)*(1-$G$2)</f>
      </c>
      <c r="E303" s="5">
        <f>D303*$G$3*(1+$G$4)</f>
      </c>
      <c r="F303" s="7"/>
      <c r="G303" s="5">
        <f>IF(ISBLANK(F303), "", E303*F303)</f>
      </c>
    </row>
    <row r="304" spans="1:7" x14ac:dyDescent="0.25">
      <c r="A304" t="s">
        <v>591</v>
      </c>
      <c r="B304" t="s">
        <v>592</v>
      </c>
      <c r="C304" s="5">
        <v>180362.09</v>
      </c>
      <c r="D304" s="6">
        <f>C304*(1-$G$1)*(1-$G$2)</f>
      </c>
      <c r="E304" s="5">
        <f>D304*$G$3*(1+$G$4)</f>
      </c>
      <c r="F304" s="7"/>
      <c r="G304" s="5">
        <f>IF(ISBLANK(F304), "", E304*F304)</f>
      </c>
    </row>
    <row r="305" spans="1:7" x14ac:dyDescent="0.25">
      <c r="A305" t="s">
        <v>593</v>
      </c>
      <c r="B305" t="s">
        <v>594</v>
      </c>
      <c r="C305" s="5">
        <v>579282.51</v>
      </c>
      <c r="D305" s="6">
        <f>C305*(1-$G$1)*(1-$G$2)</f>
      </c>
      <c r="E305" s="5">
        <f>D305*$G$3*(1+$G$4)</f>
      </c>
      <c r="F305" s="7"/>
      <c r="G305" s="5">
        <f>IF(ISBLANK(F305), "", E305*F305)</f>
      </c>
    </row>
    <row r="306" spans="1:7" x14ac:dyDescent="0.25">
      <c r="A306" t="s">
        <v>595</v>
      </c>
      <c r="B306" t="s">
        <v>596</v>
      </c>
      <c r="C306" s="5">
        <v>178671.27</v>
      </c>
      <c r="D306" s="6">
        <f>C306*(1-$G$1)*(1-$G$2)</f>
      </c>
      <c r="E306" s="5">
        <f>D306*$G$3*(1+$G$4)</f>
      </c>
      <c r="F306" s="7"/>
      <c r="G306" s="5">
        <f>IF(ISBLANK(F306), "", E306*F306)</f>
      </c>
    </row>
    <row r="307" spans="1:7" x14ac:dyDescent="0.25">
      <c r="A307" t="s">
        <v>597</v>
      </c>
      <c r="B307" t="s">
        <v>598</v>
      </c>
      <c r="C307" s="5">
        <v>530656.96</v>
      </c>
      <c r="D307" s="6">
        <f>C307*(1-$G$1)*(1-$G$2)</f>
      </c>
      <c r="E307" s="5">
        <f>D307*$G$3*(1+$G$4)</f>
      </c>
      <c r="F307" s="7"/>
      <c r="G307" s="5">
        <f>IF(ISBLANK(F307), "", E307*F307)</f>
      </c>
    </row>
    <row r="308" spans="1:7" x14ac:dyDescent="0.25">
      <c r="A308" t="s">
        <v>599</v>
      </c>
      <c r="B308" t="s">
        <v>600</v>
      </c>
      <c r="C308" s="5">
        <v>530656.96</v>
      </c>
      <c r="D308" s="6">
        <f>C308*(1-$G$1)*(1-$G$2)</f>
      </c>
      <c r="E308" s="5">
        <f>D308*$G$3*(1+$G$4)</f>
      </c>
      <c r="F308" s="7"/>
      <c r="G308" s="5">
        <f>IF(ISBLANK(F308), "", E308*F308)</f>
      </c>
    </row>
    <row r="309" spans="1:7" x14ac:dyDescent="0.25">
      <c r="A309" t="s">
        <v>601</v>
      </c>
      <c r="B309" t="s">
        <v>602</v>
      </c>
      <c r="C309" s="5">
        <v>317843.01</v>
      </c>
      <c r="D309" s="6">
        <f>C309*(1-$G$1)*(1-$G$2)</f>
      </c>
      <c r="E309" s="5">
        <f>D309*$G$3*(1+$G$4)</f>
      </c>
      <c r="F309" s="7"/>
      <c r="G309" s="5">
        <f>IF(ISBLANK(F309), "", E309*F309)</f>
      </c>
    </row>
    <row r="310" spans="1:7" x14ac:dyDescent="0.25">
      <c r="A310" t="s">
        <v>603</v>
      </c>
      <c r="B310" t="s">
        <v>604</v>
      </c>
      <c r="C310" s="5">
        <v>310542.67</v>
      </c>
      <c r="D310" s="6">
        <f>C310*(1-$G$1)*(1-$G$2)</f>
      </c>
      <c r="E310" s="5">
        <f>D310*$G$3*(1+$G$4)</f>
      </c>
      <c r="F310" s="7"/>
      <c r="G310" s="5">
        <f>IF(ISBLANK(F310), "", E310*F310)</f>
      </c>
    </row>
    <row r="311" spans="1:7" x14ac:dyDescent="0.25">
      <c r="A311" t="s">
        <v>605</v>
      </c>
      <c r="B311" t="s">
        <v>606</v>
      </c>
      <c r="C311" s="5">
        <v>233275.46</v>
      </c>
      <c r="D311" s="6">
        <f>C311*(1-$G$1)*(1-$G$2)</f>
      </c>
      <c r="E311" s="5">
        <f>D311*$G$3*(1+$G$4)</f>
      </c>
      <c r="F311" s="7"/>
      <c r="G311" s="5">
        <f>IF(ISBLANK(F311), "", E311*F311)</f>
      </c>
    </row>
    <row r="312" spans="1:7" x14ac:dyDescent="0.25">
      <c r="A312" t="s">
        <v>607</v>
      </c>
      <c r="B312" t="s">
        <v>608</v>
      </c>
      <c r="C312" s="5">
        <v>233275.46</v>
      </c>
      <c r="D312" s="6">
        <f>C312*(1-$G$1)*(1-$G$2)</f>
      </c>
      <c r="E312" s="5">
        <f>D312*$G$3*(1+$G$4)</f>
      </c>
      <c r="F312" s="7"/>
      <c r="G312" s="5">
        <f>IF(ISBLANK(F312), "", E312*F312)</f>
      </c>
    </row>
    <row r="313" spans="1:7" x14ac:dyDescent="0.25">
      <c r="A313" t="s">
        <v>609</v>
      </c>
      <c r="B313" t="s">
        <v>610</v>
      </c>
      <c r="C313" s="5">
        <v>365710.41</v>
      </c>
      <c r="D313" s="6">
        <f>C313*(1-$G$1)*(1-$G$2)</f>
      </c>
      <c r="E313" s="5">
        <f>D313*$G$3*(1+$G$4)</f>
      </c>
      <c r="F313" s="7"/>
      <c r="G313" s="5">
        <f>IF(ISBLANK(F313), "", E313*F313)</f>
      </c>
    </row>
    <row r="314" spans="1:7" x14ac:dyDescent="0.25">
      <c r="A314" t="s">
        <v>611</v>
      </c>
      <c r="B314" t="s">
        <v>612</v>
      </c>
      <c r="C314" s="5">
        <v>317618.33</v>
      </c>
      <c r="D314" s="6">
        <f>C314*(1-$G$1)*(1-$G$2)</f>
      </c>
      <c r="E314" s="5">
        <f>D314*$G$3*(1+$G$4)</f>
      </c>
      <c r="F314" s="7"/>
      <c r="G314" s="5">
        <f>IF(ISBLANK(F314), "", E314*F314)</f>
      </c>
    </row>
    <row r="315" spans="1:7" x14ac:dyDescent="0.25">
      <c r="A315" t="s">
        <v>613</v>
      </c>
      <c r="B315" t="s">
        <v>614</v>
      </c>
      <c r="C315" s="5">
        <v>553142.63</v>
      </c>
      <c r="D315" s="6">
        <f>C315*(1-$G$1)*(1-$G$2)</f>
      </c>
      <c r="E315" s="5">
        <f>D315*$G$3*(1+$G$4)</f>
      </c>
      <c r="F315" s="7"/>
      <c r="G315" s="5">
        <f>IF(ISBLANK(F315), "", E315*F315)</f>
      </c>
    </row>
    <row r="316" spans="1:7" x14ac:dyDescent="0.25">
      <c r="A316" t="s">
        <v>615</v>
      </c>
      <c r="B316" t="s">
        <v>616</v>
      </c>
      <c r="C316" s="5">
        <v>509307.24</v>
      </c>
      <c r="D316" s="6">
        <f>C316*(1-$G$1)*(1-$G$2)</f>
      </c>
      <c r="E316" s="5">
        <f>D316*$G$3*(1+$G$4)</f>
      </c>
      <c r="F316" s="7"/>
      <c r="G316" s="5">
        <f>IF(ISBLANK(F316), "", E316*F316)</f>
      </c>
    </row>
    <row r="317" spans="1:7" x14ac:dyDescent="0.25">
      <c r="A317" t="s">
        <v>617</v>
      </c>
      <c r="B317" t="s">
        <v>618</v>
      </c>
      <c r="C317" s="5">
        <v>263650.62</v>
      </c>
      <c r="D317" s="6">
        <f>C317*(1-$G$1)*(1-$G$2)</f>
      </c>
      <c r="E317" s="5">
        <f>D317*$G$3*(1+$G$4)</f>
      </c>
      <c r="F317" s="7"/>
      <c r="G317" s="5">
        <f>IF(ISBLANK(F317), "", E317*F317)</f>
      </c>
    </row>
    <row r="318" spans="1:7" x14ac:dyDescent="0.25">
      <c r="A318" t="s">
        <v>619</v>
      </c>
      <c r="B318" t="s">
        <v>620</v>
      </c>
      <c r="C318" s="5">
        <v>87117.16</v>
      </c>
      <c r="D318" s="6">
        <f>C318*(1-$G$1)*(1-$G$2)</f>
      </c>
      <c r="E318" s="5">
        <f>D318*$G$3*(1+$G$4)</f>
      </c>
      <c r="F318" s="7"/>
      <c r="G318" s="5">
        <f>IF(ISBLANK(F318), "", E318*F318)</f>
      </c>
    </row>
    <row r="319" spans="1:7" x14ac:dyDescent="0.25">
      <c r="A319" t="s">
        <v>621</v>
      </c>
      <c r="B319" t="s">
        <v>622</v>
      </c>
      <c r="C319" s="5">
        <v>180630.31</v>
      </c>
      <c r="D319" s="6">
        <f>C319*(1-$G$1)*(1-$G$2)</f>
      </c>
      <c r="E319" s="5">
        <f>D319*$G$3*(1+$G$4)</f>
      </c>
      <c r="F319" s="7"/>
      <c r="G319" s="5">
        <f>IF(ISBLANK(F319), "", E319*F319)</f>
      </c>
    </row>
    <row r="320" spans="1:7" x14ac:dyDescent="0.25">
      <c r="A320" t="s">
        <v>623</v>
      </c>
      <c r="B320" t="s">
        <v>622</v>
      </c>
      <c r="C320" s="5">
        <v>198693.27</v>
      </c>
      <c r="D320" s="6">
        <f>C320*(1-$G$1)*(1-$G$2)</f>
      </c>
      <c r="E320" s="5">
        <f>D320*$G$3*(1+$G$4)</f>
      </c>
      <c r="F320" s="7"/>
      <c r="G320" s="5">
        <f>IF(ISBLANK(F320), "", E320*F320)</f>
      </c>
    </row>
    <row r="321" spans="1:7" x14ac:dyDescent="0.25">
      <c r="A321" t="s">
        <v>624</v>
      </c>
      <c r="B321" t="s">
        <v>625</v>
      </c>
      <c r="C321" s="5">
        <v>205333.57</v>
      </c>
      <c r="D321" s="6">
        <f>C321*(1-$G$1)*(1-$G$2)</f>
      </c>
      <c r="E321" s="5">
        <f>D321*$G$3*(1+$G$4)</f>
      </c>
      <c r="F321" s="7"/>
      <c r="G321" s="5">
        <f>IF(ISBLANK(F321), "", E321*F321)</f>
      </c>
    </row>
    <row r="322" spans="1:7" x14ac:dyDescent="0.25">
      <c r="A322" t="s">
        <v>626</v>
      </c>
      <c r="B322" t="s">
        <v>627</v>
      </c>
      <c r="C322" s="5">
        <v>205333.57</v>
      </c>
      <c r="D322" s="6">
        <f>C322*(1-$G$1)*(1-$G$2)</f>
      </c>
      <c r="E322" s="5">
        <f>D322*$G$3*(1+$G$4)</f>
      </c>
      <c r="F322" s="7"/>
      <c r="G322" s="5">
        <f>IF(ISBLANK(F322), "", E322*F322)</f>
      </c>
    </row>
    <row r="323" spans="1:7" x14ac:dyDescent="0.25">
      <c r="A323" t="s">
        <v>628</v>
      </c>
      <c r="B323" t="s">
        <v>629</v>
      </c>
      <c r="C323" s="5">
        <v>100730.59</v>
      </c>
      <c r="D323" s="6">
        <f>C323*(1-$G$1)*(1-$G$2)</f>
      </c>
      <c r="E323" s="5">
        <f>D323*$G$3*(1+$G$4)</f>
      </c>
      <c r="F323" s="7"/>
      <c r="G323" s="5">
        <f>IF(ISBLANK(F323), "", E323*F323)</f>
      </c>
    </row>
    <row r="324" spans="1:7" x14ac:dyDescent="0.25">
      <c r="A324" t="s">
        <v>630</v>
      </c>
      <c r="B324" t="s">
        <v>631</v>
      </c>
      <c r="C324" s="5">
        <v>85747.26</v>
      </c>
      <c r="D324" s="6">
        <f>C324*(1-$G$1)*(1-$G$2)</f>
      </c>
      <c r="E324" s="5">
        <f>D324*$G$3*(1+$G$4)</f>
      </c>
      <c r="F324" s="7"/>
      <c r="G324" s="5">
        <f>IF(ISBLANK(F324), "", E324*F324)</f>
      </c>
    </row>
    <row r="325" spans="1:7" x14ac:dyDescent="0.25">
      <c r="A325" t="s">
        <v>632</v>
      </c>
      <c r="B325" t="s">
        <v>633</v>
      </c>
      <c r="C325" s="5">
        <v>69532.94</v>
      </c>
      <c r="D325" s="6">
        <f>C325*(1-$G$1)*(1-$G$2)</f>
      </c>
      <c r="E325" s="5">
        <f>D325*$G$3*(1+$G$4)</f>
      </c>
      <c r="F325" s="7"/>
      <c r="G325" s="5">
        <f>IF(ISBLANK(F325), "", E325*F325)</f>
      </c>
    </row>
    <row r="326" spans="1:7" x14ac:dyDescent="0.25">
      <c r="A326" t="s">
        <v>634</v>
      </c>
      <c r="B326" t="s">
        <v>635</v>
      </c>
      <c r="C326" s="5">
        <v>247619.21</v>
      </c>
      <c r="D326" s="6">
        <f>C326*(1-$G$1)*(1-$G$2)</f>
      </c>
      <c r="E326" s="5">
        <f>D326*$G$3*(1+$G$4)</f>
      </c>
      <c r="F326" s="7"/>
      <c r="G326" s="5">
        <f>IF(ISBLANK(F326), "", E326*F326)</f>
      </c>
    </row>
    <row r="327" spans="1:7" x14ac:dyDescent="0.25">
      <c r="A327" t="s">
        <v>636</v>
      </c>
      <c r="B327" t="s">
        <v>637</v>
      </c>
      <c r="C327" s="5">
        <v>167950.3</v>
      </c>
      <c r="D327" s="6">
        <f>C327*(1-$G$1)*(1-$G$2)</f>
      </c>
      <c r="E327" s="5">
        <f>D327*$G$3*(1+$G$4)</f>
      </c>
      <c r="F327" s="7"/>
      <c r="G327" s="5">
        <f>IF(ISBLANK(F327), "", E327*F327)</f>
      </c>
    </row>
    <row r="328" spans="1:7" x14ac:dyDescent="0.25">
      <c r="A328" t="s">
        <v>638</v>
      </c>
      <c r="B328" t="s">
        <v>639</v>
      </c>
      <c r="C328" s="5">
        <v>200773.91</v>
      </c>
      <c r="D328" s="6">
        <f>C328*(1-$G$1)*(1-$G$2)</f>
      </c>
      <c r="E328" s="5">
        <f>D328*$G$3*(1+$G$4)</f>
      </c>
      <c r="F328" s="7"/>
      <c r="G328" s="5">
        <f>IF(ISBLANK(F328), "", E328*F328)</f>
      </c>
    </row>
    <row r="329" spans="1:7" x14ac:dyDescent="0.25">
      <c r="A329" t="s">
        <v>640</v>
      </c>
      <c r="B329" t="s">
        <v>639</v>
      </c>
      <c r="C329" s="5">
        <v>182521.85</v>
      </c>
      <c r="D329" s="6">
        <f>C329*(1-$G$1)*(1-$G$2)</f>
      </c>
      <c r="E329" s="5">
        <f>D329*$G$3*(1+$G$4)</f>
      </c>
      <c r="F329" s="7"/>
      <c r="G329" s="5">
        <f>IF(ISBLANK(F329), "", E329*F329)</f>
      </c>
    </row>
    <row r="330" spans="1:7" x14ac:dyDescent="0.25">
      <c r="A330" t="s">
        <v>641</v>
      </c>
      <c r="B330" t="s">
        <v>642</v>
      </c>
      <c r="C330" s="5">
        <v>206356.97</v>
      </c>
      <c r="D330" s="6">
        <f>C330*(1-$G$1)*(1-$G$2)</f>
      </c>
      <c r="E330" s="5">
        <f>D330*$G$3*(1+$G$4)</f>
      </c>
      <c r="F330" s="7"/>
      <c r="G330" s="5">
        <f>IF(ISBLANK(F330), "", E330*F330)</f>
      </c>
    </row>
    <row r="331" spans="1:7" x14ac:dyDescent="0.25">
      <c r="A331" t="s">
        <v>643</v>
      </c>
      <c r="B331" t="s">
        <v>644</v>
      </c>
      <c r="C331" s="5">
        <v>178557.56</v>
      </c>
      <c r="D331" s="6">
        <f>C331*(1-$G$1)*(1-$G$2)</f>
      </c>
      <c r="E331" s="5">
        <f>D331*$G$3*(1+$G$4)</f>
      </c>
      <c r="F331" s="7"/>
      <c r="G331" s="5">
        <f>IF(ISBLANK(F331), "", E331*F331)</f>
      </c>
    </row>
    <row r="332" spans="1:7" x14ac:dyDescent="0.25">
      <c r="A332" t="s">
        <v>645</v>
      </c>
      <c r="B332" t="s">
        <v>644</v>
      </c>
      <c r="C332" s="5">
        <v>162324.95</v>
      </c>
      <c r="D332" s="6">
        <f>C332*(1-$G$1)*(1-$G$2)</f>
      </c>
      <c r="E332" s="5">
        <f>D332*$G$3*(1+$G$4)</f>
      </c>
      <c r="F332" s="7"/>
      <c r="G332" s="5">
        <f>IF(ISBLANK(F332), "", E332*F332)</f>
      </c>
    </row>
    <row r="333" spans="1:7" x14ac:dyDescent="0.25">
      <c r="A333" t="s">
        <v>646</v>
      </c>
      <c r="B333" t="s">
        <v>647</v>
      </c>
      <c r="C333" s="5">
        <v>49755.22</v>
      </c>
      <c r="D333" s="6">
        <f>C333*(1-$G$1)*(1-$G$2)</f>
      </c>
      <c r="E333" s="5">
        <f>D333*$G$3*(1+$G$4)</f>
      </c>
      <c r="F333" s="7"/>
      <c r="G333" s="5">
        <f>IF(ISBLANK(F333), "", E333*F333)</f>
      </c>
    </row>
    <row r="334" spans="1:7" x14ac:dyDescent="0.25">
      <c r="A334" t="s">
        <v>648</v>
      </c>
      <c r="B334" t="s">
        <v>649</v>
      </c>
      <c r="C334" s="5">
        <v>155883.23</v>
      </c>
      <c r="D334" s="6">
        <f>C334*(1-$G$1)*(1-$G$2)</f>
      </c>
      <c r="E334" s="5">
        <f>D334*$G$3*(1+$G$4)</f>
      </c>
      <c r="F334" s="7"/>
      <c r="G334" s="5">
        <f>IF(ISBLANK(F334), "", E334*F334)</f>
      </c>
    </row>
    <row r="335" spans="1:7" x14ac:dyDescent="0.25">
      <c r="A335" t="s">
        <v>650</v>
      </c>
      <c r="B335" t="s">
        <v>651</v>
      </c>
      <c r="C335" s="5">
        <v>141712.31</v>
      </c>
      <c r="D335" s="6">
        <f>C335*(1-$G$1)*(1-$G$2)</f>
      </c>
      <c r="E335" s="5">
        <f>D335*$G$3*(1+$G$4)</f>
      </c>
      <c r="F335" s="7"/>
      <c r="G335" s="5">
        <f>IF(ISBLANK(F335), "", E335*F335)</f>
      </c>
    </row>
    <row r="336" spans="1:7" x14ac:dyDescent="0.25">
      <c r="A336" t="s">
        <v>652</v>
      </c>
      <c r="B336" t="s">
        <v>653</v>
      </c>
      <c r="C336" s="5">
        <v>155883.23</v>
      </c>
      <c r="D336" s="6">
        <f>C336*(1-$G$1)*(1-$G$2)</f>
      </c>
      <c r="E336" s="5">
        <f>D336*$G$3*(1+$G$4)</f>
      </c>
      <c r="F336" s="7"/>
      <c r="G336" s="5">
        <f>IF(ISBLANK(F336), "", E336*F336)</f>
      </c>
    </row>
    <row r="337" spans="1:7" x14ac:dyDescent="0.25">
      <c r="A337" t="s">
        <v>654</v>
      </c>
      <c r="B337" t="s">
        <v>653</v>
      </c>
      <c r="C337" s="5">
        <v>141712.31</v>
      </c>
      <c r="D337" s="6">
        <f>C337*(1-$G$1)*(1-$G$2)</f>
      </c>
      <c r="E337" s="5">
        <f>D337*$G$3*(1+$G$4)</f>
      </c>
      <c r="F337" s="7"/>
      <c r="G337" s="5">
        <f>IF(ISBLANK(F337), "", E337*F337)</f>
      </c>
    </row>
    <row r="338" spans="1:7" x14ac:dyDescent="0.25">
      <c r="A338" t="s">
        <v>655</v>
      </c>
      <c r="B338" t="s">
        <v>656</v>
      </c>
      <c r="C338" s="5">
        <v>80382.84</v>
      </c>
      <c r="D338" s="6">
        <f>C338*(1-$G$1)*(1-$G$2)</f>
      </c>
      <c r="E338" s="5">
        <f>D338*$G$3*(1+$G$4)</f>
      </c>
      <c r="F338" s="7"/>
      <c r="G338" s="5">
        <f>IF(ISBLANK(F338), "", E338*F338)</f>
      </c>
    </row>
    <row r="339" spans="1:7" x14ac:dyDescent="0.25">
      <c r="A339" t="s">
        <v>657</v>
      </c>
      <c r="B339" t="s">
        <v>658</v>
      </c>
      <c r="C339" s="5">
        <v>260725.02</v>
      </c>
      <c r="D339" s="6">
        <f>C339*(1-$G$1)*(1-$G$2)</f>
      </c>
      <c r="E339" s="5">
        <f>D339*$G$3*(1+$G$4)</f>
      </c>
      <c r="F339" s="7"/>
      <c r="G339" s="5">
        <f>IF(ISBLANK(F339), "", E339*F339)</f>
      </c>
    </row>
    <row r="340" spans="1:7" x14ac:dyDescent="0.25">
      <c r="A340" t="s">
        <v>659</v>
      </c>
      <c r="B340" t="s">
        <v>660</v>
      </c>
      <c r="C340" s="5">
        <v>553142.63</v>
      </c>
      <c r="D340" s="6">
        <f>C340*(1-$G$1)*(1-$G$2)</f>
      </c>
      <c r="E340" s="5">
        <f>D340*$G$3*(1+$G$4)</f>
      </c>
      <c r="F340" s="7"/>
      <c r="G340" s="5">
        <f>IF(ISBLANK(F340), "", E340*F340)</f>
      </c>
    </row>
    <row r="341" spans="1:7" x14ac:dyDescent="0.25">
      <c r="A341" t="s">
        <v>661</v>
      </c>
      <c r="B341" t="s">
        <v>662</v>
      </c>
      <c r="C341" s="5">
        <v>12924.8</v>
      </c>
      <c r="D341" s="6">
        <f>C341*(1-$G$1)*(1-$G$2)</f>
      </c>
      <c r="E341" s="5">
        <f>D341*$G$3*(1+$G$4)</f>
      </c>
      <c r="F341" s="7"/>
      <c r="G341" s="5">
        <f>IF(ISBLANK(F341), "", E341*F341)</f>
      </c>
    </row>
    <row r="342" spans="1:7" x14ac:dyDescent="0.25">
      <c r="A342" t="s">
        <v>663</v>
      </c>
      <c r="B342" t="s">
        <v>664</v>
      </c>
      <c r="C342" s="5">
        <v>17778.87</v>
      </c>
      <c r="D342" s="6">
        <f>C342*(1-$G$1)*(1-$G$2)</f>
      </c>
      <c r="E342" s="5">
        <f>D342*$G$3*(1+$G$4)</f>
      </c>
      <c r="F342" s="7"/>
      <c r="G342" s="5">
        <f>IF(ISBLANK(F342), "", E342*F342)</f>
      </c>
    </row>
    <row r="343" spans="1:7" x14ac:dyDescent="0.25">
      <c r="A343" t="s">
        <v>665</v>
      </c>
      <c r="B343" t="s">
        <v>666</v>
      </c>
      <c r="C343" s="5">
        <v>17778.87</v>
      </c>
      <c r="D343" s="6">
        <f>C343*(1-$G$1)*(1-$G$2)</f>
      </c>
      <c r="E343" s="5">
        <f>D343*$G$3*(1+$G$4)</f>
      </c>
      <c r="F343" s="7"/>
      <c r="G343" s="5">
        <f>IF(ISBLANK(F343), "", E343*F343)</f>
      </c>
    </row>
    <row r="344" spans="1:7" x14ac:dyDescent="0.25">
      <c r="A344" t="s">
        <v>667</v>
      </c>
      <c r="B344" t="s">
        <v>668</v>
      </c>
      <c r="C344" s="5">
        <v>12924.8</v>
      </c>
      <c r="D344" s="6">
        <f>C344*(1-$G$1)*(1-$G$2)</f>
      </c>
      <c r="E344" s="5">
        <f>D344*$G$3*(1+$G$4)</f>
      </c>
      <c r="F344" s="7"/>
      <c r="G344" s="5">
        <f>IF(ISBLANK(F344), "", E344*F344)</f>
      </c>
    </row>
    <row r="345" spans="1:7" x14ac:dyDescent="0.25">
      <c r="A345" t="s">
        <v>669</v>
      </c>
      <c r="B345" t="s">
        <v>670</v>
      </c>
      <c r="C345" s="5">
        <v>10276.66</v>
      </c>
      <c r="D345" s="6">
        <f>C345*(1-$G$1)*(1-$G$2)</f>
      </c>
      <c r="E345" s="5">
        <f>D345*$G$3*(1+$G$4)</f>
      </c>
      <c r="F345" s="7"/>
      <c r="G345" s="5">
        <f>IF(ISBLANK(F345), "", E345*F345)</f>
      </c>
    </row>
    <row r="346" spans="1:7" x14ac:dyDescent="0.25">
      <c r="A346" t="s">
        <v>671</v>
      </c>
      <c r="B346" t="s">
        <v>672</v>
      </c>
      <c r="C346" s="5">
        <v>13176.65</v>
      </c>
      <c r="D346" s="6">
        <f>C346*(1-$G$1)*(1-$G$2)</f>
      </c>
      <c r="E346" s="5">
        <f>D346*$G$3*(1+$G$4)</f>
      </c>
      <c r="F346" s="7"/>
      <c r="G346" s="5">
        <f>IF(ISBLANK(F346), "", E346*F346)</f>
      </c>
    </row>
    <row r="347" spans="1:7" x14ac:dyDescent="0.25">
      <c r="A347" t="s">
        <v>673</v>
      </c>
      <c r="B347" t="s">
        <v>674</v>
      </c>
      <c r="C347" s="5">
        <v>42261.81</v>
      </c>
      <c r="D347" s="6">
        <f>C347*(1-$G$1)*(1-$G$2)</f>
      </c>
      <c r="E347" s="5">
        <f>D347*$G$3*(1+$G$4)</f>
      </c>
      <c r="F347" s="7"/>
      <c r="G347" s="5">
        <f>IF(ISBLANK(F347), "", E347*F347)</f>
      </c>
    </row>
    <row r="348" spans="1:7" x14ac:dyDescent="0.25">
      <c r="A348" t="s">
        <v>675</v>
      </c>
      <c r="B348" t="s">
        <v>676</v>
      </c>
      <c r="C348" s="5">
        <v>153891.33</v>
      </c>
      <c r="D348" s="6">
        <f>C348*(1-$G$1)*(1-$G$2)</f>
      </c>
      <c r="E348" s="5">
        <f>D348*$G$3*(1+$G$4)</f>
      </c>
      <c r="F348" s="7"/>
      <c r="G348" s="5">
        <f>IF(ISBLANK(F348), "", E348*F348)</f>
      </c>
    </row>
    <row r="349" spans="1:7" x14ac:dyDescent="0.25">
      <c r="A349" t="s">
        <v>677</v>
      </c>
      <c r="B349" t="s">
        <v>678</v>
      </c>
      <c r="C349" s="5">
        <v>216557.56</v>
      </c>
      <c r="D349" s="6">
        <f>C349*(1-$G$1)*(1-$G$2)</f>
      </c>
      <c r="E349" s="5">
        <f>D349*$G$3*(1+$G$4)</f>
      </c>
      <c r="F349" s="7"/>
      <c r="G349" s="5">
        <f>IF(ISBLANK(F349), "", E349*F349)</f>
      </c>
    </row>
    <row r="350" spans="1:7" x14ac:dyDescent="0.25">
      <c r="A350" t="s">
        <v>679</v>
      </c>
      <c r="B350" t="s">
        <v>678</v>
      </c>
      <c r="C350" s="5">
        <v>216557.56</v>
      </c>
      <c r="D350" s="6">
        <f>C350*(1-$G$1)*(1-$G$2)</f>
      </c>
      <c r="E350" s="5">
        <f>D350*$G$3*(1+$G$4)</f>
      </c>
      <c r="F350" s="7"/>
      <c r="G350" s="5">
        <f>IF(ISBLANK(F350), "", E350*F350)</f>
      </c>
    </row>
    <row r="351" spans="1:7" x14ac:dyDescent="0.25">
      <c r="A351" t="s">
        <v>680</v>
      </c>
      <c r="B351" t="s">
        <v>681</v>
      </c>
      <c r="C351" s="5">
        <v>12751.24</v>
      </c>
      <c r="D351" s="6">
        <f>C351*(1-$G$1)*(1-$G$2)</f>
      </c>
      <c r="E351" s="5">
        <f>D351*$G$3*(1+$G$4)</f>
      </c>
      <c r="F351" s="7"/>
      <c r="G351" s="5">
        <f>IF(ISBLANK(F351), "", E351*F351)</f>
      </c>
    </row>
    <row r="352" spans="1:7" x14ac:dyDescent="0.25">
      <c r="A352" t="s">
        <v>682</v>
      </c>
      <c r="B352" t="s">
        <v>681</v>
      </c>
      <c r="C352" s="5">
        <v>14487.07</v>
      </c>
      <c r="D352" s="6">
        <f>C352*(1-$G$1)*(1-$G$2)</f>
      </c>
      <c r="E352" s="5">
        <f>D352*$G$3*(1+$G$4)</f>
      </c>
      <c r="F352" s="7"/>
      <c r="G352" s="5">
        <f>IF(ISBLANK(F352), "", E352*F352)</f>
      </c>
    </row>
    <row r="353" spans="1:7" x14ac:dyDescent="0.25">
      <c r="A353" t="s">
        <v>683</v>
      </c>
      <c r="B353" t="s">
        <v>684</v>
      </c>
      <c r="C353" s="5">
        <v>18213.69</v>
      </c>
      <c r="D353" s="6">
        <f>C353*(1-$G$1)*(1-$G$2)</f>
      </c>
      <c r="E353" s="5">
        <f>D353*$G$3*(1+$G$4)</f>
      </c>
      <c r="F353" s="7"/>
      <c r="G353" s="5">
        <f>IF(ISBLANK(F353), "", E353*F353)</f>
      </c>
    </row>
    <row r="354" spans="1:7" x14ac:dyDescent="0.25">
      <c r="A354" t="s">
        <v>685</v>
      </c>
      <c r="B354" t="s">
        <v>686</v>
      </c>
      <c r="C354" s="5">
        <v>20611.09</v>
      </c>
      <c r="D354" s="6">
        <f>C354*(1-$G$1)*(1-$G$2)</f>
      </c>
      <c r="E354" s="5">
        <f>D354*$G$3*(1+$G$4)</f>
      </c>
      <c r="F354" s="7"/>
      <c r="G354" s="5">
        <f>IF(ISBLANK(F354), "", E354*F354)</f>
      </c>
    </row>
    <row r="355" spans="1:7" x14ac:dyDescent="0.25">
      <c r="A355" t="s">
        <v>687</v>
      </c>
      <c r="B355" t="s">
        <v>688</v>
      </c>
      <c r="C355" s="5">
        <v>10276.66</v>
      </c>
      <c r="D355" s="6">
        <f>C355*(1-$G$1)*(1-$G$2)</f>
      </c>
      <c r="E355" s="5">
        <f>D355*$G$3*(1+$G$4)</f>
      </c>
      <c r="F355" s="7"/>
      <c r="G355" s="5">
        <f>IF(ISBLANK(F355), "", E355*F355)</f>
      </c>
    </row>
    <row r="356" spans="1:7" x14ac:dyDescent="0.25">
      <c r="A356" t="s">
        <v>689</v>
      </c>
      <c r="B356" t="s">
        <v>690</v>
      </c>
      <c r="C356" s="5">
        <v>10932.21</v>
      </c>
      <c r="D356" s="6">
        <f>C356*(1-$G$1)*(1-$G$2)</f>
      </c>
      <c r="E356" s="5">
        <f>D356*$G$3*(1+$G$4)</f>
      </c>
      <c r="F356" s="7"/>
      <c r="G356" s="5">
        <f>IF(ISBLANK(F356), "", E356*F356)</f>
      </c>
    </row>
    <row r="357" spans="1:7" x14ac:dyDescent="0.25">
      <c r="A357" t="s">
        <v>691</v>
      </c>
      <c r="B357" t="s">
        <v>692</v>
      </c>
      <c r="C357" s="5">
        <v>13176.65</v>
      </c>
      <c r="D357" s="6">
        <f>C357*(1-$G$1)*(1-$G$2)</f>
      </c>
      <c r="E357" s="5">
        <f>D357*$G$3*(1+$G$4)</f>
      </c>
      <c r="F357" s="7"/>
      <c r="G357" s="5">
        <f>IF(ISBLANK(F357), "", E357*F357)</f>
      </c>
    </row>
    <row r="358" spans="1:7" x14ac:dyDescent="0.25">
      <c r="A358" t="s">
        <v>693</v>
      </c>
      <c r="B358" t="s">
        <v>694</v>
      </c>
      <c r="C358" s="5">
        <v>13560.36</v>
      </c>
      <c r="D358" s="6">
        <f>C358*(1-$G$1)*(1-$G$2)</f>
      </c>
      <c r="E358" s="5">
        <f>D358*$G$3*(1+$G$4)</f>
      </c>
      <c r="F358" s="7"/>
      <c r="G358" s="5">
        <f>IF(ISBLANK(F358), "", E358*F358)</f>
      </c>
    </row>
    <row r="359" spans="1:7" x14ac:dyDescent="0.25">
      <c r="A359" t="s">
        <v>695</v>
      </c>
      <c r="B359" t="s">
        <v>696</v>
      </c>
      <c r="C359" s="5">
        <v>22223.31</v>
      </c>
      <c r="D359" s="6">
        <f>C359*(1-$G$1)*(1-$G$2)</f>
      </c>
      <c r="E359" s="5">
        <f>D359*$G$3*(1+$G$4)</f>
      </c>
      <c r="F359" s="7"/>
      <c r="G359" s="5">
        <f>IF(ISBLANK(F359), "", E359*F359)</f>
      </c>
    </row>
    <row r="360" spans="1:7" x14ac:dyDescent="0.25">
      <c r="A360" t="s">
        <v>697</v>
      </c>
      <c r="B360" t="s">
        <v>696</v>
      </c>
      <c r="C360" s="5">
        <v>25925.9</v>
      </c>
      <c r="D360" s="6">
        <f>C360*(1-$G$1)*(1-$G$2)</f>
      </c>
      <c r="E360" s="5">
        <f>D360*$G$3*(1+$G$4)</f>
      </c>
      <c r="F360" s="7"/>
      <c r="G360" s="5">
        <f>IF(ISBLANK(F360), "", E360*F360)</f>
      </c>
    </row>
    <row r="361" spans="1:7" x14ac:dyDescent="0.25">
      <c r="A361" t="s">
        <v>698</v>
      </c>
      <c r="B361" t="s">
        <v>699</v>
      </c>
      <c r="C361" s="5">
        <v>153891.33</v>
      </c>
      <c r="D361" s="6">
        <f>C361*(1-$G$1)*(1-$G$2)</f>
      </c>
      <c r="E361" s="5">
        <f>D361*$G$3*(1+$G$4)</f>
      </c>
      <c r="F361" s="7"/>
      <c r="G361" s="5">
        <f>IF(ISBLANK(F361), "", E361*F361)</f>
      </c>
    </row>
    <row r="362" spans="1:7" x14ac:dyDescent="0.25">
      <c r="A362" t="s">
        <v>700</v>
      </c>
      <c r="B362" t="s">
        <v>701</v>
      </c>
      <c r="C362" s="5">
        <v>42020.55</v>
      </c>
      <c r="D362" s="6">
        <f>C362*(1-$G$1)*(1-$G$2)</f>
      </c>
      <c r="E362" s="5">
        <f>D362*$G$3*(1+$G$4)</f>
      </c>
      <c r="F362" s="7"/>
      <c r="G362" s="5">
        <f>IF(ISBLANK(F362), "", E362*F362)</f>
      </c>
    </row>
    <row r="363" spans="1:7" x14ac:dyDescent="0.25">
      <c r="A363" t="s">
        <v>702</v>
      </c>
      <c r="B363" t="s">
        <v>703</v>
      </c>
      <c r="C363" s="5">
        <v>7000.68</v>
      </c>
      <c r="D363" s="6">
        <f>C363*(1-$G$1)*(1-$G$2)</f>
      </c>
      <c r="E363" s="5">
        <f>D363*$G$3*(1+$G$4)</f>
      </c>
      <c r="F363" s="7"/>
      <c r="G363" s="5">
        <f>IF(ISBLANK(F363), "", E363*F363)</f>
      </c>
    </row>
    <row r="364" spans="1:7" x14ac:dyDescent="0.25">
      <c r="A364" t="s">
        <v>704</v>
      </c>
      <c r="B364" t="s">
        <v>705</v>
      </c>
      <c r="C364" s="5">
        <v>8887.21</v>
      </c>
      <c r="D364" s="6">
        <f>C364*(1-$G$1)*(1-$G$2)</f>
      </c>
      <c r="E364" s="5">
        <f>D364*$G$3*(1+$G$4)</f>
      </c>
      <c r="F364" s="7"/>
      <c r="G364" s="5">
        <f>IF(ISBLANK(F364), "", E364*F364)</f>
      </c>
    </row>
    <row r="365" spans="1:7" x14ac:dyDescent="0.25">
      <c r="A365" t="s">
        <v>706</v>
      </c>
      <c r="B365" t="s">
        <v>707</v>
      </c>
      <c r="C365" s="5">
        <v>12288.47</v>
      </c>
      <c r="D365" s="6">
        <f>C365*(1-$G$1)*(1-$G$2)</f>
      </c>
      <c r="E365" s="5">
        <f>D365*$G$3*(1+$G$4)</f>
      </c>
      <c r="F365" s="7"/>
      <c r="G365" s="5">
        <f>IF(ISBLANK(F365), "", E365*F365)</f>
      </c>
    </row>
    <row r="366" spans="1:7" x14ac:dyDescent="0.25">
      <c r="A366" t="s">
        <v>708</v>
      </c>
      <c r="B366" t="s">
        <v>709</v>
      </c>
      <c r="C366" s="5">
        <v>26915.36</v>
      </c>
      <c r="D366" s="6">
        <f>C366*(1-$G$1)*(1-$G$2)</f>
      </c>
      <c r="E366" s="5">
        <f>D366*$G$3*(1+$G$4)</f>
      </c>
      <c r="F366" s="7"/>
      <c r="G366" s="5">
        <f>IF(ISBLANK(F366), "", E366*F366)</f>
      </c>
    </row>
    <row r="367" spans="1:7" x14ac:dyDescent="0.25">
      <c r="A367" t="s">
        <v>710</v>
      </c>
      <c r="B367" t="s">
        <v>711</v>
      </c>
      <c r="C367" s="5">
        <v>36441.57</v>
      </c>
      <c r="D367" s="6">
        <f>C367*(1-$G$1)*(1-$G$2)</f>
      </c>
      <c r="E367" s="5">
        <f>D367*$G$3*(1+$G$4)</f>
      </c>
      <c r="F367" s="7"/>
      <c r="G367" s="5">
        <f>IF(ISBLANK(F367), "", E367*F367)</f>
      </c>
    </row>
    <row r="368" spans="1:7" x14ac:dyDescent="0.25">
      <c r="A368" t="s">
        <v>712</v>
      </c>
      <c r="B368" t="s">
        <v>713</v>
      </c>
      <c r="C368" s="5">
        <v>63646.5</v>
      </c>
      <c r="D368" s="6">
        <f>C368*(1-$G$1)*(1-$G$2)</f>
      </c>
      <c r="E368" s="5">
        <f>D368*$G$3*(1+$G$4)</f>
      </c>
      <c r="F368" s="7"/>
      <c r="G368" s="5">
        <f>IF(ISBLANK(F368), "", E368*F368)</f>
      </c>
    </row>
    <row r="369" spans="1:7" x14ac:dyDescent="0.25">
      <c r="A369" t="s">
        <v>714</v>
      </c>
      <c r="B369" t="s">
        <v>715</v>
      </c>
      <c r="C369" s="5">
        <v>57812.72</v>
      </c>
      <c r="D369" s="6">
        <f>C369*(1-$G$1)*(1-$G$2)</f>
      </c>
      <c r="E369" s="5">
        <f>D369*$G$3*(1+$G$4)</f>
      </c>
      <c r="F369" s="7"/>
      <c r="G369" s="5">
        <f>IF(ISBLANK(F369), "", E369*F369)</f>
      </c>
    </row>
    <row r="370" spans="1:7" x14ac:dyDescent="0.25">
      <c r="A370" t="s">
        <v>716</v>
      </c>
      <c r="B370" t="s">
        <v>717</v>
      </c>
      <c r="C370" s="5">
        <v>45723.05</v>
      </c>
      <c r="D370" s="6">
        <f>C370*(1-$G$1)*(1-$G$2)</f>
      </c>
      <c r="E370" s="5">
        <f>D370*$G$3*(1+$G$4)</f>
      </c>
      <c r="F370" s="7"/>
      <c r="G370" s="5">
        <f>IF(ISBLANK(F370), "", E370*F370)</f>
      </c>
    </row>
    <row r="371" spans="1:7" x14ac:dyDescent="0.25">
      <c r="A371" t="s">
        <v>718</v>
      </c>
      <c r="B371" t="s">
        <v>719</v>
      </c>
      <c r="C371" s="5">
        <v>16405.51</v>
      </c>
      <c r="D371" s="6">
        <f>C371*(1-$G$1)*(1-$G$2)</f>
      </c>
      <c r="E371" s="5">
        <f>D371*$G$3*(1+$G$4)</f>
      </c>
      <c r="F371" s="7"/>
      <c r="G371" s="5">
        <f>IF(ISBLANK(F371), "", E371*F371)</f>
      </c>
    </row>
    <row r="372" spans="1:7" x14ac:dyDescent="0.25">
      <c r="A372" t="s">
        <v>720</v>
      </c>
      <c r="B372" t="s">
        <v>721</v>
      </c>
      <c r="C372" s="5">
        <v>45364.66</v>
      </c>
      <c r="D372" s="6">
        <f>C372*(1-$G$1)*(1-$G$2)</f>
      </c>
      <c r="E372" s="5">
        <f>D372*$G$3*(1+$G$4)</f>
      </c>
      <c r="F372" s="7"/>
      <c r="G372" s="5">
        <f>IF(ISBLANK(F372), "", E372*F372)</f>
      </c>
    </row>
    <row r="373" spans="1:7" x14ac:dyDescent="0.25">
      <c r="A373" t="s">
        <v>722</v>
      </c>
      <c r="B373" t="s">
        <v>723</v>
      </c>
      <c r="C373" s="5">
        <v>20375.37</v>
      </c>
      <c r="D373" s="6">
        <f>C373*(1-$G$1)*(1-$G$2)</f>
      </c>
      <c r="E373" s="5">
        <f>D373*$G$3*(1+$G$4)</f>
      </c>
      <c r="F373" s="7"/>
      <c r="G373" s="5">
        <f>IF(ISBLANK(F373), "", E373*F373)</f>
      </c>
    </row>
    <row r="374" spans="1:7" x14ac:dyDescent="0.25">
      <c r="A374" t="s">
        <v>724</v>
      </c>
      <c r="B374" t="s">
        <v>725</v>
      </c>
      <c r="C374" s="5">
        <v>17672.76</v>
      </c>
      <c r="D374" s="6">
        <f>C374*(1-$G$1)*(1-$G$2)</f>
      </c>
      <c r="E374" s="5">
        <f>D374*$G$3*(1+$G$4)</f>
      </c>
      <c r="F374" s="7"/>
      <c r="G374" s="5">
        <f>IF(ISBLANK(F374), "", E374*F374)</f>
      </c>
    </row>
    <row r="375" spans="1:7" x14ac:dyDescent="0.25">
      <c r="A375" t="s">
        <v>726</v>
      </c>
      <c r="B375" t="s">
        <v>727</v>
      </c>
      <c r="C375" s="5">
        <v>19108.56</v>
      </c>
      <c r="D375" s="6">
        <f>C375*(1-$G$1)*(1-$G$2)</f>
      </c>
      <c r="E375" s="5">
        <f>D375*$G$3*(1+$G$4)</f>
      </c>
      <c r="F375" s="7"/>
      <c r="G375" s="5">
        <f>IF(ISBLANK(F375), "", E375*F375)</f>
      </c>
    </row>
    <row r="376" spans="1:7" x14ac:dyDescent="0.25">
      <c r="A376" t="s">
        <v>728</v>
      </c>
      <c r="B376" t="s">
        <v>729</v>
      </c>
      <c r="C376" s="5">
        <v>48232.27</v>
      </c>
      <c r="D376" s="6">
        <f>C376*(1-$G$1)*(1-$G$2)</f>
      </c>
      <c r="E376" s="5">
        <f>D376*$G$3*(1+$G$4)</f>
      </c>
      <c r="F376" s="7"/>
      <c r="G376" s="5">
        <f>IF(ISBLANK(F376), "", E376*F376)</f>
      </c>
    </row>
    <row r="377" spans="1:7" x14ac:dyDescent="0.25">
      <c r="A377" t="s">
        <v>730</v>
      </c>
      <c r="B377" t="s">
        <v>731</v>
      </c>
      <c r="C377" s="5">
        <v>22931.61</v>
      </c>
      <c r="D377" s="6">
        <f>C377*(1-$G$1)*(1-$G$2)</f>
      </c>
      <c r="E377" s="5">
        <f>D377*$G$3*(1+$G$4)</f>
      </c>
      <c r="F377" s="7"/>
      <c r="G377" s="5">
        <f>IF(ISBLANK(F377), "", E377*F377)</f>
      </c>
    </row>
    <row r="378" spans="1:7" x14ac:dyDescent="0.25">
      <c r="A378" t="s">
        <v>732</v>
      </c>
      <c r="B378" t="s">
        <v>733</v>
      </c>
      <c r="C378" s="5">
        <v>20513.76</v>
      </c>
      <c r="D378" s="6">
        <f>C378*(1-$G$1)*(1-$G$2)</f>
      </c>
      <c r="E378" s="5">
        <f>D378*$G$3*(1+$G$4)</f>
      </c>
      <c r="F378" s="7"/>
      <c r="G378" s="5">
        <f>IF(ISBLANK(F378), "", E378*F378)</f>
      </c>
    </row>
    <row r="379" spans="1:7" x14ac:dyDescent="0.25">
      <c r="A379" t="s">
        <v>734</v>
      </c>
      <c r="B379" t="s">
        <v>735</v>
      </c>
      <c r="C379" s="5">
        <v>8622.72</v>
      </c>
      <c r="D379" s="6">
        <f>C379*(1-$G$1)*(1-$G$2)</f>
      </c>
      <c r="E379" s="5">
        <f>D379*$G$3*(1+$G$4)</f>
      </c>
      <c r="F379" s="7"/>
      <c r="G379" s="5">
        <f>IF(ISBLANK(F379), "", E379*F379)</f>
      </c>
    </row>
    <row r="380" spans="1:7" x14ac:dyDescent="0.25">
      <c r="A380" t="s">
        <v>736</v>
      </c>
      <c r="B380" t="s">
        <v>737</v>
      </c>
      <c r="C380" s="5">
        <v>20567.39</v>
      </c>
      <c r="D380" s="6">
        <f>C380*(1-$G$1)*(1-$G$2)</f>
      </c>
      <c r="E380" s="5">
        <f>D380*$G$3*(1+$G$4)</f>
      </c>
      <c r="F380" s="7"/>
      <c r="G380" s="5">
        <f>IF(ISBLANK(F380), "", E380*F380)</f>
      </c>
    </row>
    <row r="381" spans="1:7" x14ac:dyDescent="0.25">
      <c r="A381" t="s">
        <v>738</v>
      </c>
      <c r="B381" t="s">
        <v>737</v>
      </c>
      <c r="C381" s="5">
        <v>22223.31</v>
      </c>
      <c r="D381" s="6">
        <f>C381*(1-$G$1)*(1-$G$2)</f>
      </c>
      <c r="E381" s="5">
        <f>D381*$G$3*(1+$G$4)</f>
      </c>
      <c r="F381" s="7"/>
      <c r="G381" s="5">
        <f>IF(ISBLANK(F381), "", E381*F381)</f>
      </c>
    </row>
    <row r="382" spans="1:7" x14ac:dyDescent="0.25">
      <c r="A382" t="s">
        <v>739</v>
      </c>
      <c r="B382" t="s">
        <v>740</v>
      </c>
      <c r="C382" s="5">
        <v>25643.31</v>
      </c>
      <c r="D382" s="6">
        <f>C382*(1-$G$1)*(1-$G$2)</f>
      </c>
      <c r="E382" s="5">
        <f>D382*$G$3*(1+$G$4)</f>
      </c>
      <c r="F382" s="7"/>
      <c r="G382" s="5">
        <f>IF(ISBLANK(F382), "", E382*F382)</f>
      </c>
    </row>
    <row r="383" spans="1:7" x14ac:dyDescent="0.25">
      <c r="A383" t="s">
        <v>741</v>
      </c>
      <c r="B383" t="s">
        <v>742</v>
      </c>
      <c r="C383" s="5">
        <v>26644.42</v>
      </c>
      <c r="D383" s="6">
        <f>C383*(1-$G$1)*(1-$G$2)</f>
      </c>
      <c r="E383" s="5">
        <f>D383*$G$3*(1+$G$4)</f>
      </c>
      <c r="F383" s="7"/>
      <c r="G383" s="5">
        <f>IF(ISBLANK(F383), "", E383*F383)</f>
      </c>
    </row>
    <row r="384" spans="1:7" x14ac:dyDescent="0.25">
      <c r="A384" t="s">
        <v>743</v>
      </c>
      <c r="B384" t="s">
        <v>744</v>
      </c>
      <c r="C384" s="5">
        <v>24482.57</v>
      </c>
      <c r="D384" s="6">
        <f>C384*(1-$G$1)*(1-$G$2)</f>
      </c>
      <c r="E384" s="5">
        <f>D384*$G$3*(1+$G$4)</f>
      </c>
      <c r="F384" s="7"/>
      <c r="G384" s="5">
        <f>IF(ISBLANK(F384), "", E384*F384)</f>
      </c>
    </row>
    <row r="385" spans="1:7" x14ac:dyDescent="0.25">
      <c r="A385" t="s">
        <v>745</v>
      </c>
      <c r="B385" t="s">
        <v>746</v>
      </c>
      <c r="C385" s="5">
        <v>21738.87</v>
      </c>
      <c r="D385" s="6">
        <f>C385*(1-$G$1)*(1-$G$2)</f>
      </c>
      <c r="E385" s="5">
        <f>D385*$G$3*(1+$G$4)</f>
      </c>
      <c r="F385" s="7"/>
      <c r="G385" s="5">
        <f>IF(ISBLANK(F385), "", E385*F385)</f>
      </c>
    </row>
    <row r="386" spans="1:7" x14ac:dyDescent="0.25">
      <c r="A386" t="s">
        <v>747</v>
      </c>
      <c r="B386" t="s">
        <v>748</v>
      </c>
      <c r="C386" s="5">
        <v>14102.58</v>
      </c>
      <c r="D386" s="6">
        <f>C386*(1-$G$1)*(1-$G$2)</f>
      </c>
      <c r="E386" s="5">
        <f>D386*$G$3*(1+$G$4)</f>
      </c>
      <c r="F386" s="7"/>
      <c r="G386" s="5">
        <f>IF(ISBLANK(F386), "", E386*F386)</f>
      </c>
    </row>
    <row r="387" spans="1:7" x14ac:dyDescent="0.25">
      <c r="A387" t="s">
        <v>749</v>
      </c>
      <c r="B387" t="s">
        <v>750</v>
      </c>
      <c r="C387" s="5">
        <v>24075.99</v>
      </c>
      <c r="D387" s="6">
        <f>C387*(1-$G$1)*(1-$G$2)</f>
      </c>
      <c r="E387" s="5">
        <f>D387*$G$3*(1+$G$4)</f>
      </c>
      <c r="F387" s="7"/>
      <c r="G387" s="5">
        <f>IF(ISBLANK(F387), "", E387*F387)</f>
      </c>
    </row>
    <row r="388" spans="1:7" x14ac:dyDescent="0.25">
      <c r="A388" t="s">
        <v>751</v>
      </c>
      <c r="B388" t="s">
        <v>750</v>
      </c>
      <c r="C388" s="5">
        <v>24075.99</v>
      </c>
      <c r="D388" s="6">
        <f>C388*(1-$G$1)*(1-$G$2)</f>
      </c>
      <c r="E388" s="5">
        <f>D388*$G$3*(1+$G$4)</f>
      </c>
      <c r="F388" s="7"/>
      <c r="G388" s="5">
        <f>IF(ISBLANK(F388), "", E388*F388)</f>
      </c>
    </row>
    <row r="389" spans="1:7" x14ac:dyDescent="0.25">
      <c r="A389" t="s">
        <v>752</v>
      </c>
      <c r="B389" t="s">
        <v>753</v>
      </c>
      <c r="C389" s="5">
        <v>237795.08</v>
      </c>
      <c r="D389" s="6">
        <f>C389*(1-$G$1)*(1-$G$2)</f>
      </c>
      <c r="E389" s="5">
        <f>D389*$G$3*(1+$G$4)</f>
      </c>
      <c r="F389" s="7"/>
      <c r="G389" s="5">
        <f>IF(ISBLANK(F389), "", E389*F389)</f>
      </c>
    </row>
    <row r="390" spans="1:7" x14ac:dyDescent="0.25">
      <c r="A390" t="s">
        <v>754</v>
      </c>
      <c r="B390" t="s">
        <v>755</v>
      </c>
      <c r="C390" s="5">
        <v>237795.08</v>
      </c>
      <c r="D390" s="6">
        <f>C390*(1-$G$1)*(1-$G$2)</f>
      </c>
      <c r="E390" s="5">
        <f>D390*$G$3*(1+$G$4)</f>
      </c>
      <c r="F390" s="7"/>
      <c r="G390" s="5">
        <f>IF(ISBLANK(F390), "", E390*F390)</f>
      </c>
    </row>
    <row r="391" spans="1:7" x14ac:dyDescent="0.25">
      <c r="A391" t="s">
        <v>756</v>
      </c>
      <c r="B391" t="s">
        <v>757</v>
      </c>
      <c r="C391" s="5">
        <v>81926.1</v>
      </c>
      <c r="D391" s="6">
        <f>C391*(1-$G$1)*(1-$G$2)</f>
      </c>
      <c r="E391" s="5">
        <f>D391*$G$3*(1+$G$4)</f>
      </c>
      <c r="F391" s="7"/>
      <c r="G391" s="5">
        <f>IF(ISBLANK(F391), "", E391*F391)</f>
      </c>
    </row>
    <row r="392" spans="1:7" x14ac:dyDescent="0.25">
      <c r="A392" t="s">
        <v>758</v>
      </c>
      <c r="B392" t="s">
        <v>759</v>
      </c>
      <c r="C392" s="5">
        <v>354880.5</v>
      </c>
      <c r="D392" s="6">
        <f>C392*(1-$G$1)*(1-$G$2)</f>
      </c>
      <c r="E392" s="5">
        <f>D392*$G$3*(1+$G$4)</f>
      </c>
      <c r="F392" s="7"/>
      <c r="G392" s="5">
        <f>IF(ISBLANK(F392), "", E392*F392)</f>
      </c>
    </row>
    <row r="393" spans="1:7" x14ac:dyDescent="0.25">
      <c r="A393" t="s">
        <v>760</v>
      </c>
      <c r="B393" t="s">
        <v>761</v>
      </c>
      <c r="C393" s="5">
        <v>200852.09</v>
      </c>
      <c r="D393" s="6">
        <f>C393*(1-$G$1)*(1-$G$2)</f>
      </c>
      <c r="E393" s="5">
        <f>D393*$G$3*(1+$G$4)</f>
      </c>
      <c r="F393" s="7"/>
      <c r="G393" s="5">
        <f>IF(ISBLANK(F393), "", E393*F393)</f>
      </c>
    </row>
    <row r="394" spans="1:7" x14ac:dyDescent="0.25">
      <c r="A394" t="s">
        <v>762</v>
      </c>
      <c r="B394" t="s">
        <v>763</v>
      </c>
      <c r="C394" s="5">
        <v>148082.39</v>
      </c>
      <c r="D394" s="6">
        <f>C394*(1-$G$1)*(1-$G$2)</f>
      </c>
      <c r="E394" s="5">
        <f>D394*$G$3*(1+$G$4)</f>
      </c>
      <c r="F394" s="7"/>
      <c r="G394" s="5">
        <f>IF(ISBLANK(F394), "", E394*F394)</f>
      </c>
    </row>
    <row r="395" spans="1:7" x14ac:dyDescent="0.25">
      <c r="A395" t="s">
        <v>764</v>
      </c>
      <c r="B395" t="s">
        <v>765</v>
      </c>
      <c r="C395" s="5">
        <v>307680.79</v>
      </c>
      <c r="D395" s="6">
        <f>C395*(1-$G$1)*(1-$G$2)</f>
      </c>
      <c r="E395" s="5">
        <f>D395*$G$3*(1+$G$4)</f>
      </c>
      <c r="F395" s="7"/>
      <c r="G395" s="5">
        <f>IF(ISBLANK(F395), "", E395*F395)</f>
      </c>
    </row>
    <row r="396" spans="1:7" x14ac:dyDescent="0.25">
      <c r="A396" t="s">
        <v>766</v>
      </c>
      <c r="B396" t="s">
        <v>767</v>
      </c>
      <c r="C396" s="5">
        <v>8391.25</v>
      </c>
      <c r="D396" s="6">
        <f>C396*(1-$G$1)*(1-$G$2)</f>
      </c>
      <c r="E396" s="5">
        <f>D396*$G$3*(1+$G$4)</f>
      </c>
      <c r="F396" s="7"/>
      <c r="G396" s="5">
        <f>IF(ISBLANK(F396), "", E396*F396)</f>
      </c>
    </row>
    <row r="397" spans="1:7" x14ac:dyDescent="0.25">
      <c r="A397" t="s">
        <v>768</v>
      </c>
      <c r="B397" t="s">
        <v>769</v>
      </c>
      <c r="C397" s="5">
        <v>452622.48</v>
      </c>
      <c r="D397" s="6">
        <f>C397*(1-$G$1)*(1-$G$2)</f>
      </c>
      <c r="E397" s="5">
        <f>D397*$G$3*(1+$G$4)</f>
      </c>
      <c r="F397" s="7"/>
      <c r="G397" s="5">
        <f>IF(ISBLANK(F397), "", E397*F397)</f>
      </c>
    </row>
    <row r="398" spans="1:7" x14ac:dyDescent="0.25">
      <c r="A398" t="s">
        <v>770</v>
      </c>
      <c r="B398" t="s">
        <v>771</v>
      </c>
      <c r="C398" s="5">
        <v>248017.37</v>
      </c>
      <c r="D398" s="6">
        <f>C398*(1-$G$1)*(1-$G$2)</f>
      </c>
      <c r="E398" s="5">
        <f>D398*$G$3*(1+$G$4)</f>
      </c>
      <c r="F398" s="7"/>
      <c r="G398" s="5">
        <f>IF(ISBLANK(F398), "", E398*F398)</f>
      </c>
    </row>
    <row r="399" spans="1:7" x14ac:dyDescent="0.25">
      <c r="A399" t="s">
        <v>772</v>
      </c>
      <c r="B399" t="s">
        <v>773</v>
      </c>
      <c r="C399" s="5">
        <v>85945.81</v>
      </c>
      <c r="D399" s="6">
        <f>C399*(1-$G$1)*(1-$G$2)</f>
      </c>
      <c r="E399" s="5">
        <f>D399*$G$3*(1+$G$4)</f>
      </c>
      <c r="F399" s="7"/>
      <c r="G399" s="5">
        <f>IF(ISBLANK(F399), "", E399*F399)</f>
      </c>
    </row>
    <row r="400" spans="1:7" x14ac:dyDescent="0.25">
      <c r="A400" t="s">
        <v>774</v>
      </c>
      <c r="B400" t="s">
        <v>775</v>
      </c>
      <c r="C400" s="5">
        <v>152680.35</v>
      </c>
      <c r="D400" s="6">
        <f>C400*(1-$G$1)*(1-$G$2)</f>
      </c>
      <c r="E400" s="5">
        <f>D400*$G$3*(1+$G$4)</f>
      </c>
      <c r="F400" s="7"/>
      <c r="G400" s="5">
        <f>IF(ISBLANK(F400), "", E400*F400)</f>
      </c>
    </row>
    <row r="401" spans="1:7" x14ac:dyDescent="0.25">
      <c r="A401" t="s">
        <v>776</v>
      </c>
      <c r="B401" t="s">
        <v>777</v>
      </c>
      <c r="C401" s="5">
        <v>420403.58</v>
      </c>
      <c r="D401" s="6">
        <f>C401*(1-$G$1)*(1-$G$2)</f>
      </c>
      <c r="E401" s="5">
        <f>D401*$G$3*(1+$G$4)</f>
      </c>
      <c r="F401" s="7"/>
      <c r="G401" s="5">
        <f>IF(ISBLANK(F401), "", E401*F401)</f>
      </c>
    </row>
    <row r="402" spans="1:7" x14ac:dyDescent="0.25">
      <c r="A402" t="s">
        <v>778</v>
      </c>
      <c r="B402" t="s">
        <v>779</v>
      </c>
      <c r="C402" s="5">
        <v>645144.63</v>
      </c>
      <c r="D402" s="6">
        <f>C402*(1-$G$1)*(1-$G$2)</f>
      </c>
      <c r="E402" s="5">
        <f>D402*$G$3*(1+$G$4)</f>
      </c>
      <c r="F402" s="7"/>
      <c r="G402" s="5">
        <f>IF(ISBLANK(F402), "", E402*F402)</f>
      </c>
    </row>
    <row r="403" spans="1:7" x14ac:dyDescent="0.25">
      <c r="A403" t="s">
        <v>780</v>
      </c>
      <c r="B403" t="s">
        <v>781</v>
      </c>
      <c r="C403" s="5">
        <v>72790.44</v>
      </c>
      <c r="D403" s="6">
        <f>C403*(1-$G$1)*(1-$G$2)</f>
      </c>
      <c r="E403" s="5">
        <f>D403*$G$3*(1+$G$4)</f>
      </c>
      <c r="F403" s="7"/>
      <c r="G403" s="5">
        <f>IF(ISBLANK(F403), "", E403*F403)</f>
      </c>
    </row>
    <row r="404" spans="1:7" x14ac:dyDescent="0.25">
      <c r="A404" t="s">
        <v>782</v>
      </c>
      <c r="B404" t="s">
        <v>783</v>
      </c>
      <c r="C404" s="5">
        <v>61101.25</v>
      </c>
      <c r="D404" s="6">
        <f>C404*(1-$G$1)*(1-$G$2)</f>
      </c>
      <c r="E404" s="5">
        <f>D404*$G$3*(1+$G$4)</f>
      </c>
      <c r="F404" s="7"/>
      <c r="G404" s="5">
        <f>IF(ISBLANK(F404), "", E404*F404)</f>
      </c>
    </row>
    <row r="405" spans="1:7" x14ac:dyDescent="0.25">
      <c r="A405" t="s">
        <v>784</v>
      </c>
      <c r="B405" t="s">
        <v>785</v>
      </c>
      <c r="C405" s="5">
        <v>390772.17</v>
      </c>
      <c r="D405" s="6">
        <f>C405*(1-$G$1)*(1-$G$2)</f>
      </c>
      <c r="E405" s="5">
        <f>D405*$G$3*(1+$G$4)</f>
      </c>
      <c r="F405" s="7"/>
      <c r="G405" s="5">
        <f>IF(ISBLANK(F405), "", E405*F405)</f>
      </c>
    </row>
    <row r="406" spans="1:7" x14ac:dyDescent="0.25">
      <c r="A406" t="s">
        <v>786</v>
      </c>
      <c r="B406" t="s">
        <v>787</v>
      </c>
      <c r="C406" s="5">
        <v>163208.67</v>
      </c>
      <c r="D406" s="6">
        <f>C406*(1-$G$1)*(1-$G$2)</f>
      </c>
      <c r="E406" s="5">
        <f>D406*$G$3*(1+$G$4)</f>
      </c>
      <c r="F406" s="7"/>
      <c r="G406" s="5">
        <f>IF(ISBLANK(F406), "", E406*F406)</f>
      </c>
    </row>
    <row r="407" spans="1:7" x14ac:dyDescent="0.25">
      <c r="A407" t="s">
        <v>788</v>
      </c>
      <c r="B407" t="s">
        <v>789</v>
      </c>
      <c r="C407" s="5">
        <v>178944.02</v>
      </c>
      <c r="D407" s="6">
        <f>C407*(1-$G$1)*(1-$G$2)</f>
      </c>
      <c r="E407" s="5">
        <f>D407*$G$3*(1+$G$4)</f>
      </c>
      <c r="F407" s="7"/>
      <c r="G407" s="5">
        <f>IF(ISBLANK(F407), "", E407*F407)</f>
      </c>
    </row>
    <row r="408" spans="1:7" x14ac:dyDescent="0.25">
      <c r="A408" t="s">
        <v>790</v>
      </c>
      <c r="B408" t="s">
        <v>791</v>
      </c>
      <c r="C408" s="5">
        <v>108941.28</v>
      </c>
      <c r="D408" s="6">
        <f>C408*(1-$G$1)*(1-$G$2)</f>
      </c>
      <c r="E408" s="5">
        <f>D408*$G$3*(1+$G$4)</f>
      </c>
      <c r="F408" s="7"/>
      <c r="G408" s="5">
        <f>IF(ISBLANK(F408), "", E408*F408)</f>
      </c>
    </row>
    <row r="409" spans="1:7" x14ac:dyDescent="0.25">
      <c r="A409" t="s">
        <v>792</v>
      </c>
      <c r="B409" t="s">
        <v>793</v>
      </c>
      <c r="C409" s="5">
        <v>434305.62</v>
      </c>
      <c r="D409" s="6">
        <f>C409*(1-$G$1)*(1-$G$2)</f>
      </c>
      <c r="E409" s="5">
        <f>D409*$G$3*(1+$G$4)</f>
      </c>
      <c r="F409" s="7"/>
      <c r="G409" s="5">
        <f>IF(ISBLANK(F409), "", E409*F409)</f>
      </c>
    </row>
    <row r="410" spans="1:7" x14ac:dyDescent="0.25">
      <c r="A410" t="s">
        <v>794</v>
      </c>
      <c r="B410" t="s">
        <v>795</v>
      </c>
      <c r="C410" s="5">
        <v>74802.19</v>
      </c>
      <c r="D410" s="6">
        <f>C410*(1-$G$1)*(1-$G$2)</f>
      </c>
      <c r="E410" s="5">
        <f>D410*$G$3*(1+$G$4)</f>
      </c>
      <c r="F410" s="7"/>
      <c r="G410" s="5">
        <f>IF(ISBLANK(F410), "", E410*F410)</f>
      </c>
    </row>
    <row r="411" spans="1:7" x14ac:dyDescent="0.25">
      <c r="A411" t="s">
        <v>796</v>
      </c>
      <c r="B411" t="s">
        <v>797</v>
      </c>
      <c r="C411" s="5">
        <v>382627.33</v>
      </c>
      <c r="D411" s="6">
        <f>C411*(1-$G$1)*(1-$G$2)</f>
      </c>
      <c r="E411" s="5">
        <f>D411*$G$3*(1+$G$4)</f>
      </c>
      <c r="F411" s="7"/>
      <c r="G411" s="5">
        <f>IF(ISBLANK(F411), "", E411*F411)</f>
      </c>
    </row>
    <row r="412" spans="1:7" x14ac:dyDescent="0.25">
      <c r="A412" t="s">
        <v>798</v>
      </c>
      <c r="B412" t="s">
        <v>799</v>
      </c>
      <c r="C412" s="5">
        <v>146089.47</v>
      </c>
      <c r="D412" s="6">
        <f>C412*(1-$G$1)*(1-$G$2)</f>
      </c>
      <c r="E412" s="5">
        <f>D412*$G$3*(1+$G$4)</f>
      </c>
      <c r="F412" s="7"/>
      <c r="G412" s="5">
        <f>IF(ISBLANK(F412), "", E412*F412)</f>
      </c>
    </row>
    <row r="413" spans="1:7" x14ac:dyDescent="0.25">
      <c r="A413" t="s">
        <v>800</v>
      </c>
      <c r="B413" t="s">
        <v>801</v>
      </c>
      <c r="C413" s="5">
        <v>347843.03</v>
      </c>
      <c r="D413" s="6">
        <f>C413*(1-$G$1)*(1-$G$2)</f>
      </c>
      <c r="E413" s="5">
        <f>D413*$G$3*(1+$G$4)</f>
      </c>
      <c r="F413" s="7"/>
      <c r="G413" s="5">
        <f>IF(ISBLANK(F413), "", E413*F413)</f>
      </c>
    </row>
    <row r="414" spans="1:7" x14ac:dyDescent="0.25">
      <c r="A414" t="s">
        <v>802</v>
      </c>
      <c r="B414" t="s">
        <v>803</v>
      </c>
      <c r="C414" s="5">
        <v>458603.94</v>
      </c>
      <c r="D414" s="6">
        <f>C414*(1-$G$1)*(1-$G$2)</f>
      </c>
      <c r="E414" s="5">
        <f>D414*$G$3*(1+$G$4)</f>
      </c>
      <c r="F414" s="7"/>
      <c r="G414" s="5">
        <f>IF(ISBLANK(F414), "", E414*F414)</f>
      </c>
    </row>
    <row r="415" spans="1:7" x14ac:dyDescent="0.25">
      <c r="A415" t="s">
        <v>804</v>
      </c>
      <c r="B415" t="s">
        <v>805</v>
      </c>
      <c r="C415" s="5">
        <v>373525.79</v>
      </c>
      <c r="D415" s="6">
        <f>C415*(1-$G$1)*(1-$G$2)</f>
      </c>
      <c r="E415" s="5">
        <f>D415*$G$3*(1+$G$4)</f>
      </c>
      <c r="F415" s="7"/>
      <c r="G415" s="5">
        <f>IF(ISBLANK(F415), "", E415*F415)</f>
      </c>
    </row>
    <row r="416" spans="1:7" x14ac:dyDescent="0.25">
      <c r="A416" t="s">
        <v>806</v>
      </c>
      <c r="B416" t="s">
        <v>807</v>
      </c>
      <c r="C416" s="5">
        <v>162170.71</v>
      </c>
      <c r="D416" s="6">
        <f>C416*(1-$G$1)*(1-$G$2)</f>
      </c>
      <c r="E416" s="5">
        <f>D416*$G$3*(1+$G$4)</f>
      </c>
      <c r="F416" s="7"/>
      <c r="G416" s="5">
        <f>IF(ISBLANK(F416), "", E416*F416)</f>
      </c>
    </row>
    <row r="417" spans="1:7" x14ac:dyDescent="0.25">
      <c r="A417" t="s">
        <v>808</v>
      </c>
      <c r="B417" t="s">
        <v>807</v>
      </c>
      <c r="C417" s="5">
        <v>147427.85</v>
      </c>
      <c r="D417" s="6">
        <f>C417*(1-$G$1)*(1-$G$2)</f>
      </c>
      <c r="E417" s="5">
        <f>D417*$G$3*(1+$G$4)</f>
      </c>
      <c r="F417" s="7"/>
      <c r="G417" s="5">
        <f>IF(ISBLANK(F417), "", E417*F417)</f>
      </c>
    </row>
    <row r="418" spans="1:7" x14ac:dyDescent="0.25">
      <c r="A418" t="s">
        <v>809</v>
      </c>
      <c r="B418" t="s">
        <v>810</v>
      </c>
      <c r="C418" s="5">
        <v>153588.85</v>
      </c>
      <c r="D418" s="6">
        <f>C418*(1-$G$1)*(1-$G$2)</f>
      </c>
      <c r="E418" s="5">
        <f>D418*$G$3*(1+$G$4)</f>
      </c>
      <c r="F418" s="7"/>
      <c r="G418" s="5">
        <f>IF(ISBLANK(F418), "", E418*F418)</f>
      </c>
    </row>
    <row r="419" spans="1:7" x14ac:dyDescent="0.25">
      <c r="A419" t="s">
        <v>811</v>
      </c>
      <c r="B419" t="s">
        <v>812</v>
      </c>
      <c r="C419" s="5">
        <v>106674.79</v>
      </c>
      <c r="D419" s="6">
        <f>C419*(1-$G$1)*(1-$G$2)</f>
      </c>
      <c r="E419" s="5">
        <f>D419*$G$3*(1+$G$4)</f>
      </c>
      <c r="F419" s="7"/>
      <c r="G419" s="5">
        <f>IF(ISBLANK(F419), "", E419*F419)</f>
      </c>
    </row>
    <row r="420" spans="1:7" x14ac:dyDescent="0.25">
      <c r="A420" t="s">
        <v>813</v>
      </c>
      <c r="B420" t="s">
        <v>814</v>
      </c>
      <c r="C420" s="5">
        <v>262188.6</v>
      </c>
      <c r="D420" s="6">
        <f>C420*(1-$G$1)*(1-$G$2)</f>
      </c>
      <c r="E420" s="5">
        <f>D420*$G$3*(1+$G$4)</f>
      </c>
      <c r="F420" s="7"/>
      <c r="G420" s="5">
        <f>IF(ISBLANK(F420), "", E420*F420)</f>
      </c>
    </row>
    <row r="421" spans="1:7" x14ac:dyDescent="0.25">
      <c r="A421" t="s">
        <v>815</v>
      </c>
      <c r="B421" t="s">
        <v>816</v>
      </c>
      <c r="C421" s="5">
        <v>85945.81</v>
      </c>
      <c r="D421" s="6">
        <f>C421*(1-$G$1)*(1-$G$2)</f>
      </c>
      <c r="E421" s="5">
        <f>D421*$G$3*(1+$G$4)</f>
      </c>
      <c r="F421" s="7"/>
      <c r="G421" s="5">
        <f>IF(ISBLANK(F421), "", E421*F421)</f>
      </c>
    </row>
    <row r="422" spans="1:7" x14ac:dyDescent="0.25">
      <c r="A422" t="s">
        <v>817</v>
      </c>
      <c r="B422" t="s">
        <v>818</v>
      </c>
      <c r="C422" s="5">
        <v>238353.29</v>
      </c>
      <c r="D422" s="6">
        <f>C422*(1-$G$1)*(1-$G$2)</f>
      </c>
      <c r="E422" s="5">
        <f>D422*$G$3*(1+$G$4)</f>
      </c>
      <c r="F422" s="7"/>
      <c r="G422" s="5">
        <f>IF(ISBLANK(F422), "", E422*F422)</f>
      </c>
    </row>
    <row r="423" spans="1:7" x14ac:dyDescent="0.25">
      <c r="A423" t="s">
        <v>819</v>
      </c>
      <c r="B423" t="s">
        <v>820</v>
      </c>
      <c r="C423" s="5">
        <v>352931.25</v>
      </c>
      <c r="D423" s="6">
        <f>C423*(1-$G$1)*(1-$G$2)</f>
      </c>
      <c r="E423" s="5">
        <f>D423*$G$3*(1+$G$4)</f>
      </c>
      <c r="F423" s="7"/>
      <c r="G423" s="5">
        <f>IF(ISBLANK(F423), "", E423*F423)</f>
      </c>
    </row>
    <row r="424" spans="1:7" x14ac:dyDescent="0.25">
      <c r="A424" t="s">
        <v>821</v>
      </c>
      <c r="B424" t="s">
        <v>822</v>
      </c>
      <c r="C424" s="5">
        <v>118418.95</v>
      </c>
      <c r="D424" s="6">
        <f>C424*(1-$G$1)*(1-$G$2)</f>
      </c>
      <c r="E424" s="5">
        <f>D424*$G$3*(1+$G$4)</f>
      </c>
      <c r="F424" s="7"/>
      <c r="G424" s="5">
        <f>IF(ISBLANK(F424), "", E424*F424)</f>
      </c>
    </row>
    <row r="425" spans="1:7" x14ac:dyDescent="0.25">
      <c r="A425" t="s">
        <v>823</v>
      </c>
      <c r="B425" t="s">
        <v>824</v>
      </c>
      <c r="C425" s="5">
        <v>180570.7</v>
      </c>
      <c r="D425" s="6">
        <f>C425*(1-$G$1)*(1-$G$2)</f>
      </c>
      <c r="E425" s="5">
        <f>D425*$G$3*(1+$G$4)</f>
      </c>
      <c r="F425" s="7"/>
      <c r="G425" s="5">
        <f>IF(ISBLANK(F425), "", E425*F425)</f>
      </c>
    </row>
    <row r="426" spans="1:7" x14ac:dyDescent="0.25">
      <c r="A426" t="s">
        <v>825</v>
      </c>
      <c r="B426" t="s">
        <v>826</v>
      </c>
      <c r="C426" s="5">
        <v>306553.33</v>
      </c>
      <c r="D426" s="6">
        <f>C426*(1-$G$1)*(1-$G$2)</f>
      </c>
      <c r="E426" s="5">
        <f>D426*$G$3*(1+$G$4)</f>
      </c>
      <c r="F426" s="7"/>
      <c r="G426" s="5">
        <f>IF(ISBLANK(F426), "", E426*F426)</f>
      </c>
    </row>
    <row r="427" spans="1:7" x14ac:dyDescent="0.25">
      <c r="A427" t="s">
        <v>827</v>
      </c>
      <c r="B427" t="s">
        <v>828</v>
      </c>
      <c r="C427" s="5">
        <v>97827.36</v>
      </c>
      <c r="D427" s="6">
        <f>C427*(1-$G$1)*(1-$G$2)</f>
      </c>
      <c r="E427" s="5">
        <f>D427*$G$3*(1+$G$4)</f>
      </c>
      <c r="F427" s="7"/>
      <c r="G427" s="5">
        <f>IF(ISBLANK(F427), "", E427*F427)</f>
      </c>
    </row>
    <row r="428" spans="1:7" x14ac:dyDescent="0.25">
      <c r="A428" t="s">
        <v>829</v>
      </c>
      <c r="B428" t="s">
        <v>830</v>
      </c>
      <c r="C428" s="5">
        <v>92843.47</v>
      </c>
      <c r="D428" s="6">
        <f>C428*(1-$G$1)*(1-$G$2)</f>
      </c>
      <c r="E428" s="5">
        <f>D428*$G$3*(1+$G$4)</f>
      </c>
      <c r="F428" s="7"/>
      <c r="G428" s="5">
        <f>IF(ISBLANK(F428), "", E428*F428)</f>
      </c>
    </row>
    <row r="429" spans="1:7" x14ac:dyDescent="0.25">
      <c r="A429" t="s">
        <v>831</v>
      </c>
      <c r="B429" t="s">
        <v>832</v>
      </c>
      <c r="C429" s="5">
        <v>169681.32</v>
      </c>
      <c r="D429" s="6">
        <f>C429*(1-$G$1)*(1-$G$2)</f>
      </c>
      <c r="E429" s="5">
        <f>D429*$G$3*(1+$G$4)</f>
      </c>
      <c r="F429" s="7"/>
      <c r="G429" s="5">
        <f>IF(ISBLANK(F429), "", E429*F429)</f>
      </c>
    </row>
    <row r="430" spans="1:7" x14ac:dyDescent="0.25">
      <c r="A430" t="s">
        <v>833</v>
      </c>
      <c r="B430" t="s">
        <v>834</v>
      </c>
      <c r="C430" s="5">
        <v>268045.92</v>
      </c>
      <c r="D430" s="6">
        <f>C430*(1-$G$1)*(1-$G$2)</f>
      </c>
      <c r="E430" s="5">
        <f>D430*$G$3*(1+$G$4)</f>
      </c>
      <c r="F430" s="7"/>
      <c r="G430" s="5">
        <f>IF(ISBLANK(F430), "", E430*F430)</f>
      </c>
    </row>
    <row r="431" spans="1:7" x14ac:dyDescent="0.25">
      <c r="A431" t="s">
        <v>835</v>
      </c>
      <c r="B431" t="s">
        <v>836</v>
      </c>
      <c r="C431" s="5">
        <v>157168.55</v>
      </c>
      <c r="D431" s="6">
        <f>C431*(1-$G$1)*(1-$G$2)</f>
      </c>
      <c r="E431" s="5">
        <f>D431*$G$3*(1+$G$4)</f>
      </c>
      <c r="F431" s="7"/>
      <c r="G431" s="5">
        <f>IF(ISBLANK(F431), "", E431*F431)</f>
      </c>
    </row>
    <row r="432" spans="1:7" x14ac:dyDescent="0.25">
      <c r="A432" t="s">
        <v>837</v>
      </c>
      <c r="B432" t="s">
        <v>838</v>
      </c>
      <c r="C432" s="5">
        <v>282056.65</v>
      </c>
      <c r="D432" s="6">
        <f>C432*(1-$G$1)*(1-$G$2)</f>
      </c>
      <c r="E432" s="5">
        <f>D432*$G$3*(1+$G$4)</f>
      </c>
      <c r="F432" s="7"/>
      <c r="G432" s="5">
        <f>IF(ISBLANK(F432), "", E432*F432)</f>
      </c>
    </row>
    <row r="433" spans="1:7" x14ac:dyDescent="0.25">
      <c r="A433" t="s">
        <v>839</v>
      </c>
      <c r="B433" t="s">
        <v>840</v>
      </c>
      <c r="C433" s="5">
        <v>117701.78</v>
      </c>
      <c r="D433" s="6">
        <f>C433*(1-$G$1)*(1-$G$2)</f>
      </c>
      <c r="E433" s="5">
        <f>D433*$G$3*(1+$G$4)</f>
      </c>
      <c r="F433" s="7"/>
      <c r="G433" s="5">
        <f>IF(ISBLANK(F433), "", E433*F433)</f>
      </c>
    </row>
    <row r="434" spans="1:7" x14ac:dyDescent="0.25">
      <c r="A434" t="s">
        <v>841</v>
      </c>
      <c r="B434" t="s">
        <v>842</v>
      </c>
      <c r="C434" s="5">
        <v>235547</v>
      </c>
      <c r="D434" s="6">
        <f>C434*(1-$G$1)*(1-$G$2)</f>
      </c>
      <c r="E434" s="5">
        <f>D434*$G$3*(1+$G$4)</f>
      </c>
      <c r="F434" s="7"/>
      <c r="G434" s="5">
        <f>IF(ISBLANK(F434), "", E434*F434)</f>
      </c>
    </row>
    <row r="435" spans="1:7" x14ac:dyDescent="0.25">
      <c r="A435" t="s">
        <v>843</v>
      </c>
      <c r="B435" t="s">
        <v>844</v>
      </c>
      <c r="C435" s="5">
        <v>606377.83</v>
      </c>
      <c r="D435" s="6">
        <f>C435*(1-$G$1)*(1-$G$2)</f>
      </c>
      <c r="E435" s="5">
        <f>D435*$G$3*(1+$G$4)</f>
      </c>
      <c r="F435" s="7"/>
      <c r="G435" s="5">
        <f>IF(ISBLANK(F435), "", E435*F435)</f>
      </c>
    </row>
    <row r="436" spans="1:7" x14ac:dyDescent="0.25">
      <c r="A436" t="s">
        <v>845</v>
      </c>
      <c r="B436" t="s">
        <v>846</v>
      </c>
      <c r="C436" s="5">
        <v>161404.23</v>
      </c>
      <c r="D436" s="6">
        <f>C436*(1-$G$1)*(1-$G$2)</f>
      </c>
      <c r="E436" s="5">
        <f>D436*$G$3*(1+$G$4)</f>
      </c>
      <c r="F436" s="7"/>
      <c r="G436" s="5">
        <f>IF(ISBLANK(F436), "", E436*F436)</f>
      </c>
    </row>
    <row r="437" spans="1:7" x14ac:dyDescent="0.25">
      <c r="A437" t="s">
        <v>847</v>
      </c>
      <c r="B437" t="s">
        <v>848</v>
      </c>
      <c r="C437" s="5">
        <v>251694.45</v>
      </c>
      <c r="D437" s="6">
        <f>C437*(1-$G$1)*(1-$G$2)</f>
      </c>
      <c r="E437" s="5">
        <f>D437*$G$3*(1+$G$4)</f>
      </c>
      <c r="F437" s="7"/>
      <c r="G437" s="5">
        <f>IF(ISBLANK(F437), "", E437*F437)</f>
      </c>
    </row>
    <row r="438" spans="1:7" x14ac:dyDescent="0.25">
      <c r="A438" t="s">
        <v>849</v>
      </c>
      <c r="B438" t="s">
        <v>850</v>
      </c>
      <c r="C438" s="5">
        <v>236535.15</v>
      </c>
      <c r="D438" s="6">
        <f>C438*(1-$G$1)*(1-$G$2)</f>
      </c>
      <c r="E438" s="5">
        <f>D438*$G$3*(1+$G$4)</f>
      </c>
      <c r="F438" s="7"/>
      <c r="G438" s="5">
        <f>IF(ISBLANK(F438), "", E438*F438)</f>
      </c>
    </row>
    <row r="439" spans="1:7" x14ac:dyDescent="0.25">
      <c r="A439" t="s">
        <v>851</v>
      </c>
      <c r="B439" t="s">
        <v>852</v>
      </c>
      <c r="C439" s="5">
        <v>145611.93</v>
      </c>
      <c r="D439" s="6">
        <f>C439*(1-$G$1)*(1-$G$2)</f>
      </c>
      <c r="E439" s="5">
        <f>D439*$G$3*(1+$G$4)</f>
      </c>
      <c r="F439" s="7"/>
      <c r="G439" s="5">
        <f>IF(ISBLANK(F439), "", E439*F439)</f>
      </c>
    </row>
    <row r="440" spans="1:7" x14ac:dyDescent="0.25">
      <c r="A440" t="s">
        <v>853</v>
      </c>
      <c r="B440" t="s">
        <v>854</v>
      </c>
      <c r="C440" s="5">
        <v>257488.44</v>
      </c>
      <c r="D440" s="6">
        <f>C440*(1-$G$1)*(1-$G$2)</f>
      </c>
      <c r="E440" s="5">
        <f>D440*$G$3*(1+$G$4)</f>
      </c>
      <c r="F440" s="7"/>
      <c r="G440" s="5">
        <f>IF(ISBLANK(F440), "", E440*F440)</f>
      </c>
    </row>
    <row r="441" spans="1:7" x14ac:dyDescent="0.25">
      <c r="A441" t="s">
        <v>855</v>
      </c>
      <c r="B441" t="s">
        <v>854</v>
      </c>
      <c r="C441" s="5">
        <v>283237.28</v>
      </c>
      <c r="D441" s="6">
        <f>C441*(1-$G$1)*(1-$G$2)</f>
      </c>
      <c r="E441" s="5">
        <f>D441*$G$3*(1+$G$4)</f>
      </c>
      <c r="F441" s="7"/>
      <c r="G441" s="5">
        <f>IF(ISBLANK(F441), "", E441*F441)</f>
      </c>
    </row>
    <row r="442" spans="1:7" x14ac:dyDescent="0.25">
      <c r="A442" t="s">
        <v>856</v>
      </c>
      <c r="B442" t="s">
        <v>857</v>
      </c>
      <c r="C442" s="5">
        <v>139520.66</v>
      </c>
      <c r="D442" s="6">
        <f>C442*(1-$G$1)*(1-$G$2)</f>
      </c>
      <c r="E442" s="5">
        <f>D442*$G$3*(1+$G$4)</f>
      </c>
      <c r="F442" s="7"/>
      <c r="G442" s="5">
        <f>IF(ISBLANK(F442), "", E442*F442)</f>
      </c>
    </row>
    <row r="443" spans="1:7" x14ac:dyDescent="0.25">
      <c r="A443" t="s">
        <v>858</v>
      </c>
      <c r="B443" t="s">
        <v>857</v>
      </c>
      <c r="C443" s="5">
        <v>153472.86</v>
      </c>
      <c r="D443" s="6">
        <f>C443*(1-$G$1)*(1-$G$2)</f>
      </c>
      <c r="E443" s="5">
        <f>D443*$G$3*(1+$G$4)</f>
      </c>
      <c r="F443" s="7"/>
      <c r="G443" s="5">
        <f>IF(ISBLANK(F443), "", E443*F443)</f>
      </c>
    </row>
    <row r="444" spans="1:7" x14ac:dyDescent="0.25">
      <c r="A444" t="s">
        <v>859</v>
      </c>
      <c r="B444" t="s">
        <v>860</v>
      </c>
      <c r="C444" s="5">
        <v>184813</v>
      </c>
      <c r="D444" s="6">
        <f>C444*(1-$G$1)*(1-$G$2)</f>
      </c>
      <c r="E444" s="5">
        <f>D444*$G$3*(1+$G$4)</f>
      </c>
      <c r="F444" s="7"/>
      <c r="G444" s="5">
        <f>IF(ISBLANK(F444), "", E444*F444)</f>
      </c>
    </row>
    <row r="445" spans="1:7" x14ac:dyDescent="0.25">
      <c r="A445" t="s">
        <v>861</v>
      </c>
      <c r="B445" t="s">
        <v>862</v>
      </c>
      <c r="C445" s="5">
        <v>53722.55</v>
      </c>
      <c r="D445" s="6">
        <f>C445*(1-$G$1)*(1-$G$2)</f>
      </c>
      <c r="E445" s="5">
        <f>D445*$G$3*(1+$G$4)</f>
      </c>
      <c r="F445" s="7"/>
      <c r="G445" s="5">
        <f>IF(ISBLANK(F445), "", E445*F445)</f>
      </c>
    </row>
    <row r="446" spans="1:7" x14ac:dyDescent="0.25">
      <c r="A446" t="s">
        <v>863</v>
      </c>
      <c r="B446" t="s">
        <v>864</v>
      </c>
      <c r="C446" s="5">
        <v>113771.61</v>
      </c>
      <c r="D446" s="6">
        <f>C446*(1-$G$1)*(1-$G$2)</f>
      </c>
      <c r="E446" s="5">
        <f>D446*$G$3*(1+$G$4)</f>
      </c>
      <c r="F446" s="7"/>
      <c r="G446" s="5">
        <f>IF(ISBLANK(F446), "", E446*F446)</f>
      </c>
    </row>
    <row r="447" spans="1:7" x14ac:dyDescent="0.25">
      <c r="A447" t="s">
        <v>865</v>
      </c>
      <c r="B447" t="s">
        <v>866</v>
      </c>
      <c r="C447" s="5">
        <v>363447.98</v>
      </c>
      <c r="D447" s="6">
        <f>C447*(1-$G$1)*(1-$G$2)</f>
      </c>
      <c r="E447" s="5">
        <f>D447*$G$3*(1+$G$4)</f>
      </c>
      <c r="F447" s="7"/>
      <c r="G447" s="5">
        <f>IF(ISBLANK(F447), "", E447*F447)</f>
      </c>
    </row>
    <row r="448" spans="1:7" x14ac:dyDescent="0.25">
      <c r="A448" t="s">
        <v>867</v>
      </c>
      <c r="B448" t="s">
        <v>866</v>
      </c>
      <c r="C448" s="5">
        <v>411474.98</v>
      </c>
      <c r="D448" s="6">
        <f>C448*(1-$G$1)*(1-$G$2)</f>
      </c>
      <c r="E448" s="5">
        <f>D448*$G$3*(1+$G$4)</f>
      </c>
      <c r="F448" s="7"/>
      <c r="G448" s="5">
        <f>IF(ISBLANK(F448), "", E448*F448)</f>
      </c>
    </row>
    <row r="449" spans="1:7" x14ac:dyDescent="0.25">
      <c r="A449" t="s">
        <v>868</v>
      </c>
      <c r="B449" t="s">
        <v>869</v>
      </c>
      <c r="C449" s="5">
        <v>370257.47</v>
      </c>
      <c r="D449" s="6">
        <f>C449*(1-$G$1)*(1-$G$2)</f>
      </c>
      <c r="E449" s="5">
        <f>D449*$G$3*(1+$G$4)</f>
      </c>
      <c r="F449" s="7"/>
      <c r="G449" s="5">
        <f>IF(ISBLANK(F449), "", E449*F449)</f>
      </c>
    </row>
    <row r="450" spans="1:7" x14ac:dyDescent="0.25">
      <c r="A450" t="s">
        <v>870</v>
      </c>
      <c r="B450" t="s">
        <v>871</v>
      </c>
      <c r="C450" s="5">
        <v>228813.16</v>
      </c>
      <c r="D450" s="6">
        <f>C450*(1-$G$1)*(1-$G$2)</f>
      </c>
      <c r="E450" s="5">
        <f>D450*$G$3*(1+$G$4)</f>
      </c>
      <c r="F450" s="7"/>
      <c r="G450" s="5">
        <f>IF(ISBLANK(F450), "", E450*F450)</f>
      </c>
    </row>
    <row r="451" spans="1:7" x14ac:dyDescent="0.25">
      <c r="A451" t="s">
        <v>872</v>
      </c>
      <c r="B451" t="s">
        <v>873</v>
      </c>
      <c r="C451" s="5">
        <v>95512.82</v>
      </c>
      <c r="D451" s="6">
        <f>C451*(1-$G$1)*(1-$G$2)</f>
      </c>
      <c r="E451" s="5">
        <f>D451*$G$3*(1+$G$4)</f>
      </c>
      <c r="F451" s="7"/>
      <c r="G451" s="5">
        <f>IF(ISBLANK(F451), "", E451*F451)</f>
      </c>
    </row>
    <row r="452" spans="1:7" x14ac:dyDescent="0.25">
      <c r="A452" t="s">
        <v>874</v>
      </c>
      <c r="B452" t="s">
        <v>875</v>
      </c>
      <c r="C452" s="5">
        <v>434305.62</v>
      </c>
      <c r="D452" s="6">
        <f>C452*(1-$G$1)*(1-$G$2)</f>
      </c>
      <c r="E452" s="5">
        <f>D452*$G$3*(1+$G$4)</f>
      </c>
      <c r="F452" s="7"/>
      <c r="G452" s="5">
        <f>IF(ISBLANK(F452), "", E452*F452)</f>
      </c>
    </row>
    <row r="453" spans="1:7" x14ac:dyDescent="0.25">
      <c r="A453" t="s">
        <v>876</v>
      </c>
      <c r="B453" t="s">
        <v>877</v>
      </c>
      <c r="C453" s="5">
        <v>415971.2</v>
      </c>
      <c r="D453" s="6">
        <f>C453*(1-$G$1)*(1-$G$2)</f>
      </c>
      <c r="E453" s="5">
        <f>D453*$G$3*(1+$G$4)</f>
      </c>
      <c r="F453" s="7"/>
      <c r="G453" s="5">
        <f>IF(ISBLANK(F453), "", E453*F453)</f>
      </c>
    </row>
    <row r="454" spans="1:7" x14ac:dyDescent="0.25">
      <c r="A454" t="s">
        <v>878</v>
      </c>
      <c r="B454" t="s">
        <v>879</v>
      </c>
      <c r="C454" s="5">
        <v>551252.58</v>
      </c>
      <c r="D454" s="6">
        <f>C454*(1-$G$1)*(1-$G$2)</f>
      </c>
      <c r="E454" s="5">
        <f>D454*$G$3*(1+$G$4)</f>
      </c>
      <c r="F454" s="7"/>
      <c r="G454" s="5">
        <f>IF(ISBLANK(F454), "", E454*F454)</f>
      </c>
    </row>
    <row r="455" spans="1:7" x14ac:dyDescent="0.25">
      <c r="A455" t="s">
        <v>880</v>
      </c>
      <c r="B455" t="s">
        <v>881</v>
      </c>
      <c r="C455" s="5">
        <v>416912.65</v>
      </c>
      <c r="D455" s="6">
        <f>C455*(1-$G$1)*(1-$G$2)</f>
      </c>
      <c r="E455" s="5">
        <f>D455*$G$3*(1+$G$4)</f>
      </c>
      <c r="F455" s="7"/>
      <c r="G455" s="5">
        <f>IF(ISBLANK(F455), "", E455*F455)</f>
      </c>
    </row>
    <row r="456" spans="1:7" x14ac:dyDescent="0.25">
      <c r="A456" t="s">
        <v>882</v>
      </c>
      <c r="B456" t="s">
        <v>883</v>
      </c>
      <c r="C456" s="5">
        <v>294301.43</v>
      </c>
      <c r="D456" s="6">
        <f>C456*(1-$G$1)*(1-$G$2)</f>
      </c>
      <c r="E456" s="5">
        <f>D456*$G$3*(1+$G$4)</f>
      </c>
      <c r="F456" s="7"/>
      <c r="G456" s="5">
        <f>IF(ISBLANK(F456), "", E456*F456)</f>
      </c>
    </row>
    <row r="457" spans="1:7" x14ac:dyDescent="0.25">
      <c r="A457" t="s">
        <v>884</v>
      </c>
      <c r="B457" t="s">
        <v>885</v>
      </c>
      <c r="C457" s="5">
        <v>267546.83</v>
      </c>
      <c r="D457" s="6">
        <f>C457*(1-$G$1)*(1-$G$2)</f>
      </c>
      <c r="E457" s="5">
        <f>D457*$G$3*(1+$G$4)</f>
      </c>
      <c r="F457" s="7"/>
      <c r="G457" s="5">
        <f>IF(ISBLANK(F457), "", E457*F457)</f>
      </c>
    </row>
    <row r="458" spans="1:7" x14ac:dyDescent="0.25">
      <c r="A458" t="s">
        <v>886</v>
      </c>
      <c r="B458" t="s">
        <v>887</v>
      </c>
      <c r="C458" s="5">
        <v>106674.79</v>
      </c>
      <c r="D458" s="6">
        <f>C458*(1-$G$1)*(1-$G$2)</f>
      </c>
      <c r="E458" s="5">
        <f>D458*$G$3*(1+$G$4)</f>
      </c>
      <c r="F458" s="7"/>
      <c r="G458" s="5">
        <f>IF(ISBLANK(F458), "", E458*F458)</f>
      </c>
    </row>
    <row r="459" spans="1:7" x14ac:dyDescent="0.25">
      <c r="A459" t="s">
        <v>888</v>
      </c>
      <c r="B459" t="s">
        <v>889</v>
      </c>
      <c r="C459" s="5">
        <v>225470.16</v>
      </c>
      <c r="D459" s="6">
        <f>C459*(1-$G$1)*(1-$G$2)</f>
      </c>
      <c r="E459" s="5">
        <f>D459*$G$3*(1+$G$4)</f>
      </c>
      <c r="F459" s="7"/>
      <c r="G459" s="5">
        <f>IF(ISBLANK(F459), "", E459*F459)</f>
      </c>
    </row>
    <row r="460" spans="1:7" x14ac:dyDescent="0.25">
      <c r="A460" t="s">
        <v>890</v>
      </c>
      <c r="B460" t="s">
        <v>891</v>
      </c>
      <c r="C460" s="5">
        <v>170810.74</v>
      </c>
      <c r="D460" s="6">
        <f>C460*(1-$G$1)*(1-$G$2)</f>
      </c>
      <c r="E460" s="5">
        <f>D460*$G$3*(1+$G$4)</f>
      </c>
      <c r="F460" s="7"/>
      <c r="G460" s="5">
        <f>IF(ISBLANK(F460), "", E460*F460)</f>
      </c>
    </row>
    <row r="461" spans="1:7" x14ac:dyDescent="0.25">
      <c r="A461" t="s">
        <v>892</v>
      </c>
      <c r="B461" t="s">
        <v>891</v>
      </c>
      <c r="C461" s="5">
        <v>187891.89</v>
      </c>
      <c r="D461" s="6">
        <f>C461*(1-$G$1)*(1-$G$2)</f>
      </c>
      <c r="E461" s="5">
        <f>D461*$G$3*(1+$G$4)</f>
      </c>
      <c r="F461" s="7"/>
      <c r="G461" s="5">
        <f>IF(ISBLANK(F461), "", E461*F461)</f>
      </c>
    </row>
    <row r="462" spans="1:7" x14ac:dyDescent="0.25">
      <c r="A462" t="s">
        <v>893</v>
      </c>
      <c r="B462" t="s">
        <v>894</v>
      </c>
      <c r="C462" s="5">
        <v>382185.06</v>
      </c>
      <c r="D462" s="6">
        <f>C462*(1-$G$1)*(1-$G$2)</f>
      </c>
      <c r="E462" s="5">
        <f>D462*$G$3*(1+$G$4)</f>
      </c>
      <c r="F462" s="7"/>
      <c r="G462" s="5">
        <f>IF(ISBLANK(F462), "", E462*F462)</f>
      </c>
    </row>
    <row r="463" spans="1:7" x14ac:dyDescent="0.25">
      <c r="A463" t="s">
        <v>895</v>
      </c>
      <c r="B463" t="s">
        <v>896</v>
      </c>
      <c r="C463" s="5">
        <v>661147.77</v>
      </c>
      <c r="D463" s="6">
        <f>C463*(1-$G$1)*(1-$G$2)</f>
      </c>
      <c r="E463" s="5">
        <f>D463*$G$3*(1+$G$4)</f>
      </c>
      <c r="F463" s="7"/>
      <c r="G463" s="5">
        <f>IF(ISBLANK(F463), "", E463*F463)</f>
      </c>
    </row>
    <row r="464" spans="1:7" x14ac:dyDescent="0.25">
      <c r="A464" t="s">
        <v>897</v>
      </c>
      <c r="B464" t="s">
        <v>896</v>
      </c>
      <c r="C464" s="5">
        <v>528918.84</v>
      </c>
      <c r="D464" s="6">
        <f>C464*(1-$G$1)*(1-$G$2)</f>
      </c>
      <c r="E464" s="5">
        <f>D464*$G$3*(1+$G$4)</f>
      </c>
      <c r="F464" s="7"/>
      <c r="G464" s="5">
        <f>IF(ISBLANK(F464), "", E464*F464)</f>
      </c>
    </row>
    <row r="465" spans="1:7" x14ac:dyDescent="0.25">
      <c r="A465" t="s">
        <v>898</v>
      </c>
      <c r="B465" t="s">
        <v>899</v>
      </c>
      <c r="C465" s="5">
        <v>269262.97</v>
      </c>
      <c r="D465" s="6">
        <f>C465*(1-$G$1)*(1-$G$2)</f>
      </c>
      <c r="E465" s="5">
        <f>D465*$G$3*(1+$G$4)</f>
      </c>
      <c r="F465" s="7"/>
      <c r="G465" s="5">
        <f>IF(ISBLANK(F465), "", E465*F465)</f>
      </c>
    </row>
    <row r="466" spans="1:7" x14ac:dyDescent="0.25">
      <c r="A466" t="s">
        <v>900</v>
      </c>
      <c r="B466" t="s">
        <v>899</v>
      </c>
      <c r="C466" s="5">
        <v>244784.59</v>
      </c>
      <c r="D466" s="6">
        <f>C466*(1-$G$1)*(1-$G$2)</f>
      </c>
      <c r="E466" s="5">
        <f>D466*$G$3*(1+$G$4)</f>
      </c>
      <c r="F466" s="7"/>
      <c r="G466" s="5">
        <f>IF(ISBLANK(F466), "", E466*F466)</f>
      </c>
    </row>
    <row r="467" spans="1:7" x14ac:dyDescent="0.25">
      <c r="A467" t="s">
        <v>901</v>
      </c>
      <c r="B467" t="s">
        <v>902</v>
      </c>
      <c r="C467" s="5">
        <v>114041.44</v>
      </c>
      <c r="D467" s="6">
        <f>C467*(1-$G$1)*(1-$G$2)</f>
      </c>
      <c r="E467" s="5">
        <f>D467*$G$3*(1+$G$4)</f>
      </c>
      <c r="F467" s="7"/>
      <c r="G467" s="5">
        <f>IF(ISBLANK(F467), "", E467*F467)</f>
      </c>
    </row>
    <row r="468" spans="1:7" x14ac:dyDescent="0.25">
      <c r="A468" t="s">
        <v>903</v>
      </c>
      <c r="B468" t="s">
        <v>904</v>
      </c>
      <c r="C468" s="5">
        <v>243227.62</v>
      </c>
      <c r="D468" s="6">
        <f>C468*(1-$G$1)*(1-$G$2)</f>
      </c>
      <c r="E468" s="5">
        <f>D468*$G$3*(1+$G$4)</f>
      </c>
      <c r="F468" s="7"/>
      <c r="G468" s="5">
        <f>IF(ISBLANK(F468), "", E468*F468)</f>
      </c>
    </row>
    <row r="469" spans="1:7" x14ac:dyDescent="0.25">
      <c r="A469" t="s">
        <v>905</v>
      </c>
      <c r="B469" t="s">
        <v>906</v>
      </c>
      <c r="C469" s="5">
        <v>115438.63</v>
      </c>
      <c r="D469" s="6">
        <f>C469*(1-$G$1)*(1-$G$2)</f>
      </c>
      <c r="E469" s="5">
        <f>D469*$G$3*(1+$G$4)</f>
      </c>
      <c r="F469" s="7"/>
      <c r="G469" s="5">
        <f>IF(ISBLANK(F469), "", E469*F469)</f>
      </c>
    </row>
    <row r="470" spans="1:7" x14ac:dyDescent="0.25">
      <c r="A470" t="s">
        <v>907</v>
      </c>
      <c r="B470" t="s">
        <v>906</v>
      </c>
      <c r="C470" s="5">
        <v>126982.57</v>
      </c>
      <c r="D470" s="6">
        <f>C470*(1-$G$1)*(1-$G$2)</f>
      </c>
      <c r="E470" s="5">
        <f>D470*$G$3*(1+$G$4)</f>
      </c>
      <c r="F470" s="7"/>
      <c r="G470" s="5">
        <f>IF(ISBLANK(F470), "", E470*F470)</f>
      </c>
    </row>
    <row r="471" spans="1:7" x14ac:dyDescent="0.25">
      <c r="A471" t="s">
        <v>908</v>
      </c>
      <c r="B471" t="s">
        <v>909</v>
      </c>
      <c r="C471" s="5">
        <v>71025.56</v>
      </c>
      <c r="D471" s="6">
        <f>C471*(1-$G$1)*(1-$G$2)</f>
      </c>
      <c r="E471" s="5">
        <f>D471*$G$3*(1+$G$4)</f>
      </c>
      <c r="F471" s="7"/>
      <c r="G471" s="5">
        <f>IF(ISBLANK(F471), "", E471*F471)</f>
      </c>
    </row>
    <row r="472" spans="1:7" x14ac:dyDescent="0.25">
      <c r="A472" t="s">
        <v>910</v>
      </c>
      <c r="B472" t="s">
        <v>911</v>
      </c>
      <c r="C472" s="5">
        <v>94540.37</v>
      </c>
      <c r="D472" s="6">
        <f>C472*(1-$G$1)*(1-$G$2)</f>
      </c>
      <c r="E472" s="5">
        <f>D472*$G$3*(1+$G$4)</f>
      </c>
      <c r="F472" s="7"/>
      <c r="G472" s="5">
        <f>IF(ISBLANK(F472), "", E472*F472)</f>
      </c>
    </row>
    <row r="473" spans="1:7" x14ac:dyDescent="0.25">
      <c r="A473" t="s">
        <v>912</v>
      </c>
      <c r="B473" t="s">
        <v>913</v>
      </c>
      <c r="C473" s="5">
        <v>302022.03</v>
      </c>
      <c r="D473" s="6">
        <f>C473*(1-$G$1)*(1-$G$2)</f>
      </c>
      <c r="E473" s="5">
        <f>D473*$G$3*(1+$G$4)</f>
      </c>
      <c r="F473" s="7"/>
      <c r="G473" s="5">
        <f>IF(ISBLANK(F473), "", E473*F473)</f>
      </c>
    </row>
    <row r="474" spans="1:7" x14ac:dyDescent="0.25">
      <c r="A474" t="s">
        <v>914</v>
      </c>
      <c r="B474" t="s">
        <v>915</v>
      </c>
      <c r="C474" s="5">
        <v>74448.65</v>
      </c>
      <c r="D474" s="6">
        <f>C474*(1-$G$1)*(1-$G$2)</f>
      </c>
      <c r="E474" s="5">
        <f>D474*$G$3*(1+$G$4)</f>
      </c>
      <c r="F474" s="7"/>
      <c r="G474" s="5">
        <f>IF(ISBLANK(F474), "", E474*F474)</f>
      </c>
    </row>
    <row r="475" spans="1:7" x14ac:dyDescent="0.25">
      <c r="A475" t="s">
        <v>916</v>
      </c>
      <c r="B475" t="s">
        <v>917</v>
      </c>
      <c r="C475" s="5">
        <v>57862.43</v>
      </c>
      <c r="D475" s="6">
        <f>C475*(1-$G$1)*(1-$G$2)</f>
      </c>
      <c r="E475" s="5">
        <f>D475*$G$3*(1+$G$4)</f>
      </c>
      <c r="F475" s="7"/>
      <c r="G475" s="5">
        <f>IF(ISBLANK(F475), "", E475*F475)</f>
      </c>
    </row>
    <row r="476" spans="1:7" x14ac:dyDescent="0.25">
      <c r="A476" t="s">
        <v>918</v>
      </c>
      <c r="B476" t="s">
        <v>919</v>
      </c>
      <c r="C476" s="5">
        <v>78336.29</v>
      </c>
      <c r="D476" s="6">
        <f>C476*(1-$G$1)*(1-$G$2)</f>
      </c>
      <c r="E476" s="5">
        <f>D476*$G$3*(1+$G$4)</f>
      </c>
      <c r="F476" s="7"/>
      <c r="G476" s="5">
        <f>IF(ISBLANK(F476), "", E476*F476)</f>
      </c>
    </row>
    <row r="477" spans="1:7" x14ac:dyDescent="0.25">
      <c r="A477" t="s">
        <v>920</v>
      </c>
      <c r="B477" t="s">
        <v>921</v>
      </c>
      <c r="C477" s="5">
        <v>133070.25</v>
      </c>
      <c r="D477" s="6">
        <f>C477*(1-$G$1)*(1-$G$2)</f>
      </c>
      <c r="E477" s="5">
        <f>D477*$G$3*(1+$G$4)</f>
      </c>
      <c r="F477" s="7"/>
      <c r="G477" s="5">
        <f>IF(ISBLANK(F477), "", E477*F477)</f>
      </c>
    </row>
    <row r="478" spans="1:7" x14ac:dyDescent="0.25">
      <c r="A478" t="s">
        <v>922</v>
      </c>
      <c r="B478" t="s">
        <v>923</v>
      </c>
      <c r="C478" s="5">
        <v>62664.33</v>
      </c>
      <c r="D478" s="6">
        <f>C478*(1-$G$1)*(1-$G$2)</f>
      </c>
      <c r="E478" s="5">
        <f>D478*$G$3*(1+$G$4)</f>
      </c>
      <c r="F478" s="7"/>
      <c r="G478" s="5">
        <f>IF(ISBLANK(F478), "", E478*F478)</f>
      </c>
    </row>
    <row r="479" spans="1:7" x14ac:dyDescent="0.25">
      <c r="A479" t="s">
        <v>924</v>
      </c>
      <c r="B479" t="s">
        <v>925</v>
      </c>
      <c r="C479" s="5">
        <v>355247.36</v>
      </c>
      <c r="D479" s="6">
        <f>C479*(1-$G$1)*(1-$G$2)</f>
      </c>
      <c r="E479" s="5">
        <f>D479*$G$3*(1+$G$4)</f>
      </c>
      <c r="F479" s="7"/>
      <c r="G479" s="5">
        <f>IF(ISBLANK(F479), "", E479*F479)</f>
      </c>
    </row>
    <row r="480" spans="1:7" x14ac:dyDescent="0.25">
      <c r="A480" t="s">
        <v>926</v>
      </c>
      <c r="B480" t="s">
        <v>927</v>
      </c>
      <c r="C480" s="5">
        <v>168814.88</v>
      </c>
      <c r="D480" s="6">
        <f>C480*(1-$G$1)*(1-$G$2)</f>
      </c>
      <c r="E480" s="5">
        <f>D480*$G$3*(1+$G$4)</f>
      </c>
      <c r="F480" s="7"/>
      <c r="G480" s="5">
        <f>IF(ISBLANK(F480), "", E480*F480)</f>
      </c>
    </row>
    <row r="481" spans="1:7" x14ac:dyDescent="0.25">
      <c r="A481" t="s">
        <v>928</v>
      </c>
      <c r="B481" t="s">
        <v>929</v>
      </c>
      <c r="C481" s="5">
        <v>52602.23</v>
      </c>
      <c r="D481" s="6">
        <f>C481*(1-$G$1)*(1-$G$2)</f>
      </c>
      <c r="E481" s="5">
        <f>D481*$G$3*(1+$G$4)</f>
      </c>
      <c r="F481" s="7"/>
      <c r="G481" s="5">
        <f>IF(ISBLANK(F481), "", E481*F481)</f>
      </c>
    </row>
    <row r="482" spans="1:7" x14ac:dyDescent="0.25">
      <c r="A482" t="s">
        <v>930</v>
      </c>
      <c r="B482" t="s">
        <v>931</v>
      </c>
      <c r="C482" s="5">
        <v>474045.54</v>
      </c>
      <c r="D482" s="6">
        <f>C482*(1-$G$1)*(1-$G$2)</f>
      </c>
      <c r="E482" s="5">
        <f>D482*$G$3*(1+$G$4)</f>
      </c>
      <c r="F482" s="7"/>
      <c r="G482" s="5">
        <f>IF(ISBLANK(F482), "", E482*F482)</f>
      </c>
    </row>
    <row r="483" spans="1:7" x14ac:dyDescent="0.25">
      <c r="A483" t="s">
        <v>932</v>
      </c>
      <c r="B483" t="s">
        <v>933</v>
      </c>
      <c r="C483" s="5">
        <v>846558.36</v>
      </c>
      <c r="D483" s="6">
        <f>C483*(1-$G$1)*(1-$G$2)</f>
      </c>
      <c r="E483" s="5">
        <f>D483*$G$3*(1+$G$4)</f>
      </c>
      <c r="F483" s="7"/>
      <c r="G483" s="5">
        <f>IF(ISBLANK(F483), "", E483*F483)</f>
      </c>
    </row>
    <row r="484" spans="1:7" x14ac:dyDescent="0.25">
      <c r="A484" t="s">
        <v>934</v>
      </c>
      <c r="B484" t="s">
        <v>935</v>
      </c>
      <c r="C484" s="5">
        <v>468197.6</v>
      </c>
      <c r="D484" s="6">
        <f>C484*(1-$G$1)*(1-$G$2)</f>
      </c>
      <c r="E484" s="5">
        <f>D484*$G$3*(1+$G$4)</f>
      </c>
      <c r="F484" s="7"/>
      <c r="G484" s="5">
        <f>IF(ISBLANK(F484), "", E484*F484)</f>
      </c>
    </row>
    <row r="485" spans="1:7" x14ac:dyDescent="0.25">
      <c r="A485" t="s">
        <v>936</v>
      </c>
      <c r="B485" t="s">
        <v>937</v>
      </c>
      <c r="C485" s="5">
        <v>514173.8</v>
      </c>
      <c r="D485" s="6">
        <f>C485*(1-$G$1)*(1-$G$2)</f>
      </c>
      <c r="E485" s="5">
        <f>D485*$G$3*(1+$G$4)</f>
      </c>
      <c r="F485" s="7"/>
      <c r="G485" s="5">
        <f>IF(ISBLANK(F485), "", E485*F485)</f>
      </c>
    </row>
    <row r="486" spans="1:7" x14ac:dyDescent="0.25">
      <c r="A486" t="s">
        <v>938</v>
      </c>
      <c r="B486" t="s">
        <v>937</v>
      </c>
      <c r="C486" s="5">
        <v>467430.78</v>
      </c>
      <c r="D486" s="6">
        <f>C486*(1-$G$1)*(1-$G$2)</f>
      </c>
      <c r="E486" s="5">
        <f>D486*$G$3*(1+$G$4)</f>
      </c>
      <c r="F486" s="7"/>
      <c r="G486" s="5">
        <f>IF(ISBLANK(F486), "", E486*F486)</f>
      </c>
    </row>
    <row r="487" spans="1:7" x14ac:dyDescent="0.25">
      <c r="A487" t="s">
        <v>939</v>
      </c>
      <c r="B487" t="s">
        <v>940</v>
      </c>
      <c r="C487" s="5">
        <v>201922.24</v>
      </c>
      <c r="D487" s="6">
        <f>C487*(1-$G$1)*(1-$G$2)</f>
      </c>
      <c r="E487" s="5">
        <f>D487*$G$3*(1+$G$4)</f>
      </c>
      <c r="F487" s="7"/>
      <c r="G487" s="5">
        <f>IF(ISBLANK(F487), "", E487*F487)</f>
      </c>
    </row>
    <row r="488" spans="1:7" x14ac:dyDescent="0.25">
      <c r="A488" t="s">
        <v>941</v>
      </c>
      <c r="B488" t="s">
        <v>942</v>
      </c>
      <c r="C488" s="5">
        <v>63648.72</v>
      </c>
      <c r="D488" s="6">
        <f>C488*(1-$G$1)*(1-$G$2)</f>
      </c>
      <c r="E488" s="5">
        <f>D488*$G$3*(1+$G$4)</f>
      </c>
      <c r="F488" s="7"/>
      <c r="G488" s="5">
        <f>IF(ISBLANK(F488), "", E488*F488)</f>
      </c>
    </row>
    <row r="489" spans="1:7" x14ac:dyDescent="0.25">
      <c r="A489" t="s">
        <v>943</v>
      </c>
      <c r="B489" t="s">
        <v>944</v>
      </c>
      <c r="C489" s="5">
        <v>74448.65</v>
      </c>
      <c r="D489" s="6">
        <f>C489*(1-$G$1)*(1-$G$2)</f>
      </c>
      <c r="E489" s="5">
        <f>D489*$G$3*(1+$G$4)</f>
      </c>
      <c r="F489" s="7"/>
      <c r="G489" s="5">
        <f>IF(ISBLANK(F489), "", E489*F489)</f>
      </c>
    </row>
    <row r="490" spans="1:7" x14ac:dyDescent="0.25">
      <c r="A490" t="s">
        <v>945</v>
      </c>
      <c r="B490" t="s">
        <v>946</v>
      </c>
      <c r="C490" s="5">
        <v>392844.35</v>
      </c>
      <c r="D490" s="6">
        <f>C490*(1-$G$1)*(1-$G$2)</f>
      </c>
      <c r="E490" s="5">
        <f>D490*$G$3*(1+$G$4)</f>
      </c>
      <c r="F490" s="7"/>
      <c r="G490" s="5">
        <f>IF(ISBLANK(F490), "", E490*F490)</f>
      </c>
    </row>
    <row r="491" spans="1:7" x14ac:dyDescent="0.25">
      <c r="A491" t="s">
        <v>947</v>
      </c>
      <c r="B491" t="s">
        <v>948</v>
      </c>
      <c r="C491" s="5">
        <v>108908.64</v>
      </c>
      <c r="D491" s="6">
        <f>C491*(1-$G$1)*(1-$G$2)</f>
      </c>
      <c r="E491" s="5">
        <f>D491*$G$3*(1+$G$4)</f>
      </c>
      <c r="F491" s="7"/>
      <c r="G491" s="5">
        <f>IF(ISBLANK(F491), "", E491*F491)</f>
      </c>
    </row>
    <row r="492" spans="1:7" x14ac:dyDescent="0.25">
      <c r="A492" t="s">
        <v>949</v>
      </c>
      <c r="B492" t="s">
        <v>950</v>
      </c>
      <c r="C492" s="5">
        <v>109195.31</v>
      </c>
      <c r="D492" s="6">
        <f>C492*(1-$G$1)*(1-$G$2)</f>
      </c>
      <c r="E492" s="5">
        <f>D492*$G$3*(1+$G$4)</f>
      </c>
      <c r="F492" s="7"/>
      <c r="G492" s="5">
        <f>IF(ISBLANK(F492), "", E492*F492)</f>
      </c>
    </row>
    <row r="493" spans="1:7" x14ac:dyDescent="0.25">
      <c r="A493" t="s">
        <v>951</v>
      </c>
      <c r="B493" t="s">
        <v>952</v>
      </c>
      <c r="C493" s="5">
        <v>47815.43</v>
      </c>
      <c r="D493" s="6">
        <f>C493*(1-$G$1)*(1-$G$2)</f>
      </c>
      <c r="E493" s="5">
        <f>D493*$G$3*(1+$G$4)</f>
      </c>
      <c r="F493" s="7"/>
      <c r="G493" s="5">
        <f>IF(ISBLANK(F493), "", E493*F493)</f>
      </c>
    </row>
    <row r="494" spans="1:7" x14ac:dyDescent="0.25">
      <c r="A494" t="s">
        <v>953</v>
      </c>
      <c r="B494" t="s">
        <v>954</v>
      </c>
      <c r="C494" s="5">
        <v>103412.9</v>
      </c>
      <c r="D494" s="6">
        <f>C494*(1-$G$1)*(1-$G$2)</f>
      </c>
      <c r="E494" s="5">
        <f>D494*$G$3*(1+$G$4)</f>
      </c>
      <c r="F494" s="7"/>
      <c r="G494" s="5">
        <f>IF(ISBLANK(F494), "", E494*F494)</f>
      </c>
    </row>
    <row r="495" spans="1:7" x14ac:dyDescent="0.25">
      <c r="A495" t="s">
        <v>955</v>
      </c>
      <c r="B495" t="s">
        <v>956</v>
      </c>
      <c r="C495" s="5">
        <v>113753.55</v>
      </c>
      <c r="D495" s="6">
        <f>C495*(1-$G$1)*(1-$G$2)</f>
      </c>
      <c r="E495" s="5">
        <f>D495*$G$3*(1+$G$4)</f>
      </c>
      <c r="F495" s="7"/>
      <c r="G495" s="5">
        <f>IF(ISBLANK(F495), "", E495*F495)</f>
      </c>
    </row>
    <row r="496" spans="1:7" x14ac:dyDescent="0.25">
      <c r="A496" t="s">
        <v>957</v>
      </c>
      <c r="B496" t="s">
        <v>958</v>
      </c>
      <c r="C496" s="5">
        <v>139198.44</v>
      </c>
      <c r="D496" s="6">
        <f>C496*(1-$G$1)*(1-$G$2)</f>
      </c>
      <c r="E496" s="5">
        <f>D496*$G$3*(1+$G$4)</f>
      </c>
      <c r="F496" s="7"/>
      <c r="G496" s="5">
        <f>IF(ISBLANK(F496), "", E496*F496)</f>
      </c>
    </row>
    <row r="497" spans="1:7" x14ac:dyDescent="0.25">
      <c r="A497" t="s">
        <v>959</v>
      </c>
      <c r="B497" t="s">
        <v>960</v>
      </c>
      <c r="C497" s="5">
        <v>303329.98</v>
      </c>
      <c r="D497" s="6">
        <f>C497*(1-$G$1)*(1-$G$2)</f>
      </c>
      <c r="E497" s="5">
        <f>D497*$G$3*(1+$G$4)</f>
      </c>
      <c r="F497" s="7"/>
      <c r="G497" s="5">
        <f>IF(ISBLANK(F497), "", E497*F497)</f>
      </c>
    </row>
    <row r="498" spans="1:7" x14ac:dyDescent="0.25">
      <c r="A498" t="s">
        <v>961</v>
      </c>
      <c r="B498" t="s">
        <v>962</v>
      </c>
      <c r="C498" s="5">
        <v>541701.84</v>
      </c>
      <c r="D498" s="6">
        <f>C498*(1-$G$1)*(1-$G$2)</f>
      </c>
      <c r="E498" s="5">
        <f>D498*$G$3*(1+$G$4)</f>
      </c>
      <c r="F498" s="7"/>
      <c r="G498" s="5">
        <f>IF(ISBLANK(F498), "", E498*F498)</f>
      </c>
    </row>
    <row r="499" spans="1:7" x14ac:dyDescent="0.25">
      <c r="A499" t="s">
        <v>963</v>
      </c>
      <c r="B499" t="s">
        <v>962</v>
      </c>
      <c r="C499" s="5">
        <v>313964.86</v>
      </c>
      <c r="D499" s="6">
        <f>C499*(1-$G$1)*(1-$G$2)</f>
      </c>
      <c r="E499" s="5">
        <f>D499*$G$3*(1+$G$4)</f>
      </c>
      <c r="F499" s="7"/>
      <c r="G499" s="5">
        <f>IF(ISBLANK(F499), "", E499*F499)</f>
      </c>
    </row>
    <row r="500" spans="1:7" x14ac:dyDescent="0.25">
      <c r="A500" t="s">
        <v>964</v>
      </c>
      <c r="B500" t="s">
        <v>965</v>
      </c>
      <c r="C500" s="5">
        <v>75432.13</v>
      </c>
      <c r="D500" s="6">
        <f>C500*(1-$G$1)*(1-$G$2)</f>
      </c>
      <c r="E500" s="5">
        <f>D500*$G$3*(1+$G$4)</f>
      </c>
      <c r="F500" s="7"/>
      <c r="G500" s="5">
        <f>IF(ISBLANK(F500), "", E500*F500)</f>
      </c>
    </row>
    <row r="501" spans="1:7" x14ac:dyDescent="0.25">
      <c r="A501" t="s">
        <v>966</v>
      </c>
      <c r="B501" t="s">
        <v>967</v>
      </c>
      <c r="C501" s="5">
        <v>276236.28</v>
      </c>
      <c r="D501" s="6">
        <f>C501*(1-$G$1)*(1-$G$2)</f>
      </c>
      <c r="E501" s="5">
        <f>D501*$G$3*(1+$G$4)</f>
      </c>
      <c r="F501" s="7"/>
      <c r="G501" s="5">
        <f>IF(ISBLANK(F501), "", E501*F501)</f>
      </c>
    </row>
    <row r="502" spans="1:7" x14ac:dyDescent="0.25">
      <c r="A502" t="s">
        <v>968</v>
      </c>
      <c r="B502" t="s">
        <v>967</v>
      </c>
      <c r="C502" s="5">
        <v>303859.83</v>
      </c>
      <c r="D502" s="6">
        <f>C502*(1-$G$1)*(1-$G$2)</f>
      </c>
      <c r="E502" s="5">
        <f>D502*$G$3*(1+$G$4)</f>
      </c>
      <c r="F502" s="7"/>
      <c r="G502" s="5">
        <f>IF(ISBLANK(F502), "", E502*F502)</f>
      </c>
    </row>
    <row r="503" spans="1:7" x14ac:dyDescent="0.25">
      <c r="A503" t="s">
        <v>969</v>
      </c>
      <c r="B503" t="s">
        <v>970</v>
      </c>
      <c r="C503" s="5">
        <v>262003.47</v>
      </c>
      <c r="D503" s="6">
        <f>C503*(1-$G$1)*(1-$G$2)</f>
      </c>
      <c r="E503" s="5">
        <f>D503*$G$3*(1+$G$4)</f>
      </c>
      <c r="F503" s="7"/>
      <c r="G503" s="5">
        <f>IF(ISBLANK(F503), "", E503*F503)</f>
      </c>
    </row>
    <row r="504" spans="1:7" x14ac:dyDescent="0.25">
      <c r="A504" t="s">
        <v>971</v>
      </c>
      <c r="B504" t="s">
        <v>970</v>
      </c>
      <c r="C504" s="5">
        <v>288203.86</v>
      </c>
      <c r="D504" s="6">
        <f>C504*(1-$G$1)*(1-$G$2)</f>
      </c>
      <c r="E504" s="5">
        <f>D504*$G$3*(1+$G$4)</f>
      </c>
      <c r="F504" s="7"/>
      <c r="G504" s="5">
        <f>IF(ISBLANK(F504), "", E504*F504)</f>
      </c>
    </row>
    <row r="505" spans="1:7" x14ac:dyDescent="0.25">
      <c r="A505" t="s">
        <v>972</v>
      </c>
      <c r="B505" t="s">
        <v>973</v>
      </c>
      <c r="C505" s="5">
        <v>71025.56</v>
      </c>
      <c r="D505" s="6">
        <f>C505*(1-$G$1)*(1-$G$2)</f>
      </c>
      <c r="E505" s="5">
        <f>D505*$G$3*(1+$G$4)</f>
      </c>
      <c r="F505" s="7"/>
      <c r="G505" s="5">
        <f>IF(ISBLANK(F505), "", E505*F505)</f>
      </c>
    </row>
    <row r="506" spans="1:7" x14ac:dyDescent="0.25">
      <c r="A506" t="s">
        <v>974</v>
      </c>
      <c r="B506" t="s">
        <v>975</v>
      </c>
      <c r="C506" s="5">
        <v>94540.37</v>
      </c>
      <c r="D506" s="6">
        <f>C506*(1-$G$1)*(1-$G$2)</f>
      </c>
      <c r="E506" s="5">
        <f>D506*$G$3*(1+$G$4)</f>
      </c>
      <c r="F506" s="7"/>
      <c r="G506" s="5">
        <f>IF(ISBLANK(F506), "", E506*F506)</f>
      </c>
    </row>
    <row r="507" spans="1:7" x14ac:dyDescent="0.25">
      <c r="A507" t="s">
        <v>976</v>
      </c>
      <c r="B507" t="s">
        <v>975</v>
      </c>
      <c r="C507" s="5">
        <v>94540.37</v>
      </c>
      <c r="D507" s="6">
        <f>C507*(1-$G$1)*(1-$G$2)</f>
      </c>
      <c r="E507" s="5">
        <f>D507*$G$3*(1+$G$4)</f>
      </c>
      <c r="F507" s="7"/>
      <c r="G507" s="5">
        <f>IF(ISBLANK(F507), "", E507*F507)</f>
      </c>
    </row>
    <row r="508" spans="1:7" x14ac:dyDescent="0.25">
      <c r="A508" t="s">
        <v>977</v>
      </c>
      <c r="B508" t="s">
        <v>978</v>
      </c>
      <c r="C508" s="5">
        <v>198627.78</v>
      </c>
      <c r="D508" s="6">
        <f>C508*(1-$G$1)*(1-$G$2)</f>
      </c>
      <c r="E508" s="5">
        <f>D508*$G$3*(1+$G$4)</f>
      </c>
      <c r="F508" s="7"/>
      <c r="G508" s="5">
        <f>IF(ISBLANK(F508), "", E508*F508)</f>
      </c>
    </row>
    <row r="509" spans="1:7" x14ac:dyDescent="0.25">
      <c r="A509" t="s">
        <v>979</v>
      </c>
      <c r="B509" t="s">
        <v>980</v>
      </c>
      <c r="C509" s="5">
        <v>1896034.07</v>
      </c>
      <c r="D509" s="6">
        <f>C509*(1-$G$1)*(1-$G$2)</f>
      </c>
      <c r="E509" s="5">
        <f>D509*$G$3*(1+$G$4)</f>
      </c>
      <c r="F509" s="7"/>
      <c r="G509" s="5">
        <f>IF(ISBLANK(F509), "", E509*F509)</f>
      </c>
    </row>
    <row r="510" spans="1:7" x14ac:dyDescent="0.25">
      <c r="A510" t="s">
        <v>981</v>
      </c>
      <c r="B510" t="s">
        <v>982</v>
      </c>
      <c r="C510" s="5">
        <v>336597.75</v>
      </c>
      <c r="D510" s="6">
        <f>C510*(1-$G$1)*(1-$G$2)</f>
      </c>
      <c r="E510" s="5">
        <f>D510*$G$3*(1+$G$4)</f>
      </c>
      <c r="F510" s="7"/>
      <c r="G510" s="5">
        <f>IF(ISBLANK(F510), "", E510*F510)</f>
      </c>
    </row>
    <row r="511" spans="1:7" x14ac:dyDescent="0.25">
      <c r="A511" t="s">
        <v>983</v>
      </c>
      <c r="B511" t="s">
        <v>984</v>
      </c>
      <c r="C511" s="5">
        <v>245228.69</v>
      </c>
      <c r="D511" s="6">
        <f>C511*(1-$G$1)*(1-$G$2)</f>
      </c>
      <c r="E511" s="5">
        <f>D511*$G$3*(1+$G$4)</f>
      </c>
      <c r="F511" s="7"/>
      <c r="G511" s="5">
        <f>IF(ISBLANK(F511), "", E511*F511)</f>
      </c>
    </row>
    <row r="512" spans="1:7" x14ac:dyDescent="0.25">
      <c r="A512" t="s">
        <v>985</v>
      </c>
      <c r="B512" t="s">
        <v>986</v>
      </c>
      <c r="C512" s="5">
        <v>253258.56</v>
      </c>
      <c r="D512" s="6">
        <f>C512*(1-$G$1)*(1-$G$2)</f>
      </c>
      <c r="E512" s="5">
        <f>D512*$G$3*(1+$G$4)</f>
      </c>
      <c r="F512" s="7"/>
      <c r="G512" s="5">
        <f>IF(ISBLANK(F512), "", E512*F512)</f>
      </c>
    </row>
    <row r="513" spans="1:7" x14ac:dyDescent="0.25">
      <c r="A513" t="s">
        <v>987</v>
      </c>
      <c r="B513" t="s">
        <v>988</v>
      </c>
      <c r="C513" s="5">
        <v>44396.2</v>
      </c>
      <c r="D513" s="6">
        <f>C513*(1-$G$1)*(1-$G$2)</f>
      </c>
      <c r="E513" s="5">
        <f>D513*$G$3*(1+$G$4)</f>
      </c>
      <c r="F513" s="7"/>
      <c r="G513" s="5">
        <f>IF(ISBLANK(F513), "", E513*F513)</f>
      </c>
    </row>
    <row r="514" spans="1:7" x14ac:dyDescent="0.25">
      <c r="A514" t="s">
        <v>989</v>
      </c>
      <c r="B514" t="s">
        <v>990</v>
      </c>
      <c r="C514" s="5">
        <v>179193.23</v>
      </c>
      <c r="D514" s="6">
        <f>C514*(1-$G$1)*(1-$G$2)</f>
      </c>
      <c r="E514" s="5">
        <f>D514*$G$3*(1+$G$4)</f>
      </c>
      <c r="F514" s="7"/>
      <c r="G514" s="5">
        <f>IF(ISBLANK(F514), "", E514*F514)</f>
      </c>
    </row>
    <row r="515" spans="1:7" x14ac:dyDescent="0.25">
      <c r="A515" t="s">
        <v>991</v>
      </c>
      <c r="B515" t="s">
        <v>990</v>
      </c>
      <c r="C515" s="5">
        <v>162902.94</v>
      </c>
      <c r="D515" s="6">
        <f>C515*(1-$G$1)*(1-$G$2)</f>
      </c>
      <c r="E515" s="5">
        <f>D515*$G$3*(1+$G$4)</f>
      </c>
      <c r="F515" s="7"/>
      <c r="G515" s="5">
        <f>IF(ISBLANK(F515), "", E515*F515)</f>
      </c>
    </row>
    <row r="516" spans="1:7" x14ac:dyDescent="0.25">
      <c r="A516" t="s">
        <v>992</v>
      </c>
      <c r="B516" t="s">
        <v>993</v>
      </c>
      <c r="C516" s="5">
        <v>66679.24</v>
      </c>
      <c r="D516" s="6">
        <f>C516*(1-$G$1)*(1-$G$2)</f>
      </c>
      <c r="E516" s="5">
        <f>D516*$G$3*(1+$G$4)</f>
      </c>
      <c r="F516" s="7"/>
      <c r="G516" s="5">
        <f>IF(ISBLANK(F516), "", E516*F516)</f>
      </c>
    </row>
    <row r="517" spans="1:7" x14ac:dyDescent="0.25">
      <c r="A517" t="s">
        <v>994</v>
      </c>
      <c r="B517" t="s">
        <v>995</v>
      </c>
      <c r="C517" s="5">
        <v>168011.69</v>
      </c>
      <c r="D517" s="6">
        <f>C517*(1-$G$1)*(1-$G$2)</f>
      </c>
      <c r="E517" s="5">
        <f>D517*$G$3*(1+$G$4)</f>
      </c>
      <c r="F517" s="7"/>
      <c r="G517" s="5">
        <f>IF(ISBLANK(F517), "", E517*F517)</f>
      </c>
    </row>
    <row r="518" spans="1:7" x14ac:dyDescent="0.25">
      <c r="A518" t="s">
        <v>996</v>
      </c>
      <c r="B518" t="s">
        <v>997</v>
      </c>
      <c r="C518" s="5">
        <v>215031.86</v>
      </c>
      <c r="D518" s="6">
        <f>C518*(1-$G$1)*(1-$G$2)</f>
      </c>
      <c r="E518" s="5">
        <f>D518*$G$3*(1+$G$4)</f>
      </c>
      <c r="F518" s="7"/>
      <c r="G518" s="5">
        <f>IF(ISBLANK(F518), "", E518*F518)</f>
      </c>
    </row>
    <row r="519" spans="1:7" x14ac:dyDescent="0.25">
      <c r="A519" t="s">
        <v>998</v>
      </c>
      <c r="B519" t="s">
        <v>999</v>
      </c>
      <c r="C519" s="5">
        <v>140009.78</v>
      </c>
      <c r="D519" s="6">
        <f>C519*(1-$G$1)*(1-$G$2)</f>
      </c>
      <c r="E519" s="5">
        <f>D519*$G$3*(1+$G$4)</f>
      </c>
      <c r="F519" s="7"/>
      <c r="G519" s="5">
        <f>IF(ISBLANK(F519), "", E519*F519)</f>
      </c>
    </row>
    <row r="520" spans="1:7" x14ac:dyDescent="0.25">
      <c r="A520" t="s">
        <v>1000</v>
      </c>
      <c r="B520" t="s">
        <v>999</v>
      </c>
      <c r="C520" s="5">
        <v>127281.58</v>
      </c>
      <c r="D520" s="6">
        <f>C520*(1-$G$1)*(1-$G$2)</f>
      </c>
      <c r="E520" s="5">
        <f>D520*$G$3*(1+$G$4)</f>
      </c>
      <c r="F520" s="7"/>
      <c r="G520" s="5">
        <f>IF(ISBLANK(F520), "", E520*F520)</f>
      </c>
    </row>
    <row r="521" spans="1:7" x14ac:dyDescent="0.25">
      <c r="A521" t="s">
        <v>1001</v>
      </c>
      <c r="B521" t="s">
        <v>1002</v>
      </c>
      <c r="C521" s="5">
        <v>330407.19</v>
      </c>
      <c r="D521" s="6">
        <f>C521*(1-$G$1)*(1-$G$2)</f>
      </c>
      <c r="E521" s="5">
        <f>D521*$G$3*(1+$G$4)</f>
      </c>
      <c r="F521" s="7"/>
      <c r="G521" s="5">
        <f>IF(ISBLANK(F521), "", E521*F521)</f>
      </c>
    </row>
    <row r="522" spans="1:7" x14ac:dyDescent="0.25">
      <c r="A522" t="s">
        <v>1003</v>
      </c>
      <c r="B522" t="s">
        <v>1004</v>
      </c>
      <c r="C522" s="5">
        <v>2370041.19</v>
      </c>
      <c r="D522" s="6">
        <f>C522*(1-$G$1)*(1-$G$2)</f>
      </c>
      <c r="E522" s="5">
        <f>D522*$G$3*(1+$G$4)</f>
      </c>
      <c r="F522" s="7"/>
      <c r="G522" s="5">
        <f>IF(ISBLANK(F522), "", E522*F522)</f>
      </c>
    </row>
    <row r="523" spans="1:7" x14ac:dyDescent="0.25">
      <c r="A523" t="s">
        <v>1005</v>
      </c>
      <c r="B523" t="s">
        <v>1006</v>
      </c>
      <c r="C523" s="5">
        <v>222301.24</v>
      </c>
      <c r="D523" s="6">
        <f>C523*(1-$G$1)*(1-$G$2)</f>
      </c>
      <c r="E523" s="5">
        <f>D523*$G$3*(1+$G$4)</f>
      </c>
      <c r="F523" s="7"/>
      <c r="G523" s="5">
        <f>IF(ISBLANK(F523), "", E523*F523)</f>
      </c>
    </row>
    <row r="524" spans="1:7" x14ac:dyDescent="0.25">
      <c r="A524" t="s">
        <v>1007</v>
      </c>
      <c r="B524" t="s">
        <v>1006</v>
      </c>
      <c r="C524" s="5">
        <v>202091.98</v>
      </c>
      <c r="D524" s="6">
        <f>C524*(1-$G$1)*(1-$G$2)</f>
      </c>
      <c r="E524" s="5">
        <f>D524*$G$3*(1+$G$4)</f>
      </c>
      <c r="F524" s="7"/>
      <c r="G524" s="5">
        <f>IF(ISBLANK(F524), "", E524*F524)</f>
      </c>
    </row>
    <row r="525" spans="1:7" x14ac:dyDescent="0.25">
      <c r="A525" t="s">
        <v>1008</v>
      </c>
      <c r="B525" t="s">
        <v>1009</v>
      </c>
      <c r="C525" s="5">
        <v>59094.78</v>
      </c>
      <c r="D525" s="6">
        <f>C525*(1-$G$1)*(1-$G$2)</f>
      </c>
      <c r="E525" s="5">
        <f>D525*$G$3*(1+$G$4)</f>
      </c>
      <c r="F525" s="7"/>
      <c r="G525" s="5">
        <f>IF(ISBLANK(F525), "", E525*F525)</f>
      </c>
    </row>
    <row r="526" spans="1:7" x14ac:dyDescent="0.25">
      <c r="A526" t="s">
        <v>1010</v>
      </c>
      <c r="B526" t="s">
        <v>1011</v>
      </c>
      <c r="C526" s="5">
        <v>76827.55</v>
      </c>
      <c r="D526" s="6">
        <f>C526*(1-$G$1)*(1-$G$2)</f>
      </c>
      <c r="E526" s="5">
        <f>D526*$G$3*(1+$G$4)</f>
      </c>
      <c r="F526" s="7"/>
      <c r="G526" s="5">
        <f>IF(ISBLANK(F526), "", E526*F526)</f>
      </c>
    </row>
    <row r="527" spans="1:7" x14ac:dyDescent="0.25">
      <c r="A527" t="s">
        <v>1012</v>
      </c>
      <c r="B527" t="s">
        <v>1013</v>
      </c>
      <c r="C527" s="5">
        <v>231236.44</v>
      </c>
      <c r="D527" s="6">
        <f>C527*(1-$G$1)*(1-$G$2)</f>
      </c>
      <c r="E527" s="5">
        <f>D527*$G$3*(1+$G$4)</f>
      </c>
      <c r="F527" s="7"/>
      <c r="G527" s="5">
        <f>IF(ISBLANK(F527), "", E527*F527)</f>
      </c>
    </row>
    <row r="528" spans="1:7" x14ac:dyDescent="0.25">
      <c r="A528" t="s">
        <v>1014</v>
      </c>
      <c r="B528" t="s">
        <v>1015</v>
      </c>
      <c r="C528" s="5">
        <v>284921.19</v>
      </c>
      <c r="D528" s="6">
        <f>C528*(1-$G$1)*(1-$G$2)</f>
      </c>
      <c r="E528" s="5">
        <f>D528*$G$3*(1+$G$4)</f>
      </c>
      <c r="F528" s="7"/>
      <c r="G528" s="5">
        <f>IF(ISBLANK(F528), "", E528*F528)</f>
      </c>
    </row>
    <row r="529" spans="1:7" x14ac:dyDescent="0.25">
      <c r="A529" t="s">
        <v>1016</v>
      </c>
      <c r="B529" t="s">
        <v>1017</v>
      </c>
      <c r="C529" s="5">
        <v>107957.62</v>
      </c>
      <c r="D529" s="6">
        <f>C529*(1-$G$1)*(1-$G$2)</f>
      </c>
      <c r="E529" s="5">
        <f>D529*$G$3*(1+$G$4)</f>
      </c>
      <c r="F529" s="7"/>
      <c r="G529" s="5">
        <f>IF(ISBLANK(F529), "", E529*F529)</f>
      </c>
    </row>
    <row r="530" spans="1:7" x14ac:dyDescent="0.25">
      <c r="A530" t="s">
        <v>1018</v>
      </c>
      <c r="B530" t="s">
        <v>1017</v>
      </c>
      <c r="C530" s="5">
        <v>184129.27</v>
      </c>
      <c r="D530" s="6">
        <f>C530*(1-$G$1)*(1-$G$2)</f>
      </c>
      <c r="E530" s="5">
        <f>D530*$G$3*(1+$G$4)</f>
      </c>
      <c r="F530" s="7"/>
      <c r="G530" s="5">
        <f>IF(ISBLANK(F530), "", E530*F530)</f>
      </c>
    </row>
    <row r="531" spans="1:7" x14ac:dyDescent="0.25">
      <c r="A531" t="s">
        <v>1019</v>
      </c>
      <c r="B531" t="s">
        <v>1017</v>
      </c>
      <c r="C531" s="5">
        <v>86829.87</v>
      </c>
      <c r="D531" s="6">
        <f>C531*(1-$G$1)*(1-$G$2)</f>
      </c>
      <c r="E531" s="5">
        <f>D531*$G$3*(1+$G$4)</f>
      </c>
      <c r="F531" s="7"/>
      <c r="G531" s="5">
        <f>IF(ISBLANK(F531), "", E531*F531)</f>
      </c>
    </row>
    <row r="532" spans="1:7" x14ac:dyDescent="0.25">
      <c r="A532" t="s">
        <v>1020</v>
      </c>
      <c r="B532" t="s">
        <v>1021</v>
      </c>
      <c r="C532" s="5">
        <v>256719.8</v>
      </c>
      <c r="D532" s="6">
        <f>C532*(1-$G$1)*(1-$G$2)</f>
      </c>
      <c r="E532" s="5">
        <f>D532*$G$3*(1+$G$4)</f>
      </c>
      <c r="F532" s="7"/>
      <c r="G532" s="5">
        <f>IF(ISBLANK(F532), "", E532*F532)</f>
      </c>
    </row>
    <row r="533" spans="1:7" x14ac:dyDescent="0.25">
      <c r="A533" t="s">
        <v>1022</v>
      </c>
      <c r="B533" t="s">
        <v>1023</v>
      </c>
      <c r="C533" s="5">
        <v>345873.45</v>
      </c>
      <c r="D533" s="6">
        <f>C533*(1-$G$1)*(1-$G$2)</f>
      </c>
      <c r="E533" s="5">
        <f>D533*$G$3*(1+$G$4)</f>
      </c>
      <c r="F533" s="7"/>
      <c r="G533" s="5">
        <f>IF(ISBLANK(F533), "", E533*F533)</f>
      </c>
    </row>
    <row r="534" spans="1:7" x14ac:dyDescent="0.25">
      <c r="A534" t="s">
        <v>1024</v>
      </c>
      <c r="B534" t="s">
        <v>1025</v>
      </c>
      <c r="C534" s="5">
        <v>469835.06</v>
      </c>
      <c r="D534" s="6">
        <f>C534*(1-$G$1)*(1-$G$2)</f>
      </c>
      <c r="E534" s="5">
        <f>D534*$G$3*(1+$G$4)</f>
      </c>
      <c r="F534" s="7"/>
      <c r="G534" s="5">
        <f>IF(ISBLANK(F534), "", E534*F534)</f>
      </c>
    </row>
    <row r="535" spans="1:7" x14ac:dyDescent="0.25">
      <c r="A535" t="s">
        <v>1026</v>
      </c>
      <c r="B535" t="s">
        <v>1027</v>
      </c>
      <c r="C535" s="5">
        <v>140549.55</v>
      </c>
      <c r="D535" s="6">
        <f>C535*(1-$G$1)*(1-$G$2)</f>
      </c>
      <c r="E535" s="5">
        <f>D535*$G$3*(1+$G$4)</f>
      </c>
      <c r="F535" s="7"/>
      <c r="G535" s="5">
        <f>IF(ISBLANK(F535), "", E535*F535)</f>
      </c>
    </row>
    <row r="536" spans="1:7" x14ac:dyDescent="0.25">
      <c r="A536" t="s">
        <v>1028</v>
      </c>
      <c r="B536" t="s">
        <v>1029</v>
      </c>
      <c r="C536" s="5">
        <v>577368.72</v>
      </c>
      <c r="D536" s="6">
        <f>C536*(1-$G$1)*(1-$G$2)</f>
      </c>
      <c r="E536" s="5">
        <f>D536*$G$3*(1+$G$4)</f>
      </c>
      <c r="F536" s="7"/>
      <c r="G536" s="5">
        <f>IF(ISBLANK(F536), "", E536*F536)</f>
      </c>
    </row>
    <row r="537" spans="1:7" x14ac:dyDescent="0.25">
      <c r="A537" t="s">
        <v>1030</v>
      </c>
      <c r="B537" t="s">
        <v>1031</v>
      </c>
      <c r="C537" s="5">
        <v>4415117.23</v>
      </c>
      <c r="D537" s="6">
        <f>C537*(1-$G$1)*(1-$G$2)</f>
      </c>
      <c r="E537" s="5">
        <f>D537*$G$3*(1+$G$4)</f>
      </c>
      <c r="F537" s="7"/>
      <c r="G537" s="5">
        <f>IF(ISBLANK(F537), "", E537*F537)</f>
      </c>
    </row>
    <row r="538" spans="1:7" x14ac:dyDescent="0.25">
      <c r="A538" t="s">
        <v>1032</v>
      </c>
      <c r="B538" t="s">
        <v>1031</v>
      </c>
      <c r="C538" s="5">
        <v>3532095.16</v>
      </c>
      <c r="D538" s="6">
        <f>C538*(1-$G$1)*(1-$G$2)</f>
      </c>
      <c r="E538" s="5">
        <f>D538*$G$3*(1+$G$4)</f>
      </c>
      <c r="F538" s="7"/>
      <c r="G538" s="5">
        <f>IF(ISBLANK(F538), "", E538*F538)</f>
      </c>
    </row>
    <row r="539" spans="1:7" x14ac:dyDescent="0.25">
      <c r="A539" t="s">
        <v>1033</v>
      </c>
      <c r="B539" t="s">
        <v>1034</v>
      </c>
      <c r="C539" s="5">
        <v>23062</v>
      </c>
      <c r="D539" s="6">
        <f>C539*(1-$G$1)*(1-$G$2)</f>
      </c>
      <c r="E539" s="5">
        <f>D539*$G$3*(1+$G$4)</f>
      </c>
      <c r="F539" s="7"/>
      <c r="G539" s="5">
        <f>IF(ISBLANK(F539), "", E539*F539)</f>
      </c>
    </row>
    <row r="540" spans="1:7" x14ac:dyDescent="0.25">
      <c r="A540" t="s">
        <v>1035</v>
      </c>
      <c r="B540" t="s">
        <v>1036</v>
      </c>
      <c r="C540" s="5">
        <v>22625.67</v>
      </c>
      <c r="D540" s="6">
        <f>C540*(1-$G$1)*(1-$G$2)</f>
      </c>
      <c r="E540" s="5">
        <f>D540*$G$3*(1+$G$4)</f>
      </c>
      <c r="F540" s="7"/>
      <c r="G540" s="5">
        <f>IF(ISBLANK(F540), "", E540*F540)</f>
      </c>
    </row>
    <row r="541" spans="1:7" x14ac:dyDescent="0.25">
      <c r="A541" t="s">
        <v>1037</v>
      </c>
      <c r="B541" t="s">
        <v>1038</v>
      </c>
      <c r="C541" s="5">
        <v>25368.2</v>
      </c>
      <c r="D541" s="6">
        <f>C541*(1-$G$1)*(1-$G$2)</f>
      </c>
      <c r="E541" s="5">
        <f>D541*$G$3*(1+$G$4)</f>
      </c>
      <c r="F541" s="7"/>
      <c r="G541" s="5">
        <f>IF(ISBLANK(F541), "", E541*F541)</f>
      </c>
    </row>
    <row r="542" spans="1:7" x14ac:dyDescent="0.25">
      <c r="A542" t="s">
        <v>1039</v>
      </c>
      <c r="B542" t="s">
        <v>1040</v>
      </c>
      <c r="C542" s="5">
        <v>25368.2</v>
      </c>
      <c r="D542" s="6">
        <f>C542*(1-$G$1)*(1-$G$2)</f>
      </c>
      <c r="E542" s="5">
        <f>D542*$G$3*(1+$G$4)</f>
      </c>
      <c r="F542" s="7"/>
      <c r="G542" s="5">
        <f>IF(ISBLANK(F542), "", E542*F542)</f>
      </c>
    </row>
    <row r="543" spans="1:7" x14ac:dyDescent="0.25">
      <c r="A543" t="s">
        <v>1041</v>
      </c>
      <c r="B543" t="s">
        <v>1042</v>
      </c>
      <c r="C543" s="5">
        <v>548232.38</v>
      </c>
      <c r="D543" s="6">
        <f>C543*(1-$G$1)*(1-$G$2)</f>
      </c>
      <c r="E543" s="5">
        <f>D543*$G$3*(1+$G$4)</f>
      </c>
      <c r="F543" s="7"/>
      <c r="G543" s="5">
        <f>IF(ISBLANK(F543), "", E543*F543)</f>
      </c>
    </row>
    <row r="544" spans="1:7" x14ac:dyDescent="0.25">
      <c r="A544" t="s">
        <v>1043</v>
      </c>
      <c r="B544" t="s">
        <v>1044</v>
      </c>
      <c r="C544" s="5">
        <v>548232.38</v>
      </c>
      <c r="D544" s="6">
        <f>C544*(1-$G$1)*(1-$G$2)</f>
      </c>
      <c r="E544" s="5">
        <f>D544*$G$3*(1+$G$4)</f>
      </c>
      <c r="F544" s="7"/>
      <c r="G544" s="5">
        <f>IF(ISBLANK(F544), "", E544*F544)</f>
      </c>
    </row>
    <row r="545" spans="1:7" x14ac:dyDescent="0.25">
      <c r="A545" t="s">
        <v>1045</v>
      </c>
      <c r="B545" t="s">
        <v>1046</v>
      </c>
      <c r="C545" s="5">
        <v>331047.82</v>
      </c>
      <c r="D545" s="6">
        <f>C545*(1-$G$1)*(1-$G$2)</f>
      </c>
      <c r="E545" s="5">
        <f>D545*$G$3*(1+$G$4)</f>
      </c>
      <c r="F545" s="7"/>
      <c r="G545" s="5">
        <f>IF(ISBLANK(F545), "", E545*F545)</f>
      </c>
    </row>
    <row r="546" spans="1:7" x14ac:dyDescent="0.25">
      <c r="A546" t="s">
        <v>1047</v>
      </c>
      <c r="B546" t="s">
        <v>1048</v>
      </c>
      <c r="C546" s="5">
        <v>14298.44</v>
      </c>
      <c r="D546" s="6">
        <f>C546*(1-$G$1)*(1-$G$2)</f>
      </c>
      <c r="E546" s="5">
        <f>D546*$G$3*(1+$G$4)</f>
      </c>
      <c r="F546" s="7"/>
      <c r="G546" s="5">
        <f>IF(ISBLANK(F546), "", E546*F546)</f>
      </c>
    </row>
    <row r="547" spans="1:7" x14ac:dyDescent="0.25">
      <c r="A547" t="s">
        <v>1049</v>
      </c>
      <c r="B547" t="s">
        <v>1048</v>
      </c>
      <c r="C547" s="5">
        <v>17527.12</v>
      </c>
      <c r="D547" s="6">
        <f>C547*(1-$G$1)*(1-$G$2)</f>
      </c>
      <c r="E547" s="5">
        <f>D547*$G$3*(1+$G$4)</f>
      </c>
      <c r="F547" s="7"/>
      <c r="G547" s="5">
        <f>IF(ISBLANK(F547), "", E547*F547)</f>
      </c>
    </row>
    <row r="548" spans="1:7" x14ac:dyDescent="0.25">
      <c r="A548" t="s">
        <v>1050</v>
      </c>
      <c r="B548" t="s">
        <v>1051</v>
      </c>
      <c r="C548" s="5">
        <v>16419.87</v>
      </c>
      <c r="D548" s="6">
        <f>C548*(1-$G$1)*(1-$G$2)</f>
      </c>
      <c r="E548" s="5">
        <f>D548*$G$3*(1+$G$4)</f>
      </c>
      <c r="F548" s="7"/>
      <c r="G548" s="5">
        <f>IF(ISBLANK(F548), "", E548*F548)</f>
      </c>
    </row>
    <row r="549" spans="1:7" x14ac:dyDescent="0.25">
      <c r="A549" t="s">
        <v>1052</v>
      </c>
      <c r="B549" t="s">
        <v>1053</v>
      </c>
      <c r="C549" s="5">
        <v>12641.31</v>
      </c>
      <c r="D549" s="6">
        <f>C549*(1-$G$1)*(1-$G$2)</f>
      </c>
      <c r="E549" s="5">
        <f>D549*$G$3*(1+$G$4)</f>
      </c>
      <c r="F549" s="7"/>
      <c r="G549" s="5">
        <f>IF(ISBLANK(F549), "", E549*F549)</f>
      </c>
    </row>
    <row r="550" spans="1:7" x14ac:dyDescent="0.25">
      <c r="A550" t="s">
        <v>1054</v>
      </c>
      <c r="B550" t="s">
        <v>1055</v>
      </c>
      <c r="C550" s="5">
        <v>19562.7</v>
      </c>
      <c r="D550" s="6">
        <f>C550*(1-$G$1)*(1-$G$2)</f>
      </c>
      <c r="E550" s="5">
        <f>D550*$G$3*(1+$G$4)</f>
      </c>
      <c r="F550" s="7"/>
      <c r="G550" s="5">
        <f>IF(ISBLANK(F550), "", E550*F550)</f>
      </c>
    </row>
    <row r="551" spans="1:7" x14ac:dyDescent="0.25">
      <c r="A551" t="s">
        <v>1056</v>
      </c>
      <c r="B551" t="s">
        <v>1057</v>
      </c>
      <c r="C551" s="5">
        <v>94085.65</v>
      </c>
      <c r="D551" s="6">
        <f>C551*(1-$G$1)*(1-$G$2)</f>
      </c>
      <c r="E551" s="5">
        <f>D551*$G$3*(1+$G$4)</f>
      </c>
      <c r="F551" s="7"/>
      <c r="G551" s="5">
        <f>IF(ISBLANK(F551), "", E551*F551)</f>
      </c>
    </row>
    <row r="552" spans="1:7" x14ac:dyDescent="0.25">
      <c r="A552" t="s">
        <v>1058</v>
      </c>
      <c r="B552" t="s">
        <v>1059</v>
      </c>
      <c r="C552" s="5">
        <v>21119.22</v>
      </c>
      <c r="D552" s="6">
        <f>C552*(1-$G$1)*(1-$G$2)</f>
      </c>
      <c r="E552" s="5">
        <f>D552*$G$3*(1+$G$4)</f>
      </c>
      <c r="F552" s="7"/>
      <c r="G552" s="5">
        <f>IF(ISBLANK(F552), "", E552*F552)</f>
      </c>
    </row>
    <row r="553" spans="1:7" x14ac:dyDescent="0.25">
      <c r="A553" t="s">
        <v>1060</v>
      </c>
      <c r="B553" t="s">
        <v>1061</v>
      </c>
      <c r="C553" s="5">
        <v>41803.03</v>
      </c>
      <c r="D553" s="6">
        <f>C553*(1-$G$1)*(1-$G$2)</f>
      </c>
      <c r="E553" s="5">
        <f>D553*$G$3*(1+$G$4)</f>
      </c>
      <c r="F553" s="7"/>
      <c r="G553" s="5">
        <f>IF(ISBLANK(F553), "", E553*F553)</f>
      </c>
    </row>
    <row r="554" spans="1:7" x14ac:dyDescent="0.25">
      <c r="A554" t="s">
        <v>1062</v>
      </c>
      <c r="B554" t="s">
        <v>1061</v>
      </c>
      <c r="C554" s="5">
        <v>45983.33</v>
      </c>
      <c r="D554" s="6">
        <f>C554*(1-$G$1)*(1-$G$2)</f>
      </c>
      <c r="E554" s="5">
        <f>D554*$G$3*(1+$G$4)</f>
      </c>
      <c r="F554" s="7"/>
      <c r="G554" s="5">
        <f>IF(ISBLANK(F554), "", E554*F554)</f>
      </c>
    </row>
    <row r="555" spans="1:7" x14ac:dyDescent="0.25">
      <c r="A555" t="s">
        <v>1063</v>
      </c>
      <c r="B555" t="s">
        <v>1064</v>
      </c>
      <c r="C555" s="5">
        <v>59196.68</v>
      </c>
      <c r="D555" s="6">
        <f>C555*(1-$G$1)*(1-$G$2)</f>
      </c>
      <c r="E555" s="5">
        <f>D555*$G$3*(1+$G$4)</f>
      </c>
      <c r="F555" s="7"/>
      <c r="G555" s="5">
        <f>IF(ISBLANK(F555), "", E555*F555)</f>
      </c>
    </row>
    <row r="556" spans="1:7" x14ac:dyDescent="0.25">
      <c r="A556" t="s">
        <v>1065</v>
      </c>
      <c r="B556" t="s">
        <v>1066</v>
      </c>
      <c r="C556" s="5">
        <v>75892.32</v>
      </c>
      <c r="D556" s="6">
        <f>C556*(1-$G$1)*(1-$G$2)</f>
      </c>
      <c r="E556" s="5">
        <f>D556*$G$3*(1+$G$4)</f>
      </c>
      <c r="F556" s="7"/>
      <c r="G556" s="5">
        <f>IF(ISBLANK(F556), "", E556*F556)</f>
      </c>
    </row>
    <row r="557" spans="1:7" x14ac:dyDescent="0.25">
      <c r="A557" t="s">
        <v>1067</v>
      </c>
      <c r="B557" t="s">
        <v>1068</v>
      </c>
      <c r="C557" s="5">
        <v>25092.47</v>
      </c>
      <c r="D557" s="6">
        <f>C557*(1-$G$1)*(1-$G$2)</f>
      </c>
      <c r="E557" s="5">
        <f>D557*$G$3*(1+$G$4)</f>
      </c>
      <c r="F557" s="7"/>
      <c r="G557" s="5">
        <f>IF(ISBLANK(F557), "", E557*F557)</f>
      </c>
    </row>
    <row r="558" spans="1:7" x14ac:dyDescent="0.25">
      <c r="A558" t="s">
        <v>1069</v>
      </c>
      <c r="B558" t="s">
        <v>1070</v>
      </c>
      <c r="C558" s="5">
        <v>27601.76</v>
      </c>
      <c r="D558" s="6">
        <f>C558*(1-$G$1)*(1-$G$2)</f>
      </c>
      <c r="E558" s="5">
        <f>D558*$G$3*(1+$G$4)</f>
      </c>
      <c r="F558" s="7"/>
      <c r="G558" s="5">
        <f>IF(ISBLANK(F558), "", E558*F558)</f>
      </c>
    </row>
    <row r="559" spans="1:7" x14ac:dyDescent="0.25">
      <c r="A559" t="s">
        <v>1071</v>
      </c>
      <c r="B559" t="s">
        <v>1072</v>
      </c>
      <c r="C559" s="5">
        <v>23296.69</v>
      </c>
      <c r="D559" s="6">
        <f>C559*(1-$G$1)*(1-$G$2)</f>
      </c>
      <c r="E559" s="5">
        <f>D559*$G$3*(1+$G$4)</f>
      </c>
      <c r="F559" s="7"/>
      <c r="G559" s="5">
        <f>IF(ISBLANK(F559), "", E559*F559)</f>
      </c>
    </row>
    <row r="560" spans="1:7" x14ac:dyDescent="0.25">
      <c r="A560" t="s">
        <v>1073</v>
      </c>
      <c r="B560" t="s">
        <v>1074</v>
      </c>
      <c r="C560" s="5">
        <v>17920.96</v>
      </c>
      <c r="D560" s="6">
        <f>C560*(1-$G$1)*(1-$G$2)</f>
      </c>
      <c r="E560" s="5">
        <f>D560*$G$3*(1+$G$4)</f>
      </c>
      <c r="F560" s="7"/>
      <c r="G560" s="5">
        <f>IF(ISBLANK(F560), "", E560*F560)</f>
      </c>
    </row>
    <row r="561" spans="1:7" x14ac:dyDescent="0.25">
      <c r="A561" t="s">
        <v>1075</v>
      </c>
      <c r="B561" t="s">
        <v>1076</v>
      </c>
      <c r="C561" s="5">
        <v>8144.04</v>
      </c>
      <c r="D561" s="6">
        <f>C561*(1-$G$1)*(1-$G$2)</f>
      </c>
      <c r="E561" s="5">
        <f>D561*$G$3*(1+$G$4)</f>
      </c>
      <c r="F561" s="7"/>
      <c r="G561" s="5">
        <f>IF(ISBLANK(F561), "", E561*F561)</f>
      </c>
    </row>
    <row r="562" spans="1:7" x14ac:dyDescent="0.25">
      <c r="A562" t="s">
        <v>1077</v>
      </c>
      <c r="B562" t="s">
        <v>1078</v>
      </c>
      <c r="C562" s="5">
        <v>10586.26</v>
      </c>
      <c r="D562" s="6">
        <f>C562*(1-$G$1)*(1-$G$2)</f>
      </c>
      <c r="E562" s="5">
        <f>D562*$G$3*(1+$G$4)</f>
      </c>
      <c r="F562" s="7"/>
      <c r="G562" s="5">
        <f>IF(ISBLANK(F562), "", E562*F562)</f>
      </c>
    </row>
    <row r="563" spans="1:7" x14ac:dyDescent="0.25">
      <c r="A563" t="s">
        <v>1079</v>
      </c>
      <c r="B563" t="s">
        <v>1080</v>
      </c>
      <c r="C563" s="5">
        <v>71140.01</v>
      </c>
      <c r="D563" s="6">
        <f>C563*(1-$G$1)*(1-$G$2)</f>
      </c>
      <c r="E563" s="5">
        <f>D563*$G$3*(1+$G$4)</f>
      </c>
      <c r="F563" s="7"/>
      <c r="G563" s="5">
        <f>IF(ISBLANK(F563), "", E563*F563)</f>
      </c>
    </row>
    <row r="564" spans="1:7" x14ac:dyDescent="0.25">
      <c r="A564" t="s">
        <v>1081</v>
      </c>
      <c r="B564" t="s">
        <v>1082</v>
      </c>
      <c r="C564" s="5">
        <v>26969.22</v>
      </c>
      <c r="D564" s="6">
        <f>C564*(1-$G$1)*(1-$G$2)</f>
      </c>
      <c r="E564" s="5">
        <f>D564*$G$3*(1+$G$4)</f>
      </c>
      <c r="F564" s="7"/>
      <c r="G564" s="5">
        <f>IF(ISBLANK(F564), "", E564*F564)</f>
      </c>
    </row>
    <row r="565" spans="1:7" x14ac:dyDescent="0.25">
      <c r="A565" t="s">
        <v>1083</v>
      </c>
      <c r="B565" t="s">
        <v>1084</v>
      </c>
      <c r="C565" s="5">
        <v>99127.2</v>
      </c>
      <c r="D565" s="6">
        <f>C565*(1-$G$1)*(1-$G$2)</f>
      </c>
      <c r="E565" s="5">
        <f>D565*$G$3*(1+$G$4)</f>
      </c>
      <c r="F565" s="7"/>
      <c r="G565" s="5">
        <f>IF(ISBLANK(F565), "", E565*F565)</f>
      </c>
    </row>
    <row r="566" spans="1:7" x14ac:dyDescent="0.25">
      <c r="A566" t="s">
        <v>1085</v>
      </c>
      <c r="B566" t="s">
        <v>1086</v>
      </c>
      <c r="C566" s="5">
        <v>79137.16</v>
      </c>
      <c r="D566" s="6">
        <f>C566*(1-$G$1)*(1-$G$2)</f>
      </c>
      <c r="E566" s="5">
        <f>D566*$G$3*(1+$G$4)</f>
      </c>
      <c r="F566" s="7"/>
      <c r="G566" s="5">
        <f>IF(ISBLANK(F566), "", E566*F566)</f>
      </c>
    </row>
    <row r="567" spans="1:7" x14ac:dyDescent="0.25">
      <c r="A567" t="s">
        <v>1087</v>
      </c>
      <c r="B567" t="s">
        <v>1088</v>
      </c>
      <c r="C567" s="5">
        <v>3802.22</v>
      </c>
      <c r="D567" s="6">
        <f>C567*(1-$G$1)*(1-$G$2)</f>
      </c>
      <c r="E567" s="5">
        <f>D567*$G$3*(1+$G$4)</f>
      </c>
      <c r="F567" s="7"/>
      <c r="G567" s="5">
        <f>IF(ISBLANK(F567), "", E567*F567)</f>
      </c>
    </row>
    <row r="568" spans="1:7" x14ac:dyDescent="0.25">
      <c r="A568" t="s">
        <v>1089</v>
      </c>
      <c r="B568" t="s">
        <v>1090</v>
      </c>
      <c r="C568" s="5">
        <v>20615.66</v>
      </c>
      <c r="D568" s="6">
        <f>C568*(1-$G$1)*(1-$G$2)</f>
      </c>
      <c r="E568" s="5">
        <f>D568*$G$3*(1+$G$4)</f>
      </c>
      <c r="F568" s="7"/>
      <c r="G568" s="5">
        <f>IF(ISBLANK(F568), "", E568*F568)</f>
      </c>
    </row>
    <row r="569" spans="1:7" x14ac:dyDescent="0.25">
      <c r="A569" t="s">
        <v>1091</v>
      </c>
      <c r="B569" t="s">
        <v>1092</v>
      </c>
      <c r="C569" s="5">
        <v>26000.97</v>
      </c>
      <c r="D569" s="6">
        <f>C569*(1-$G$1)*(1-$G$2)</f>
      </c>
      <c r="E569" s="5">
        <f>D569*$G$3*(1+$G$4)</f>
      </c>
      <c r="F569" s="7"/>
      <c r="G569" s="5">
        <f>IF(ISBLANK(F569), "", E569*F569)</f>
      </c>
    </row>
    <row r="570" spans="1:7" x14ac:dyDescent="0.25">
      <c r="A570" t="s">
        <v>1093</v>
      </c>
      <c r="B570" t="s">
        <v>1094</v>
      </c>
      <c r="C570" s="5">
        <v>15801.89</v>
      </c>
      <c r="D570" s="6">
        <f>C570*(1-$G$1)*(1-$G$2)</f>
      </c>
      <c r="E570" s="5">
        <f>D570*$G$3*(1+$G$4)</f>
      </c>
      <c r="F570" s="7"/>
      <c r="G570" s="5">
        <f>IF(ISBLANK(F570), "", E570*F570)</f>
      </c>
    </row>
    <row r="571" spans="1:7" x14ac:dyDescent="0.25">
      <c r="A571" t="s">
        <v>1095</v>
      </c>
      <c r="B571" t="s">
        <v>1096</v>
      </c>
      <c r="C571" s="5">
        <v>30956.44</v>
      </c>
      <c r="D571" s="6">
        <f>C571*(1-$G$1)*(1-$G$2)</f>
      </c>
      <c r="E571" s="5">
        <f>D571*$G$3*(1+$G$4)</f>
      </c>
      <c r="F571" s="7"/>
      <c r="G571" s="5">
        <f>IF(ISBLANK(F571), "", E571*F571)</f>
      </c>
    </row>
    <row r="572" spans="1:7" x14ac:dyDescent="0.25">
      <c r="A572" t="s">
        <v>1097</v>
      </c>
      <c r="B572" t="s">
        <v>1098</v>
      </c>
      <c r="C572" s="5">
        <v>101969.38</v>
      </c>
      <c r="D572" s="6">
        <f>C572*(1-$G$1)*(1-$G$2)</f>
      </c>
      <c r="E572" s="5">
        <f>D572*$G$3*(1+$G$4)</f>
      </c>
      <c r="F572" s="7"/>
      <c r="G572" s="5">
        <f>IF(ISBLANK(F572), "", E572*F572)</f>
      </c>
    </row>
    <row r="573" spans="1:7" x14ac:dyDescent="0.25">
      <c r="A573" t="s">
        <v>1099</v>
      </c>
      <c r="B573" t="s">
        <v>1100</v>
      </c>
      <c r="C573" s="5">
        <v>31060.58</v>
      </c>
      <c r="D573" s="6">
        <f>C573*(1-$G$1)*(1-$G$2)</f>
      </c>
      <c r="E573" s="5">
        <f>D573*$G$3*(1+$G$4)</f>
      </c>
      <c r="F573" s="7"/>
      <c r="G573" s="5">
        <f>IF(ISBLANK(F573), "", E573*F573)</f>
      </c>
    </row>
    <row r="574" spans="1:7" x14ac:dyDescent="0.25">
      <c r="A574" t="s">
        <v>1101</v>
      </c>
      <c r="B574" t="s">
        <v>1102</v>
      </c>
      <c r="C574" s="5">
        <v>9513.5</v>
      </c>
      <c r="D574" s="6">
        <f>C574*(1-$G$1)*(1-$G$2)</f>
      </c>
      <c r="E574" s="5">
        <f>D574*$G$3*(1+$G$4)</f>
      </c>
      <c r="F574" s="7"/>
      <c r="G574" s="5">
        <f>IF(ISBLANK(F574), "", E574*F574)</f>
      </c>
    </row>
    <row r="575" spans="1:7" x14ac:dyDescent="0.25">
      <c r="A575" t="s">
        <v>1103</v>
      </c>
      <c r="B575" t="s">
        <v>1104</v>
      </c>
      <c r="C575" s="5">
        <v>12679.55</v>
      </c>
      <c r="D575" s="6">
        <f>C575*(1-$G$1)*(1-$G$2)</f>
      </c>
      <c r="E575" s="5">
        <f>D575*$G$3*(1+$G$4)</f>
      </c>
      <c r="F575" s="7"/>
      <c r="G575" s="5">
        <f>IF(ISBLANK(F575), "", E575*F575)</f>
      </c>
    </row>
    <row r="576" spans="1:7" x14ac:dyDescent="0.25">
      <c r="A576" t="s">
        <v>1105</v>
      </c>
      <c r="B576" t="s">
        <v>1106</v>
      </c>
      <c r="C576" s="5">
        <v>94603.97</v>
      </c>
      <c r="D576" s="6">
        <f>C576*(1-$G$1)*(1-$G$2)</f>
      </c>
      <c r="E576" s="5">
        <f>D576*$G$3*(1+$G$4)</f>
      </c>
      <c r="F576" s="7"/>
      <c r="G576" s="5">
        <f>IF(ISBLANK(F576), "", E576*F576)</f>
      </c>
    </row>
    <row r="577" spans="1:7" x14ac:dyDescent="0.25">
      <c r="A577" t="s">
        <v>1107</v>
      </c>
      <c r="B577" t="s">
        <v>1108</v>
      </c>
      <c r="C577" s="5">
        <v>126548.11</v>
      </c>
      <c r="D577" s="6">
        <f>C577*(1-$G$1)*(1-$G$2)</f>
      </c>
      <c r="E577" s="5">
        <f>D577*$G$3*(1+$G$4)</f>
      </c>
      <c r="F577" s="7"/>
      <c r="G577" s="5">
        <f>IF(ISBLANK(F577), "", E577*F577)</f>
      </c>
    </row>
    <row r="578" spans="1:7" x14ac:dyDescent="0.25">
      <c r="A578" t="s">
        <v>1109</v>
      </c>
      <c r="B578" t="s">
        <v>1110</v>
      </c>
      <c r="C578" s="5">
        <v>109110.95</v>
      </c>
      <c r="D578" s="6">
        <f>C578*(1-$G$1)*(1-$G$2)</f>
      </c>
      <c r="E578" s="5">
        <f>D578*$G$3*(1+$G$4)</f>
      </c>
      <c r="F578" s="7"/>
      <c r="G578" s="5">
        <f>IF(ISBLANK(F578), "", E578*F578)</f>
      </c>
    </row>
    <row r="579" spans="1:7" x14ac:dyDescent="0.25">
      <c r="A579" t="s">
        <v>1111</v>
      </c>
      <c r="B579" t="s">
        <v>1112</v>
      </c>
      <c r="C579" s="5">
        <v>33459.64</v>
      </c>
      <c r="D579" s="6">
        <f>C579*(1-$G$1)*(1-$G$2)</f>
      </c>
      <c r="E579" s="5">
        <f>D579*$G$3*(1+$G$4)</f>
      </c>
      <c r="F579" s="7"/>
      <c r="G579" s="5">
        <f>IF(ISBLANK(F579), "", E579*F579)</f>
      </c>
    </row>
    <row r="580" spans="1:7" x14ac:dyDescent="0.25">
      <c r="A580" t="s">
        <v>1113</v>
      </c>
      <c r="B580" t="s">
        <v>1112</v>
      </c>
      <c r="C580" s="5">
        <v>36805.7</v>
      </c>
      <c r="D580" s="6">
        <f>C580*(1-$G$1)*(1-$G$2)</f>
      </c>
      <c r="E580" s="5">
        <f>D580*$G$3*(1+$G$4)</f>
      </c>
      <c r="F580" s="7"/>
      <c r="G580" s="5">
        <f>IF(ISBLANK(F580), "", E580*F580)</f>
      </c>
    </row>
    <row r="581" spans="1:7" x14ac:dyDescent="0.25">
      <c r="A581" t="s">
        <v>1114</v>
      </c>
      <c r="B581" t="s">
        <v>1115</v>
      </c>
      <c r="C581" s="5">
        <v>32427.69</v>
      </c>
      <c r="D581" s="6">
        <f>C581*(1-$G$1)*(1-$G$2)</f>
      </c>
      <c r="E581" s="5">
        <f>D581*$G$3*(1+$G$4)</f>
      </c>
      <c r="F581" s="7"/>
      <c r="G581" s="5">
        <f>IF(ISBLANK(F581), "", E581*F581)</f>
      </c>
    </row>
    <row r="582" spans="1:7" x14ac:dyDescent="0.25">
      <c r="A582" t="s">
        <v>1116</v>
      </c>
      <c r="B582" t="s">
        <v>1117</v>
      </c>
      <c r="C582" s="5">
        <v>36471.61</v>
      </c>
      <c r="D582" s="6">
        <f>C582*(1-$G$1)*(1-$G$2)</f>
      </c>
      <c r="E582" s="5">
        <f>D582*$G$3*(1+$G$4)</f>
      </c>
      <c r="F582" s="7"/>
      <c r="G582" s="5">
        <f>IF(ISBLANK(F582), "", E582*F582)</f>
      </c>
    </row>
    <row r="583" spans="1:7" x14ac:dyDescent="0.25">
      <c r="A583" t="s">
        <v>1118</v>
      </c>
      <c r="B583" t="s">
        <v>1119</v>
      </c>
      <c r="C583" s="5">
        <v>22970.13</v>
      </c>
      <c r="D583" s="6">
        <f>C583*(1-$G$1)*(1-$G$2)</f>
      </c>
      <c r="E583" s="5">
        <f>D583*$G$3*(1+$G$4)</f>
      </c>
      <c r="F583" s="7"/>
      <c r="G583" s="5">
        <f>IF(ISBLANK(F583), "", E583*F583)</f>
      </c>
    </row>
    <row r="584" spans="1:7" x14ac:dyDescent="0.25">
      <c r="A584" t="s">
        <v>1120</v>
      </c>
      <c r="B584" t="s">
        <v>1121</v>
      </c>
      <c r="C584" s="5">
        <v>17089.07</v>
      </c>
      <c r="D584" s="6">
        <f>C584*(1-$G$1)*(1-$G$2)</f>
      </c>
      <c r="E584" s="5">
        <f>D584*$G$3*(1+$G$4)</f>
      </c>
      <c r="F584" s="7"/>
      <c r="G584" s="5">
        <f>IF(ISBLANK(F584), "", E584*F584)</f>
      </c>
    </row>
    <row r="585" spans="1:7" x14ac:dyDescent="0.25">
      <c r="A585" t="s">
        <v>1122</v>
      </c>
      <c r="B585" t="s">
        <v>1123</v>
      </c>
      <c r="C585" s="5">
        <v>27340.05</v>
      </c>
      <c r="D585" s="6">
        <f>C585*(1-$G$1)*(1-$G$2)</f>
      </c>
      <c r="E585" s="5">
        <f>D585*$G$3*(1+$G$4)</f>
      </c>
      <c r="F585" s="7"/>
      <c r="G585" s="5">
        <f>IF(ISBLANK(F585), "", E585*F585)</f>
      </c>
    </row>
    <row r="586" spans="1:7" x14ac:dyDescent="0.25">
      <c r="A586" t="s">
        <v>1124</v>
      </c>
      <c r="B586" t="s">
        <v>1125</v>
      </c>
      <c r="C586" s="5">
        <v>121669.32</v>
      </c>
      <c r="D586" s="6">
        <f>C586*(1-$G$1)*(1-$G$2)</f>
      </c>
      <c r="E586" s="5">
        <f>D586*$G$3*(1+$G$4)</f>
      </c>
      <c r="F586" s="7"/>
      <c r="G586" s="5">
        <f>IF(ISBLANK(F586), "", E586*F586)</f>
      </c>
    </row>
    <row r="587" spans="1:7" x14ac:dyDescent="0.25">
      <c r="A587" t="s">
        <v>1126</v>
      </c>
      <c r="B587" t="s">
        <v>1127</v>
      </c>
      <c r="C587" s="5">
        <v>33937.53</v>
      </c>
      <c r="D587" s="6">
        <f>C587*(1-$G$1)*(1-$G$2)</f>
      </c>
      <c r="E587" s="5">
        <f>D587*$G$3*(1+$G$4)</f>
      </c>
      <c r="F587" s="7"/>
      <c r="G587" s="5">
        <f>IF(ISBLANK(F587), "", E587*F587)</f>
      </c>
    </row>
    <row r="588" spans="1:7" x14ac:dyDescent="0.25">
      <c r="A588" t="s">
        <v>1128</v>
      </c>
      <c r="B588" t="s">
        <v>1129</v>
      </c>
      <c r="C588" s="5">
        <v>64633.33</v>
      </c>
      <c r="D588" s="6">
        <f>C588*(1-$G$1)*(1-$G$2)</f>
      </c>
      <c r="E588" s="5">
        <f>D588*$G$3*(1+$G$4)</f>
      </c>
      <c r="F588" s="7"/>
      <c r="G588" s="5">
        <f>IF(ISBLANK(F588), "", E588*F588)</f>
      </c>
    </row>
    <row r="589" spans="1:7" x14ac:dyDescent="0.25">
      <c r="A589" t="s">
        <v>1130</v>
      </c>
      <c r="B589" t="s">
        <v>1129</v>
      </c>
      <c r="C589" s="5">
        <v>64633.33</v>
      </c>
      <c r="D589" s="6">
        <f>C589*(1-$G$1)*(1-$G$2)</f>
      </c>
      <c r="E589" s="5">
        <f>D589*$G$3*(1+$G$4)</f>
      </c>
      <c r="F589" s="7"/>
      <c r="G589" s="5">
        <f>IF(ISBLANK(F589), "", E589*F589)</f>
      </c>
    </row>
    <row r="590" spans="1:7" x14ac:dyDescent="0.25">
      <c r="A590" t="s">
        <v>1131</v>
      </c>
      <c r="B590" t="s">
        <v>1129</v>
      </c>
      <c r="C590" s="5">
        <v>71096.66</v>
      </c>
      <c r="D590" s="6">
        <f>C590*(1-$G$1)*(1-$G$2)</f>
      </c>
      <c r="E590" s="5">
        <f>D590*$G$3*(1+$G$4)</f>
      </c>
      <c r="F590" s="7"/>
      <c r="G590" s="5">
        <f>IF(ISBLANK(F590), "", E590*F590)</f>
      </c>
    </row>
    <row r="591" spans="1:7" x14ac:dyDescent="0.25">
      <c r="A591" t="s">
        <v>1132</v>
      </c>
      <c r="B591" t="s">
        <v>1133</v>
      </c>
      <c r="C591" s="5">
        <v>82048.35</v>
      </c>
      <c r="D591" s="6">
        <f>C591*(1-$G$1)*(1-$G$2)</f>
      </c>
      <c r="E591" s="5">
        <f>D591*$G$3*(1+$G$4)</f>
      </c>
      <c r="F591" s="7"/>
      <c r="G591" s="5">
        <f>IF(ISBLANK(F591), "", E591*F591)</f>
      </c>
    </row>
    <row r="592" spans="1:7" x14ac:dyDescent="0.25">
      <c r="A592" t="s">
        <v>1134</v>
      </c>
      <c r="B592" t="s">
        <v>1135</v>
      </c>
      <c r="C592" s="5">
        <v>76684.56</v>
      </c>
      <c r="D592" s="6">
        <f>C592*(1-$G$1)*(1-$G$2)</f>
      </c>
      <c r="E592" s="5">
        <f>D592*$G$3*(1+$G$4)</f>
      </c>
      <c r="F592" s="7"/>
      <c r="G592" s="5">
        <f>IF(ISBLANK(F592), "", E592*F592)</f>
      </c>
    </row>
    <row r="593" spans="1:7" x14ac:dyDescent="0.25">
      <c r="A593" t="s">
        <v>1136</v>
      </c>
      <c r="B593" t="s">
        <v>1137</v>
      </c>
      <c r="C593" s="5">
        <v>120564.79</v>
      </c>
      <c r="D593" s="6">
        <f>C593*(1-$G$1)*(1-$G$2)</f>
      </c>
      <c r="E593" s="5">
        <f>D593*$G$3*(1+$G$4)</f>
      </c>
      <c r="F593" s="7"/>
      <c r="G593" s="5">
        <f>IF(ISBLANK(F593), "", E593*F593)</f>
      </c>
    </row>
    <row r="594" spans="1:7" x14ac:dyDescent="0.25">
      <c r="A594" t="s">
        <v>1138</v>
      </c>
      <c r="B594" t="s">
        <v>1139</v>
      </c>
      <c r="C594" s="5">
        <v>42676.18</v>
      </c>
      <c r="D594" s="6">
        <f>C594*(1-$G$1)*(1-$G$2)</f>
      </c>
      <c r="E594" s="5">
        <f>D594*$G$3*(1+$G$4)</f>
      </c>
      <c r="F594" s="7"/>
      <c r="G594" s="5">
        <f>IF(ISBLANK(F594), "", E594*F594)</f>
      </c>
    </row>
    <row r="595" spans="1:7" x14ac:dyDescent="0.25">
      <c r="A595" t="s">
        <v>1140</v>
      </c>
      <c r="B595" t="s">
        <v>1139</v>
      </c>
      <c r="C595" s="5">
        <v>38796.47</v>
      </c>
      <c r="D595" s="6">
        <f>C595*(1-$G$1)*(1-$G$2)</f>
      </c>
      <c r="E595" s="5">
        <f>D595*$G$3*(1+$G$4)</f>
      </c>
      <c r="F595" s="7"/>
      <c r="G595" s="5">
        <f>IF(ISBLANK(F595), "", E595*F595)</f>
      </c>
    </row>
    <row r="596" spans="1:7" x14ac:dyDescent="0.25">
      <c r="A596" t="s">
        <v>1141</v>
      </c>
      <c r="B596" t="s">
        <v>1142</v>
      </c>
      <c r="C596" s="5">
        <v>36033.09</v>
      </c>
      <c r="D596" s="6">
        <f>C596*(1-$G$1)*(1-$G$2)</f>
      </c>
      <c r="E596" s="5">
        <f>D596*$G$3*(1+$G$4)</f>
      </c>
      <c r="F596" s="7"/>
      <c r="G596" s="5">
        <f>IF(ISBLANK(F596), "", E596*F596)</f>
      </c>
    </row>
    <row r="597" spans="1:7" x14ac:dyDescent="0.25">
      <c r="A597" t="s">
        <v>1143</v>
      </c>
      <c r="B597" t="s">
        <v>1144</v>
      </c>
      <c r="C597" s="5">
        <v>28116.01</v>
      </c>
      <c r="D597" s="6">
        <f>C597*(1-$G$1)*(1-$G$2)</f>
      </c>
      <c r="E597" s="5">
        <f>D597*$G$3*(1+$G$4)</f>
      </c>
      <c r="F597" s="7"/>
      <c r="G597" s="5">
        <f>IF(ISBLANK(F597), "", E597*F597)</f>
      </c>
    </row>
    <row r="598" spans="1:7" x14ac:dyDescent="0.25">
      <c r="A598" t="s">
        <v>1145</v>
      </c>
      <c r="B598" t="s">
        <v>1146</v>
      </c>
      <c r="C598" s="5">
        <v>13008.34</v>
      </c>
      <c r="D598" s="6">
        <f>C598*(1-$G$1)*(1-$G$2)</f>
      </c>
      <c r="E598" s="5">
        <f>D598*$G$3*(1+$G$4)</f>
      </c>
      <c r="F598" s="7"/>
      <c r="G598" s="5">
        <f>IF(ISBLANK(F598), "", E598*F598)</f>
      </c>
    </row>
    <row r="599" spans="1:7" x14ac:dyDescent="0.25">
      <c r="A599" t="s">
        <v>1147</v>
      </c>
      <c r="B599" t="s">
        <v>1148</v>
      </c>
      <c r="C599" s="5">
        <v>16389.48</v>
      </c>
      <c r="D599" s="6">
        <f>C599*(1-$G$1)*(1-$G$2)</f>
      </c>
      <c r="E599" s="5">
        <f>D599*$G$3*(1+$G$4)</f>
      </c>
      <c r="F599" s="7"/>
      <c r="G599" s="5">
        <f>IF(ISBLANK(F599), "", E599*F599)</f>
      </c>
    </row>
    <row r="600" spans="1:7" x14ac:dyDescent="0.25">
      <c r="A600" t="s">
        <v>1149</v>
      </c>
      <c r="B600" t="s">
        <v>1150</v>
      </c>
      <c r="C600" s="5">
        <v>96347.11</v>
      </c>
      <c r="D600" s="6">
        <f>C600*(1-$G$1)*(1-$G$2)</f>
      </c>
      <c r="E600" s="5">
        <f>D600*$G$3*(1+$G$4)</f>
      </c>
      <c r="F600" s="7"/>
      <c r="G600" s="5">
        <f>IF(ISBLANK(F600), "", E600*F600)</f>
      </c>
    </row>
    <row r="601" spans="1:7" x14ac:dyDescent="0.25">
      <c r="A601" t="s">
        <v>1151</v>
      </c>
      <c r="B601" t="s">
        <v>1152</v>
      </c>
      <c r="C601" s="5">
        <v>36471.61</v>
      </c>
      <c r="D601" s="6">
        <f>C601*(1-$G$1)*(1-$G$2)</f>
      </c>
      <c r="E601" s="5">
        <f>D601*$G$3*(1+$G$4)</f>
      </c>
      <c r="F601" s="7"/>
      <c r="G601" s="5">
        <f>IF(ISBLANK(F601), "", E601*F601)</f>
      </c>
    </row>
    <row r="602" spans="1:7" x14ac:dyDescent="0.25">
      <c r="A602" t="s">
        <v>1153</v>
      </c>
      <c r="B602" t="s">
        <v>1154</v>
      </c>
      <c r="C602" s="5">
        <v>99520.07</v>
      </c>
      <c r="D602" s="6">
        <f>C602*(1-$G$1)*(1-$G$2)</f>
      </c>
      <c r="E602" s="5">
        <f>D602*$G$3*(1+$G$4)</f>
      </c>
      <c r="F602" s="7"/>
      <c r="G602" s="5">
        <f>IF(ISBLANK(F602), "", E602*F602)</f>
      </c>
    </row>
    <row r="603" spans="1:7" x14ac:dyDescent="0.25">
      <c r="A603" t="s">
        <v>1155</v>
      </c>
      <c r="B603" t="s">
        <v>1156</v>
      </c>
      <c r="C603" s="5">
        <v>62257.52</v>
      </c>
      <c r="D603" s="6">
        <f>C603*(1-$G$1)*(1-$G$2)</f>
      </c>
      <c r="E603" s="5">
        <f>D603*$G$3*(1+$G$4)</f>
      </c>
      <c r="F603" s="7"/>
      <c r="G603" s="5">
        <f>IF(ISBLANK(F603), "", E603*F603)</f>
      </c>
    </row>
    <row r="604" spans="1:7" x14ac:dyDescent="0.25">
      <c r="A604" t="s">
        <v>1157</v>
      </c>
      <c r="B604" t="s">
        <v>1158</v>
      </c>
      <c r="C604" s="5">
        <v>796480.3</v>
      </c>
      <c r="D604" s="6">
        <f>C604*(1-$G$1)*(1-$G$2)</f>
      </c>
      <c r="E604" s="5">
        <f>D604*$G$3*(1+$G$4)</f>
      </c>
      <c r="F604" s="7"/>
      <c r="G604" s="5">
        <f>IF(ISBLANK(F604), "", E604*F604)</f>
      </c>
    </row>
    <row r="605" spans="1:7" x14ac:dyDescent="0.25">
      <c r="A605" t="s">
        <v>1159</v>
      </c>
      <c r="B605" t="s">
        <v>1160</v>
      </c>
      <c r="C605" s="5">
        <v>834258</v>
      </c>
      <c r="D605" s="6">
        <f>C605*(1-$G$1)*(1-$G$2)</f>
      </c>
      <c r="E605" s="5">
        <f>D605*$G$3*(1+$G$4)</f>
      </c>
      <c r="F605" s="7"/>
      <c r="G605" s="5">
        <f>IF(ISBLANK(F605), "", E605*F605)</f>
      </c>
    </row>
    <row r="606" spans="1:7" x14ac:dyDescent="0.25">
      <c r="A606" t="s">
        <v>1161</v>
      </c>
      <c r="B606" t="s">
        <v>1162</v>
      </c>
      <c r="C606" s="5">
        <v>21482.94</v>
      </c>
      <c r="D606" s="6">
        <f>C606*(1-$G$1)*(1-$G$2)</f>
      </c>
      <c r="E606" s="5">
        <f>D606*$G$3*(1+$G$4)</f>
      </c>
      <c r="F606" s="7"/>
      <c r="G606" s="5">
        <f>IF(ISBLANK(F606), "", E606*F606)</f>
      </c>
    </row>
    <row r="607" spans="1:7" x14ac:dyDescent="0.25">
      <c r="A607" t="s">
        <v>1163</v>
      </c>
      <c r="B607" t="s">
        <v>1164</v>
      </c>
      <c r="C607" s="5">
        <v>13480.36</v>
      </c>
      <c r="D607" s="6">
        <f>C607*(1-$G$1)*(1-$G$2)</f>
      </c>
      <c r="E607" s="5">
        <f>D607*$G$3*(1+$G$4)</f>
      </c>
      <c r="F607" s="7"/>
      <c r="G607" s="5">
        <f>IF(ISBLANK(F607), "", E607*F607)</f>
      </c>
    </row>
    <row r="608" spans="1:7" x14ac:dyDescent="0.25">
      <c r="A608" t="s">
        <v>1165</v>
      </c>
      <c r="B608" t="s">
        <v>1166</v>
      </c>
      <c r="C608" s="5">
        <v>10677.03</v>
      </c>
      <c r="D608" s="6">
        <f>C608*(1-$G$1)*(1-$G$2)</f>
      </c>
      <c r="E608" s="5">
        <f>D608*$G$3*(1+$G$4)</f>
      </c>
      <c r="F608" s="7"/>
      <c r="G608" s="5">
        <f>IF(ISBLANK(F608), "", E608*F608)</f>
      </c>
    </row>
    <row r="609" spans="1:7" x14ac:dyDescent="0.25">
      <c r="A609" t="s">
        <v>1167</v>
      </c>
      <c r="B609" t="s">
        <v>1168</v>
      </c>
      <c r="C609" s="5">
        <v>5163.33</v>
      </c>
      <c r="D609" s="6">
        <f>C609*(1-$G$1)*(1-$G$2)</f>
      </c>
      <c r="E609" s="5">
        <f>D609*$G$3*(1+$G$4)</f>
      </c>
      <c r="F609" s="7"/>
      <c r="G609" s="5">
        <f>IF(ISBLANK(F609), "", E609*F609)</f>
      </c>
    </row>
    <row r="610" spans="1:7" x14ac:dyDescent="0.25">
      <c r="A610" t="s">
        <v>1169</v>
      </c>
      <c r="B610" t="s">
        <v>1168</v>
      </c>
      <c r="C610" s="5">
        <v>6060.73</v>
      </c>
      <c r="D610" s="6">
        <f>C610*(1-$G$1)*(1-$G$2)</f>
      </c>
      <c r="E610" s="5">
        <f>D610*$G$3*(1+$G$4)</f>
      </c>
      <c r="F610" s="7"/>
      <c r="G610" s="5">
        <f>IF(ISBLANK(F610), "", E610*F610)</f>
      </c>
    </row>
    <row r="611" spans="1:7" x14ac:dyDescent="0.25">
      <c r="A611" t="s">
        <v>1170</v>
      </c>
      <c r="B611" t="s">
        <v>1168</v>
      </c>
      <c r="C611" s="5">
        <v>4754.81</v>
      </c>
      <c r="D611" s="6">
        <f>C611*(1-$G$1)*(1-$G$2)</f>
      </c>
      <c r="E611" s="5">
        <f>D611*$G$3*(1+$G$4)</f>
      </c>
      <c r="F611" s="7"/>
      <c r="G611" s="5">
        <f>IF(ISBLANK(F611), "", E611*F611)</f>
      </c>
    </row>
    <row r="612" spans="1:7" x14ac:dyDescent="0.25">
      <c r="A612" t="s">
        <v>1171</v>
      </c>
      <c r="B612" t="s">
        <v>1168</v>
      </c>
      <c r="C612" s="5">
        <v>3905.18</v>
      </c>
      <c r="D612" s="6">
        <f>C612*(1-$G$1)*(1-$G$2)</f>
      </c>
      <c r="E612" s="5">
        <f>D612*$G$3*(1+$G$4)</f>
      </c>
      <c r="F612" s="7"/>
      <c r="G612" s="5">
        <f>IF(ISBLANK(F612), "", E612*F612)</f>
      </c>
    </row>
    <row r="613" spans="1:7" x14ac:dyDescent="0.25">
      <c r="A613" t="s">
        <v>1172</v>
      </c>
      <c r="B613" t="s">
        <v>1168</v>
      </c>
      <c r="C613" s="5">
        <v>4860</v>
      </c>
      <c r="D613" s="6">
        <f>C613*(1-$G$1)*(1-$G$2)</f>
      </c>
      <c r="E613" s="5">
        <f>D613*$G$3*(1+$G$4)</f>
      </c>
      <c r="F613" s="7"/>
      <c r="G613" s="5">
        <f>IF(ISBLANK(F613), "", E613*F613)</f>
      </c>
    </row>
    <row r="614" spans="1:7" x14ac:dyDescent="0.25">
      <c r="A614" t="s">
        <v>1173</v>
      </c>
      <c r="B614" t="s">
        <v>1174</v>
      </c>
      <c r="C614" s="5">
        <v>874.81</v>
      </c>
      <c r="D614" s="6">
        <f>C614*(1-$G$1)*(1-$G$2)</f>
      </c>
      <c r="E614" s="5">
        <f>D614*$G$3*(1+$G$4)</f>
      </c>
      <c r="F614" s="7"/>
      <c r="G614" s="5">
        <f>IF(ISBLANK(F614), "", E614*F614)</f>
      </c>
    </row>
    <row r="615" spans="1:7" x14ac:dyDescent="0.25">
      <c r="A615" t="s">
        <v>1175</v>
      </c>
      <c r="B615" t="s">
        <v>1176</v>
      </c>
      <c r="C615" s="5">
        <v>874.81</v>
      </c>
      <c r="D615" s="6">
        <f>C615*(1-$G$1)*(1-$G$2)</f>
      </c>
      <c r="E615" s="5">
        <f>D615*$G$3*(1+$G$4)</f>
      </c>
      <c r="F615" s="7"/>
      <c r="G615" s="5">
        <f>IF(ISBLANK(F615), "", E615*F615)</f>
      </c>
    </row>
    <row r="616" spans="1:7" x14ac:dyDescent="0.25">
      <c r="A616" t="s">
        <v>1177</v>
      </c>
      <c r="B616" t="s">
        <v>1178</v>
      </c>
      <c r="C616" s="5">
        <v>11841.84</v>
      </c>
      <c r="D616" s="6">
        <f>C616*(1-$G$1)*(1-$G$2)</f>
      </c>
      <c r="E616" s="5">
        <f>D616*$G$3*(1+$G$4)</f>
      </c>
      <c r="F616" s="7"/>
      <c r="G616" s="5">
        <f>IF(ISBLANK(F616), "", E616*F616)</f>
      </c>
    </row>
    <row r="617" spans="1:7" x14ac:dyDescent="0.25">
      <c r="A617" t="s">
        <v>1179</v>
      </c>
      <c r="B617" t="s">
        <v>1180</v>
      </c>
      <c r="C617" s="5">
        <v>9870.73</v>
      </c>
      <c r="D617" s="6">
        <f>C617*(1-$G$1)*(1-$G$2)</f>
      </c>
      <c r="E617" s="5">
        <f>D617*$G$3*(1+$G$4)</f>
      </c>
      <c r="F617" s="7"/>
      <c r="G617" s="5">
        <f>IF(ISBLANK(F617), "", E617*F617)</f>
      </c>
    </row>
    <row r="618" spans="1:7" x14ac:dyDescent="0.25">
      <c r="A618" t="s">
        <v>1181</v>
      </c>
      <c r="B618" t="s">
        <v>1182</v>
      </c>
      <c r="C618" s="5">
        <v>14940.73</v>
      </c>
      <c r="D618" s="6">
        <f>C618*(1-$G$1)*(1-$G$2)</f>
      </c>
      <c r="E618" s="5">
        <f>D618*$G$3*(1+$G$4)</f>
      </c>
      <c r="F618" s="7"/>
      <c r="G618" s="5">
        <f>IF(ISBLANK(F618), "", E618*F618)</f>
      </c>
    </row>
    <row r="619" spans="1:7" x14ac:dyDescent="0.25">
      <c r="A619" t="s">
        <v>1183</v>
      </c>
      <c r="B619" t="s">
        <v>1184</v>
      </c>
      <c r="C619" s="5">
        <v>2502.59</v>
      </c>
      <c r="D619" s="6">
        <f>C619*(1-$G$1)*(1-$G$2)</f>
      </c>
      <c r="E619" s="5">
        <f>D619*$G$3*(1+$G$4)</f>
      </c>
      <c r="F619" s="7"/>
      <c r="G619" s="5">
        <f>IF(ISBLANK(F619), "", E619*F619)</f>
      </c>
    </row>
    <row r="620" spans="1:7" x14ac:dyDescent="0.25">
      <c r="A620" t="s">
        <v>1185</v>
      </c>
      <c r="B620" t="s">
        <v>1186</v>
      </c>
      <c r="C620" s="5">
        <v>1343.7</v>
      </c>
      <c r="D620" s="6">
        <f>C620*(1-$G$1)*(1-$G$2)</f>
      </c>
      <c r="E620" s="5">
        <f>D620*$G$3*(1+$G$4)</f>
      </c>
      <c r="F620" s="7"/>
      <c r="G620" s="5">
        <f>IF(ISBLANK(F620), "", E620*F620)</f>
      </c>
    </row>
    <row r="621" spans="1:7" x14ac:dyDescent="0.25">
      <c r="A621" t="s">
        <v>1187</v>
      </c>
      <c r="B621" t="s">
        <v>1188</v>
      </c>
      <c r="C621" s="5">
        <v>3483.76</v>
      </c>
      <c r="D621" s="6">
        <f>C621*(1-$G$1)*(1-$G$2)</f>
      </c>
      <c r="E621" s="5">
        <f>D621*$G$3*(1+$G$4)</f>
      </c>
      <c r="F621" s="7"/>
      <c r="G621" s="5">
        <f>IF(ISBLANK(F621), "", E621*F621)</f>
      </c>
    </row>
    <row r="622" spans="1:7" x14ac:dyDescent="0.25">
      <c r="A622" t="s">
        <v>1189</v>
      </c>
      <c r="B622" t="s">
        <v>1190</v>
      </c>
      <c r="C622" s="5">
        <v>78014.14</v>
      </c>
      <c r="D622" s="6">
        <f>C622*(1-$G$1)*(1-$G$2)</f>
      </c>
      <c r="E622" s="5">
        <f>D622*$G$3*(1+$G$4)</f>
      </c>
      <c r="F622" s="7"/>
      <c r="G622" s="5">
        <f>IF(ISBLANK(F622), "", E622*F622)</f>
      </c>
    </row>
    <row r="623" spans="1:7" x14ac:dyDescent="0.25">
      <c r="A623" t="s">
        <v>1191</v>
      </c>
      <c r="B623" t="s">
        <v>1192</v>
      </c>
      <c r="C623" s="5">
        <v>741305.96</v>
      </c>
      <c r="D623" s="6">
        <f>C623*(1-$G$1)*(1-$G$2)</f>
      </c>
      <c r="E623" s="5">
        <f>D623*$G$3*(1+$G$4)</f>
      </c>
      <c r="F623" s="7"/>
      <c r="G623" s="5">
        <f>IF(ISBLANK(F623), "", E623*F623)</f>
      </c>
    </row>
    <row r="624" spans="1:7" x14ac:dyDescent="0.25">
      <c r="A624" t="s">
        <v>1193</v>
      </c>
      <c r="B624" t="s">
        <v>1194</v>
      </c>
      <c r="C624" s="5">
        <v>215191.18</v>
      </c>
      <c r="D624" s="6">
        <f>C624*(1-$G$1)*(1-$G$2)</f>
      </c>
      <c r="E624" s="5">
        <f>D624*$G$3*(1+$G$4)</f>
      </c>
      <c r="F624" s="7"/>
      <c r="G624" s="5">
        <f>IF(ISBLANK(F624), "", E624*F624)</f>
      </c>
    </row>
    <row r="625" spans="1:7" x14ac:dyDescent="0.25">
      <c r="A625" t="s">
        <v>1195</v>
      </c>
      <c r="B625" t="s">
        <v>1196</v>
      </c>
      <c r="C625" s="5">
        <v>67831.17</v>
      </c>
      <c r="D625" s="6">
        <f>C625*(1-$G$1)*(1-$G$2)</f>
      </c>
      <c r="E625" s="5">
        <f>D625*$G$3*(1+$G$4)</f>
      </c>
      <c r="F625" s="7"/>
      <c r="G625" s="5">
        <f>IF(ISBLANK(F625), "", E625*F625)</f>
      </c>
    </row>
    <row r="626" spans="1:7" x14ac:dyDescent="0.25">
      <c r="A626" t="s">
        <v>1197</v>
      </c>
      <c r="B626" t="s">
        <v>1198</v>
      </c>
      <c r="C626" s="5">
        <v>225634.4</v>
      </c>
      <c r="D626" s="6">
        <f>C626*(1-$G$1)*(1-$G$2)</f>
      </c>
      <c r="E626" s="5">
        <f>D626*$G$3*(1+$G$4)</f>
      </c>
      <c r="F626" s="7"/>
      <c r="G626" s="5">
        <f>IF(ISBLANK(F626), "", E626*F626)</f>
      </c>
    </row>
    <row r="627" spans="1:7" x14ac:dyDescent="0.25">
      <c r="A627" t="s">
        <v>1199</v>
      </c>
      <c r="B627" t="s">
        <v>1200</v>
      </c>
      <c r="C627" s="5">
        <v>304717.84</v>
      </c>
      <c r="D627" s="6">
        <f>C627*(1-$G$1)*(1-$G$2)</f>
      </c>
      <c r="E627" s="5">
        <f>D627*$G$3*(1+$G$4)</f>
      </c>
      <c r="F627" s="7"/>
      <c r="G627" s="5">
        <f>IF(ISBLANK(F627), "", E627*F627)</f>
      </c>
    </row>
    <row r="628" spans="1:7" x14ac:dyDescent="0.25">
      <c r="A628" t="s">
        <v>1201</v>
      </c>
      <c r="B628" t="s">
        <v>1202</v>
      </c>
      <c r="C628" s="5">
        <v>60031.49</v>
      </c>
      <c r="D628" s="6">
        <f>C628*(1-$G$1)*(1-$G$2)</f>
      </c>
      <c r="E628" s="5">
        <f>D628*$G$3*(1+$G$4)</f>
      </c>
      <c r="F628" s="7"/>
      <c r="G628" s="5">
        <f>IF(ISBLANK(F628), "", E628*F628)</f>
      </c>
    </row>
    <row r="629" spans="1:7" x14ac:dyDescent="0.25">
      <c r="A629" t="s">
        <v>1203</v>
      </c>
      <c r="B629" t="s">
        <v>1204</v>
      </c>
      <c r="C629" s="5">
        <v>2582.96</v>
      </c>
      <c r="D629" s="6">
        <f>C629*(1-$G$1)*(1-$G$2)</f>
      </c>
      <c r="E629" s="5">
        <f>D629*$G$3*(1+$G$4)</f>
      </c>
      <c r="F629" s="7"/>
      <c r="G629" s="5">
        <f>IF(ISBLANK(F629), "", E629*F629)</f>
      </c>
    </row>
    <row r="630" spans="1:7" x14ac:dyDescent="0.25">
      <c r="A630" t="s">
        <v>1205</v>
      </c>
      <c r="B630" t="s">
        <v>1206</v>
      </c>
      <c r="C630" s="5">
        <v>5423.33</v>
      </c>
      <c r="D630" s="6">
        <f>C630*(1-$G$1)*(1-$G$2)</f>
      </c>
      <c r="E630" s="5">
        <f>D630*$G$3*(1+$G$4)</f>
      </c>
      <c r="F630" s="7"/>
      <c r="G630" s="5">
        <f>IF(ISBLANK(F630), "", E630*F630)</f>
      </c>
    </row>
    <row r="631" spans="1:7" x14ac:dyDescent="0.25">
      <c r="A631" t="s">
        <v>1207</v>
      </c>
      <c r="B631" t="s">
        <v>1208</v>
      </c>
      <c r="C631" s="5">
        <v>1069.26</v>
      </c>
      <c r="D631" s="6">
        <f>C631*(1-$G$1)*(1-$G$2)</f>
      </c>
      <c r="E631" s="5">
        <f>D631*$G$3*(1+$G$4)</f>
      </c>
      <c r="F631" s="7"/>
      <c r="G631" s="5">
        <f>IF(ISBLANK(F631), "", E631*F631)</f>
      </c>
    </row>
    <row r="632" spans="1:7" x14ac:dyDescent="0.25">
      <c r="A632" t="s">
        <v>1209</v>
      </c>
      <c r="B632" t="s">
        <v>1210</v>
      </c>
      <c r="C632" s="5">
        <v>1240.37</v>
      </c>
      <c r="D632" s="6">
        <f>C632*(1-$G$1)*(1-$G$2)</f>
      </c>
      <c r="E632" s="5">
        <f>D632*$G$3*(1+$G$4)</f>
      </c>
      <c r="F632" s="7"/>
      <c r="G632" s="5">
        <f>IF(ISBLANK(F632), "", E632*F632)</f>
      </c>
    </row>
    <row r="633" spans="1:7" x14ac:dyDescent="0.25">
      <c r="A633" t="s">
        <v>1211</v>
      </c>
      <c r="B633" t="s">
        <v>1212</v>
      </c>
      <c r="C633" s="5">
        <v>115218.08</v>
      </c>
      <c r="D633" s="6">
        <f>C633*(1-$G$1)*(1-$G$2)</f>
      </c>
      <c r="E633" s="5">
        <f>D633*$G$3*(1+$G$4)</f>
      </c>
      <c r="F633" s="7"/>
      <c r="G633" s="5">
        <f>IF(ISBLANK(F633), "", E633*F633)</f>
      </c>
    </row>
    <row r="634" spans="1:7" x14ac:dyDescent="0.25">
      <c r="A634" t="s">
        <v>1213</v>
      </c>
      <c r="B634" t="s">
        <v>1214</v>
      </c>
      <c r="C634" s="5">
        <v>43486.23</v>
      </c>
      <c r="D634" s="6">
        <f>C634*(1-$G$1)*(1-$G$2)</f>
      </c>
      <c r="E634" s="5">
        <f>D634*$G$3*(1+$G$4)</f>
      </c>
      <c r="F634" s="7"/>
      <c r="G634" s="5">
        <f>IF(ISBLANK(F634), "", E634*F634)</f>
      </c>
    </row>
    <row r="635" spans="1:7" x14ac:dyDescent="0.25">
      <c r="A635" t="s">
        <v>1215</v>
      </c>
      <c r="B635" t="s">
        <v>1216</v>
      </c>
      <c r="C635" s="5">
        <v>33995.04</v>
      </c>
      <c r="D635" s="6">
        <f>C635*(1-$G$1)*(1-$G$2)</f>
      </c>
      <c r="E635" s="5">
        <f>D635*$G$3*(1+$G$4)</f>
      </c>
      <c r="F635" s="7"/>
      <c r="G635" s="5">
        <f>IF(ISBLANK(F635), "", E635*F635)</f>
      </c>
    </row>
    <row r="636" spans="1:7" x14ac:dyDescent="0.25">
      <c r="A636" t="s">
        <v>1217</v>
      </c>
      <c r="B636" t="s">
        <v>1218</v>
      </c>
      <c r="C636" s="5">
        <v>16195.55</v>
      </c>
      <c r="D636" s="6">
        <f>C636*(1-$G$1)*(1-$G$2)</f>
      </c>
      <c r="E636" s="5">
        <f>D636*$G$3*(1+$G$4)</f>
      </c>
      <c r="F636" s="7"/>
      <c r="G636" s="5">
        <f>IF(ISBLANK(F636), "", E636*F636)</f>
      </c>
    </row>
    <row r="637" spans="1:7" x14ac:dyDescent="0.25">
      <c r="A637" t="s">
        <v>1219</v>
      </c>
      <c r="B637" t="s">
        <v>1220</v>
      </c>
      <c r="C637" s="5">
        <v>19508.07</v>
      </c>
      <c r="D637" s="6">
        <f>C637*(1-$G$1)*(1-$G$2)</f>
      </c>
      <c r="E637" s="5">
        <f>D637*$G$3*(1+$G$4)</f>
      </c>
      <c r="F637" s="7"/>
      <c r="G637" s="5">
        <f>IF(ISBLANK(F637), "", E637*F637)</f>
      </c>
    </row>
    <row r="638" spans="1:7" x14ac:dyDescent="0.25">
      <c r="A638" t="s">
        <v>1221</v>
      </c>
      <c r="B638" t="s">
        <v>1222</v>
      </c>
      <c r="C638" s="5">
        <v>101304.01</v>
      </c>
      <c r="D638" s="6">
        <f>C638*(1-$G$1)*(1-$G$2)</f>
      </c>
      <c r="E638" s="5">
        <f>D638*$G$3*(1+$G$4)</f>
      </c>
      <c r="F638" s="7"/>
      <c r="G638" s="5">
        <f>IF(ISBLANK(F638), "", E638*F638)</f>
      </c>
    </row>
    <row r="639" spans="1:7" x14ac:dyDescent="0.25">
      <c r="A639" t="s">
        <v>1223</v>
      </c>
      <c r="B639" t="s">
        <v>1224</v>
      </c>
      <c r="C639" s="5">
        <v>49583.25</v>
      </c>
      <c r="D639" s="6">
        <f>C639*(1-$G$1)*(1-$G$2)</f>
      </c>
      <c r="E639" s="5">
        <f>D639*$G$3*(1+$G$4)</f>
      </c>
      <c r="F639" s="7"/>
      <c r="G639" s="5">
        <f>IF(ISBLANK(F639), "", E639*F639)</f>
      </c>
    </row>
    <row r="640" spans="1:7" x14ac:dyDescent="0.25">
      <c r="A640" t="s">
        <v>1225</v>
      </c>
      <c r="B640" t="s">
        <v>1226</v>
      </c>
      <c r="C640" s="5">
        <v>106579.16</v>
      </c>
      <c r="D640" s="6">
        <f>C640*(1-$G$1)*(1-$G$2)</f>
      </c>
      <c r="E640" s="5">
        <f>D640*$G$3*(1+$G$4)</f>
      </c>
      <c r="F640" s="7"/>
      <c r="G640" s="5">
        <f>IF(ISBLANK(F640), "", E640*F640)</f>
      </c>
    </row>
    <row r="641" spans="1:7" x14ac:dyDescent="0.25">
      <c r="A641" t="s">
        <v>1227</v>
      </c>
      <c r="B641" t="s">
        <v>1228</v>
      </c>
      <c r="C641" s="5">
        <v>163802.38</v>
      </c>
      <c r="D641" s="6">
        <f>C641*(1-$G$1)*(1-$G$2)</f>
      </c>
      <c r="E641" s="5">
        <f>D641*$G$3*(1+$G$4)</f>
      </c>
      <c r="F641" s="7"/>
      <c r="G641" s="5">
        <f>IF(ISBLANK(F641), "", E641*F641)</f>
      </c>
    </row>
    <row r="642" spans="1:7" x14ac:dyDescent="0.25">
      <c r="A642" t="s">
        <v>1229</v>
      </c>
      <c r="B642" t="s">
        <v>1230</v>
      </c>
      <c r="C642" s="5">
        <v>56562.95</v>
      </c>
      <c r="D642" s="6">
        <f>C642*(1-$G$1)*(1-$G$2)</f>
      </c>
      <c r="E642" s="5">
        <f>D642*$G$3*(1+$G$4)</f>
      </c>
      <c r="F642" s="7"/>
      <c r="G642" s="5">
        <f>IF(ISBLANK(F642), "", E642*F642)</f>
      </c>
    </row>
    <row r="643" spans="1:7" x14ac:dyDescent="0.25">
      <c r="A643" t="s">
        <v>1231</v>
      </c>
      <c r="B643" t="s">
        <v>1232</v>
      </c>
      <c r="C643" s="5">
        <v>47059.8</v>
      </c>
      <c r="D643" s="6">
        <f>C643*(1-$G$1)*(1-$G$2)</f>
      </c>
      <c r="E643" s="5">
        <f>D643*$G$3*(1+$G$4)</f>
      </c>
      <c r="F643" s="7"/>
      <c r="G643" s="5">
        <f>IF(ISBLANK(F643), "", E643*F643)</f>
      </c>
    </row>
    <row r="644" spans="1:7" x14ac:dyDescent="0.25">
      <c r="A644" t="s">
        <v>1233</v>
      </c>
      <c r="B644" t="s">
        <v>1234</v>
      </c>
      <c r="C644" s="5">
        <v>35057.98</v>
      </c>
      <c r="D644" s="6">
        <f>C644*(1-$G$1)*(1-$G$2)</f>
      </c>
      <c r="E644" s="5">
        <f>D644*$G$3*(1+$G$4)</f>
      </c>
      <c r="F644" s="7"/>
      <c r="G644" s="5">
        <f>IF(ISBLANK(F644), "", E644*F644)</f>
      </c>
    </row>
    <row r="645" spans="1:7" x14ac:dyDescent="0.25">
      <c r="A645" t="s">
        <v>1235</v>
      </c>
      <c r="B645" t="s">
        <v>1236</v>
      </c>
      <c r="C645" s="5">
        <v>57546.37</v>
      </c>
      <c r="D645" s="6">
        <f>C645*(1-$G$1)*(1-$G$2)</f>
      </c>
      <c r="E645" s="5">
        <f>D645*$G$3*(1+$G$4)</f>
      </c>
      <c r="F645" s="7"/>
      <c r="G645" s="5">
        <f>IF(ISBLANK(F645), "", E645*F645)</f>
      </c>
    </row>
    <row r="646" spans="1:7" x14ac:dyDescent="0.25">
      <c r="A646" t="s">
        <v>1237</v>
      </c>
      <c r="B646" t="s">
        <v>1238</v>
      </c>
      <c r="C646" s="5">
        <v>201380.45</v>
      </c>
      <c r="D646" s="6">
        <f>C646*(1-$G$1)*(1-$G$2)</f>
      </c>
      <c r="E646" s="5">
        <f>D646*$G$3*(1+$G$4)</f>
      </c>
      <c r="F646" s="7"/>
      <c r="G646" s="5">
        <f>IF(ISBLANK(F646), "", E646*F646)</f>
      </c>
    </row>
    <row r="647" spans="1:7" x14ac:dyDescent="0.25">
      <c r="A647" t="s">
        <v>1239</v>
      </c>
      <c r="B647" t="s">
        <v>1240</v>
      </c>
      <c r="C647" s="5">
        <v>100291.18</v>
      </c>
      <c r="D647" s="6">
        <f>C647*(1-$G$1)*(1-$G$2)</f>
      </c>
      <c r="E647" s="5">
        <f>D647*$G$3*(1+$G$4)</f>
      </c>
      <c r="F647" s="7"/>
      <c r="G647" s="5">
        <f>IF(ISBLANK(F647), "", E647*F647)</f>
      </c>
    </row>
    <row r="648" spans="1:7" x14ac:dyDescent="0.25">
      <c r="A648" t="s">
        <v>1241</v>
      </c>
      <c r="B648" t="s">
        <v>1240</v>
      </c>
      <c r="C648" s="5">
        <v>110320.3</v>
      </c>
      <c r="D648" s="6">
        <f>C648*(1-$G$1)*(1-$G$2)</f>
      </c>
      <c r="E648" s="5">
        <f>D648*$G$3*(1+$G$4)</f>
      </c>
      <c r="F648" s="7"/>
      <c r="G648" s="5">
        <f>IF(ISBLANK(F648), "", E648*F648)</f>
      </c>
    </row>
    <row r="649" spans="1:7" x14ac:dyDescent="0.25">
      <c r="A649" t="s">
        <v>1242</v>
      </c>
      <c r="B649" t="s">
        <v>1243</v>
      </c>
      <c r="C649" s="5">
        <v>36069.63</v>
      </c>
      <c r="D649" s="6">
        <f>C649*(1-$G$1)*(1-$G$2)</f>
      </c>
      <c r="E649" s="5">
        <f>D649*$G$3*(1+$G$4)</f>
      </c>
      <c r="F649" s="7"/>
      <c r="G649" s="5">
        <f>IF(ISBLANK(F649), "", E649*F649)</f>
      </c>
    </row>
    <row r="650" spans="1:7" x14ac:dyDescent="0.25">
      <c r="A650" t="s">
        <v>1244</v>
      </c>
      <c r="B650" t="s">
        <v>1245</v>
      </c>
      <c r="C650" s="5">
        <v>18045.4</v>
      </c>
      <c r="D650" s="6">
        <f>C650*(1-$G$1)*(1-$G$2)</f>
      </c>
      <c r="E650" s="5">
        <f>D650*$G$3*(1+$G$4)</f>
      </c>
      <c r="F650" s="7"/>
      <c r="G650" s="5">
        <f>IF(ISBLANK(F650), "", E650*F650)</f>
      </c>
    </row>
    <row r="651" spans="1:7" x14ac:dyDescent="0.25">
      <c r="A651" t="s">
        <v>1246</v>
      </c>
      <c r="B651" t="s">
        <v>1247</v>
      </c>
      <c r="C651" s="5">
        <v>26976.77</v>
      </c>
      <c r="D651" s="6">
        <f>C651*(1-$G$1)*(1-$G$2)</f>
      </c>
      <c r="E651" s="5">
        <f>D651*$G$3*(1+$G$4)</f>
      </c>
      <c r="F651" s="7"/>
      <c r="G651" s="5">
        <f>IF(ISBLANK(F651), "", E651*F651)</f>
      </c>
    </row>
    <row r="652" spans="1:7" x14ac:dyDescent="0.25">
      <c r="A652" t="s">
        <v>1248</v>
      </c>
      <c r="B652" t="s">
        <v>1249</v>
      </c>
      <c r="C652" s="5">
        <v>60200.26</v>
      </c>
      <c r="D652" s="6">
        <f>C652*(1-$G$1)*(1-$G$2)</f>
      </c>
      <c r="E652" s="5">
        <f>D652*$G$3*(1+$G$4)</f>
      </c>
      <c r="F652" s="7"/>
      <c r="G652" s="5">
        <f>IF(ISBLANK(F652), "", E652*F652)</f>
      </c>
    </row>
    <row r="653" spans="1:7" x14ac:dyDescent="0.25">
      <c r="A653" t="s">
        <v>1250</v>
      </c>
      <c r="B653" t="s">
        <v>1249</v>
      </c>
      <c r="C653" s="5">
        <v>66220.21</v>
      </c>
      <c r="D653" s="6">
        <f>C653*(1-$G$1)*(1-$G$2)</f>
      </c>
      <c r="E653" s="5">
        <f>D653*$G$3*(1+$G$4)</f>
      </c>
      <c r="F653" s="7"/>
      <c r="G653" s="5">
        <f>IF(ISBLANK(F653), "", E653*F653)</f>
      </c>
    </row>
    <row r="654" spans="1:7" x14ac:dyDescent="0.25">
      <c r="A654" t="s">
        <v>1251</v>
      </c>
      <c r="B654" t="s">
        <v>1252</v>
      </c>
      <c r="C654" s="5">
        <v>55901.23</v>
      </c>
      <c r="D654" s="6">
        <f>C654*(1-$G$1)*(1-$G$2)</f>
      </c>
      <c r="E654" s="5">
        <f>D654*$G$3*(1+$G$4)</f>
      </c>
      <c r="F654" s="7"/>
      <c r="G654" s="5">
        <f>IF(ISBLANK(F654), "", E654*F654)</f>
      </c>
    </row>
    <row r="655" spans="1:7" x14ac:dyDescent="0.25">
      <c r="A655" t="s">
        <v>1253</v>
      </c>
      <c r="B655" t="s">
        <v>1254</v>
      </c>
      <c r="C655" s="5">
        <v>45348.57</v>
      </c>
      <c r="D655" s="6">
        <f>C655*(1-$G$1)*(1-$G$2)</f>
      </c>
      <c r="E655" s="5">
        <f>D655*$G$3*(1+$G$4)</f>
      </c>
      <c r="F655" s="7"/>
      <c r="G655" s="5">
        <f>IF(ISBLANK(F655), "", E655*F655)</f>
      </c>
    </row>
    <row r="656" spans="1:7" x14ac:dyDescent="0.25">
      <c r="A656" t="s">
        <v>1255</v>
      </c>
      <c r="B656" t="s">
        <v>1256</v>
      </c>
      <c r="C656" s="5">
        <v>39393.41</v>
      </c>
      <c r="D656" s="6">
        <f>C656*(1-$G$1)*(1-$G$2)</f>
      </c>
      <c r="E656" s="5">
        <f>D656*$G$3*(1+$G$4)</f>
      </c>
      <c r="F656" s="7"/>
      <c r="G656" s="5">
        <f>IF(ISBLANK(F656), "", E656*F656)</f>
      </c>
    </row>
    <row r="657" spans="1:7" x14ac:dyDescent="0.25">
      <c r="A657" t="s">
        <v>1257</v>
      </c>
      <c r="B657" t="s">
        <v>1258</v>
      </c>
      <c r="C657" s="5">
        <v>34082.19</v>
      </c>
      <c r="D657" s="6">
        <f>C657*(1-$G$1)*(1-$G$2)</f>
      </c>
      <c r="E657" s="5">
        <f>D657*$G$3*(1+$G$4)</f>
      </c>
      <c r="F657" s="7"/>
      <c r="G657" s="5">
        <f>IF(ISBLANK(F657), "", E657*F657)</f>
      </c>
    </row>
    <row r="658" spans="1:7" x14ac:dyDescent="0.25">
      <c r="A658" t="s">
        <v>1259</v>
      </c>
      <c r="B658" t="s">
        <v>1260</v>
      </c>
      <c r="C658" s="5">
        <v>176781.89</v>
      </c>
      <c r="D658" s="6">
        <f>C658*(1-$G$1)*(1-$G$2)</f>
      </c>
      <c r="E658" s="5">
        <f>D658*$G$3*(1+$G$4)</f>
      </c>
      <c r="F658" s="7"/>
      <c r="G658" s="5">
        <f>IF(ISBLANK(F658), "", E658*F658)</f>
      </c>
    </row>
    <row r="659" spans="1:7" x14ac:dyDescent="0.25">
      <c r="A659" t="s">
        <v>1261</v>
      </c>
      <c r="B659" t="s">
        <v>1262</v>
      </c>
      <c r="C659" s="5">
        <v>165022.66</v>
      </c>
      <c r="D659" s="6">
        <f>C659*(1-$G$1)*(1-$G$2)</f>
      </c>
      <c r="E659" s="5">
        <f>D659*$G$3*(1+$G$4)</f>
      </c>
      <c r="F659" s="7"/>
      <c r="G659" s="5">
        <f>IF(ISBLANK(F659), "", E659*F659)</f>
      </c>
    </row>
    <row r="660" spans="1:7" x14ac:dyDescent="0.25">
      <c r="A660" t="s">
        <v>1263</v>
      </c>
      <c r="B660" t="s">
        <v>1264</v>
      </c>
      <c r="C660" s="5">
        <v>62748.7</v>
      </c>
      <c r="D660" s="6">
        <f>C660*(1-$G$1)*(1-$G$2)</f>
      </c>
      <c r="E660" s="5">
        <f>D660*$G$3*(1+$G$4)</f>
      </c>
      <c r="F660" s="7"/>
      <c r="G660" s="5">
        <f>IF(ISBLANK(F660), "", E660*F660)</f>
      </c>
    </row>
    <row r="661" spans="1:7" x14ac:dyDescent="0.25">
      <c r="A661" t="s">
        <v>1265</v>
      </c>
      <c r="B661" t="s">
        <v>1266</v>
      </c>
      <c r="C661" s="5">
        <v>125872.83</v>
      </c>
      <c r="D661" s="6">
        <f>C661*(1-$G$1)*(1-$G$2)</f>
      </c>
      <c r="E661" s="5">
        <f>D661*$G$3*(1+$G$4)</f>
      </c>
      <c r="F661" s="7"/>
      <c r="G661" s="5">
        <f>IF(ISBLANK(F661), "", E661*F661)</f>
      </c>
    </row>
    <row r="662" spans="1:7" x14ac:dyDescent="0.25">
      <c r="A662" t="s">
        <v>1267</v>
      </c>
      <c r="B662" t="s">
        <v>1268</v>
      </c>
      <c r="C662" s="5">
        <v>45249.63</v>
      </c>
      <c r="D662" s="6">
        <f>C662*(1-$G$1)*(1-$G$2)</f>
      </c>
      <c r="E662" s="5">
        <f>D662*$G$3*(1+$G$4)</f>
      </c>
      <c r="F662" s="7"/>
      <c r="G662" s="5">
        <f>IF(ISBLANK(F662), "", E662*F662)</f>
      </c>
    </row>
    <row r="663" spans="1:7" x14ac:dyDescent="0.25">
      <c r="A663" t="s">
        <v>1269</v>
      </c>
      <c r="B663" t="s">
        <v>1270</v>
      </c>
      <c r="C663" s="5">
        <v>77988.98</v>
      </c>
      <c r="D663" s="6">
        <f>C663*(1-$G$1)*(1-$G$2)</f>
      </c>
      <c r="E663" s="5">
        <f>D663*$G$3*(1+$G$4)</f>
      </c>
      <c r="F663" s="7"/>
      <c r="G663" s="5">
        <f>IF(ISBLANK(F663), "", E663*F663)</f>
      </c>
    </row>
    <row r="664" spans="1:7" x14ac:dyDescent="0.25">
      <c r="A664" t="s">
        <v>1271</v>
      </c>
      <c r="B664" t="s">
        <v>1270</v>
      </c>
      <c r="C664" s="5">
        <v>85787.88</v>
      </c>
      <c r="D664" s="6">
        <f>C664*(1-$G$1)*(1-$G$2)</f>
      </c>
      <c r="E664" s="5">
        <f>D664*$G$3*(1+$G$4)</f>
      </c>
      <c r="F664" s="7"/>
      <c r="G664" s="5">
        <f>IF(ISBLANK(F664), "", E664*F664)</f>
      </c>
    </row>
    <row r="665" spans="1:7" x14ac:dyDescent="0.25">
      <c r="A665" t="s">
        <v>1272</v>
      </c>
      <c r="B665" t="s">
        <v>1273</v>
      </c>
      <c r="C665" s="5">
        <v>120564.79</v>
      </c>
      <c r="D665" s="6">
        <f>C665*(1-$G$1)*(1-$G$2)</f>
      </c>
      <c r="E665" s="5">
        <f>D665*$G$3*(1+$G$4)</f>
      </c>
      <c r="F665" s="7"/>
      <c r="G665" s="5">
        <f>IF(ISBLANK(F665), "", E665*F665)</f>
      </c>
    </row>
    <row r="666" spans="1:7" x14ac:dyDescent="0.25">
      <c r="A666" t="s">
        <v>1274</v>
      </c>
      <c r="B666" t="s">
        <v>1275</v>
      </c>
      <c r="C666" s="5">
        <v>51494.69</v>
      </c>
      <c r="D666" s="6">
        <f>C666*(1-$G$1)*(1-$G$2)</f>
      </c>
      <c r="E666" s="5">
        <f>D666*$G$3*(1+$G$4)</f>
      </c>
      <c r="F666" s="7"/>
      <c r="G666" s="5">
        <f>IF(ISBLANK(F666), "", E666*F666)</f>
      </c>
    </row>
    <row r="667" spans="1:7" x14ac:dyDescent="0.25">
      <c r="A667" t="s">
        <v>1276</v>
      </c>
      <c r="B667" t="s">
        <v>1275</v>
      </c>
      <c r="C667" s="5">
        <v>46813.26</v>
      </c>
      <c r="D667" s="6">
        <f>C667*(1-$G$1)*(1-$G$2)</f>
      </c>
      <c r="E667" s="5">
        <f>D667*$G$3*(1+$G$4)</f>
      </c>
      <c r="F667" s="7"/>
      <c r="G667" s="5">
        <f>IF(ISBLANK(F667), "", E667*F667)</f>
      </c>
    </row>
    <row r="668" spans="1:7" x14ac:dyDescent="0.25">
      <c r="A668" t="s">
        <v>1277</v>
      </c>
      <c r="B668" t="s">
        <v>1278</v>
      </c>
      <c r="C668" s="5">
        <v>338032.6</v>
      </c>
      <c r="D668" s="6">
        <f>C668*(1-$G$1)*(1-$G$2)</f>
      </c>
      <c r="E668" s="5">
        <f>D668*$G$3*(1+$G$4)</f>
      </c>
      <c r="F668" s="7"/>
      <c r="G668" s="5">
        <f>IF(ISBLANK(F668), "", E668*F668)</f>
      </c>
    </row>
    <row r="669" spans="1:7" x14ac:dyDescent="0.25">
      <c r="A669" t="s">
        <v>1279</v>
      </c>
      <c r="B669" t="s">
        <v>1280</v>
      </c>
      <c r="C669" s="5">
        <v>694999.31</v>
      </c>
      <c r="D669" s="6">
        <f>C669*(1-$G$1)*(1-$G$2)</f>
      </c>
      <c r="E669" s="5">
        <f>D669*$G$3*(1+$G$4)</f>
      </c>
      <c r="F669" s="7"/>
      <c r="G669" s="5">
        <f>IF(ISBLANK(F669), "", E669*F669)</f>
      </c>
    </row>
    <row r="670" spans="1:7" x14ac:dyDescent="0.25">
      <c r="A670" t="s">
        <v>1281</v>
      </c>
      <c r="B670" t="s">
        <v>1282</v>
      </c>
      <c r="C670" s="5">
        <v>360203.71</v>
      </c>
      <c r="D670" s="6">
        <f>C670*(1-$G$1)*(1-$G$2)</f>
      </c>
      <c r="E670" s="5">
        <f>D670*$G$3*(1+$G$4)</f>
      </c>
      <c r="F670" s="7"/>
      <c r="G670" s="5">
        <f>IF(ISBLANK(F670), "", E670*F670)</f>
      </c>
    </row>
    <row r="671" spans="1:7" x14ac:dyDescent="0.25">
      <c r="A671" t="s">
        <v>1283</v>
      </c>
      <c r="B671" t="s">
        <v>1284</v>
      </c>
      <c r="C671" s="5">
        <v>2430.37</v>
      </c>
      <c r="D671" s="6">
        <f>C671*(1-$G$1)*(1-$G$2)</f>
      </c>
      <c r="E671" s="5">
        <f>D671*$G$3*(1+$G$4)</f>
      </c>
      <c r="F671" s="7"/>
      <c r="G671" s="5">
        <f>IF(ISBLANK(F671), "", E671*F671)</f>
      </c>
    </row>
    <row r="672" spans="1:7" x14ac:dyDescent="0.25">
      <c r="A672" t="s">
        <v>1285</v>
      </c>
      <c r="B672" t="s">
        <v>1286</v>
      </c>
      <c r="C672" s="5">
        <v>3200</v>
      </c>
      <c r="D672" s="6">
        <f>C672*(1-$G$1)*(1-$G$2)</f>
      </c>
      <c r="E672" s="5">
        <f>D672*$G$3*(1+$G$4)</f>
      </c>
      <c r="F672" s="7"/>
      <c r="G672" s="5">
        <f>IF(ISBLANK(F672), "", E672*F672)</f>
      </c>
    </row>
    <row r="673" spans="1:7" x14ac:dyDescent="0.25">
      <c r="A673" t="s">
        <v>1287</v>
      </c>
      <c r="B673" t="s">
        <v>1288</v>
      </c>
      <c r="C673" s="5">
        <v>3707.03</v>
      </c>
      <c r="D673" s="6">
        <f>C673*(1-$G$1)*(1-$G$2)</f>
      </c>
      <c r="E673" s="5">
        <f>D673*$G$3*(1+$G$4)</f>
      </c>
      <c r="F673" s="7"/>
      <c r="G673" s="5">
        <f>IF(ISBLANK(F673), "", E673*F673)</f>
      </c>
    </row>
    <row r="674" spans="1:7" x14ac:dyDescent="0.25">
      <c r="A674" t="s">
        <v>1289</v>
      </c>
      <c r="B674" t="s">
        <v>1290</v>
      </c>
      <c r="C674" s="5">
        <v>4688.88</v>
      </c>
      <c r="D674" s="6">
        <f>C674*(1-$G$1)*(1-$G$2)</f>
      </c>
      <c r="E674" s="5">
        <f>D674*$G$3*(1+$G$4)</f>
      </c>
      <c r="F674" s="7"/>
      <c r="G674" s="5">
        <f>IF(ISBLANK(F674), "", E674*F674)</f>
      </c>
    </row>
    <row r="675" spans="1:7" x14ac:dyDescent="0.25">
      <c r="A675" t="s">
        <v>1291</v>
      </c>
      <c r="B675" t="s">
        <v>1292</v>
      </c>
      <c r="C675" s="5">
        <v>7261.1</v>
      </c>
      <c r="D675" s="6">
        <f>C675*(1-$G$1)*(1-$G$2)</f>
      </c>
      <c r="E675" s="5">
        <f>D675*$G$3*(1+$G$4)</f>
      </c>
      <c r="F675" s="7"/>
      <c r="G675" s="5">
        <f>IF(ISBLANK(F675), "", E675*F675)</f>
      </c>
    </row>
    <row r="676" spans="1:7" x14ac:dyDescent="0.25">
      <c r="A676" t="s">
        <v>1293</v>
      </c>
      <c r="B676" t="s">
        <v>1294</v>
      </c>
      <c r="C676" s="5">
        <v>153448.83</v>
      </c>
      <c r="D676" s="6">
        <f>C676*(1-$G$1)*(1-$G$2)</f>
      </c>
      <c r="E676" s="5">
        <f>D676*$G$3*(1+$G$4)</f>
      </c>
      <c r="F676" s="7"/>
      <c r="G676" s="5">
        <f>IF(ISBLANK(F676), "", E676*F676)</f>
      </c>
    </row>
    <row r="677" spans="1:7" x14ac:dyDescent="0.25">
      <c r="A677" t="s">
        <v>1295</v>
      </c>
      <c r="B677" t="s">
        <v>1296</v>
      </c>
      <c r="C677" s="5">
        <v>277879.27</v>
      </c>
      <c r="D677" s="6">
        <f>C677*(1-$G$1)*(1-$G$2)</f>
      </c>
      <c r="E677" s="5">
        <f>D677*$G$3*(1+$G$4)</f>
      </c>
      <c r="F677" s="7"/>
      <c r="G677" s="5">
        <f>IF(ISBLANK(F677), "", E677*F677)</f>
      </c>
    </row>
    <row r="678" spans="1:7" x14ac:dyDescent="0.25">
      <c r="A678" t="s">
        <v>1297</v>
      </c>
      <c r="B678" t="s">
        <v>1296</v>
      </c>
      <c r="C678" s="5">
        <v>108500.48</v>
      </c>
      <c r="D678" s="6">
        <f>C678*(1-$G$1)*(1-$G$2)</f>
      </c>
      <c r="E678" s="5">
        <f>D678*$G$3*(1+$G$4)</f>
      </c>
      <c r="F678" s="7"/>
      <c r="G678" s="5">
        <f>IF(ISBLANK(F678), "", E678*F678)</f>
      </c>
    </row>
    <row r="679" spans="1:7" x14ac:dyDescent="0.25">
      <c r="A679" t="s">
        <v>1298</v>
      </c>
      <c r="B679" t="s">
        <v>1299</v>
      </c>
      <c r="C679" s="5">
        <v>48643.58</v>
      </c>
      <c r="D679" s="6">
        <f>C679*(1-$G$1)*(1-$G$2)</f>
      </c>
      <c r="E679" s="5">
        <f>D679*$G$3*(1+$G$4)</f>
      </c>
      <c r="F679" s="7"/>
      <c r="G679" s="5">
        <f>IF(ISBLANK(F679), "", E679*F679)</f>
      </c>
    </row>
    <row r="680" spans="1:7" x14ac:dyDescent="0.25">
      <c r="A680" t="s">
        <v>1300</v>
      </c>
      <c r="B680" t="s">
        <v>1301</v>
      </c>
      <c r="C680" s="5">
        <v>53700.2</v>
      </c>
      <c r="D680" s="6">
        <f>C680*(1-$G$1)*(1-$G$2)</f>
      </c>
      <c r="E680" s="5">
        <f>D680*$G$3*(1+$G$4)</f>
      </c>
      <c r="F680" s="7"/>
      <c r="G680" s="5">
        <f>IF(ISBLANK(F680), "", E680*F680)</f>
      </c>
    </row>
    <row r="681" spans="1:7" x14ac:dyDescent="0.25">
      <c r="A681" t="s">
        <v>1302</v>
      </c>
      <c r="B681" t="s">
        <v>1303</v>
      </c>
      <c r="C681" s="5">
        <v>1644685.88</v>
      </c>
      <c r="D681" s="6">
        <f>C681*(1-$G$1)*(1-$G$2)</f>
      </c>
      <c r="E681" s="5">
        <f>D681*$G$3*(1+$G$4)</f>
      </c>
      <c r="F681" s="7"/>
      <c r="G681" s="5">
        <f>IF(ISBLANK(F681), "", E681*F681)</f>
      </c>
    </row>
    <row r="682" spans="1:7" x14ac:dyDescent="0.25">
      <c r="A682" t="s">
        <v>1304</v>
      </c>
      <c r="B682" t="s">
        <v>1305</v>
      </c>
      <c r="C682" s="5">
        <v>12269.33</v>
      </c>
      <c r="D682" s="6">
        <f>C682*(1-$G$1)*(1-$G$2)</f>
      </c>
      <c r="E682" s="5">
        <f>D682*$G$3*(1+$G$4)</f>
      </c>
      <c r="F682" s="7"/>
      <c r="G682" s="5">
        <f>IF(ISBLANK(F682), "", E682*F682)</f>
      </c>
    </row>
    <row r="683" spans="1:7" x14ac:dyDescent="0.25">
      <c r="A683" t="s">
        <v>1306</v>
      </c>
      <c r="B683" t="s">
        <v>1307</v>
      </c>
      <c r="C683" s="5">
        <v>12269.33</v>
      </c>
      <c r="D683" s="6">
        <f>C683*(1-$G$1)*(1-$G$2)</f>
      </c>
      <c r="E683" s="5">
        <f>D683*$G$3*(1+$G$4)</f>
      </c>
      <c r="F683" s="7"/>
      <c r="G683" s="5">
        <f>IF(ISBLANK(F683), "", E683*F683)</f>
      </c>
    </row>
    <row r="684" spans="1:7" x14ac:dyDescent="0.25">
      <c r="A684" t="s">
        <v>1308</v>
      </c>
      <c r="B684" t="s">
        <v>1309</v>
      </c>
      <c r="C684" s="5">
        <v>95092.81</v>
      </c>
      <c r="D684" s="6">
        <f>C684*(1-$G$1)*(1-$G$2)</f>
      </c>
      <c r="E684" s="5">
        <f>D684*$G$3*(1+$G$4)</f>
      </c>
      <c r="F684" s="7"/>
      <c r="G684" s="5">
        <f>IF(ISBLANK(F684), "", E684*F684)</f>
      </c>
    </row>
    <row r="685" spans="1:7" x14ac:dyDescent="0.25">
      <c r="A685" t="s">
        <v>1310</v>
      </c>
      <c r="B685" t="s">
        <v>1311</v>
      </c>
      <c r="C685" s="5">
        <v>95092.81</v>
      </c>
      <c r="D685" s="6">
        <f>C685*(1-$G$1)*(1-$G$2)</f>
      </c>
      <c r="E685" s="5">
        <f>D685*$G$3*(1+$G$4)</f>
      </c>
      <c r="F685" s="7"/>
      <c r="G685" s="5">
        <f>IF(ISBLANK(F685), "", E685*F685)</f>
      </c>
    </row>
    <row r="686" spans="1:7" x14ac:dyDescent="0.25">
      <c r="A686" t="s">
        <v>1312</v>
      </c>
      <c r="B686" t="s">
        <v>1313</v>
      </c>
      <c r="C686" s="5">
        <v>105143.25</v>
      </c>
      <c r="D686" s="6">
        <f>C686*(1-$G$1)*(1-$G$2)</f>
      </c>
      <c r="E686" s="5">
        <f>D686*$G$3*(1+$G$4)</f>
      </c>
      <c r="F686" s="7"/>
      <c r="G686" s="5">
        <f>IF(ISBLANK(F686), "", E686*F686)</f>
      </c>
    </row>
    <row r="687" spans="1:7" x14ac:dyDescent="0.25">
      <c r="A687" t="s">
        <v>1314</v>
      </c>
      <c r="B687" t="s">
        <v>1315</v>
      </c>
      <c r="C687" s="5">
        <v>244005.56</v>
      </c>
      <c r="D687" s="6">
        <f>C687*(1-$G$1)*(1-$G$2)</f>
      </c>
      <c r="E687" s="5">
        <f>D687*$G$3*(1+$G$4)</f>
      </c>
      <c r="F687" s="7"/>
      <c r="G687" s="5">
        <f>IF(ISBLANK(F687), "", E687*F687)</f>
      </c>
    </row>
    <row r="688" spans="1:7" x14ac:dyDescent="0.25">
      <c r="A688" t="s">
        <v>1316</v>
      </c>
      <c r="B688" t="s">
        <v>1317</v>
      </c>
      <c r="C688" s="5">
        <v>11463.97</v>
      </c>
      <c r="D688" s="6">
        <f>C688*(1-$G$1)*(1-$G$2)</f>
      </c>
      <c r="E688" s="5">
        <f>D688*$G$3*(1+$G$4)</f>
      </c>
      <c r="F688" s="7"/>
      <c r="G688" s="5">
        <f>IF(ISBLANK(F688), "", E688*F688)</f>
      </c>
    </row>
    <row r="689" spans="1:7" x14ac:dyDescent="0.25">
      <c r="A689" t="s">
        <v>1318</v>
      </c>
      <c r="B689" t="s">
        <v>1319</v>
      </c>
      <c r="C689" s="5">
        <v>17076.65</v>
      </c>
      <c r="D689" s="6">
        <f>C689*(1-$G$1)*(1-$G$2)</f>
      </c>
      <c r="E689" s="5">
        <f>D689*$G$3*(1+$G$4)</f>
      </c>
      <c r="F689" s="7"/>
      <c r="G689" s="5">
        <f>IF(ISBLANK(F689), "", E689*F689)</f>
      </c>
    </row>
    <row r="690" spans="1:7" x14ac:dyDescent="0.25">
      <c r="A690" t="s">
        <v>1320</v>
      </c>
      <c r="B690" t="s">
        <v>1321</v>
      </c>
      <c r="C690" s="5">
        <v>23532.97</v>
      </c>
      <c r="D690" s="6">
        <f>C690*(1-$G$1)*(1-$G$2)</f>
      </c>
      <c r="E690" s="5">
        <f>D690*$G$3*(1+$G$4)</f>
      </c>
      <c r="F690" s="7"/>
      <c r="G690" s="5">
        <f>IF(ISBLANK(F690), "", E690*F690)</f>
      </c>
    </row>
    <row r="691" spans="1:7" x14ac:dyDescent="0.25">
      <c r="A691" t="s">
        <v>1322</v>
      </c>
      <c r="B691" t="s">
        <v>1323</v>
      </c>
      <c r="C691" s="5">
        <v>33587.64</v>
      </c>
      <c r="D691" s="6">
        <f>C691*(1-$G$1)*(1-$G$2)</f>
      </c>
      <c r="E691" s="5">
        <f>D691*$G$3*(1+$G$4)</f>
      </c>
      <c r="F691" s="7"/>
      <c r="G691" s="5">
        <f>IF(ISBLANK(F691), "", E691*F691)</f>
      </c>
    </row>
    <row r="692" spans="1:7" x14ac:dyDescent="0.25">
      <c r="A692" t="s">
        <v>1324</v>
      </c>
      <c r="B692" t="s">
        <v>1325</v>
      </c>
      <c r="C692" s="5">
        <v>50757.58</v>
      </c>
      <c r="D692" s="6">
        <f>C692*(1-$G$1)*(1-$G$2)</f>
      </c>
      <c r="E692" s="5">
        <f>D692*$G$3*(1+$G$4)</f>
      </c>
      <c r="F692" s="7"/>
      <c r="G692" s="5">
        <f>IF(ISBLANK(F692), "", E692*F692)</f>
      </c>
    </row>
    <row r="693" spans="1:7" x14ac:dyDescent="0.25">
      <c r="A693" t="s">
        <v>1326</v>
      </c>
      <c r="B693" t="s">
        <v>1327</v>
      </c>
      <c r="C693" s="5">
        <v>147367.46</v>
      </c>
      <c r="D693" s="6">
        <f>C693*(1-$G$1)*(1-$G$2)</f>
      </c>
      <c r="E693" s="5">
        <f>D693*$G$3*(1+$G$4)</f>
      </c>
      <c r="F693" s="7"/>
      <c r="G693" s="5">
        <f>IF(ISBLANK(F693), "", E693*F693)</f>
      </c>
    </row>
    <row r="694" spans="1:7" x14ac:dyDescent="0.25">
      <c r="A694" t="s">
        <v>1328</v>
      </c>
      <c r="B694" t="s">
        <v>1329</v>
      </c>
      <c r="C694" s="5">
        <v>276179.34</v>
      </c>
      <c r="D694" s="6">
        <f>C694*(1-$G$1)*(1-$G$2)</f>
      </c>
      <c r="E694" s="5">
        <f>D694*$G$3*(1+$G$4)</f>
      </c>
      <c r="F694" s="7"/>
      <c r="G694" s="5">
        <f>IF(ISBLANK(F694), "", E694*F694)</f>
      </c>
    </row>
    <row r="695" spans="1:7" x14ac:dyDescent="0.25">
      <c r="A695" t="s">
        <v>1330</v>
      </c>
      <c r="B695" t="s">
        <v>1331</v>
      </c>
      <c r="C695" s="5">
        <v>5102.13</v>
      </c>
      <c r="D695" s="6">
        <f>C695*(1-$G$1)*(1-$G$2)</f>
      </c>
      <c r="E695" s="5">
        <f>D695*$G$3*(1+$G$4)</f>
      </c>
      <c r="F695" s="7"/>
      <c r="G695" s="5">
        <f>IF(ISBLANK(F695), "", E695*F695)</f>
      </c>
    </row>
    <row r="696" spans="1:7" x14ac:dyDescent="0.25">
      <c r="A696" t="s">
        <v>1332</v>
      </c>
      <c r="B696" t="s">
        <v>1333</v>
      </c>
      <c r="C696" s="5">
        <v>7430.06</v>
      </c>
      <c r="D696" s="6">
        <f>C696*(1-$G$1)*(1-$G$2)</f>
      </c>
      <c r="E696" s="5">
        <f>D696*$G$3*(1+$G$4)</f>
      </c>
      <c r="F696" s="7"/>
      <c r="G696" s="5">
        <f>IF(ISBLANK(F696), "", E696*F696)</f>
      </c>
    </row>
    <row r="697" spans="1:7" x14ac:dyDescent="0.25">
      <c r="A697" t="s">
        <v>1334</v>
      </c>
      <c r="B697" t="s">
        <v>1335</v>
      </c>
      <c r="C697" s="5">
        <v>11968.3</v>
      </c>
      <c r="D697" s="6">
        <f>C697*(1-$G$1)*(1-$G$2)</f>
      </c>
      <c r="E697" s="5">
        <f>D697*$G$3*(1+$G$4)</f>
      </c>
      <c r="F697" s="7"/>
      <c r="G697" s="5">
        <f>IF(ISBLANK(F697), "", E697*F697)</f>
      </c>
    </row>
    <row r="698" spans="1:7" x14ac:dyDescent="0.25">
      <c r="A698" t="s">
        <v>1336</v>
      </c>
      <c r="B698" t="s">
        <v>1337</v>
      </c>
      <c r="C698" s="5">
        <v>18437.7</v>
      </c>
      <c r="D698" s="6">
        <f>C698*(1-$G$1)*(1-$G$2)</f>
      </c>
      <c r="E698" s="5">
        <f>D698*$G$3*(1+$G$4)</f>
      </c>
      <c r="F698" s="7"/>
      <c r="G698" s="5">
        <f>IF(ISBLANK(F698), "", E698*F698)</f>
      </c>
    </row>
    <row r="699" spans="1:7" x14ac:dyDescent="0.25">
      <c r="A699" t="s">
        <v>1338</v>
      </c>
      <c r="B699" t="s">
        <v>1339</v>
      </c>
      <c r="C699" s="5">
        <v>29949.08</v>
      </c>
      <c r="D699" s="6">
        <f>C699*(1-$G$1)*(1-$G$2)</f>
      </c>
      <c r="E699" s="5">
        <f>D699*$G$3*(1+$G$4)</f>
      </c>
      <c r="F699" s="7"/>
      <c r="G699" s="5">
        <f>IF(ISBLANK(F699), "", E699*F699)</f>
      </c>
    </row>
    <row r="700" spans="1:7" x14ac:dyDescent="0.25">
      <c r="A700" t="s">
        <v>1340</v>
      </c>
      <c r="B700" t="s">
        <v>1341</v>
      </c>
      <c r="C700" s="5">
        <v>44560.65</v>
      </c>
      <c r="D700" s="6">
        <f>C700*(1-$G$1)*(1-$G$2)</f>
      </c>
      <c r="E700" s="5">
        <f>D700*$G$3*(1+$G$4)</f>
      </c>
      <c r="F700" s="7"/>
      <c r="G700" s="5">
        <f>IF(ISBLANK(F700), "", E700*F700)</f>
      </c>
    </row>
    <row r="701" spans="1:7" x14ac:dyDescent="0.25">
      <c r="A701" t="s">
        <v>1342</v>
      </c>
      <c r="B701" t="s">
        <v>1343</v>
      </c>
      <c r="C701" s="5">
        <v>109596.61</v>
      </c>
      <c r="D701" s="6">
        <f>C701*(1-$G$1)*(1-$G$2)</f>
      </c>
      <c r="E701" s="5">
        <f>D701*$G$3*(1+$G$4)</f>
      </c>
      <c r="F701" s="7"/>
      <c r="G701" s="5">
        <f>IF(ISBLANK(F701), "", E701*F701)</f>
      </c>
    </row>
    <row r="702" spans="1:7" x14ac:dyDescent="0.25">
      <c r="A702" t="s">
        <v>1344</v>
      </c>
      <c r="B702" t="s">
        <v>1345</v>
      </c>
      <c r="C702" s="5">
        <v>178076.02</v>
      </c>
      <c r="D702" s="6">
        <f>C702*(1-$G$1)*(1-$G$2)</f>
      </c>
      <c r="E702" s="5">
        <f>D702*$G$3*(1+$G$4)</f>
      </c>
      <c r="F702" s="7"/>
      <c r="G702" s="5">
        <f>IF(ISBLANK(F702), "", E702*F702)</f>
      </c>
    </row>
    <row r="703" spans="1:7" x14ac:dyDescent="0.25">
      <c r="A703" t="s">
        <v>1346</v>
      </c>
      <c r="B703" t="s">
        <v>1347</v>
      </c>
      <c r="C703" s="5">
        <v>2344.7</v>
      </c>
      <c r="D703" s="6">
        <f>C703*(1-$G$1)*(1-$G$2)</f>
      </c>
      <c r="E703" s="5">
        <f>D703*$G$3*(1+$G$4)</f>
      </c>
      <c r="F703" s="7"/>
      <c r="G703" s="5">
        <f>IF(ISBLANK(F703), "", E703*F703)</f>
      </c>
    </row>
    <row r="704" spans="1:7" x14ac:dyDescent="0.25">
      <c r="A704" t="s">
        <v>1348</v>
      </c>
      <c r="B704" t="s">
        <v>1349</v>
      </c>
      <c r="C704" s="5">
        <v>1021.06</v>
      </c>
      <c r="D704" s="6">
        <f>C704*(1-$G$1)*(1-$G$2)</f>
      </c>
      <c r="E704" s="5">
        <f>D704*$G$3*(1+$G$4)</f>
      </c>
      <c r="F704" s="7"/>
      <c r="G704" s="5">
        <f>IF(ISBLANK(F704), "", E704*F704)</f>
      </c>
    </row>
    <row r="705" spans="1:7" x14ac:dyDescent="0.25">
      <c r="A705" t="s">
        <v>1350</v>
      </c>
      <c r="B705" t="s">
        <v>1351</v>
      </c>
      <c r="C705" s="5">
        <v>1326.56</v>
      </c>
      <c r="D705" s="6">
        <f>C705*(1-$G$1)*(1-$G$2)</f>
      </c>
      <c r="E705" s="5">
        <f>D705*$G$3*(1+$G$4)</f>
      </c>
      <c r="F705" s="7"/>
      <c r="G705" s="5">
        <f>IF(ISBLANK(F705), "", E705*F705)</f>
      </c>
    </row>
    <row r="706" spans="1:7" x14ac:dyDescent="0.25">
      <c r="A706" t="s">
        <v>1352</v>
      </c>
      <c r="B706" t="s">
        <v>1353</v>
      </c>
      <c r="C706" s="5">
        <v>169479.6</v>
      </c>
      <c r="D706" s="6">
        <f>C706*(1-$G$1)*(1-$G$2)</f>
      </c>
      <c r="E706" s="5">
        <f>D706*$G$3*(1+$G$4)</f>
      </c>
      <c r="F706" s="7"/>
      <c r="G706" s="5">
        <f>IF(ISBLANK(F706), "", E706*F706)</f>
      </c>
    </row>
    <row r="707" spans="1:7" x14ac:dyDescent="0.25">
      <c r="A707" t="s">
        <v>1354</v>
      </c>
      <c r="B707" t="s">
        <v>1355</v>
      </c>
      <c r="C707" s="5">
        <v>2407.78</v>
      </c>
      <c r="D707" s="6">
        <f>C707*(1-$G$1)*(1-$G$2)</f>
      </c>
      <c r="E707" s="5">
        <f>D707*$G$3*(1+$G$4)</f>
      </c>
      <c r="F707" s="7"/>
      <c r="G707" s="5">
        <f>IF(ISBLANK(F707), "", E707*F707)</f>
      </c>
    </row>
    <row r="708" spans="1:7" x14ac:dyDescent="0.25">
      <c r="A708" t="s">
        <v>1356</v>
      </c>
      <c r="B708" t="s">
        <v>1357</v>
      </c>
      <c r="C708" s="5">
        <v>693354.81</v>
      </c>
      <c r="D708" s="6">
        <f>C708*(1-$G$1)*(1-$G$2)</f>
      </c>
      <c r="E708" s="5">
        <f>D708*$G$3*(1+$G$4)</f>
      </c>
      <c r="F708" s="7"/>
      <c r="G708" s="5">
        <f>IF(ISBLANK(F708), "", E708*F708)</f>
      </c>
    </row>
    <row r="709" spans="1:7" x14ac:dyDescent="0.25">
      <c r="A709" t="s">
        <v>1358</v>
      </c>
      <c r="B709" t="s">
        <v>1359</v>
      </c>
      <c r="C709" s="5">
        <v>769949.15</v>
      </c>
      <c r="D709" s="6">
        <f>C709*(1-$G$1)*(1-$G$2)</f>
      </c>
      <c r="E709" s="5">
        <f>D709*$G$3*(1+$G$4)</f>
      </c>
      <c r="F709" s="7"/>
      <c r="G709" s="5">
        <f>IF(ISBLANK(F709), "", E709*F709)</f>
      </c>
    </row>
    <row r="710" spans="1:7" x14ac:dyDescent="0.25">
      <c r="A710" t="s">
        <v>1360</v>
      </c>
      <c r="B710" t="s">
        <v>1361</v>
      </c>
      <c r="C710" s="5">
        <v>424667.72</v>
      </c>
      <c r="D710" s="6">
        <f>C710*(1-$G$1)*(1-$G$2)</f>
      </c>
      <c r="E710" s="5">
        <f>D710*$G$3*(1+$G$4)</f>
      </c>
      <c r="F710" s="7"/>
      <c r="G710" s="5">
        <f>IF(ISBLANK(F710), "", E710*F710)</f>
      </c>
    </row>
    <row r="711" spans="1:7" x14ac:dyDescent="0.25">
      <c r="A711" t="s">
        <v>1362</v>
      </c>
      <c r="B711" t="s">
        <v>1363</v>
      </c>
      <c r="C711" s="5">
        <v>864.81</v>
      </c>
      <c r="D711" s="6">
        <f>C711*(1-$G$1)*(1-$G$2)</f>
      </c>
      <c r="E711" s="5">
        <f>D711*$G$3*(1+$G$4)</f>
      </c>
      <c r="F711" s="7"/>
      <c r="G711" s="5">
        <f>IF(ISBLANK(F711), "", E711*F711)</f>
      </c>
    </row>
    <row r="712" spans="1:7" x14ac:dyDescent="0.25">
      <c r="A712" t="s">
        <v>1364</v>
      </c>
      <c r="B712" t="s">
        <v>1365</v>
      </c>
      <c r="C712" s="5">
        <v>874.81</v>
      </c>
      <c r="D712" s="6">
        <f>C712*(1-$G$1)*(1-$G$2)</f>
      </c>
      <c r="E712" s="5">
        <f>D712*$G$3*(1+$G$4)</f>
      </c>
      <c r="F712" s="7"/>
      <c r="G712" s="5">
        <f>IF(ISBLANK(F712), "", E712*F712)</f>
      </c>
    </row>
    <row r="713" spans="1:7" x14ac:dyDescent="0.25">
      <c r="A713" t="s">
        <v>1366</v>
      </c>
      <c r="B713" t="s">
        <v>1367</v>
      </c>
      <c r="C713" s="5">
        <v>1481.85</v>
      </c>
      <c r="D713" s="6">
        <f>C713*(1-$G$1)*(1-$G$2)</f>
      </c>
      <c r="E713" s="5">
        <f>D713*$G$3*(1+$G$4)</f>
      </c>
      <c r="F713" s="7"/>
      <c r="G713" s="5">
        <f>IF(ISBLANK(F713), "", E713*F713)</f>
      </c>
    </row>
    <row r="714" spans="1:7" x14ac:dyDescent="0.25">
      <c r="A714" t="s">
        <v>1368</v>
      </c>
      <c r="B714" t="s">
        <v>1369</v>
      </c>
      <c r="C714" s="5">
        <v>180492.04</v>
      </c>
      <c r="D714" s="6">
        <f>C714*(1-$G$1)*(1-$G$2)</f>
      </c>
      <c r="E714" s="5">
        <f>D714*$G$3*(1+$G$4)</f>
      </c>
      <c r="F714" s="7"/>
      <c r="G714" s="5">
        <f>IF(ISBLANK(F714), "", E714*F714)</f>
      </c>
    </row>
    <row r="715" spans="1:7" x14ac:dyDescent="0.25">
      <c r="A715" t="s">
        <v>1370</v>
      </c>
      <c r="B715" t="s">
        <v>1371</v>
      </c>
      <c r="C715" s="5">
        <v>203168.69</v>
      </c>
      <c r="D715" s="6">
        <f>C715*(1-$G$1)*(1-$G$2)</f>
      </c>
      <c r="E715" s="5">
        <f>D715*$G$3*(1+$G$4)</f>
      </c>
      <c r="F715" s="7"/>
      <c r="G715" s="5">
        <f>IF(ISBLANK(F715), "", E715*F715)</f>
      </c>
    </row>
  </sheetData>
  <mergeCells count="5">
    <mergeCell ref="A1:B4"/>
    <mergeCell ref="E1:F1"/>
    <mergeCell ref="E2:F2"/>
    <mergeCell ref="E3:F3"/>
    <mergeCell ref="E4:F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Cotizador Inteligente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Anselmi - Desarrollos Comerciales</dc:creator>
  <dc:title/>
  <dc:subject/>
  <dc:description/>
  <cp:keywords/>
  <cp:category/>
  <cp:lastModifiedBy>Unknown</cp:lastModifiedBy>
  <dcterms:created xsi:type="dcterms:W3CDTF">2026-05-01T19:43:52Z</dcterms:created>
  <dcterms:modified xsi:type="dcterms:W3CDTF">2026-05-01T19:43:52Z</dcterms:modified>
</cp:coreProperties>
</file>